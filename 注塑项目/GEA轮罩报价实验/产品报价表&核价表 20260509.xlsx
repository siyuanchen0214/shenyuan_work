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50" windowHeight="8010"/>
  </bookViews>
  <sheets>
    <sheet name="可以无限复制" sheetId="1" r:id="rId1"/>
  </sheets>
  <definedNames>
    <definedName name="_xlnm.Print_Area" localSheetId="0">可以无限复制!$A$1:$U$69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<sst xmlns="http://schemas.openxmlformats.org/spreadsheetml/2006/main" count="175" uniqueCount="139">
  <si>
    <t>上海金榕汽车零部件股份有限公司</t>
  </si>
  <si>
    <t>供应商产品报价表</t>
  </si>
  <si>
    <t>供应商商务信息</t>
  </si>
  <si>
    <t>供应商名称</t>
  </si>
  <si>
    <t>必填项</t>
  </si>
  <si>
    <t>年销售额
（万元）</t>
  </si>
  <si>
    <t>报价产品商务信息</t>
  </si>
  <si>
    <t>零件名称</t>
  </si>
  <si>
    <t>报价日期</t>
  </si>
  <si>
    <t>成品重量KG</t>
  </si>
  <si>
    <t>公司法人</t>
  </si>
  <si>
    <t>年纳税额
（万元）</t>
  </si>
  <si>
    <t>零件号</t>
  </si>
  <si>
    <t>OTS时间</t>
  </si>
  <si>
    <t>毛坯重量KG</t>
  </si>
  <si>
    <t>企业规模</t>
  </si>
  <si>
    <t>注册资本
（万元）</t>
  </si>
  <si>
    <t>总采购量
（万件）</t>
  </si>
  <si>
    <t xml:space="preserve">工价（元/h)
一键修正
</t>
  </si>
  <si>
    <t>业务联系人</t>
  </si>
  <si>
    <t>经营地址</t>
  </si>
  <si>
    <t>采购几年</t>
  </si>
  <si>
    <t>PPAP时间</t>
  </si>
  <si>
    <t>能耗单价
￥/Kwh</t>
  </si>
  <si>
    <t>联系电话</t>
  </si>
  <si>
    <t>主营业务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</si>
  <si>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</si>
  <si>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</si>
  <si>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</si>
  <si>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</si>
  <si>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</si>
  <si>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</si>
  <si>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</si>
  <si>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</si>
  <si>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</si>
  <si>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</si>
  <si>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</si>
  <si>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</si>
  <si>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</si>
  <si>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</si>
  <si>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</si>
  <si>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</si>
  <si>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塑料粒子</t>
  </si>
  <si>
    <r>
      <rPr>
        <sz val="3"/>
        <rFont val="SimHei"/>
        <charset val="134"/>
      </rPr>
      <t>TPV</t>
    </r>
  </si>
  <si>
    <t>1.08m丙纶毯面</t>
  </si>
  <si>
    <t>SF3249</t>
  </si>
  <si>
    <t>1.35m丙纶毯面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</si>
  <si>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</si>
  <si>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</si>
  <si>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</si>
  <si>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</si>
  <si>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</si>
  <si>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</si>
  <si>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</si>
  <si>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</si>
  <si>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</si>
  <si>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</si>
  <si>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</si>
  <si>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</si>
  <si>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</si>
  <si>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</si>
  <si>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</si>
  <si>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</si>
  <si>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</si>
  <si>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</si>
  <si>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</si>
  <si>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</si>
  <si>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</si>
  <si>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</si>
  <si>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注塑（橡胶限位块）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</si>
  <si>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</si>
  <si>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</si>
  <si>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</si>
  <si>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</si>
  <si>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</si>
  <si>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</si>
  <si>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</si>
  <si>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</si>
  <si>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</si>
  <si>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</si>
  <si>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</si>
  <si>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</si>
  <si>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</si>
  <si>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</si>
  <si>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82%-99%</t>
  </si>
  <si>
    <t>人力费用</t>
  </si>
  <si>
    <t>设备费用
（万元）</t>
  </si>
  <si>
    <t>折旧方式</t>
  </si>
  <si>
    <t>折旧费用</t>
  </si>
  <si>
    <t>设备功率
Kwh</t>
  </si>
  <si>
    <t>能耗使用率
30%-56%</t>
  </si>
  <si>
    <t>耗能费用</t>
  </si>
  <si>
    <t>注塑（橡胶限位块 )）</t>
  </si>
  <si>
    <t>检验包装</t>
  </si>
  <si>
    <t>吸毛</t>
  </si>
  <si>
    <t>安装卡扣</t>
  </si>
  <si>
    <t>过烘箱</t>
  </si>
  <si>
    <t>检验</t>
  </si>
  <si>
    <t>废料捆包</t>
  </si>
  <si>
    <t>缠绕膜（包装）</t>
  </si>
  <si>
    <t>装车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</si>
  <si>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</si>
  <si>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</si>
  <si>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</si>
  <si>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</si>
  <si>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</si>
  <si>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</si>
  <si>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</si>
  <si>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产品报价备注说明</t>
  </si>
  <si>
    <t>七</t>
  </si>
  <si>
    <t>废品费用</t>
  </si>
  <si>
    <t>计算依据：=(K27+K40+U40+R58+U58+E59+U27)*O8</t>
  </si>
  <si>
    <t>八</t>
  </si>
  <si>
    <t>废料收益</t>
  </si>
  <si>
    <t>计算依据：=报废产品销售后产生的收益（-值）  OR 废料处理额外的开支（+值）</t>
  </si>
  <si>
    <t>九</t>
  </si>
  <si>
    <t>运输费用</t>
  </si>
  <si>
    <t>计算依据：=按国内公路运输距离、零担、拼货、整车，最终分摊到每个零件费用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</si>
  <si>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</si>
  <si>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</si>
  <si>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</si>
  <si>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</si>
  <si>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</si>
  <si>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计算依据：=K27+U27+K40+R58+U58+E59+E60+E74+E62+E63+U40+E61各项的总和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</si>
  <si>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</si>
  <si>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</si>
  <si>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</si>
  <si>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</si>
  <si>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</si>
  <si>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</si>
  <si>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</si>
  <si>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</si>
  <si>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</si>
  <si>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</si>
  <si>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r>
      <rPr>
        <b/>
        <sz val="9"/>
        <rFont val="黑体"/>
        <charset val="134"/>
      </rPr>
      <t>增值税13</t>
    </r>
    <r>
      <rPr>
        <b/>
        <strike/>
        <sz val="9"/>
        <rFont val="黑体"/>
        <charset val="134"/>
      </rPr>
      <t>%</t>
    </r>
  </si>
  <si>
    <t>计算依据：税率13%，费用=E67*0.13</t>
  </si>
  <si>
    <t>十六</t>
  </si>
  <si>
    <t>含税总价</t>
  </si>
  <si>
    <t>计算依据：=E67+E68各项的总和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</si>
</sst>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0_ "/>
    <numFmt numFmtId="178" formatCode="0_ "/>
    <numFmt numFmtId="179" formatCode="0.0000_ "/>
    <numFmt numFmtId="180" formatCode="0.0_ "/>
    <numFmt numFmtId="181" formatCode="&quot;￥&quot;#,##0.000;&quot;￥&quot;\-#,##0.000"/>
  </numFmts>
  <fonts count="41">
    <font>
      <sz val="11"/>
      <color theme="1"/>
      <name val="宋体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name val="黑体"/>
      <charset val="0"/>
    </font>
    <font>
      <b/>
      <sz val="10"/>
      <name val="黑体"/>
      <charset val="134"/>
    </font>
    <font>
      <b/>
      <sz val="11"/>
      <name val="宋体"/>
      <charset val="134"/>
    </font>
    <font>
      <b/>
      <sz val="9"/>
      <name val="黑体"/>
      <charset val="0"/>
    </font>
    <font>
      <sz val="10"/>
      <name val="SimHei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11"/>
      <name val="黑体"/>
      <charset val="0"/>
    </font>
    <font>
      <sz val="11"/>
      <name val="SimHei"/>
      <charset val="134"/>
    </font>
    <font>
      <b/>
      <sz val="9"/>
      <name val="宋体"/>
      <charset val="134"/>
    </font>
    <font>
      <sz val="3"/>
      <color rgb="FF000000"/>
      <name val="Arial"/>
      <charset val="134"/>
    </font>
    <font>
      <sz val="11"/>
      <color rgb="FF000000"/>
      <name val="Arial"/>
      <charset val="204"/>
    </font>
    <font>
      <b/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3"/>
      <name val="SimHei"/>
      <charset val="134"/>
    </font>
    <font>
      <b/>
      <strike/>
      <sz val="9"/>
      <name val="黑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4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6" applyNumberFormat="0" applyFill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48" applyNumberFormat="0" applyAlignment="0" applyProtection="0">
      <alignment vertical="center"/>
    </xf>
    <xf numFmtId="0" fontId="29" fillId="5" borderId="49" applyNumberFormat="0" applyAlignment="0" applyProtection="0">
      <alignment vertical="center"/>
    </xf>
    <xf numFmtId="0" fontId="30" fillId="5" borderId="48" applyNumberFormat="0" applyAlignment="0" applyProtection="0">
      <alignment vertical="center"/>
    </xf>
    <xf numFmtId="0" fontId="31" fillId="9" borderId="50" applyNumberFormat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3" fillId="0" borderId="52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76" fontId="6" fillId="3" borderId="8" xfId="0" applyNumberFormat="1" applyFont="1" applyFill="1" applyBorder="1" applyAlignment="1" applyProtection="1">
      <alignment horizontal="center" vertical="center"/>
      <protection locked="0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9" fontId="1" fillId="2" borderId="0" xfId="0" applyNumberFormat="1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 textRotation="255" wrapText="1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176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6" fillId="4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 textRotation="255" wrapText="1"/>
      <protection hidden="1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9" fontId="1" fillId="3" borderId="18" xfId="3" applyNumberFormat="1" applyFont="1" applyFill="1" applyBorder="1" applyAlignment="1" applyProtection="1">
      <alignment horizontal="center" vertical="center"/>
      <protection locked="0"/>
    </xf>
    <xf numFmtId="9" fontId="1" fillId="3" borderId="18" xfId="3" applyFont="1" applyFill="1" applyBorder="1" applyAlignment="1" applyProtection="1">
      <alignment horizontal="center" vertical="center"/>
      <protection locked="0"/>
    </xf>
    <xf numFmtId="176" fontId="6" fillId="3" borderId="18" xfId="0" applyNumberFormat="1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8" fillId="2" borderId="21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8" fillId="2" borderId="23" xfId="0" applyFont="1" applyFill="1" applyBorder="1" applyAlignment="1" applyProtection="1">
      <alignment horizontal="center" vertical="center"/>
      <protection hidden="1"/>
    </xf>
    <xf numFmtId="0" fontId="9" fillId="2" borderId="6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11" fillId="5" borderId="25" xfId="0" applyNumberFormat="1" applyFont="1" applyFill="1" applyBorder="1" applyAlignment="1" applyProtection="1">
      <alignment horizontal="left" vertical="center" wrapText="1"/>
      <protection locked="0"/>
    </xf>
    <xf numFmtId="177" fontId="6" fillId="2" borderId="26" xfId="0" applyNumberFormat="1" applyFont="1" applyFill="1" applyBorder="1" applyAlignment="1" applyProtection="1">
      <alignment vertical="center"/>
      <protection hidden="1"/>
    </xf>
    <xf numFmtId="0" fontId="9" fillId="2" borderId="11" xfId="0" applyFont="1" applyFill="1" applyBorder="1" applyAlignment="1" applyProtection="1">
      <alignment horizontal="center" vertical="center"/>
      <protection hidden="1"/>
    </xf>
    <xf numFmtId="0" fontId="12" fillId="3" borderId="27" xfId="0" applyFont="1" applyFill="1" applyBorder="1" applyAlignment="1" applyProtection="1">
      <alignment horizontal="left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9" fontId="6" fillId="3" borderId="27" xfId="3" applyNumberFormat="1" applyFont="1" applyFill="1" applyBorder="1" applyAlignment="1" applyProtection="1">
      <alignment horizontal="center" vertical="center"/>
      <protection locked="0"/>
    </xf>
    <xf numFmtId="177" fontId="6" fillId="2" borderId="26" xfId="0" applyNumberFormat="1" applyFont="1" applyFill="1" applyBorder="1" applyAlignment="1" applyProtection="1">
      <alignment horizontal="center" vertical="center"/>
      <protection hidden="1"/>
    </xf>
    <xf numFmtId="0" fontId="10" fillId="2" borderId="12" xfId="0" applyFont="1" applyFill="1" applyBorder="1" applyAlignment="1" applyProtection="1">
      <alignment horizontal="center"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locked="0"/>
    </xf>
    <xf numFmtId="0" fontId="12" fillId="3" borderId="13" xfId="0" applyFont="1" applyFill="1" applyBorder="1" applyAlignment="1" applyProtection="1">
      <alignment horizontal="center" vertical="center"/>
      <protection locked="0"/>
    </xf>
    <xf numFmtId="9" fontId="6" fillId="3" borderId="13" xfId="3" applyNumberFormat="1" applyFont="1" applyFill="1" applyBorder="1" applyAlignment="1" applyProtection="1">
      <alignment horizontal="center" vertical="center"/>
      <protection locked="0"/>
    </xf>
    <xf numFmtId="177" fontId="6" fillId="2" borderId="15" xfId="0" applyNumberFormat="1" applyFont="1" applyFill="1" applyBorder="1" applyAlignment="1" applyProtection="1">
      <alignment vertical="center"/>
      <protection hidden="1"/>
    </xf>
    <xf numFmtId="177" fontId="6" fillId="2" borderId="15" xfId="0" applyNumberFormat="1" applyFont="1" applyFill="1" applyBorder="1" applyAlignment="1" applyProtection="1">
      <alignment horizontal="center" vertical="center"/>
      <protection hidden="1"/>
    </xf>
    <xf numFmtId="0" fontId="13" fillId="3" borderId="13" xfId="0" applyFont="1" applyFill="1" applyBorder="1" applyAlignment="1" applyProtection="1">
      <alignment horizontal="left" vertical="center"/>
      <protection locked="0"/>
    </xf>
    <xf numFmtId="49" fontId="6" fillId="3" borderId="13" xfId="0" applyNumberFormat="1" applyFont="1" applyFill="1" applyBorder="1" applyAlignment="1" applyProtection="1">
      <alignment horizontal="left" vertical="center"/>
      <protection locked="0"/>
    </xf>
    <xf numFmtId="4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 applyProtection="1">
      <alignment horizontal="left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7" fillId="3" borderId="13" xfId="0" applyFont="1" applyFill="1" applyBorder="1" applyAlignment="1" applyProtection="1">
      <alignment horizontal="left" vertical="center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4" fillId="2" borderId="28" xfId="0" applyFont="1" applyFill="1" applyBorder="1" applyAlignment="1" applyProtection="1">
      <alignment horizontal="center" vertical="center" textRotation="255" wrapText="1"/>
      <protection hidden="1"/>
    </xf>
    <xf numFmtId="0" fontId="10" fillId="2" borderId="29" xfId="0" applyFont="1" applyFill="1" applyBorder="1" applyAlignment="1" applyProtection="1">
      <alignment horizontal="center" vertical="center"/>
      <protection hidden="1"/>
    </xf>
    <xf numFmtId="0" fontId="6" fillId="2" borderId="30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177" fontId="6" fillId="2" borderId="30" xfId="0" applyNumberFormat="1" applyFont="1" applyFill="1" applyBorder="1" applyAlignment="1" applyProtection="1">
      <alignment horizontal="right"/>
      <protection hidden="1"/>
    </xf>
    <xf numFmtId="177" fontId="4" fillId="2" borderId="31" xfId="0" applyNumberFormat="1" applyFont="1" applyFill="1" applyBorder="1" applyAlignment="1" applyProtection="1">
      <alignment horizontal="center" vertical="center"/>
      <protection hidden="1"/>
    </xf>
    <xf numFmtId="0" fontId="9" fillId="2" borderId="16" xfId="0" applyFont="1" applyFill="1" applyBorder="1" applyAlignment="1" applyProtection="1">
      <alignment horizontal="center" vertical="center"/>
      <protection hidden="1"/>
    </xf>
    <xf numFmtId="0" fontId="13" fillId="2" borderId="30" xfId="0" applyFont="1" applyFill="1" applyBorder="1" applyAlignment="1" applyProtection="1">
      <alignment horizontal="left" vertical="center" indent="1"/>
      <protection hidden="1"/>
    </xf>
    <xf numFmtId="0" fontId="14" fillId="2" borderId="6" xfId="0" applyFont="1" applyFill="1" applyBorder="1" applyAlignment="1" applyProtection="1">
      <alignment horizontal="center" vertical="center" textRotation="255" wrapText="1"/>
      <protection hidden="1"/>
    </xf>
    <xf numFmtId="0" fontId="8" fillId="2" borderId="32" xfId="0" applyFont="1" applyFill="1" applyBorder="1" applyAlignment="1" applyProtection="1">
      <alignment horizontal="center" vertical="center"/>
      <protection hidden="1"/>
    </xf>
    <xf numFmtId="0" fontId="8" fillId="2" borderId="33" xfId="0" applyFont="1" applyFill="1" applyBorder="1" applyAlignment="1" applyProtection="1">
      <alignment horizontal="center" vertical="center"/>
      <protection hidden="1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9" fillId="2" borderId="35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vertical="center" textRotation="255" wrapText="1"/>
      <protection hidden="1"/>
    </xf>
    <xf numFmtId="0" fontId="10" fillId="2" borderId="36" xfId="0" applyFont="1" applyFill="1" applyBorder="1" applyAlignment="1" applyProtection="1">
      <alignment vertical="center"/>
      <protection hidden="1"/>
    </xf>
    <xf numFmtId="0" fontId="5" fillId="2" borderId="37" xfId="0" applyFont="1" applyFill="1" applyBorder="1" applyAlignment="1" applyProtection="1">
      <alignment horizontal="center" vertical="center"/>
      <protection hidden="1"/>
    </xf>
    <xf numFmtId="0" fontId="5" fillId="2" borderId="37" xfId="0" applyFont="1" applyFill="1" applyBorder="1" applyAlignment="1" applyProtection="1">
      <alignment horizontal="center" vertical="center" wrapText="1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9" fillId="2" borderId="39" xfId="0" applyFont="1" applyFill="1" applyBorder="1" applyAlignment="1" applyProtection="1">
      <alignment horizontal="center" vertical="center"/>
      <protection hidden="1"/>
    </xf>
    <xf numFmtId="177" fontId="5" fillId="2" borderId="36" xfId="0" applyNumberFormat="1" applyFont="1" applyFill="1" applyBorder="1" applyAlignment="1" applyProtection="1">
      <alignment vertical="center"/>
      <protection hidden="1"/>
    </xf>
    <xf numFmtId="0" fontId="15" fillId="3" borderId="27" xfId="0" applyFont="1" applyFill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hidden="1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1" fillId="3" borderId="27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hidden="1"/>
    </xf>
    <xf numFmtId="177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0" fontId="4" fillId="2" borderId="28" xfId="0" applyFont="1" applyFill="1" applyBorder="1" applyAlignment="1" applyProtection="1">
      <alignment horizontal="center" vertical="center"/>
      <protection hidden="1"/>
    </xf>
    <xf numFmtId="0" fontId="4" fillId="2" borderId="28" xfId="0" applyFont="1" applyFill="1" applyBorder="1" applyAlignment="1" applyProtection="1">
      <alignment vertical="center" textRotation="255" wrapText="1"/>
      <protection hidden="1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horizontal="right" vertical="center" indent="1"/>
      <protection hidden="1"/>
    </xf>
    <xf numFmtId="177" fontId="4" fillId="2" borderId="20" xfId="0" applyNumberFormat="1" applyFont="1" applyFill="1" applyBorder="1" applyAlignment="1" applyProtection="1">
      <alignment horizontal="center" vertical="center"/>
      <protection hidden="1"/>
    </xf>
    <xf numFmtId="0" fontId="9" fillId="2" borderId="40" xfId="0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vertical="center" textRotation="255" wrapText="1"/>
      <protection hidden="1"/>
    </xf>
    <xf numFmtId="0" fontId="5" fillId="2" borderId="17" xfId="0" applyFont="1" applyFill="1" applyBorder="1" applyAlignment="1" applyProtection="1">
      <alignment vertical="center" textRotation="255" wrapText="1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41" xfId="0" applyFont="1" applyFill="1" applyBorder="1" applyAlignment="1" applyProtection="1">
      <alignment horizontal="center" vertical="center" textRotation="255" wrapText="1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 wrapText="1"/>
      <protection hidden="1"/>
    </xf>
    <xf numFmtId="0" fontId="5" fillId="2" borderId="22" xfId="0" applyFont="1" applyFill="1" applyBorder="1" applyAlignment="1" applyProtection="1">
      <alignment vertical="center"/>
      <protection hidden="1"/>
    </xf>
    <xf numFmtId="0" fontId="16" fillId="2" borderId="22" xfId="0" applyFont="1" applyFill="1" applyBorder="1" applyAlignment="1" applyProtection="1">
      <alignment horizontal="center" vertical="center" wrapText="1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178" fontId="5" fillId="2" borderId="22" xfId="0" applyNumberFormat="1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14" xfId="0" applyFont="1" applyFill="1" applyBorder="1" applyAlignment="1" applyProtection="1">
      <alignment horizontal="center" vertical="center" textRotation="255" wrapText="1"/>
      <protection hidden="1"/>
    </xf>
    <xf numFmtId="0" fontId="11" fillId="5" borderId="25" xfId="0" applyNumberFormat="1" applyFont="1" applyFill="1" applyBorder="1" applyAlignment="1" applyProtection="1">
      <alignment horizontal="center" vertical="center" wrapText="1"/>
      <protection locked="0"/>
    </xf>
    <xf numFmtId="178" fontId="6" fillId="2" borderId="27" xfId="0" applyNumberFormat="1" applyFont="1" applyFill="1" applyBorder="1" applyAlignment="1" applyProtection="1">
      <alignment horizontal="center" vertical="center"/>
      <protection hidden="1"/>
    </xf>
    <xf numFmtId="179" fontId="6" fillId="2" borderId="27" xfId="0" applyNumberFormat="1" applyFont="1" applyFill="1" applyBorder="1" applyAlignment="1" applyProtection="1">
      <alignment horizontal="center" vertical="center"/>
      <protection hidden="1"/>
    </xf>
    <xf numFmtId="180" fontId="6" fillId="3" borderId="27" xfId="0" applyNumberFormat="1" applyFont="1" applyFill="1" applyBorder="1" applyAlignment="1" applyProtection="1">
      <alignment horizontal="center" vertical="center"/>
      <protection locked="0"/>
    </xf>
    <xf numFmtId="177" fontId="6" fillId="2" borderId="27" xfId="0" applyNumberFormat="1" applyFont="1" applyFill="1" applyBorder="1" applyAlignment="1" applyProtection="1">
      <alignment horizontal="center" vertical="center"/>
      <protection hidden="1"/>
    </xf>
    <xf numFmtId="9" fontId="17" fillId="5" borderId="25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25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27" xfId="0" applyNumberFormat="1" applyFont="1" applyFill="1" applyBorder="1" applyAlignment="1" applyProtection="1">
      <alignment horizontal="center" vertical="center"/>
      <protection hidden="1"/>
    </xf>
    <xf numFmtId="178" fontId="6" fillId="3" borderId="27" xfId="0" applyNumberFormat="1" applyFont="1" applyFill="1" applyBorder="1" applyAlignment="1" applyProtection="1">
      <alignment horizontal="center" vertical="center"/>
      <protection locked="0"/>
    </xf>
    <xf numFmtId="9" fontId="1" fillId="3" borderId="13" xfId="3" applyNumberFormat="1" applyFont="1" applyFill="1" applyBorder="1" applyAlignment="1" applyProtection="1">
      <alignment horizontal="center" vertical="center"/>
      <protection locked="0"/>
    </xf>
    <xf numFmtId="9" fontId="1" fillId="3" borderId="13" xfId="3" applyFont="1" applyFill="1" applyBorder="1" applyAlignment="1" applyProtection="1">
      <alignment horizontal="center" vertical="center"/>
      <protection locked="0"/>
    </xf>
    <xf numFmtId="178" fontId="6" fillId="3" borderId="13" xfId="0" applyNumberFormat="1" applyFont="1" applyFill="1" applyBorder="1" applyAlignment="1" applyProtection="1">
      <alignment horizontal="center" vertical="center"/>
      <protection locked="0"/>
    </xf>
    <xf numFmtId="180" fontId="6" fillId="3" borderId="13" xfId="0" applyNumberFormat="1" applyFont="1" applyFill="1" applyBorder="1" applyAlignment="1" applyProtection="1">
      <alignment horizontal="center" vertical="center"/>
      <protection locked="0"/>
    </xf>
    <xf numFmtId="9" fontId="1" fillId="3" borderId="27" xfId="3" applyNumberFormat="1" applyFont="1" applyFill="1" applyBorder="1" applyAlignment="1" applyProtection="1">
      <alignment horizontal="center" vertical="center"/>
      <protection locked="0"/>
    </xf>
    <xf numFmtId="9" fontId="1" fillId="3" borderId="27" xfId="3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 wrapText="1"/>
      <protection hidden="1"/>
    </xf>
    <xf numFmtId="0" fontId="4" fillId="2" borderId="42" xfId="0" applyFont="1" applyFill="1" applyBorder="1" applyAlignment="1" applyProtection="1">
      <alignment horizontal="center" vertical="center" textRotation="255" wrapText="1"/>
      <protection hidden="1"/>
    </xf>
    <xf numFmtId="0" fontId="5" fillId="2" borderId="29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vertical="center"/>
      <protection hidden="1"/>
    </xf>
    <xf numFmtId="177" fontId="16" fillId="2" borderId="18" xfId="0" applyNumberFormat="1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vertical="center"/>
      <protection hidden="1"/>
    </xf>
    <xf numFmtId="7" fontId="10" fillId="2" borderId="30" xfId="0" applyNumberFormat="1" applyFont="1" applyFill="1" applyBorder="1" applyAlignment="1" applyProtection="1">
      <alignment horizontal="center" vertical="center"/>
      <protection hidden="1"/>
    </xf>
    <xf numFmtId="7" fontId="10" fillId="2" borderId="31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41" xfId="0" applyFont="1" applyFill="1" applyBorder="1" applyAlignment="1" applyProtection="1">
      <alignment horizontal="center" vertical="center"/>
      <protection hidden="1"/>
    </xf>
    <xf numFmtId="7" fontId="6" fillId="2" borderId="7" xfId="0" applyNumberFormat="1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 applyProtection="1">
      <alignment horizontal="left" vertical="center"/>
      <protection hidden="1"/>
    </xf>
    <xf numFmtId="0" fontId="6" fillId="2" borderId="10" xfId="0" applyFont="1" applyFill="1" applyBorder="1" applyAlignment="1" applyProtection="1">
      <alignment horizontal="left" vertical="center"/>
      <protection hidden="1"/>
    </xf>
    <xf numFmtId="0" fontId="5" fillId="2" borderId="33" xfId="0" applyFont="1" applyFill="1" applyBorder="1" applyAlignment="1" applyProtection="1">
      <alignment horizontal="center" vertical="center"/>
      <protection hidden="1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7" fontId="6" fillId="2" borderId="12" xfId="0" applyNumberFormat="1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left" vertical="center"/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7" fontId="12" fillId="6" borderId="12" xfId="0" applyNumberFormat="1" applyFont="1" applyFill="1" applyBorder="1" applyAlignment="1" applyProtection="1">
      <alignment horizontal="center" vertical="center"/>
      <protection locked="0"/>
    </xf>
    <xf numFmtId="7" fontId="6" fillId="6" borderId="12" xfId="0" applyNumberFormat="1" applyFont="1" applyFill="1" applyBorder="1" applyAlignment="1" applyProtection="1">
      <alignment horizontal="center" vertical="center"/>
      <protection locked="0"/>
    </xf>
    <xf numFmtId="181" fontId="5" fillId="2" borderId="12" xfId="0" applyNumberFormat="1" applyFont="1" applyFill="1" applyBorder="1" applyAlignment="1" applyProtection="1">
      <alignment horizontal="center" vertical="center"/>
      <protection hidden="1"/>
    </xf>
    <xf numFmtId="9" fontId="6" fillId="6" borderId="12" xfId="3" applyNumberFormat="1" applyFont="1" applyFill="1" applyBorder="1" applyAlignment="1" applyProtection="1">
      <alignment horizontal="center" vertical="center"/>
      <protection locked="0"/>
    </xf>
    <xf numFmtId="0" fontId="5" fillId="2" borderId="42" xfId="0" applyFont="1" applyFill="1" applyBorder="1" applyAlignment="1" applyProtection="1">
      <alignment horizontal="center" vertical="center"/>
      <protection hidden="1"/>
    </xf>
    <xf numFmtId="7" fontId="19" fillId="2" borderId="29" xfId="0" applyNumberFormat="1" applyFont="1" applyFill="1" applyBorder="1" applyAlignment="1" applyProtection="1">
      <alignment horizontal="center" vertical="center"/>
      <protection hidden="1"/>
    </xf>
    <xf numFmtId="0" fontId="6" fillId="2" borderId="30" xfId="0" applyFont="1" applyFill="1" applyBorder="1" applyAlignment="1" applyProtection="1">
      <alignment horizontal="left" vertical="center"/>
      <protection hidden="1"/>
    </xf>
    <xf numFmtId="0" fontId="6" fillId="2" borderId="31" xfId="0" applyFont="1" applyFill="1" applyBorder="1" applyAlignment="1" applyProtection="1">
      <alignment horizontal="left" vertical="center"/>
      <protection hidden="1"/>
    </xf>
    <xf numFmtId="0" fontId="5" fillId="3" borderId="43" xfId="0" applyFont="1" applyFill="1" applyBorder="1" applyAlignment="1" applyProtection="1">
      <alignment horizontal="center" vertical="center"/>
      <protection hidden="1"/>
    </xf>
    <xf numFmtId="0" fontId="5" fillId="3" borderId="44" xfId="0" applyFont="1" applyFill="1" applyBorder="1" applyAlignment="1" applyProtection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69"/>
  <sheetViews>
    <sheetView showGridLines="0" tabSelected="1" view="pageBreakPreview" zoomScale="70" zoomScaleNormal="85" topLeftCell="K39" workbookViewId="0">
      <selection activeCell="P44" sqref="P44"/>
    </sheetView>
  </sheetViews>
  <sheetFormatPr defaultColWidth="9" defaultRowHeight="12"/>
  <cols>
    <col min="1" max="1" width="3.62727272727273" style="1" customWidth="1"/>
    <col min="2" max="2" width="4.92727272727273" style="1" customWidth="1"/>
    <col min="3" max="3" width="5.84545454545455" style="1" customWidth="1"/>
    <col min="4" max="4" width="5.58181818181818" style="1" customWidth="1"/>
    <col min="5" max="5" width="16.2363636363636" style="1" customWidth="1"/>
    <col min="6" max="6" width="14.8" style="1" customWidth="1"/>
    <col min="7" max="7" width="11.4272727272727" style="1" customWidth="1"/>
    <col min="8" max="8" width="8.82727272727273" style="1" customWidth="1"/>
    <col min="9" max="9" width="9.08181818181818" style="1" customWidth="1"/>
    <col min="10" max="10" width="12.7272727272727" style="1" customWidth="1"/>
    <col min="11" max="11" width="11.6818181818182" style="1" customWidth="1"/>
    <col min="12" max="12" width="5.12727272727273" style="1" customWidth="1"/>
    <col min="13" max="13" width="5.83636363636364" style="1" customWidth="1"/>
    <col min="14" max="14" width="4.8" style="1" customWidth="1"/>
    <col min="15" max="15" width="15.8454545454545" style="1" customWidth="1"/>
    <col min="16" max="16" width="16.0909090909091" style="1" customWidth="1"/>
    <col min="17" max="18" width="11.0272727272727" style="1" customWidth="1"/>
    <col min="19" max="19" width="11.1636363636364" style="1" customWidth="1"/>
    <col min="20" max="20" width="13.5" style="1" customWidth="1"/>
    <col min="21" max="21" width="11.4272727272727" style="1" customWidth="1"/>
    <col min="22" max="22" width="9" style="1" customWidth="1"/>
    <col min="23" max="23" width="9" style="1" hidden="1" customWidth="1"/>
    <col min="24" max="24" width="13.4545454545455" style="1" hidden="1" customWidth="1"/>
    <col min="25" max="16384" width="9" style="1"/>
  </cols>
  <sheetData>
    <row r="1" ht="12.75" spans="1:24">
      <c r="A1" s="2"/>
    </row>
    <row r="2" s="1" customFormat="1" ht="40" customHeight="1" spans="1:24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="1" customFormat="1" ht="31" customHeight="1" spans="1:24">
      <c r="A3" s="2"/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="1" customFormat="1" ht="28" customHeight="1" spans="1:24">
      <c r="A4" s="2"/>
      <c r="B4" s="9" t="s">
        <v>2</v>
      </c>
      <c r="C4" s="10" t="s">
        <v>3</v>
      </c>
      <c r="D4" s="11"/>
      <c r="E4" s="12" t="s">
        <v>4</v>
      </c>
      <c r="F4" s="12"/>
      <c r="G4" s="13" t="s">
        <v>5</v>
      </c>
      <c r="H4" s="12" t="s">
        <v>4</v>
      </c>
      <c r="I4" s="12"/>
      <c r="J4" s="14"/>
      <c r="K4" s="15"/>
      <c r="L4" s="9" t="s">
        <v>6</v>
      </c>
      <c r="M4" s="10" t="s">
        <v>7</v>
      </c>
      <c r="N4" s="11"/>
      <c r="O4" s="16" t="s">
        <v>4</v>
      </c>
      <c r="P4" s="16"/>
      <c r="Q4" s="13" t="s">
        <v>8</v>
      </c>
      <c r="R4" s="17" t="s">
        <v>4</v>
      </c>
      <c r="S4" s="17"/>
      <c r="T4" s="11" t="s">
        <v>9</v>
      </c>
      <c r="U4" s="18">
        <v>0.3</v>
      </c>
      <c r="W4" s="19">
        <v>0.3</v>
      </c>
      <c r="X4" s="1">
        <v>15</v>
      </c>
    </row>
    <row r="5" s="1" customFormat="1" ht="28" customHeight="1" spans="1:24">
      <c r="A5" s="2"/>
      <c r="B5" s="20"/>
      <c r="C5" s="21" t="s">
        <v>10</v>
      </c>
      <c r="D5" s="22"/>
      <c r="E5" s="23" t="s">
        <v>4</v>
      </c>
      <c r="F5" s="23"/>
      <c r="G5" s="24" t="s">
        <v>11</v>
      </c>
      <c r="H5" s="23" t="s">
        <v>4</v>
      </c>
      <c r="I5" s="23"/>
      <c r="J5" s="25"/>
      <c r="K5" s="26"/>
      <c r="L5" s="20"/>
      <c r="M5" s="21" t="s">
        <v>12</v>
      </c>
      <c r="N5" s="22"/>
      <c r="O5" s="27" t="s">
        <v>4</v>
      </c>
      <c r="P5" s="27"/>
      <c r="Q5" s="22" t="s">
        <v>13</v>
      </c>
      <c r="R5" s="28" t="s">
        <v>4</v>
      </c>
      <c r="S5" s="28"/>
      <c r="T5" s="22" t="s">
        <v>14</v>
      </c>
      <c r="U5" s="26">
        <v>0.35</v>
      </c>
      <c r="W5" s="19">
        <v>0.31</v>
      </c>
      <c r="X5" s="1">
        <v>15.5</v>
      </c>
    </row>
    <row r="6" s="1" customFormat="1" ht="28" customHeight="1" spans="1:24">
      <c r="A6" s="2"/>
      <c r="B6" s="20"/>
      <c r="C6" s="21" t="s">
        <v>15</v>
      </c>
      <c r="D6" s="22"/>
      <c r="E6" s="23" t="s">
        <v>4</v>
      </c>
      <c r="F6" s="23"/>
      <c r="G6" s="24" t="s">
        <v>16</v>
      </c>
      <c r="H6" s="23" t="s">
        <v>4</v>
      </c>
      <c r="I6" s="23"/>
      <c r="J6" s="25"/>
      <c r="K6" s="26"/>
      <c r="L6" s="20"/>
      <c r="M6" s="29" t="s">
        <v>17</v>
      </c>
      <c r="N6" s="22"/>
      <c r="O6" s="27">
        <v>30</v>
      </c>
      <c r="P6" s="27"/>
      <c r="Q6" s="22" t="s">
        <v>13</v>
      </c>
      <c r="R6" s="28" t="s">
        <v>4</v>
      </c>
      <c r="S6" s="28"/>
      <c r="T6" s="24" t="s">
        <v>18</v>
      </c>
      <c r="U6" s="30">
        <v>23</v>
      </c>
      <c r="W6" s="19">
        <v>0.32</v>
      </c>
      <c r="X6" s="1">
        <v>16</v>
      </c>
    </row>
    <row r="7" s="1" customFormat="1" ht="28" customHeight="1" spans="1:24">
      <c r="A7" s="2"/>
      <c r="B7" s="20"/>
      <c r="C7" s="21" t="s">
        <v>19</v>
      </c>
      <c r="D7" s="22"/>
      <c r="E7" s="23" t="s">
        <v>4</v>
      </c>
      <c r="F7" s="23"/>
      <c r="G7" s="22" t="s">
        <v>20</v>
      </c>
      <c r="H7" s="23" t="s">
        <v>4</v>
      </c>
      <c r="I7" s="23"/>
      <c r="J7" s="25"/>
      <c r="K7" s="26"/>
      <c r="L7" s="20"/>
      <c r="M7" s="21" t="s">
        <v>21</v>
      </c>
      <c r="N7" s="22"/>
      <c r="O7" s="27"/>
      <c r="P7" s="27"/>
      <c r="Q7" s="22" t="s">
        <v>22</v>
      </c>
      <c r="R7" s="28" t="s">
        <v>4</v>
      </c>
      <c r="S7" s="28"/>
      <c r="T7" s="24" t="s">
        <v>23</v>
      </c>
      <c r="U7" s="26">
        <v>0.94</v>
      </c>
      <c r="W7" s="19">
        <v>0.33</v>
      </c>
      <c r="X7" s="1">
        <v>16.5</v>
      </c>
    </row>
    <row r="8" s="1" customFormat="1" ht="28" customHeight="1" spans="1:24">
      <c r="A8" s="2"/>
      <c r="B8" s="31"/>
      <c r="C8" s="32" t="s">
        <v>24</v>
      </c>
      <c r="D8" s="33"/>
      <c r="E8" s="34" t="s">
        <v>4</v>
      </c>
      <c r="F8" s="34"/>
      <c r="G8" s="33" t="s">
        <v>25</v>
      </c>
      <c r="H8" s="34" t="s">
        <v>4</v>
      </c>
      <c r="I8" s="34"/>
      <c r="J8" s="35"/>
      <c r="K8" s="36"/>
      <c r="L8" s="31"/>
      <c r="M8" s="37" t="s">
        <v>26</v>
      </c>
      <c r="N8" s="33"/>
      <c r="O8" s="38">
        <v>0.02</v>
      </c>
      <c r="P8" s="39"/>
      <c r="Q8" s="33" t="s">
        <v>27</v>
      </c>
      <c r="R8" s="40" t="s">
        <v>4</v>
      </c>
      <c r="S8" s="40"/>
      <c r="T8" s="41" t="s">
        <v>28</v>
      </c>
      <c r="U8" s="36">
        <v>300</v>
      </c>
      <c r="W8" s="19">
        <v>0.34</v>
      </c>
      <c r="X8" s="1">
        <v>17</v>
      </c>
    </row>
    <row r="9" s="1" customFormat="1" ht="25" customHeight="1" spans="1:24">
      <c r="A9" s="2"/>
      <c r="B9" s="42" t="s">
        <v>29</v>
      </c>
      <c r="C9" s="9" t="s">
        <v>30</v>
      </c>
      <c r="D9" s="43" t="s">
        <v>31</v>
      </c>
      <c r="E9" s="44" t="s">
        <v>32</v>
      </c>
      <c r="F9" s="44" t="s">
        <v>33</v>
      </c>
      <c r="G9" s="44" t="s">
        <v>34</v>
      </c>
      <c r="H9" s="44" t="s">
        <v>35</v>
      </c>
      <c r="I9" s="44" t="s">
        <v>36</v>
      </c>
      <c r="J9" s="44" t="s">
        <v>37</v>
      </c>
      <c r="K9" s="45" t="s">
        <v>38</v>
      </c>
      <c r="L9" s="46" t="s">
        <v>39</v>
      </c>
      <c r="M9" s="9" t="s">
        <v>40</v>
      </c>
      <c r="N9" s="43" t="s">
        <v>31</v>
      </c>
      <c r="O9" s="44" t="s">
        <v>32</v>
      </c>
      <c r="P9" s="44" t="s">
        <v>33</v>
      </c>
      <c r="Q9" s="44" t="s">
        <v>34</v>
      </c>
      <c r="R9" s="44" t="s">
        <v>35</v>
      </c>
      <c r="S9" s="44" t="s">
        <v>36</v>
      </c>
      <c r="T9" s="44" t="s">
        <v>37</v>
      </c>
      <c r="U9" s="45" t="s">
        <v>41</v>
      </c>
      <c r="W9" s="19">
        <v>0.35</v>
      </c>
      <c r="X9" s="1">
        <v>17.5</v>
      </c>
    </row>
    <row r="10" s="1" customFormat="1" ht="25" customHeight="1" spans="1:24">
      <c r="A10" s="2"/>
      <c r="B10" s="47"/>
      <c r="C10" s="20"/>
      <c r="D10" s="48">
        <v>1</v>
      </c>
      <c r="E10" s="49" t="s">
        <v>42</v>
      </c>
      <c r="F10" s="49" t="s">
        <v>43</v>
      </c>
      <c r="G10" s="49"/>
      <c r="H10" s="49">
        <v>0.005</v>
      </c>
      <c r="I10" s="49">
        <v>0.1</v>
      </c>
      <c r="J10" s="49">
        <v>30</v>
      </c>
      <c r="K10" s="50">
        <f>IF(J10="","",J10*H10*(1+I10))</f>
        <v>0.165</v>
      </c>
      <c r="L10" s="51"/>
      <c r="M10" s="20"/>
      <c r="N10" s="48">
        <v>1</v>
      </c>
      <c r="O10" s="52" t="s">
        <v>44</v>
      </c>
      <c r="P10" s="52" t="s">
        <v>45</v>
      </c>
      <c r="Q10" s="53"/>
      <c r="R10" s="53">
        <v>1</v>
      </c>
      <c r="S10" s="54"/>
      <c r="T10" s="53"/>
      <c r="U10" s="55" t="str">
        <f>IF(T10="","",T10*R10*(1+S10))</f>
        <v/>
      </c>
      <c r="W10" s="19">
        <v>0.36</v>
      </c>
      <c r="X10" s="1">
        <v>18</v>
      </c>
    </row>
    <row r="11" s="1" customFormat="1" ht="25" customHeight="1" spans="1:24">
      <c r="A11" s="2"/>
      <c r="B11" s="47"/>
      <c r="C11" s="20"/>
      <c r="D11" s="56">
        <v>2</v>
      </c>
      <c r="E11" s="57"/>
      <c r="F11" s="57"/>
      <c r="G11" s="58"/>
      <c r="H11" s="58">
        <v>1</v>
      </c>
      <c r="I11" s="59"/>
      <c r="J11" s="58"/>
      <c r="K11" s="60" t="str">
        <f t="shared" ref="K11:K26" si="0">IF(J11="","",J11*H11*(1+I11))</f>
        <v/>
      </c>
      <c r="L11" s="51"/>
      <c r="M11" s="20"/>
      <c r="N11" s="56">
        <v>2</v>
      </c>
      <c r="O11" s="57" t="s">
        <v>44</v>
      </c>
      <c r="P11" s="57" t="s">
        <v>45</v>
      </c>
      <c r="Q11" s="58"/>
      <c r="R11" s="58">
        <v>1</v>
      </c>
      <c r="S11" s="59"/>
      <c r="T11" s="58"/>
      <c r="U11" s="61" t="str">
        <f t="shared" ref="U11:U26" si="1">IF(T11="","",T11*R11*(1+S11))</f>
        <v/>
      </c>
      <c r="W11" s="19">
        <v>0.37</v>
      </c>
      <c r="X11" s="1">
        <v>18.5</v>
      </c>
    </row>
    <row r="12" s="1" customFormat="1" ht="25" customHeight="1" spans="1:24">
      <c r="A12" s="2"/>
      <c r="B12" s="47"/>
      <c r="C12" s="20"/>
      <c r="D12" s="56">
        <v>3</v>
      </c>
      <c r="E12" s="57"/>
      <c r="F12" s="57"/>
      <c r="G12" s="58"/>
      <c r="H12" s="58">
        <v>1</v>
      </c>
      <c r="I12" s="59"/>
      <c r="J12" s="58"/>
      <c r="K12" s="60" t="str">
        <f t="shared" si="0"/>
        <v/>
      </c>
      <c r="L12" s="51"/>
      <c r="M12" s="20"/>
      <c r="N12" s="56">
        <v>3</v>
      </c>
      <c r="O12" s="57" t="s">
        <v>46</v>
      </c>
      <c r="P12" s="57" t="s">
        <v>45</v>
      </c>
      <c r="Q12" s="58"/>
      <c r="R12" s="58">
        <v>1</v>
      </c>
      <c r="S12" s="59"/>
      <c r="T12" s="58"/>
      <c r="U12" s="61" t="str">
        <f t="shared" si="1"/>
        <v/>
      </c>
      <c r="W12" s="19">
        <v>0.38</v>
      </c>
      <c r="X12" s="1">
        <v>19</v>
      </c>
    </row>
    <row r="13" s="1" customFormat="1" ht="25" customHeight="1" spans="1:24">
      <c r="A13" s="2"/>
      <c r="B13" s="47"/>
      <c r="C13" s="20"/>
      <c r="D13" s="56">
        <v>4</v>
      </c>
      <c r="E13" s="57"/>
      <c r="F13" s="57"/>
      <c r="G13" s="58"/>
      <c r="H13" s="53">
        <v>1</v>
      </c>
      <c r="I13" s="54"/>
      <c r="J13" s="53"/>
      <c r="K13" s="60" t="str">
        <f t="shared" si="0"/>
        <v/>
      </c>
      <c r="L13" s="51"/>
      <c r="M13" s="20"/>
      <c r="N13" s="56">
        <v>4</v>
      </c>
      <c r="O13" s="62"/>
      <c r="P13" s="57"/>
      <c r="Q13" s="58"/>
      <c r="R13" s="53">
        <v>1</v>
      </c>
      <c r="S13" s="54"/>
      <c r="T13" s="53"/>
      <c r="U13" s="61" t="str">
        <f t="shared" si="1"/>
        <v/>
      </c>
      <c r="W13" s="19">
        <v>0.39</v>
      </c>
      <c r="X13" s="1">
        <v>19.5</v>
      </c>
    </row>
    <row r="14" s="1" customFormat="1" ht="25" customHeight="1" spans="1:24">
      <c r="A14" s="2"/>
      <c r="B14" s="47"/>
      <c r="C14" s="20"/>
      <c r="D14" s="56">
        <v>5</v>
      </c>
      <c r="E14" s="57"/>
      <c r="F14" s="57"/>
      <c r="G14" s="58"/>
      <c r="H14" s="58">
        <v>1</v>
      </c>
      <c r="I14" s="59"/>
      <c r="J14" s="58"/>
      <c r="K14" s="60" t="str">
        <f t="shared" si="0"/>
        <v/>
      </c>
      <c r="L14" s="51"/>
      <c r="M14" s="20"/>
      <c r="N14" s="56">
        <v>5</v>
      </c>
      <c r="O14" s="62"/>
      <c r="P14" s="57"/>
      <c r="Q14" s="58"/>
      <c r="R14" s="58">
        <v>1</v>
      </c>
      <c r="S14" s="59"/>
      <c r="T14" s="58"/>
      <c r="U14" s="61" t="str">
        <f t="shared" si="1"/>
        <v/>
      </c>
      <c r="W14" s="19">
        <v>0.4</v>
      </c>
      <c r="X14" s="1">
        <v>20</v>
      </c>
    </row>
    <row r="15" s="1" customFormat="1" ht="25" customHeight="1" spans="1:24">
      <c r="A15" s="2"/>
      <c r="B15" s="47"/>
      <c r="C15" s="20"/>
      <c r="D15" s="56">
        <v>6</v>
      </c>
      <c r="E15" s="57"/>
      <c r="F15" s="57"/>
      <c r="G15" s="58"/>
      <c r="H15" s="58">
        <v>1</v>
      </c>
      <c r="I15" s="59"/>
      <c r="J15" s="58"/>
      <c r="K15" s="60" t="str">
        <f t="shared" si="0"/>
        <v/>
      </c>
      <c r="L15" s="51"/>
      <c r="M15" s="20"/>
      <c r="N15" s="56">
        <v>6</v>
      </c>
      <c r="O15" s="62"/>
      <c r="P15" s="57"/>
      <c r="Q15" s="58"/>
      <c r="R15" s="58">
        <v>1</v>
      </c>
      <c r="S15" s="59"/>
      <c r="T15" s="58"/>
      <c r="U15" s="61" t="str">
        <f t="shared" si="1"/>
        <v/>
      </c>
      <c r="W15" s="19">
        <v>0.41</v>
      </c>
      <c r="X15" s="1">
        <v>20.5</v>
      </c>
    </row>
    <row r="16" s="1" customFormat="1" ht="25" customHeight="1" spans="1:24">
      <c r="A16" s="2"/>
      <c r="B16" s="47"/>
      <c r="C16" s="20"/>
      <c r="D16" s="56">
        <v>7</v>
      </c>
      <c r="E16" s="57"/>
      <c r="F16" s="57"/>
      <c r="G16" s="58"/>
      <c r="H16" s="53">
        <v>1</v>
      </c>
      <c r="I16" s="54"/>
      <c r="J16" s="53"/>
      <c r="K16" s="60" t="str">
        <f t="shared" si="0"/>
        <v/>
      </c>
      <c r="L16" s="51"/>
      <c r="M16" s="20"/>
      <c r="N16" s="56">
        <v>7</v>
      </c>
      <c r="O16" s="62"/>
      <c r="P16" s="57"/>
      <c r="Q16" s="58"/>
      <c r="R16" s="53">
        <v>1</v>
      </c>
      <c r="S16" s="54"/>
      <c r="T16" s="53"/>
      <c r="U16" s="61" t="str">
        <f t="shared" si="1"/>
        <v/>
      </c>
      <c r="W16" s="19">
        <v>0.42</v>
      </c>
      <c r="X16" s="1">
        <v>21</v>
      </c>
    </row>
    <row r="17" s="1" customFormat="1" ht="25" customHeight="1" spans="1:24">
      <c r="A17" s="2"/>
      <c r="B17" s="47"/>
      <c r="C17" s="20"/>
      <c r="D17" s="56">
        <v>8</v>
      </c>
      <c r="E17" s="57"/>
      <c r="F17" s="57"/>
      <c r="G17" s="58"/>
      <c r="H17" s="58">
        <v>1</v>
      </c>
      <c r="I17" s="59"/>
      <c r="J17" s="58"/>
      <c r="K17" s="60" t="str">
        <f t="shared" si="0"/>
        <v/>
      </c>
      <c r="L17" s="51"/>
      <c r="M17" s="20"/>
      <c r="N17" s="56">
        <v>8</v>
      </c>
      <c r="O17" s="62"/>
      <c r="P17" s="57"/>
      <c r="Q17" s="58"/>
      <c r="R17" s="58">
        <v>1</v>
      </c>
      <c r="S17" s="59"/>
      <c r="T17" s="58"/>
      <c r="U17" s="61" t="str">
        <f t="shared" si="1"/>
        <v/>
      </c>
      <c r="W17" s="19">
        <v>0.43</v>
      </c>
      <c r="X17" s="1">
        <v>21.5</v>
      </c>
    </row>
    <row r="18" s="1" customFormat="1" ht="25" customHeight="1" spans="1:24">
      <c r="A18" s="2"/>
      <c r="B18" s="47"/>
      <c r="C18" s="20"/>
      <c r="D18" s="56">
        <v>9</v>
      </c>
      <c r="E18" s="57"/>
      <c r="F18" s="57"/>
      <c r="G18" s="58"/>
      <c r="H18" s="58">
        <v>1</v>
      </c>
      <c r="I18" s="59"/>
      <c r="J18" s="58"/>
      <c r="K18" s="60" t="str">
        <f t="shared" si="0"/>
        <v/>
      </c>
      <c r="L18" s="51"/>
      <c r="M18" s="20"/>
      <c r="N18" s="56">
        <v>9</v>
      </c>
      <c r="O18" s="62"/>
      <c r="P18" s="57"/>
      <c r="Q18" s="58"/>
      <c r="R18" s="58">
        <v>1</v>
      </c>
      <c r="S18" s="59"/>
      <c r="T18" s="58"/>
      <c r="U18" s="61" t="str">
        <f t="shared" si="1"/>
        <v/>
      </c>
      <c r="W18" s="19">
        <v>0.44</v>
      </c>
      <c r="X18" s="1">
        <v>22</v>
      </c>
    </row>
    <row r="19" s="1" customFormat="1" ht="25" customHeight="1" spans="1:24">
      <c r="A19" s="2"/>
      <c r="B19" s="47"/>
      <c r="C19" s="20"/>
      <c r="D19" s="56">
        <v>10</v>
      </c>
      <c r="E19" s="57"/>
      <c r="F19" s="57"/>
      <c r="G19" s="58"/>
      <c r="H19" s="53">
        <v>1</v>
      </c>
      <c r="I19" s="54"/>
      <c r="J19" s="53"/>
      <c r="K19" s="60" t="str">
        <f t="shared" si="0"/>
        <v/>
      </c>
      <c r="L19" s="51"/>
      <c r="M19" s="20"/>
      <c r="N19" s="56">
        <v>10</v>
      </c>
      <c r="O19" s="62"/>
      <c r="P19" s="57"/>
      <c r="Q19" s="58"/>
      <c r="R19" s="53">
        <v>1</v>
      </c>
      <c r="S19" s="54"/>
      <c r="T19" s="53"/>
      <c r="U19" s="61" t="str">
        <f t="shared" si="1"/>
        <v/>
      </c>
      <c r="W19" s="19">
        <v>0.45</v>
      </c>
      <c r="X19" s="1">
        <v>22.5</v>
      </c>
    </row>
    <row r="20" s="1" customFormat="1" ht="25" customHeight="1" spans="1:24">
      <c r="A20" s="2"/>
      <c r="B20" s="47"/>
      <c r="C20" s="20"/>
      <c r="D20" s="56">
        <v>11</v>
      </c>
      <c r="E20" s="57"/>
      <c r="F20" s="57"/>
      <c r="G20" s="58"/>
      <c r="H20" s="58">
        <v>1</v>
      </c>
      <c r="I20" s="59"/>
      <c r="J20" s="58"/>
      <c r="K20" s="60" t="str">
        <f t="shared" si="0"/>
        <v/>
      </c>
      <c r="L20" s="51"/>
      <c r="M20" s="20"/>
      <c r="N20" s="56">
        <v>11</v>
      </c>
      <c r="O20" s="62"/>
      <c r="P20" s="63"/>
      <c r="Q20" s="64"/>
      <c r="R20" s="58">
        <v>1</v>
      </c>
      <c r="S20" s="59"/>
      <c r="T20" s="58"/>
      <c r="U20" s="61" t="str">
        <f t="shared" si="1"/>
        <v/>
      </c>
      <c r="W20" s="19">
        <v>0.46</v>
      </c>
      <c r="X20" s="1">
        <v>23</v>
      </c>
    </row>
    <row r="21" s="1" customFormat="1" ht="25" customHeight="1" spans="1:24">
      <c r="A21" s="2"/>
      <c r="B21" s="47"/>
      <c r="C21" s="20"/>
      <c r="D21" s="56">
        <v>12</v>
      </c>
      <c r="E21" s="65"/>
      <c r="F21" s="65"/>
      <c r="G21" s="23"/>
      <c r="H21" s="58">
        <v>1</v>
      </c>
      <c r="I21" s="59"/>
      <c r="J21" s="58"/>
      <c r="K21" s="60" t="str">
        <f t="shared" si="0"/>
        <v/>
      </c>
      <c r="L21" s="51"/>
      <c r="M21" s="20"/>
      <c r="N21" s="56">
        <v>12</v>
      </c>
      <c r="O21" s="62"/>
      <c r="P21" s="63"/>
      <c r="Q21" s="64"/>
      <c r="R21" s="58">
        <v>1</v>
      </c>
      <c r="S21" s="59"/>
      <c r="T21" s="58"/>
      <c r="U21" s="61" t="str">
        <f t="shared" si="1"/>
        <v/>
      </c>
      <c r="W21" s="19">
        <v>0.47</v>
      </c>
      <c r="X21" s="1">
        <v>23.5</v>
      </c>
    </row>
    <row r="22" s="1" customFormat="1" ht="25" customHeight="1" spans="1:24">
      <c r="A22" s="2"/>
      <c r="B22" s="47"/>
      <c r="C22" s="20"/>
      <c r="D22" s="56">
        <v>13</v>
      </c>
      <c r="E22" s="65"/>
      <c r="F22" s="65"/>
      <c r="G22" s="23"/>
      <c r="H22" s="53">
        <v>1</v>
      </c>
      <c r="I22" s="54"/>
      <c r="J22" s="53"/>
      <c r="K22" s="60" t="str">
        <f t="shared" si="0"/>
        <v/>
      </c>
      <c r="L22" s="51"/>
      <c r="M22" s="20"/>
      <c r="N22" s="56">
        <v>13</v>
      </c>
      <c r="O22" s="62"/>
      <c r="P22" s="63"/>
      <c r="Q22" s="64"/>
      <c r="R22" s="53">
        <v>1</v>
      </c>
      <c r="S22" s="54"/>
      <c r="T22" s="53"/>
      <c r="U22" s="61" t="str">
        <f t="shared" si="1"/>
        <v/>
      </c>
      <c r="W22" s="19">
        <v>0.48</v>
      </c>
      <c r="X22" s="1">
        <v>24</v>
      </c>
    </row>
    <row r="23" s="1" customFormat="1" ht="25" customHeight="1" spans="1:24">
      <c r="A23" s="2"/>
      <c r="B23" s="47"/>
      <c r="C23" s="20"/>
      <c r="D23" s="56">
        <v>14</v>
      </c>
      <c r="E23" s="65"/>
      <c r="F23" s="65"/>
      <c r="G23" s="23"/>
      <c r="H23" s="58">
        <v>1</v>
      </c>
      <c r="I23" s="59"/>
      <c r="J23" s="58"/>
      <c r="K23" s="60" t="str">
        <f t="shared" si="0"/>
        <v/>
      </c>
      <c r="L23" s="51"/>
      <c r="M23" s="20"/>
      <c r="N23" s="56">
        <v>14</v>
      </c>
      <c r="O23" s="62"/>
      <c r="P23" s="65"/>
      <c r="Q23" s="23"/>
      <c r="R23" s="58">
        <v>1</v>
      </c>
      <c r="S23" s="59"/>
      <c r="T23" s="58"/>
      <c r="U23" s="61" t="str">
        <f t="shared" si="1"/>
        <v/>
      </c>
      <c r="W23" s="19">
        <v>0.49</v>
      </c>
      <c r="X23" s="1">
        <v>24.5</v>
      </c>
    </row>
    <row r="24" s="1" customFormat="1" ht="25" customHeight="1" spans="1:24">
      <c r="A24" s="2"/>
      <c r="B24" s="47"/>
      <c r="C24" s="20"/>
      <c r="D24" s="56">
        <v>15</v>
      </c>
      <c r="E24" s="65"/>
      <c r="F24" s="66"/>
      <c r="G24" s="67"/>
      <c r="H24" s="58">
        <v>1</v>
      </c>
      <c r="I24" s="59"/>
      <c r="J24" s="58"/>
      <c r="K24" s="60" t="str">
        <f t="shared" si="0"/>
        <v/>
      </c>
      <c r="L24" s="51"/>
      <c r="M24" s="20"/>
      <c r="N24" s="56">
        <v>15</v>
      </c>
      <c r="O24" s="62"/>
      <c r="P24" s="65"/>
      <c r="Q24" s="23"/>
      <c r="R24" s="58">
        <v>1</v>
      </c>
      <c r="S24" s="59"/>
      <c r="T24" s="58"/>
      <c r="U24" s="61" t="str">
        <f t="shared" si="1"/>
        <v/>
      </c>
      <c r="W24" s="19">
        <v>0.5</v>
      </c>
      <c r="X24" s="1">
        <v>25</v>
      </c>
    </row>
    <row r="25" s="1" customFormat="1" ht="25" customHeight="1" spans="1:24">
      <c r="A25" s="2"/>
      <c r="B25" s="47"/>
      <c r="C25" s="20"/>
      <c r="D25" s="56">
        <v>16</v>
      </c>
      <c r="E25" s="68"/>
      <c r="F25" s="65"/>
      <c r="G25" s="23"/>
      <c r="H25" s="53">
        <v>1</v>
      </c>
      <c r="I25" s="54"/>
      <c r="J25" s="53"/>
      <c r="K25" s="60" t="str">
        <f t="shared" si="0"/>
        <v/>
      </c>
      <c r="L25" s="51"/>
      <c r="M25" s="20"/>
      <c r="N25" s="56">
        <v>16</v>
      </c>
      <c r="O25" s="62"/>
      <c r="P25" s="65"/>
      <c r="Q25" s="23"/>
      <c r="R25" s="53">
        <v>1</v>
      </c>
      <c r="S25" s="54"/>
      <c r="T25" s="53"/>
      <c r="U25" s="61" t="str">
        <f t="shared" si="1"/>
        <v/>
      </c>
      <c r="W25" s="19">
        <v>0.51</v>
      </c>
      <c r="X25" s="1">
        <v>25.5</v>
      </c>
    </row>
    <row r="26" s="1" customFormat="1" ht="25" customHeight="1" spans="1:24">
      <c r="A26" s="2"/>
      <c r="B26" s="47"/>
      <c r="C26" s="20"/>
      <c r="D26" s="56">
        <v>17</v>
      </c>
      <c r="E26" s="65"/>
      <c r="F26" s="68"/>
      <c r="G26" s="69"/>
      <c r="H26" s="58">
        <v>1</v>
      </c>
      <c r="I26" s="59"/>
      <c r="J26" s="58"/>
      <c r="K26" s="60" t="str">
        <f t="shared" si="0"/>
        <v/>
      </c>
      <c r="L26" s="51"/>
      <c r="M26" s="20"/>
      <c r="N26" s="56">
        <v>17</v>
      </c>
      <c r="O26" s="62"/>
      <c r="P26" s="65"/>
      <c r="Q26" s="23"/>
      <c r="R26" s="58">
        <v>1</v>
      </c>
      <c r="S26" s="59"/>
      <c r="T26" s="58"/>
      <c r="U26" s="61" t="str">
        <f t="shared" si="1"/>
        <v/>
      </c>
      <c r="W26" s="19">
        <v>0.52</v>
      </c>
      <c r="X26" s="1">
        <v>26</v>
      </c>
    </row>
    <row r="27" s="1" customFormat="1" ht="25" customHeight="1" spans="1:24">
      <c r="A27" s="2"/>
      <c r="B27" s="70"/>
      <c r="C27" s="71"/>
      <c r="D27" s="72"/>
      <c r="E27" s="73"/>
      <c r="F27" s="73"/>
      <c r="G27" s="73"/>
      <c r="H27" s="74" t="s">
        <v>47</v>
      </c>
      <c r="I27" s="74"/>
      <c r="J27" s="75"/>
      <c r="K27" s="76">
        <f>SUM(K10:K26)</f>
        <v>0.165</v>
      </c>
      <c r="L27" s="77"/>
      <c r="M27" s="71"/>
      <c r="N27" s="72"/>
      <c r="O27" s="78"/>
      <c r="P27" s="74"/>
      <c r="Q27" s="74"/>
      <c r="R27" s="74"/>
      <c r="S27" s="74" t="s">
        <v>48</v>
      </c>
      <c r="T27" s="74"/>
      <c r="U27" s="76">
        <f>SUM(U10:U26)</f>
        <v>0</v>
      </c>
      <c r="W27" s="19">
        <v>0.53</v>
      </c>
      <c r="X27" s="1">
        <v>26.5</v>
      </c>
    </row>
    <row r="28" s="1" customFormat="1" ht="25" customHeight="1" spans="1:24">
      <c r="A28" s="2"/>
      <c r="B28" s="42" t="s">
        <v>49</v>
      </c>
      <c r="C28" s="79" t="s">
        <v>50</v>
      </c>
      <c r="D28" s="80" t="s">
        <v>51</v>
      </c>
      <c r="E28" s="81"/>
      <c r="F28" s="81"/>
      <c r="G28" s="81"/>
      <c r="H28" s="81"/>
      <c r="I28" s="81"/>
      <c r="J28" s="81"/>
      <c r="K28" s="82"/>
      <c r="L28" s="83" t="s">
        <v>52</v>
      </c>
      <c r="M28" s="79" t="s">
        <v>53</v>
      </c>
      <c r="N28" s="80" t="s">
        <v>54</v>
      </c>
      <c r="O28" s="81"/>
      <c r="P28" s="81"/>
      <c r="Q28" s="81"/>
      <c r="R28" s="81"/>
      <c r="S28" s="81"/>
      <c r="T28" s="81"/>
      <c r="U28" s="82"/>
      <c r="W28" s="19">
        <v>0.54</v>
      </c>
      <c r="X28" s="1">
        <v>27</v>
      </c>
    </row>
    <row r="29" s="1" customFormat="1" ht="25" customHeight="1" spans="1:24">
      <c r="A29" s="2"/>
      <c r="B29" s="47"/>
      <c r="C29" s="84"/>
      <c r="D29" s="85" t="s">
        <v>31</v>
      </c>
      <c r="E29" s="86" t="s">
        <v>55</v>
      </c>
      <c r="F29" s="87" t="s">
        <v>56</v>
      </c>
      <c r="G29" s="86" t="s">
        <v>57</v>
      </c>
      <c r="H29" s="87" t="s">
        <v>58</v>
      </c>
      <c r="I29" s="87" t="s">
        <v>59</v>
      </c>
      <c r="J29" s="87" t="s">
        <v>60</v>
      </c>
      <c r="K29" s="88" t="s">
        <v>61</v>
      </c>
      <c r="L29" s="89"/>
      <c r="M29" s="84"/>
      <c r="N29" s="90" t="s">
        <v>62</v>
      </c>
      <c r="O29" s="86" t="s">
        <v>63</v>
      </c>
      <c r="P29" s="87" t="s">
        <v>64</v>
      </c>
      <c r="Q29" s="86" t="s">
        <v>65</v>
      </c>
      <c r="R29" s="87" t="s">
        <v>66</v>
      </c>
      <c r="S29" s="87" t="s">
        <v>67</v>
      </c>
      <c r="T29" s="87" t="s">
        <v>60</v>
      </c>
      <c r="U29" s="88" t="s">
        <v>68</v>
      </c>
      <c r="W29" s="19">
        <v>0.55</v>
      </c>
      <c r="X29" s="1">
        <v>27.5</v>
      </c>
    </row>
    <row r="30" s="1" customFormat="1" ht="25" customHeight="1" spans="1:24">
      <c r="A30" s="2"/>
      <c r="B30" s="47"/>
      <c r="C30" s="84"/>
      <c r="D30" s="48">
        <v>1</v>
      </c>
      <c r="E30" s="91" t="s">
        <v>69</v>
      </c>
      <c r="F30" s="23">
        <v>4.2</v>
      </c>
      <c r="G30" s="23">
        <v>2</v>
      </c>
      <c r="H30" s="23">
        <v>30</v>
      </c>
      <c r="I30" s="23">
        <v>22.9596</v>
      </c>
      <c r="J30" s="23">
        <v>22.9596</v>
      </c>
      <c r="K30" s="55">
        <f>IF(E30="","",IF(J30="",F30/I30,F30/J30))</f>
        <v>0.182930016202373</v>
      </c>
      <c r="L30" s="89"/>
      <c r="M30" s="84"/>
      <c r="N30" s="92">
        <v>1</v>
      </c>
      <c r="O30" s="93" t="s">
        <v>70</v>
      </c>
      <c r="P30" s="93"/>
      <c r="Q30" s="94"/>
      <c r="R30" s="95">
        <f>O6</f>
        <v>30</v>
      </c>
      <c r="S30" s="93">
        <v>5</v>
      </c>
      <c r="T30" s="94"/>
      <c r="U30" s="55">
        <f>IF(O30="","",IF(T30="",P30/S30,P30/T30))</f>
        <v>0</v>
      </c>
      <c r="W30" s="19">
        <v>0.56</v>
      </c>
      <c r="X30" s="1">
        <v>28</v>
      </c>
    </row>
    <row r="31" s="1" customFormat="1" ht="25" customHeight="1" spans="1:24">
      <c r="A31" s="2"/>
      <c r="B31" s="47"/>
      <c r="C31" s="84"/>
      <c r="D31" s="56">
        <v>2</v>
      </c>
      <c r="E31" s="23"/>
      <c r="F31" s="23"/>
      <c r="G31" s="23"/>
      <c r="H31" s="23"/>
      <c r="I31" s="23"/>
      <c r="J31" s="96"/>
      <c r="K31" s="61" t="str">
        <f t="shared" ref="K31:K39" si="2">IF(E31="","",IF(J31="",F31/I31,F31/J31))</f>
        <v/>
      </c>
      <c r="L31" s="89"/>
      <c r="M31" s="84"/>
      <c r="N31" s="21">
        <v>2</v>
      </c>
      <c r="O31" s="97"/>
      <c r="P31" s="23"/>
      <c r="Q31" s="23"/>
      <c r="R31" s="98" t="str">
        <f>IF(O31="","",R30)</f>
        <v/>
      </c>
      <c r="S31" s="23"/>
      <c r="T31" s="23"/>
      <c r="U31" s="61" t="str">
        <f t="shared" ref="U31:U39" si="3">IF(O31="","",IF(T31="",P31/S31,P31/T31))</f>
        <v/>
      </c>
      <c r="W31" s="19">
        <v>0.57</v>
      </c>
      <c r="X31" s="1">
        <v>28.5</v>
      </c>
    </row>
    <row r="32" s="1" customFormat="1" ht="25" customHeight="1" spans="1:24">
      <c r="A32" s="2"/>
      <c r="B32" s="47"/>
      <c r="C32" s="84"/>
      <c r="D32" s="56">
        <v>3</v>
      </c>
      <c r="E32" s="23"/>
      <c r="F32" s="23"/>
      <c r="G32" s="23"/>
      <c r="H32" s="23"/>
      <c r="I32" s="23"/>
      <c r="J32" s="96"/>
      <c r="K32" s="61" t="str">
        <f t="shared" si="2"/>
        <v/>
      </c>
      <c r="L32" s="89"/>
      <c r="M32" s="84"/>
      <c r="N32" s="21">
        <v>3</v>
      </c>
      <c r="O32" s="97"/>
      <c r="P32" s="23"/>
      <c r="Q32" s="23"/>
      <c r="R32" s="98" t="str">
        <f t="shared" ref="R32:R39" si="4">IF(O32="","",R31)</f>
        <v/>
      </c>
      <c r="S32" s="23"/>
      <c r="T32" s="23"/>
      <c r="U32" s="61" t="str">
        <f t="shared" si="3"/>
        <v/>
      </c>
      <c r="W32" s="19">
        <v>0.58</v>
      </c>
      <c r="X32" s="1">
        <v>29</v>
      </c>
    </row>
    <row r="33" s="1" customFormat="1" ht="25" customHeight="1" spans="1:24">
      <c r="A33" s="2"/>
      <c r="B33" s="47"/>
      <c r="C33" s="84"/>
      <c r="D33" s="56">
        <v>5</v>
      </c>
      <c r="E33" s="23"/>
      <c r="F33" s="23"/>
      <c r="G33" s="23"/>
      <c r="H33" s="23"/>
      <c r="I33" s="23"/>
      <c r="J33" s="96"/>
      <c r="K33" s="61" t="str">
        <f t="shared" si="2"/>
        <v/>
      </c>
      <c r="L33" s="89"/>
      <c r="M33" s="84"/>
      <c r="N33" s="21">
        <v>4</v>
      </c>
      <c r="O33" s="97"/>
      <c r="P33" s="23"/>
      <c r="Q33" s="23"/>
      <c r="R33" s="98" t="str">
        <f t="shared" si="4"/>
        <v/>
      </c>
      <c r="S33" s="23"/>
      <c r="T33" s="23"/>
      <c r="U33" s="61" t="str">
        <f t="shared" si="3"/>
        <v/>
      </c>
      <c r="W33" s="19">
        <v>0.59</v>
      </c>
      <c r="X33" s="1">
        <v>29.5</v>
      </c>
    </row>
    <row r="34" s="1" customFormat="1" ht="25" customHeight="1" spans="1:24">
      <c r="A34" s="2"/>
      <c r="B34" s="47"/>
      <c r="C34" s="84"/>
      <c r="D34" s="56">
        <v>6</v>
      </c>
      <c r="E34" s="23"/>
      <c r="F34" s="23"/>
      <c r="G34" s="23"/>
      <c r="H34" s="23"/>
      <c r="I34" s="23"/>
      <c r="J34" s="96"/>
      <c r="K34" s="61" t="str">
        <f t="shared" si="2"/>
        <v/>
      </c>
      <c r="L34" s="89"/>
      <c r="M34" s="84"/>
      <c r="N34" s="21">
        <v>5</v>
      </c>
      <c r="O34" s="97"/>
      <c r="P34" s="23"/>
      <c r="Q34" s="23"/>
      <c r="R34" s="98" t="str">
        <f t="shared" si="4"/>
        <v/>
      </c>
      <c r="S34" s="23"/>
      <c r="T34" s="23"/>
      <c r="U34" s="61" t="str">
        <f t="shared" si="3"/>
        <v/>
      </c>
      <c r="W34" s="19">
        <v>0.6</v>
      </c>
      <c r="X34" s="1">
        <v>30</v>
      </c>
    </row>
    <row r="35" s="1" customFormat="1" ht="25" customHeight="1" spans="1:24">
      <c r="A35" s="2"/>
      <c r="B35" s="47"/>
      <c r="C35" s="84"/>
      <c r="D35" s="56">
        <v>7</v>
      </c>
      <c r="E35" s="23"/>
      <c r="F35" s="23"/>
      <c r="G35" s="23"/>
      <c r="H35" s="23"/>
      <c r="I35" s="23"/>
      <c r="J35" s="96"/>
      <c r="K35" s="61" t="str">
        <f t="shared" si="2"/>
        <v/>
      </c>
      <c r="L35" s="89"/>
      <c r="M35" s="84"/>
      <c r="N35" s="21">
        <v>6</v>
      </c>
      <c r="O35" s="97"/>
      <c r="P35" s="23"/>
      <c r="Q35" s="23"/>
      <c r="R35" s="98" t="str">
        <f t="shared" si="4"/>
        <v/>
      </c>
      <c r="S35" s="23"/>
      <c r="T35" s="23"/>
      <c r="U35" s="61" t="str">
        <f t="shared" si="3"/>
        <v/>
      </c>
      <c r="W35" s="19">
        <v>0.61</v>
      </c>
    </row>
    <row r="36" s="1" customFormat="1" ht="25" customHeight="1" spans="1:24">
      <c r="A36" s="2"/>
      <c r="B36" s="47"/>
      <c r="C36" s="84"/>
      <c r="D36" s="56">
        <v>8</v>
      </c>
      <c r="E36" s="23"/>
      <c r="F36" s="23"/>
      <c r="G36" s="23"/>
      <c r="H36" s="23"/>
      <c r="I36" s="23"/>
      <c r="J36" s="96"/>
      <c r="K36" s="61" t="str">
        <f t="shared" si="2"/>
        <v/>
      </c>
      <c r="L36" s="89"/>
      <c r="M36" s="84"/>
      <c r="N36" s="21">
        <v>7</v>
      </c>
      <c r="O36" s="97"/>
      <c r="P36" s="23"/>
      <c r="Q36" s="23"/>
      <c r="R36" s="98" t="str">
        <f t="shared" si="4"/>
        <v/>
      </c>
      <c r="S36" s="23"/>
      <c r="T36" s="23"/>
      <c r="U36" s="61" t="str">
        <f t="shared" si="3"/>
        <v/>
      </c>
      <c r="W36" s="19">
        <v>0.62</v>
      </c>
    </row>
    <row r="37" s="1" customFormat="1" ht="25" customHeight="1" spans="1:24">
      <c r="A37" s="2"/>
      <c r="B37" s="47"/>
      <c r="C37" s="84"/>
      <c r="D37" s="56">
        <v>9</v>
      </c>
      <c r="E37" s="23"/>
      <c r="F37" s="23"/>
      <c r="G37" s="23"/>
      <c r="H37" s="23"/>
      <c r="I37" s="23"/>
      <c r="J37" s="96"/>
      <c r="K37" s="61" t="str">
        <f t="shared" si="2"/>
        <v/>
      </c>
      <c r="L37" s="89"/>
      <c r="M37" s="84"/>
      <c r="N37" s="21">
        <v>8</v>
      </c>
      <c r="O37" s="97"/>
      <c r="P37" s="23"/>
      <c r="Q37" s="23"/>
      <c r="R37" s="98" t="str">
        <f t="shared" si="4"/>
        <v/>
      </c>
      <c r="S37" s="23"/>
      <c r="T37" s="23"/>
      <c r="U37" s="61" t="str">
        <f t="shared" si="3"/>
        <v/>
      </c>
      <c r="W37" s="19">
        <v>0.63</v>
      </c>
    </row>
    <row r="38" s="1" customFormat="1" ht="25" customHeight="1" spans="1:24">
      <c r="A38" s="2"/>
      <c r="B38" s="47"/>
      <c r="C38" s="84"/>
      <c r="D38" s="56">
        <v>10</v>
      </c>
      <c r="E38" s="23"/>
      <c r="F38" s="23"/>
      <c r="G38" s="23"/>
      <c r="H38" s="23"/>
      <c r="I38" s="23"/>
      <c r="J38" s="96"/>
      <c r="K38" s="61" t="str">
        <f t="shared" si="2"/>
        <v/>
      </c>
      <c r="L38" s="89"/>
      <c r="M38" s="84"/>
      <c r="N38" s="21">
        <v>9</v>
      </c>
      <c r="O38" s="97"/>
      <c r="P38" s="23"/>
      <c r="Q38" s="23"/>
      <c r="R38" s="98" t="str">
        <f t="shared" si="4"/>
        <v/>
      </c>
      <c r="S38" s="23"/>
      <c r="T38" s="23"/>
      <c r="U38" s="61" t="str">
        <f t="shared" si="3"/>
        <v/>
      </c>
      <c r="W38" s="19">
        <v>0.64</v>
      </c>
    </row>
    <row r="39" s="1" customFormat="1" ht="25" customHeight="1" spans="1:24">
      <c r="A39" s="2"/>
      <c r="B39" s="47"/>
      <c r="C39" s="84"/>
      <c r="D39" s="56">
        <v>11</v>
      </c>
      <c r="E39" s="23"/>
      <c r="F39" s="23"/>
      <c r="G39" s="23"/>
      <c r="H39" s="23"/>
      <c r="I39" s="23"/>
      <c r="J39" s="96"/>
      <c r="K39" s="61" t="str">
        <f t="shared" si="2"/>
        <v/>
      </c>
      <c r="L39" s="89"/>
      <c r="M39" s="84"/>
      <c r="N39" s="21">
        <v>10</v>
      </c>
      <c r="O39" s="97"/>
      <c r="P39" s="23"/>
      <c r="Q39" s="23"/>
      <c r="R39" s="98" t="str">
        <f t="shared" si="4"/>
        <v/>
      </c>
      <c r="S39" s="23"/>
      <c r="T39" s="23"/>
      <c r="U39" s="61" t="str">
        <f t="shared" si="3"/>
        <v/>
      </c>
      <c r="W39" s="19">
        <v>0.65</v>
      </c>
    </row>
    <row r="40" s="1" customFormat="1" ht="25" customHeight="1" spans="1:24">
      <c r="A40" s="2"/>
      <c r="B40" s="99"/>
      <c r="C40" s="100"/>
      <c r="D40" s="32"/>
      <c r="E40" s="33" t="s">
        <v>71</v>
      </c>
      <c r="F40" s="101">
        <f>SUM(F30:F39)</f>
        <v>4.2</v>
      </c>
      <c r="G40" s="101"/>
      <c r="H40" s="33" t="s">
        <v>72</v>
      </c>
      <c r="I40" s="33"/>
      <c r="J40" s="102"/>
      <c r="K40" s="103">
        <f>SUM(K30:K39)</f>
        <v>0.182930016202373</v>
      </c>
      <c r="L40" s="104"/>
      <c r="M40" s="105"/>
      <c r="N40" s="106"/>
      <c r="O40" s="33" t="s">
        <v>73</v>
      </c>
      <c r="P40" s="101">
        <f>SUM(P30:P39)</f>
        <v>0</v>
      </c>
      <c r="Q40" s="107"/>
      <c r="R40" s="101"/>
      <c r="S40" s="101"/>
      <c r="T40" s="101"/>
      <c r="U40" s="103">
        <f>SUM(U30:U39)</f>
        <v>0</v>
      </c>
    </row>
    <row r="41" s="1" customFormat="1" ht="34" customHeight="1" spans="1:24">
      <c r="A41" s="2"/>
      <c r="B41" s="108" t="s">
        <v>74</v>
      </c>
      <c r="C41" s="109" t="s">
        <v>75</v>
      </c>
      <c r="D41" s="110" t="s">
        <v>76</v>
      </c>
      <c r="E41" s="111" t="s">
        <v>77</v>
      </c>
      <c r="F41" s="112" t="s">
        <v>78</v>
      </c>
      <c r="G41" s="112" t="s">
        <v>79</v>
      </c>
      <c r="H41" s="112" t="s">
        <v>80</v>
      </c>
      <c r="I41" s="111" t="s">
        <v>81</v>
      </c>
      <c r="J41" s="112" t="s">
        <v>82</v>
      </c>
      <c r="K41" s="113" t="s">
        <v>83</v>
      </c>
      <c r="L41" s="114" t="s">
        <v>84</v>
      </c>
      <c r="M41" s="115"/>
      <c r="N41" s="111" t="s">
        <v>85</v>
      </c>
      <c r="O41" s="111"/>
      <c r="P41" s="112" t="s">
        <v>86</v>
      </c>
      <c r="Q41" s="116" t="s">
        <v>87</v>
      </c>
      <c r="R41" s="111" t="s">
        <v>88</v>
      </c>
      <c r="S41" s="112" t="s">
        <v>89</v>
      </c>
      <c r="T41" s="112" t="s">
        <v>90</v>
      </c>
      <c r="U41" s="117" t="s">
        <v>91</v>
      </c>
    </row>
    <row r="42" s="1" customFormat="1" ht="25" customHeight="1" spans="1:24">
      <c r="A42" s="2"/>
      <c r="B42" s="118"/>
      <c r="C42" s="119"/>
      <c r="D42" s="92">
        <v>1</v>
      </c>
      <c r="E42" s="120" t="s">
        <v>92</v>
      </c>
      <c r="F42" s="120">
        <v>20</v>
      </c>
      <c r="G42" s="121">
        <f>IF(E42="","",12/H42*L42)</f>
        <v>1620</v>
      </c>
      <c r="H42" s="122">
        <f>IF(E42="","",F42/3600)</f>
        <v>0.00555555555555556</v>
      </c>
      <c r="I42" s="93">
        <v>1</v>
      </c>
      <c r="J42" s="123">
        <v>28</v>
      </c>
      <c r="K42" s="124">
        <f>IF(E42="","",H42*I42/L42)</f>
        <v>0.00740740740740741</v>
      </c>
      <c r="L42" s="125">
        <v>0.75</v>
      </c>
      <c r="M42" s="126"/>
      <c r="N42" s="127">
        <f>IF(F42="","",IF(E42="","",J42*K42))</f>
        <v>0.207407407407407</v>
      </c>
      <c r="O42" s="127"/>
      <c r="P42" s="93">
        <v>35</v>
      </c>
      <c r="Q42" s="95" t="str">
        <f>IF(E42="","","10年2班折90%")</f>
        <v>10年2班折90%</v>
      </c>
      <c r="R42" s="124">
        <f>IF(E42="","",P42*0.9/10/$U$8/22*H42*10000/L42)</f>
        <v>0.0353535353535354</v>
      </c>
      <c r="S42" s="128">
        <v>10</v>
      </c>
      <c r="T42" s="54">
        <v>0.4</v>
      </c>
      <c r="U42" s="55">
        <f>IF(S42="","",S42*T42*$U$7*H42/((L42+(1-L42)/1.4)))</f>
        <v>0.0224957264957265</v>
      </c>
      <c r="W42" s="19">
        <v>0.82</v>
      </c>
    </row>
    <row r="43" s="1" customFormat="1" ht="25" customHeight="1" spans="1:24">
      <c r="A43" s="2"/>
      <c r="B43" s="118"/>
      <c r="C43" s="119"/>
      <c r="D43" s="21">
        <v>2</v>
      </c>
      <c r="E43" s="120" t="s">
        <v>93</v>
      </c>
      <c r="F43" s="120">
        <v>2</v>
      </c>
      <c r="G43" s="121">
        <f>IF(E43="","",12/H43*L43)</f>
        <v>17712</v>
      </c>
      <c r="H43" s="122">
        <f>IF(E43="","",F43/3600)</f>
        <v>0.000555555555555556</v>
      </c>
      <c r="I43" s="23">
        <v>1</v>
      </c>
      <c r="J43" s="123">
        <v>28</v>
      </c>
      <c r="K43" s="124">
        <f>IF(E43="","",H43*I43/L43)</f>
        <v>0.000677506775067751</v>
      </c>
      <c r="L43" s="129">
        <v>0.82</v>
      </c>
      <c r="M43" s="130"/>
      <c r="N43" s="127">
        <f>IF(F43="","",IF(E43="","",J43*K43))</f>
        <v>0.018970189701897</v>
      </c>
      <c r="O43" s="127"/>
      <c r="P43" s="23">
        <v>0</v>
      </c>
      <c r="Q43" s="98" t="str">
        <f t="shared" ref="Q43:Q57" si="5">IF(E43="","","10年2班折90%")</f>
        <v>10年2班折90%</v>
      </c>
      <c r="R43" s="124">
        <f>IF(E43="","",P43*0.9/10/$U$8/22*H43*10000/L43)</f>
        <v>0</v>
      </c>
      <c r="S43" s="131">
        <v>10</v>
      </c>
      <c r="T43" s="59">
        <v>0.4</v>
      </c>
      <c r="U43" s="55">
        <f>IF(S43="","",S43*T43*$U$7*H43/((L43+(1-L43)/1.4)))</f>
        <v>0.00220214190093708</v>
      </c>
      <c r="W43" s="19">
        <v>0.83</v>
      </c>
    </row>
    <row r="44" s="1" customFormat="1" ht="25" customHeight="1" spans="1:24">
      <c r="A44" s="2"/>
      <c r="B44" s="118"/>
      <c r="C44" s="119"/>
      <c r="D44" s="21">
        <v>3</v>
      </c>
      <c r="E44" s="23" t="s">
        <v>94</v>
      </c>
      <c r="F44" s="23"/>
      <c r="G44" s="121" t="e">
        <f>IF(E44="","",12/H44*L44)</f>
        <v>#DIV/0!</v>
      </c>
      <c r="H44" s="122">
        <f>IF(E44="","",F44/3600)</f>
        <v>0</v>
      </c>
      <c r="I44" s="23">
        <v>1</v>
      </c>
      <c r="J44" s="132"/>
      <c r="K44" s="124">
        <f>IF(E44="","",H44*I44/L44)</f>
        <v>0</v>
      </c>
      <c r="L44" s="133">
        <v>0.9</v>
      </c>
      <c r="M44" s="134"/>
      <c r="N44" s="127" t="str">
        <f t="shared" ref="N44:N57" si="6">IF(F44="","",IF(E44="","",J44*K44))</f>
        <v/>
      </c>
      <c r="O44" s="127"/>
      <c r="P44" s="23"/>
      <c r="Q44" s="98" t="str">
        <f t="shared" si="5"/>
        <v>10年2班折90%</v>
      </c>
      <c r="R44" s="124">
        <f t="shared" ref="R44:R57" si="7">IF(E44="","",P44*0.9/10/$U$8/22*H44*10000/L44)</f>
        <v>0</v>
      </c>
      <c r="S44" s="131"/>
      <c r="T44" s="54"/>
      <c r="U44" s="55" t="str">
        <f t="shared" ref="U44:U57" si="8">IF(S44="","",S44*T44*$U$7*H44/((L44+(1-L44)/1.4)))</f>
        <v/>
      </c>
      <c r="W44" s="19">
        <v>0.84</v>
      </c>
    </row>
    <row r="45" s="1" customFormat="1" ht="25" customHeight="1" spans="1:24">
      <c r="A45" s="2"/>
      <c r="B45" s="118"/>
      <c r="C45" s="119"/>
      <c r="D45" s="21">
        <v>4</v>
      </c>
      <c r="E45" s="23" t="s">
        <v>95</v>
      </c>
      <c r="F45" s="93"/>
      <c r="G45" s="121" t="e">
        <f>IF(E45="","",12/H45*L45)</f>
        <v>#DIV/0!</v>
      </c>
      <c r="H45" s="122">
        <f>IF(E45="","",F45/3600)</f>
        <v>0</v>
      </c>
      <c r="I45" s="23">
        <v>1</v>
      </c>
      <c r="J45" s="132"/>
      <c r="K45" s="124">
        <f>IF(E45="","",H45*I45/L45)</f>
        <v>0</v>
      </c>
      <c r="L45" s="129">
        <v>0.9</v>
      </c>
      <c r="M45" s="130"/>
      <c r="N45" s="127" t="str">
        <f t="shared" si="6"/>
        <v/>
      </c>
      <c r="O45" s="127"/>
      <c r="P45" s="23"/>
      <c r="Q45" s="98" t="str">
        <f t="shared" si="5"/>
        <v>10年2班折90%</v>
      </c>
      <c r="R45" s="124">
        <f t="shared" si="7"/>
        <v>0</v>
      </c>
      <c r="S45" s="131"/>
      <c r="T45" s="59"/>
      <c r="U45" s="55" t="str">
        <f t="shared" si="8"/>
        <v/>
      </c>
      <c r="W45" s="19">
        <v>0.85</v>
      </c>
    </row>
    <row r="46" s="1" customFormat="1" ht="25" customHeight="1" spans="1:24">
      <c r="A46" s="2"/>
      <c r="B46" s="118"/>
      <c r="C46" s="119"/>
      <c r="D46" s="21">
        <v>5</v>
      </c>
      <c r="E46" s="23" t="s">
        <v>96</v>
      </c>
      <c r="F46" s="23"/>
      <c r="G46" s="121" t="e">
        <f>IF(E46="","",12/H46*L46)</f>
        <v>#DIV/0!</v>
      </c>
      <c r="H46" s="122">
        <f t="shared" ref="H46:H57" si="9">IF(E46="","",F46/3600)</f>
        <v>0</v>
      </c>
      <c r="I46" s="23">
        <v>1</v>
      </c>
      <c r="J46" s="132"/>
      <c r="K46" s="124">
        <f>IF(E46="","",H46*I46/L46)</f>
        <v>0</v>
      </c>
      <c r="L46" s="133">
        <v>0.9</v>
      </c>
      <c r="M46" s="134"/>
      <c r="N46" s="127" t="str">
        <f t="shared" si="6"/>
        <v/>
      </c>
      <c r="O46" s="127"/>
      <c r="P46" s="23"/>
      <c r="Q46" s="98" t="str">
        <f t="shared" si="5"/>
        <v>10年2班折90%</v>
      </c>
      <c r="R46" s="124">
        <f t="shared" si="7"/>
        <v>0</v>
      </c>
      <c r="S46" s="131"/>
      <c r="T46" s="54"/>
      <c r="U46" s="55" t="str">
        <f t="shared" si="8"/>
        <v/>
      </c>
      <c r="W46" s="19">
        <v>0.86</v>
      </c>
    </row>
    <row r="47" s="1" customFormat="1" ht="25" customHeight="1" spans="1:24">
      <c r="A47" s="2"/>
      <c r="B47" s="118"/>
      <c r="C47" s="119"/>
      <c r="D47" s="21">
        <v>6</v>
      </c>
      <c r="E47" s="23" t="s">
        <v>97</v>
      </c>
      <c r="F47" s="93"/>
      <c r="G47" s="121" t="e">
        <f t="shared" ref="G47:G57" si="10">IF(E47="","",12/H47*L47)</f>
        <v>#DIV/0!</v>
      </c>
      <c r="H47" s="122">
        <f t="shared" si="9"/>
        <v>0</v>
      </c>
      <c r="I47" s="23">
        <v>1</v>
      </c>
      <c r="J47" s="132"/>
      <c r="K47" s="124">
        <f t="shared" ref="K47:K57" si="11">IF(E47="","",H47*I47/L47)</f>
        <v>0</v>
      </c>
      <c r="L47" s="133">
        <v>0.9</v>
      </c>
      <c r="M47" s="134"/>
      <c r="N47" s="127" t="str">
        <f t="shared" si="6"/>
        <v/>
      </c>
      <c r="O47" s="127"/>
      <c r="P47" s="23"/>
      <c r="Q47" s="98" t="str">
        <f t="shared" si="5"/>
        <v>10年2班折90%</v>
      </c>
      <c r="R47" s="124">
        <f t="shared" si="7"/>
        <v>0</v>
      </c>
      <c r="S47" s="131"/>
      <c r="T47" s="54"/>
      <c r="U47" s="55" t="str">
        <f t="shared" si="8"/>
        <v/>
      </c>
      <c r="W47" s="19">
        <v>0.87</v>
      </c>
    </row>
    <row r="48" s="1" customFormat="1" ht="25" customHeight="1" spans="1:24">
      <c r="A48" s="2"/>
      <c r="B48" s="118"/>
      <c r="C48" s="119"/>
      <c r="D48" s="21">
        <v>7</v>
      </c>
      <c r="E48" s="23" t="s">
        <v>98</v>
      </c>
      <c r="F48" s="23"/>
      <c r="G48" s="121" t="e">
        <f t="shared" si="10"/>
        <v>#DIV/0!</v>
      </c>
      <c r="H48" s="122">
        <f t="shared" si="9"/>
        <v>0</v>
      </c>
      <c r="I48" s="23">
        <v>1</v>
      </c>
      <c r="J48" s="132"/>
      <c r="K48" s="124">
        <f t="shared" si="11"/>
        <v>0</v>
      </c>
      <c r="L48" s="129">
        <v>0.9</v>
      </c>
      <c r="M48" s="130"/>
      <c r="N48" s="127" t="str">
        <f t="shared" si="6"/>
        <v/>
      </c>
      <c r="O48" s="127"/>
      <c r="P48" s="23"/>
      <c r="Q48" s="98" t="str">
        <f t="shared" si="5"/>
        <v>10年2班折90%</v>
      </c>
      <c r="R48" s="124">
        <f t="shared" si="7"/>
        <v>0</v>
      </c>
      <c r="S48" s="131"/>
      <c r="T48" s="59"/>
      <c r="U48" s="55" t="str">
        <f t="shared" si="8"/>
        <v/>
      </c>
      <c r="W48" s="19">
        <v>0.88</v>
      </c>
    </row>
    <row r="49" s="1" customFormat="1" ht="25" customHeight="1" spans="1:23">
      <c r="A49" s="2"/>
      <c r="B49" s="118"/>
      <c r="C49" s="119"/>
      <c r="D49" s="21">
        <v>8</v>
      </c>
      <c r="E49" s="23" t="s">
        <v>99</v>
      </c>
      <c r="F49" s="93"/>
      <c r="G49" s="121" t="e">
        <f t="shared" si="10"/>
        <v>#DIV/0!</v>
      </c>
      <c r="H49" s="122">
        <f t="shared" si="9"/>
        <v>0</v>
      </c>
      <c r="I49" s="23">
        <v>1</v>
      </c>
      <c r="J49" s="132"/>
      <c r="K49" s="124">
        <f t="shared" si="11"/>
        <v>0</v>
      </c>
      <c r="L49" s="133">
        <v>0.9</v>
      </c>
      <c r="M49" s="134"/>
      <c r="N49" s="127" t="str">
        <f t="shared" si="6"/>
        <v/>
      </c>
      <c r="O49" s="127"/>
      <c r="P49" s="23"/>
      <c r="Q49" s="98" t="str">
        <f t="shared" si="5"/>
        <v>10年2班折90%</v>
      </c>
      <c r="R49" s="124">
        <f t="shared" si="7"/>
        <v>0</v>
      </c>
      <c r="S49" s="131"/>
      <c r="T49" s="54"/>
      <c r="U49" s="55" t="str">
        <f t="shared" si="8"/>
        <v/>
      </c>
      <c r="W49" s="19">
        <v>0.89</v>
      </c>
    </row>
    <row r="50" s="1" customFormat="1" ht="25" customHeight="1" spans="1:23">
      <c r="A50" s="2"/>
      <c r="B50" s="118"/>
      <c r="C50" s="119"/>
      <c r="D50" s="21">
        <v>9</v>
      </c>
      <c r="E50" s="23" t="s">
        <v>100</v>
      </c>
      <c r="F50" s="23"/>
      <c r="G50" s="121" t="e">
        <f t="shared" si="10"/>
        <v>#DIV/0!</v>
      </c>
      <c r="H50" s="122">
        <f t="shared" si="9"/>
        <v>0</v>
      </c>
      <c r="I50" s="23">
        <v>1</v>
      </c>
      <c r="J50" s="132"/>
      <c r="K50" s="124">
        <f t="shared" si="11"/>
        <v>0</v>
      </c>
      <c r="L50" s="133">
        <v>0.9</v>
      </c>
      <c r="M50" s="134"/>
      <c r="N50" s="127" t="str">
        <f t="shared" si="6"/>
        <v/>
      </c>
      <c r="O50" s="127"/>
      <c r="P50" s="23"/>
      <c r="Q50" s="98" t="str">
        <f t="shared" si="5"/>
        <v>10年2班折90%</v>
      </c>
      <c r="R50" s="124">
        <f t="shared" si="7"/>
        <v>0</v>
      </c>
      <c r="S50" s="131"/>
      <c r="T50" s="54"/>
      <c r="U50" s="55" t="str">
        <f t="shared" si="8"/>
        <v/>
      </c>
      <c r="W50" s="19">
        <v>0.9</v>
      </c>
    </row>
    <row r="51" s="1" customFormat="1" ht="25" customHeight="1" spans="1:23">
      <c r="A51" s="2"/>
      <c r="B51" s="118"/>
      <c r="C51" s="119"/>
      <c r="D51" s="21">
        <v>10</v>
      </c>
      <c r="E51" s="23" t="s">
        <v>97</v>
      </c>
      <c r="F51" s="93"/>
      <c r="G51" s="121" t="e">
        <f t="shared" si="10"/>
        <v>#DIV/0!</v>
      </c>
      <c r="H51" s="122">
        <f t="shared" si="9"/>
        <v>0</v>
      </c>
      <c r="I51" s="23">
        <v>1</v>
      </c>
      <c r="J51" s="132"/>
      <c r="K51" s="124">
        <f t="shared" si="11"/>
        <v>0</v>
      </c>
      <c r="L51" s="129">
        <v>0.9</v>
      </c>
      <c r="M51" s="130"/>
      <c r="N51" s="127" t="str">
        <f t="shared" si="6"/>
        <v/>
      </c>
      <c r="O51" s="127"/>
      <c r="P51" s="23"/>
      <c r="Q51" s="98" t="str">
        <f t="shared" si="5"/>
        <v>10年2班折90%</v>
      </c>
      <c r="R51" s="124">
        <f t="shared" si="7"/>
        <v>0</v>
      </c>
      <c r="S51" s="131"/>
      <c r="T51" s="59"/>
      <c r="U51" s="55" t="str">
        <f t="shared" si="8"/>
        <v/>
      </c>
      <c r="W51" s="19">
        <v>0.91</v>
      </c>
    </row>
    <row r="52" s="1" customFormat="1" ht="25" customHeight="1" spans="1:23">
      <c r="A52" s="2"/>
      <c r="B52" s="118"/>
      <c r="C52" s="119"/>
      <c r="D52" s="21">
        <v>11</v>
      </c>
      <c r="E52" s="23" t="s">
        <v>98</v>
      </c>
      <c r="F52" s="23"/>
      <c r="G52" s="121" t="e">
        <f t="shared" si="10"/>
        <v>#DIV/0!</v>
      </c>
      <c r="H52" s="122">
        <f t="shared" si="9"/>
        <v>0</v>
      </c>
      <c r="I52" s="23">
        <v>1</v>
      </c>
      <c r="J52" s="132"/>
      <c r="K52" s="124">
        <f t="shared" si="11"/>
        <v>0</v>
      </c>
      <c r="L52" s="133">
        <v>0.9</v>
      </c>
      <c r="M52" s="134"/>
      <c r="N52" s="127" t="str">
        <f t="shared" si="6"/>
        <v/>
      </c>
      <c r="O52" s="127"/>
      <c r="P52" s="23"/>
      <c r="Q52" s="98" t="str">
        <f t="shared" si="5"/>
        <v>10年2班折90%</v>
      </c>
      <c r="R52" s="124">
        <f t="shared" si="7"/>
        <v>0</v>
      </c>
      <c r="S52" s="131"/>
      <c r="T52" s="54"/>
      <c r="U52" s="55" t="str">
        <f t="shared" si="8"/>
        <v/>
      </c>
      <c r="W52" s="19">
        <v>0.92</v>
      </c>
    </row>
    <row r="53" s="1" customFormat="1" ht="25" customHeight="1" spans="1:23">
      <c r="A53" s="2"/>
      <c r="B53" s="118"/>
      <c r="C53" s="119"/>
      <c r="D53" s="21">
        <v>12</v>
      </c>
      <c r="E53" s="23" t="s">
        <v>99</v>
      </c>
      <c r="F53" s="93"/>
      <c r="G53" s="121" t="e">
        <f t="shared" si="10"/>
        <v>#DIV/0!</v>
      </c>
      <c r="H53" s="122">
        <f t="shared" si="9"/>
        <v>0</v>
      </c>
      <c r="I53" s="23">
        <v>1</v>
      </c>
      <c r="J53" s="132"/>
      <c r="K53" s="124">
        <f t="shared" si="11"/>
        <v>0</v>
      </c>
      <c r="L53" s="133">
        <v>0.9</v>
      </c>
      <c r="M53" s="134"/>
      <c r="N53" s="127" t="str">
        <f t="shared" si="6"/>
        <v/>
      </c>
      <c r="O53" s="127"/>
      <c r="P53" s="23"/>
      <c r="Q53" s="98" t="str">
        <f t="shared" si="5"/>
        <v>10年2班折90%</v>
      </c>
      <c r="R53" s="124">
        <f t="shared" si="7"/>
        <v>0</v>
      </c>
      <c r="S53" s="131"/>
      <c r="T53" s="54"/>
      <c r="U53" s="55" t="str">
        <f t="shared" si="8"/>
        <v/>
      </c>
      <c r="W53" s="19">
        <v>0.93</v>
      </c>
    </row>
    <row r="54" s="1" customFormat="1" ht="25" customHeight="1" spans="1:23">
      <c r="A54" s="2"/>
      <c r="B54" s="118"/>
      <c r="C54" s="119"/>
      <c r="D54" s="21">
        <v>13</v>
      </c>
      <c r="E54" s="23" t="s">
        <v>100</v>
      </c>
      <c r="F54" s="23"/>
      <c r="G54" s="121" t="e">
        <f t="shared" si="10"/>
        <v>#DIV/0!</v>
      </c>
      <c r="H54" s="122">
        <f t="shared" si="9"/>
        <v>0</v>
      </c>
      <c r="I54" s="23">
        <v>1</v>
      </c>
      <c r="J54" s="132"/>
      <c r="K54" s="124">
        <f t="shared" si="11"/>
        <v>0</v>
      </c>
      <c r="L54" s="129">
        <v>0.9</v>
      </c>
      <c r="M54" s="130"/>
      <c r="N54" s="127" t="str">
        <f t="shared" si="6"/>
        <v/>
      </c>
      <c r="O54" s="127"/>
      <c r="P54" s="23"/>
      <c r="Q54" s="98" t="str">
        <f t="shared" si="5"/>
        <v>10年2班折90%</v>
      </c>
      <c r="R54" s="124">
        <f t="shared" si="7"/>
        <v>0</v>
      </c>
      <c r="S54" s="131"/>
      <c r="T54" s="59"/>
      <c r="U54" s="55" t="str">
        <f t="shared" si="8"/>
        <v/>
      </c>
      <c r="W54" s="19">
        <v>0.94</v>
      </c>
    </row>
    <row r="55" s="1" customFormat="1" ht="25" customHeight="1" spans="1:23">
      <c r="A55" s="2"/>
      <c r="B55" s="118"/>
      <c r="C55" s="119"/>
      <c r="D55" s="21">
        <v>14</v>
      </c>
      <c r="E55" s="23" t="s">
        <v>97</v>
      </c>
      <c r="F55" s="93"/>
      <c r="G55" s="121" t="e">
        <f t="shared" si="10"/>
        <v>#DIV/0!</v>
      </c>
      <c r="H55" s="122">
        <f t="shared" si="9"/>
        <v>0</v>
      </c>
      <c r="I55" s="23">
        <v>1</v>
      </c>
      <c r="J55" s="132"/>
      <c r="K55" s="124">
        <f t="shared" si="11"/>
        <v>0</v>
      </c>
      <c r="L55" s="133">
        <v>0.9</v>
      </c>
      <c r="M55" s="134"/>
      <c r="N55" s="127" t="str">
        <f t="shared" si="6"/>
        <v/>
      </c>
      <c r="O55" s="127"/>
      <c r="P55" s="23"/>
      <c r="Q55" s="98" t="str">
        <f t="shared" si="5"/>
        <v>10年2班折90%</v>
      </c>
      <c r="R55" s="124">
        <f t="shared" si="7"/>
        <v>0</v>
      </c>
      <c r="S55" s="131"/>
      <c r="T55" s="54"/>
      <c r="U55" s="55" t="str">
        <f t="shared" si="8"/>
        <v/>
      </c>
      <c r="W55" s="19">
        <v>0.95</v>
      </c>
    </row>
    <row r="56" s="1" customFormat="1" ht="25" customHeight="1" spans="1:23">
      <c r="A56" s="2"/>
      <c r="B56" s="118"/>
      <c r="C56" s="119"/>
      <c r="D56" s="21">
        <v>15</v>
      </c>
      <c r="E56" s="23" t="s">
        <v>98</v>
      </c>
      <c r="F56" s="23"/>
      <c r="G56" s="121" t="e">
        <f t="shared" si="10"/>
        <v>#DIV/0!</v>
      </c>
      <c r="H56" s="122">
        <f t="shared" si="9"/>
        <v>0</v>
      </c>
      <c r="I56" s="23">
        <v>1</v>
      </c>
      <c r="J56" s="132"/>
      <c r="K56" s="124">
        <f t="shared" si="11"/>
        <v>0</v>
      </c>
      <c r="L56" s="133">
        <v>0.9</v>
      </c>
      <c r="M56" s="134"/>
      <c r="N56" s="127" t="str">
        <f t="shared" si="6"/>
        <v/>
      </c>
      <c r="O56" s="127"/>
      <c r="P56" s="23"/>
      <c r="Q56" s="98" t="str">
        <f t="shared" si="5"/>
        <v>10年2班折90%</v>
      </c>
      <c r="R56" s="124">
        <f t="shared" si="7"/>
        <v>0</v>
      </c>
      <c r="S56" s="131"/>
      <c r="T56" s="54"/>
      <c r="U56" s="55" t="str">
        <f t="shared" si="8"/>
        <v/>
      </c>
      <c r="W56" s="19">
        <v>0.96</v>
      </c>
    </row>
    <row r="57" s="1" customFormat="1" ht="25" customHeight="1" spans="1:23">
      <c r="A57" s="2"/>
      <c r="B57" s="118"/>
      <c r="C57" s="119"/>
      <c r="D57" s="21">
        <v>16</v>
      </c>
      <c r="E57" s="23" t="s">
        <v>99</v>
      </c>
      <c r="F57" s="93"/>
      <c r="G57" s="121" t="e">
        <f t="shared" si="10"/>
        <v>#DIV/0!</v>
      </c>
      <c r="H57" s="122">
        <f t="shared" si="9"/>
        <v>0</v>
      </c>
      <c r="I57" s="23">
        <v>1</v>
      </c>
      <c r="J57" s="132"/>
      <c r="K57" s="124">
        <f t="shared" si="11"/>
        <v>0</v>
      </c>
      <c r="L57" s="129">
        <v>0.9</v>
      </c>
      <c r="M57" s="130"/>
      <c r="N57" s="127" t="str">
        <f t="shared" si="6"/>
        <v/>
      </c>
      <c r="O57" s="127"/>
      <c r="P57" s="23"/>
      <c r="Q57" s="98" t="str">
        <f t="shared" si="5"/>
        <v>10年2班折90%</v>
      </c>
      <c r="R57" s="124">
        <f t="shared" si="7"/>
        <v>0</v>
      </c>
      <c r="S57" s="131"/>
      <c r="T57" s="59"/>
      <c r="U57" s="55" t="str">
        <f t="shared" si="8"/>
        <v/>
      </c>
      <c r="W57" s="19">
        <v>0.97</v>
      </c>
    </row>
    <row r="58" s="1" customFormat="1" ht="25" customHeight="1" spans="1:23">
      <c r="A58" s="2"/>
      <c r="B58" s="135"/>
      <c r="C58" s="136"/>
      <c r="D58" s="137">
        <v>17</v>
      </c>
      <c r="E58" s="138"/>
      <c r="F58" s="138"/>
      <c r="G58" s="138"/>
      <c r="H58" s="138"/>
      <c r="I58" s="138"/>
      <c r="J58" s="101" t="s">
        <v>101</v>
      </c>
      <c r="K58" s="33">
        <f>SUM(K42:K57)</f>
        <v>0.00808491418247516</v>
      </c>
      <c r="L58" s="33" t="s">
        <v>102</v>
      </c>
      <c r="M58" s="33"/>
      <c r="N58" s="139">
        <f>SUM(N42:O57)</f>
        <v>0.226377597109304</v>
      </c>
      <c r="O58" s="139"/>
      <c r="P58" s="140"/>
      <c r="Q58" s="74" t="s">
        <v>103</v>
      </c>
      <c r="R58" s="141">
        <f>SUM(R42:R57)</f>
        <v>0.0353535353535354</v>
      </c>
      <c r="S58" s="73"/>
      <c r="T58" s="74" t="s">
        <v>104</v>
      </c>
      <c r="U58" s="142">
        <f>SUM(U42:U57)</f>
        <v>0.0246978683966636</v>
      </c>
      <c r="W58" s="19">
        <v>0.98</v>
      </c>
    </row>
    <row r="59" s="1" customFormat="1" ht="25" customHeight="1" spans="1:23">
      <c r="A59" s="2"/>
      <c r="B59" s="92" t="s">
        <v>105</v>
      </c>
      <c r="C59" s="143" t="s">
        <v>106</v>
      </c>
      <c r="D59" s="144"/>
      <c r="E59" s="145">
        <f>IF(U6="",N58,U6*K58)</f>
        <v>0.185953026196929</v>
      </c>
      <c r="F59" s="146" t="s">
        <v>107</v>
      </c>
      <c r="G59" s="146"/>
      <c r="H59" s="146"/>
      <c r="I59" s="146"/>
      <c r="J59" s="146"/>
      <c r="K59" s="146"/>
      <c r="L59" s="146"/>
      <c r="M59" s="146"/>
      <c r="N59" s="146"/>
      <c r="O59" s="146"/>
      <c r="P59" s="147"/>
      <c r="Q59" s="148" t="s">
        <v>108</v>
      </c>
      <c r="R59" s="148"/>
      <c r="S59" s="148"/>
      <c r="T59" s="148"/>
      <c r="U59" s="149"/>
      <c r="W59" s="19">
        <v>0.99</v>
      </c>
    </row>
    <row r="60" s="1" customFormat="1" ht="25" customHeight="1" spans="1:23">
      <c r="A60" s="2"/>
      <c r="B60" s="21" t="s">
        <v>109</v>
      </c>
      <c r="C60" s="22" t="s">
        <v>110</v>
      </c>
      <c r="D60" s="150"/>
      <c r="E60" s="151">
        <f>(K27+K40+U40+R58+U58+E59+U27)*O8</f>
        <v>0.01187868892299</v>
      </c>
      <c r="F60" s="152" t="s">
        <v>111</v>
      </c>
      <c r="G60" s="152"/>
      <c r="H60" s="152"/>
      <c r="I60" s="152"/>
      <c r="J60" s="152"/>
      <c r="K60" s="152"/>
      <c r="L60" s="152"/>
      <c r="M60" s="152"/>
      <c r="N60" s="152"/>
      <c r="O60" s="152"/>
      <c r="P60" s="153"/>
      <c r="Q60" s="154"/>
      <c r="R60" s="154"/>
      <c r="S60" s="154"/>
      <c r="T60" s="154"/>
      <c r="U60" s="155"/>
    </row>
    <row r="61" s="1" customFormat="1" ht="25" customHeight="1" spans="1:23">
      <c r="A61" s="2"/>
      <c r="B61" s="21" t="s">
        <v>112</v>
      </c>
      <c r="C61" s="22" t="s">
        <v>113</v>
      </c>
      <c r="D61" s="150"/>
      <c r="E61" s="156"/>
      <c r="F61" s="152" t="s">
        <v>114</v>
      </c>
      <c r="G61" s="152"/>
      <c r="H61" s="152"/>
      <c r="I61" s="152"/>
      <c r="J61" s="152"/>
      <c r="K61" s="152"/>
      <c r="L61" s="152"/>
      <c r="M61" s="152"/>
      <c r="N61" s="152"/>
      <c r="O61" s="152"/>
      <c r="P61" s="153"/>
      <c r="Q61" s="154"/>
      <c r="R61" s="154"/>
      <c r="S61" s="154"/>
      <c r="T61" s="154"/>
      <c r="U61" s="155"/>
    </row>
    <row r="62" s="1" customFormat="1" ht="25" customHeight="1" spans="1:23">
      <c r="A62" s="2"/>
      <c r="B62" s="21" t="s">
        <v>115</v>
      </c>
      <c r="C62" s="22" t="s">
        <v>116</v>
      </c>
      <c r="D62" s="150"/>
      <c r="E62" s="156">
        <f>1.6*0.35*2</f>
        <v>1.12</v>
      </c>
      <c r="F62" s="152" t="s">
        <v>117</v>
      </c>
      <c r="G62" s="152"/>
      <c r="H62" s="152"/>
      <c r="I62" s="152"/>
      <c r="J62" s="152"/>
      <c r="K62" s="152"/>
      <c r="L62" s="152"/>
      <c r="M62" s="152"/>
      <c r="N62" s="152"/>
      <c r="O62" s="152"/>
      <c r="P62" s="153"/>
      <c r="Q62" s="154"/>
      <c r="R62" s="154"/>
      <c r="S62" s="154"/>
      <c r="T62" s="154"/>
      <c r="U62" s="155"/>
    </row>
    <row r="63" s="1" customFormat="1" ht="25" customHeight="1" spans="1:23">
      <c r="A63" s="2"/>
      <c r="B63" s="21" t="s">
        <v>118</v>
      </c>
      <c r="C63" s="22" t="s">
        <v>119</v>
      </c>
      <c r="D63" s="150"/>
      <c r="E63" s="157">
        <v>0.25</v>
      </c>
      <c r="F63" s="152" t="s">
        <v>120</v>
      </c>
      <c r="G63" s="152"/>
      <c r="H63" s="152"/>
      <c r="I63" s="152"/>
      <c r="J63" s="152"/>
      <c r="K63" s="152"/>
      <c r="L63" s="152"/>
      <c r="M63" s="152"/>
      <c r="N63" s="152"/>
      <c r="O63" s="152"/>
      <c r="P63" s="153"/>
      <c r="Q63" s="154"/>
      <c r="R63" s="154"/>
      <c r="S63" s="154"/>
      <c r="T63" s="154"/>
      <c r="U63" s="155"/>
    </row>
    <row r="64" s="1" customFormat="1" ht="25" customHeight="1" spans="1:23">
      <c r="A64" s="2"/>
      <c r="B64" s="21" t="s">
        <v>121</v>
      </c>
      <c r="C64" s="22" t="s">
        <v>122</v>
      </c>
      <c r="D64" s="150"/>
      <c r="E64" s="158">
        <f>K27+U27+K40+R58+U58+E59+E60+E62+E63+U40+E61</f>
        <v>1.97581313507249</v>
      </c>
      <c r="F64" s="152" t="s">
        <v>123</v>
      </c>
      <c r="G64" s="152"/>
      <c r="H64" s="152"/>
      <c r="I64" s="152"/>
      <c r="J64" s="152"/>
      <c r="K64" s="152"/>
      <c r="L64" s="152"/>
      <c r="M64" s="152"/>
      <c r="N64" s="152"/>
      <c r="O64" s="152"/>
      <c r="P64" s="153"/>
      <c r="Q64" s="154"/>
      <c r="R64" s="154"/>
      <c r="S64" s="154"/>
      <c r="T64" s="154"/>
      <c r="U64" s="155"/>
    </row>
    <row r="65" s="1" customFormat="1" ht="25" customHeight="1" spans="1:21">
      <c r="A65" s="2"/>
      <c r="B65" s="21" t="s">
        <v>124</v>
      </c>
      <c r="C65" s="22" t="s">
        <v>125</v>
      </c>
      <c r="D65" s="150"/>
      <c r="E65" s="159">
        <v>0.05</v>
      </c>
      <c r="F65" s="152" t="s">
        <v>126</v>
      </c>
      <c r="G65" s="152"/>
      <c r="H65" s="152"/>
      <c r="I65" s="152"/>
      <c r="J65" s="152"/>
      <c r="K65" s="152"/>
      <c r="L65" s="152"/>
      <c r="M65" s="152"/>
      <c r="N65" s="152"/>
      <c r="O65" s="152"/>
      <c r="P65" s="153"/>
      <c r="Q65" s="154"/>
      <c r="R65" s="154"/>
      <c r="S65" s="154"/>
      <c r="T65" s="154"/>
      <c r="U65" s="155"/>
    </row>
    <row r="66" s="1" customFormat="1" ht="25" customHeight="1" spans="1:21">
      <c r="A66" s="2"/>
      <c r="B66" s="21" t="s">
        <v>127</v>
      </c>
      <c r="C66" s="22" t="s">
        <v>128</v>
      </c>
      <c r="D66" s="150"/>
      <c r="E66" s="151">
        <f>E64*E65</f>
        <v>0.0987906567536245</v>
      </c>
      <c r="F66" s="152" t="s">
        <v>129</v>
      </c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54"/>
      <c r="R66" s="154"/>
      <c r="S66" s="154"/>
      <c r="T66" s="154"/>
      <c r="U66" s="155"/>
    </row>
    <row r="67" s="1" customFormat="1" ht="25" customHeight="1" spans="1:21">
      <c r="A67" s="2"/>
      <c r="B67" s="21" t="s">
        <v>130</v>
      </c>
      <c r="C67" s="22" t="s">
        <v>131</v>
      </c>
      <c r="D67" s="150"/>
      <c r="E67" s="151">
        <f>E64+E66</f>
        <v>2.07460379182611</v>
      </c>
      <c r="F67" s="152" t="s">
        <v>132</v>
      </c>
      <c r="G67" s="152"/>
      <c r="H67" s="152"/>
      <c r="I67" s="152"/>
      <c r="J67" s="152"/>
      <c r="K67" s="152"/>
      <c r="L67" s="152"/>
      <c r="M67" s="152"/>
      <c r="N67" s="152"/>
      <c r="O67" s="152"/>
      <c r="P67" s="153"/>
      <c r="Q67" s="154"/>
      <c r="R67" s="154"/>
      <c r="S67" s="154"/>
      <c r="T67" s="154"/>
      <c r="U67" s="155"/>
    </row>
    <row r="68" s="1" customFormat="1" ht="25" customHeight="1" spans="1:21">
      <c r="A68" s="2"/>
      <c r="B68" s="21" t="s">
        <v>133</v>
      </c>
      <c r="C68" s="22" t="s">
        <v>134</v>
      </c>
      <c r="D68" s="150"/>
      <c r="E68" s="151">
        <f>E67*0.13</f>
        <v>0.269698492937395</v>
      </c>
      <c r="F68" s="152" t="s">
        <v>135</v>
      </c>
      <c r="G68" s="152"/>
      <c r="H68" s="152"/>
      <c r="I68" s="152"/>
      <c r="J68" s="152"/>
      <c r="K68" s="152"/>
      <c r="L68" s="152"/>
      <c r="M68" s="152"/>
      <c r="N68" s="152"/>
      <c r="O68" s="152"/>
      <c r="P68" s="153"/>
      <c r="Q68" s="154"/>
      <c r="R68" s="154"/>
      <c r="S68" s="154"/>
      <c r="T68" s="154"/>
      <c r="U68" s="155"/>
    </row>
    <row r="69" s="1" customFormat="1" ht="25" customHeight="1" spans="1:21">
      <c r="A69" s="2"/>
      <c r="B69" s="137" t="s">
        <v>136</v>
      </c>
      <c r="C69" s="74" t="s">
        <v>137</v>
      </c>
      <c r="D69" s="160"/>
      <c r="E69" s="161">
        <f>E67+E68</f>
        <v>2.34430228476351</v>
      </c>
      <c r="F69" s="162" t="s">
        <v>138</v>
      </c>
      <c r="G69" s="162"/>
      <c r="H69" s="162"/>
      <c r="I69" s="162"/>
      <c r="J69" s="162"/>
      <c r="K69" s="162"/>
      <c r="L69" s="162"/>
      <c r="M69" s="162"/>
      <c r="N69" s="162"/>
      <c r="O69" s="162"/>
      <c r="P69" s="163"/>
      <c r="Q69" s="164"/>
      <c r="R69" s="164"/>
      <c r="S69" s="164"/>
      <c r="T69" s="164"/>
      <c r="U69" s="165"/>
    </row>
  </sheetData>
  <sheetProtection algorithmName="SHA-512" hashValue="rc2N1ZSaVByl0a9nJMB5EyU7pVvOP7JfmlK1ca34FA2+HW3lIOHC9zSwGGFovpvj8jLQydScp6iZYJCzcYEXJw==" saltValue="xyr8yxMc5WaO5upWjVQ5Kg==" spinCount="100000" sheet="1" objects="1"/>
  <mergeCells count="110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C61:D61"/>
    <mergeCell ref="F61:P61"/>
    <mergeCell ref="C62:D62"/>
    <mergeCell ref="F62:P62"/>
    <mergeCell ref="C63:D63"/>
    <mergeCell ref="F63:P63"/>
    <mergeCell ref="C64:D64"/>
    <mergeCell ref="F64:P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0:U69"/>
  </mergeCells>
  <dataValidations count="3">
    <dataValidation type="list" allowBlank="1" showInputMessage="1" showErrorMessage="1" sqref="J42:J57">
      <formula1>$X$4:$X$32</formula1>
    </dataValidation>
    <dataValidation type="list" allowBlank="1" showInputMessage="1" showErrorMessage="1" sqref="T42:T57">
      <formula1>$W$4:$W$30</formula1>
    </dataValidation>
    <dataValidation type="list" allowBlank="1" showInputMessage="1" showErrorMessage="1" sqref="L42:M57">
      <formula1>$W$42:$W$59</formula1>
    </dataValidation>
  </dataValidations>
  <pageMargins left="0.75" right="0.75" top="1" bottom="1" header="0.5" footer="0.5"/>
  <pageSetup paperSize="9" scale="4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可以无限复制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企业用户_217316485</cp:lastModifiedBy>
  <dcterms:created xsi:type="dcterms:W3CDTF">2025-11-10T15:53:00Z</dcterms:created>
  <dcterms:modified xsi:type="dcterms:W3CDTF">2026-05-17T00:15:16Z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6429124B117046418034BFFC4BF97F5C_13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