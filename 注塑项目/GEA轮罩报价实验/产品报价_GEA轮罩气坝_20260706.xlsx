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8540" yWindow="3180" windowWidth="39200" windowHeight="15420" tabRatio="566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AllProcessMaterial">'[1]Material List'!$A$4:$A$89</definedName>
    <definedName name="dd_GrainType">'[1]Drop-Down Lists'!$C$132:$C$141</definedName>
    <definedName name="UnitConvTable">'[1]Material List'!$H$97:$I$120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.00_ "/>
    <numFmt numFmtId="165" formatCode="&quot;¥&quot;#,##0.00_);[Red]\(&quot;¥&quot;#,##0.00\)"/>
    <numFmt numFmtId="166" formatCode="&quot;¥&quot;#,##0_);[Red]\(&quot;¥&quot;#,##0\)"/>
    <numFmt numFmtId="167" formatCode="0.0000_ "/>
    <numFmt numFmtId="168" formatCode="0.00_);[Red]\(0.00\)"/>
    <numFmt numFmtId="169" formatCode="_ * #,##0.0000_ ;_ * \-#,##0.0000_ ;_ * &quot;-&quot;??.00_ ;_ @_ "/>
    <numFmt numFmtId="170" formatCode="#,##0_ "/>
    <numFmt numFmtId="171" formatCode="#,##0.00_ "/>
    <numFmt numFmtId="172" formatCode="#,##0.000_ "/>
    <numFmt numFmtId="173" formatCode="#,##0.0000_);[Red]\(#,##0.0000\)"/>
    <numFmt numFmtId="174" formatCode="0.0%"/>
    <numFmt numFmtId="175" formatCode="#,##0.000_);[Red]\(#,##0.000\)"/>
    <numFmt numFmtId="176" formatCode="_ * #,##0.0000_ ;_ * \-#,##0.0000_ ;_ * &quot;-&quot;??.0000_ ;_ @_ "/>
    <numFmt numFmtId="177" formatCode="_ * #,##0_ ;_ * \-#,##0_ ;_ * &quot;-&quot;??_ ;_ @_ "/>
    <numFmt numFmtId="178" formatCode="_ * #,##0.00_ ;_ * \-#,##0.00_ ;_ * &quot;-&quot;??_ ;_ @_ "/>
    <numFmt numFmtId="179" formatCode="_-* #,##0.00\ [$€-1]_-;\-* #,##0.00\ [$€-1]_-;_-* &quot;-&quot;??\ [$€-1]_-"/>
  </numFmts>
  <fonts count="20">
    <font>
      <name val="宋体"/>
      <charset val="134"/>
      <color indexed="8"/>
      <sz val="11"/>
    </font>
    <font>
      <name val="微软雅黑"/>
      <charset val="134"/>
      <color indexed="8"/>
      <sz val="18"/>
    </font>
    <font>
      <name val="微软雅黑"/>
      <charset val="134"/>
      <b val="1"/>
      <color indexed="8"/>
      <sz val="11"/>
    </font>
    <font>
      <name val="微软雅黑"/>
      <charset val="134"/>
      <sz val="18"/>
    </font>
    <font>
      <name val="微软雅黑"/>
      <charset val="134"/>
      <b val="1"/>
      <sz val="18"/>
    </font>
    <font>
      <name val="微软雅黑"/>
      <charset val="134"/>
      <b val="1"/>
      <color rgb="FFC00000"/>
      <sz val="18"/>
    </font>
    <font>
      <name val="微软雅黑"/>
      <charset val="134"/>
      <b val="1"/>
      <color rgb="FFC00000"/>
      <sz val="14"/>
    </font>
    <font>
      <name val="微软雅黑"/>
      <charset val="134"/>
      <color rgb="FF0070C0"/>
      <sz val="18"/>
    </font>
    <font>
      <name val="微软雅黑"/>
      <charset val="134"/>
      <b val="1"/>
      <sz val="10"/>
    </font>
    <font>
      <name val="微软雅黑"/>
      <charset val="134"/>
      <sz val="11"/>
    </font>
    <font>
      <name val="微软雅黑"/>
      <charset val="134"/>
      <b val="1"/>
      <sz val="11"/>
    </font>
    <font>
      <name val="微软雅黑"/>
      <charset val="134"/>
      <color theme="1"/>
      <sz val="11"/>
    </font>
    <font>
      <name val="Calibri"/>
      <charset val="134"/>
      <color indexed="8"/>
      <sz val="10"/>
    </font>
    <font>
      <name val="微软雅黑"/>
      <charset val="134"/>
      <color indexed="8"/>
      <sz val="11"/>
    </font>
    <font>
      <name val="Calibri"/>
      <charset val="134"/>
      <color theme="1"/>
      <sz val="11"/>
      <scheme val="minor"/>
    </font>
    <font>
      <name val="Arial"/>
      <charset val="134"/>
      <sz val="10"/>
    </font>
    <font>
      <name val="宋体"/>
      <charset val="134"/>
      <sz val="12"/>
    </font>
    <font>
      <name val="ＭＳ Ｐゴシック"/>
      <charset val="134"/>
      <sz val="11"/>
    </font>
    <font>
      <name val="System"/>
      <charset val="134"/>
      <sz val="14"/>
    </font>
    <font>
      <name val="宋体"/>
      <charset val="134"/>
      <color indexed="8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19" fillId="0" borderId="0" applyAlignment="1">
      <alignment vertical="center"/>
    </xf>
    <xf numFmtId="9" fontId="19" fillId="0" borderId="0" applyAlignment="1">
      <alignment vertical="center"/>
    </xf>
    <xf numFmtId="43" fontId="15" fillId="0" borderId="0"/>
    <xf numFmtId="179" fontId="15" fillId="0" borderId="0"/>
    <xf numFmtId="179" fontId="15" fillId="0" borderId="0"/>
    <xf numFmtId="0" fontId="14" fillId="0" borderId="0" applyAlignment="1">
      <alignment vertical="center"/>
    </xf>
    <xf numFmtId="0" fontId="16" fillId="0" borderId="0" applyAlignment="1">
      <alignment vertical="center"/>
    </xf>
    <xf numFmtId="0" fontId="15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6" fillId="0" borderId="0"/>
  </cellStyleXfs>
  <cellXfs count="137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top" wrapText="1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5" fontId="4" fillId="0" borderId="0" applyAlignment="1" applyProtection="1" pivotButton="0" quotePrefix="0" xfId="0">
      <alignment horizontal="center" vertical="center"/>
      <protection locked="0" hidden="0"/>
    </xf>
    <xf numFmtId="165" fontId="3" fillId="0" borderId="0" applyAlignment="1" applyProtection="1" pivotButton="0" quotePrefix="0" xfId="0">
      <alignment vertical="center"/>
      <protection locked="0" hidden="0"/>
    </xf>
    <xf numFmtId="166" fontId="3" fillId="0" borderId="0" applyAlignment="1" applyProtection="1" pivotButton="0" quotePrefix="0" xfId="0">
      <alignment horizontal="left" vertical="center"/>
      <protection locked="0" hidden="0"/>
    </xf>
    <xf numFmtId="166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pivotButton="0" quotePrefix="0" xfId="8">
      <alignment horizontal="left" vertical="center"/>
    </xf>
    <xf numFmtId="0" fontId="3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7" fontId="4" fillId="0" borderId="0" applyAlignment="1" applyProtection="1" pivotButton="0" quotePrefix="0" xfId="0">
      <alignment vertical="center"/>
      <protection locked="0" hidden="0"/>
    </xf>
    <xf numFmtId="165" fontId="3" fillId="0" borderId="0" applyAlignment="1" applyProtection="1" pivotButton="0" quotePrefix="0" xfId="0">
      <alignment horizontal="center" vertical="center"/>
      <protection locked="0" hidden="0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6">
      <alignment horizontal="center" vertical="center" wrapText="1"/>
    </xf>
    <xf numFmtId="164" fontId="8" fillId="3" borderId="1" applyAlignment="1" pivotButton="0" quotePrefix="0" xfId="6">
      <alignment horizontal="center" vertical="center" wrapText="1"/>
    </xf>
    <xf numFmtId="165" fontId="8" fillId="3" borderId="1" applyAlignment="1" pivotButton="0" quotePrefix="0" xfId="6">
      <alignment horizontal="center" vertical="center" wrapText="1"/>
    </xf>
    <xf numFmtId="165" fontId="8" fillId="2" borderId="1" applyAlignment="1" pivotButton="0" quotePrefix="0" xfId="6">
      <alignment horizontal="center" vertical="center" wrapText="1"/>
    </xf>
    <xf numFmtId="165" fontId="8" fillId="4" borderId="1" applyAlignment="1" pivotButton="0" quotePrefix="0" xfId="6">
      <alignment horizontal="center" vertical="center" wrapText="1"/>
    </xf>
    <xf numFmtId="165" fontId="9" fillId="0" borderId="0" applyProtection="1" pivotButton="0" quotePrefix="0" xfId="0">
      <protection locked="0" hidden="0"/>
    </xf>
    <xf numFmtId="9" fontId="10" fillId="3" borderId="1" applyAlignment="1" applyProtection="1" pivotButton="0" quotePrefix="0" xfId="1">
      <alignment horizontal="center" vertical="center"/>
      <protection locked="0" hidden="0"/>
    </xf>
    <xf numFmtId="166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49" fontId="9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2" fillId="0" borderId="1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 wrapText="1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10">
      <alignment horizontal="left" vertical="center" wrapText="1"/>
    </xf>
    <xf numFmtId="0" fontId="9" fillId="0" borderId="1" applyAlignment="1" pivotButton="0" quotePrefix="0" xfId="10">
      <alignment horizontal="center" vertical="center" wrapText="1"/>
    </xf>
    <xf numFmtId="0" fontId="13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pivotButton="0" quotePrefix="0" xfId="7">
      <alignment horizontal="center" vertical="center" wrapText="1"/>
    </xf>
    <xf numFmtId="0" fontId="9" fillId="2" borderId="1" applyAlignment="1" pivotButton="0" quotePrefix="0" xfId="10">
      <alignment horizontal="center" vertical="center" wrapText="1"/>
    </xf>
    <xf numFmtId="0" fontId="9" fillId="2" borderId="1" applyAlignment="1" applyProtection="1" pivotButton="0" quotePrefix="0" xfId="0">
      <alignment horizontal="center" vertical="center"/>
      <protection locked="0" hidden="0"/>
    </xf>
    <xf numFmtId="10" fontId="9" fillId="0" borderId="1" applyAlignment="1" applyProtection="1" pivotButton="0" quotePrefix="0" xfId="7">
      <alignment horizontal="center" vertical="center" wrapText="1"/>
      <protection locked="0" hidden="0"/>
    </xf>
    <xf numFmtId="10" fontId="9" fillId="0" borderId="1" applyAlignment="1" pivotButton="0" quotePrefix="0" xfId="7">
      <alignment vertical="center" wrapText="1"/>
    </xf>
    <xf numFmtId="0" fontId="9" fillId="0" borderId="1" applyAlignment="1" pivotButton="0" quotePrefix="0" xfId="9">
      <alignment horizontal="center" vertical="center"/>
    </xf>
    <xf numFmtId="168" fontId="10" fillId="0" borderId="1" applyAlignment="1" pivotButton="0" quotePrefix="0" xfId="6">
      <alignment horizontal="center" vertical="center"/>
    </xf>
    <xf numFmtId="9" fontId="9" fillId="2" borderId="1" applyAlignment="1" pivotButton="0" quotePrefix="0" xfId="1">
      <alignment horizontal="center" vertical="center"/>
    </xf>
    <xf numFmtId="169" fontId="9" fillId="0" borderId="1" applyAlignment="1" pivotButton="0" quotePrefix="0" xfId="6">
      <alignment horizontal="right" vertical="center"/>
    </xf>
    <xf numFmtId="170" fontId="11" fillId="2" borderId="1" applyAlignment="1" pivotButton="0" quotePrefix="0" xfId="0">
      <alignment horizontal="right" vertical="center"/>
    </xf>
    <xf numFmtId="170" fontId="9" fillId="2" borderId="1" applyAlignment="1" pivotButton="0" quotePrefix="0" xfId="0">
      <alignment horizontal="right" vertical="center"/>
    </xf>
    <xf numFmtId="171" fontId="9" fillId="2" borderId="1" applyAlignment="1" pivotButton="0" quotePrefix="0" xfId="0">
      <alignment horizontal="right" vertical="center"/>
    </xf>
    <xf numFmtId="172" fontId="9" fillId="0" borderId="1" applyAlignment="1" pivotButton="0" quotePrefix="0" xfId="6">
      <alignment horizontal="right" vertical="center"/>
    </xf>
    <xf numFmtId="9" fontId="9" fillId="0" borderId="1" applyAlignment="1" pivotButton="0" quotePrefix="0" xfId="1">
      <alignment horizontal="right" vertical="center"/>
    </xf>
    <xf numFmtId="172" fontId="9" fillId="2" borderId="1" applyAlignment="1" pivotButton="0" quotePrefix="0" xfId="6">
      <alignment horizontal="right" vertical="center"/>
    </xf>
    <xf numFmtId="170" fontId="9" fillId="0" borderId="1" applyAlignment="1" pivotButton="0" quotePrefix="0" xfId="6">
      <alignment horizontal="right" vertical="center"/>
    </xf>
    <xf numFmtId="173" fontId="9" fillId="0" borderId="1" applyAlignment="1" pivotButton="0" quotePrefix="0" xfId="6">
      <alignment horizontal="right" vertical="center"/>
    </xf>
    <xf numFmtId="174" fontId="9" fillId="0" borderId="1" applyAlignment="1" pivotButton="0" quotePrefix="0" xfId="1">
      <alignment horizontal="right" vertical="center"/>
    </xf>
    <xf numFmtId="0" fontId="9" fillId="0" borderId="1" applyAlignment="1" pivotButton="0" quotePrefix="0" xfId="6">
      <alignment horizontal="center" vertical="center"/>
    </xf>
    <xf numFmtId="175" fontId="9" fillId="0" borderId="1" applyAlignment="1" pivotButton="0" quotePrefix="0" xfId="6">
      <alignment horizontal="right" vertical="center"/>
    </xf>
    <xf numFmtId="9" fontId="10" fillId="0" borderId="1" applyAlignment="1" pivotButton="0" quotePrefix="0" xfId="1">
      <alignment horizontal="right" vertical="center"/>
    </xf>
    <xf numFmtId="9" fontId="9" fillId="0" borderId="1" pivotButton="0" quotePrefix="0" xfId="1"/>
    <xf numFmtId="176" fontId="9" fillId="0" borderId="1" applyAlignment="1" pivotButton="0" quotePrefix="0" xfId="9">
      <alignment horizontal="center" vertical="center"/>
    </xf>
    <xf numFmtId="9" fontId="13" fillId="0" borderId="1" applyAlignment="1" pivotButton="0" quotePrefix="0" xfId="1">
      <alignment horizontal="right" vertical="center" wrapText="1"/>
    </xf>
    <xf numFmtId="177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77" fontId="9" fillId="0" borderId="1" applyAlignment="1" applyProtection="1" pivotButton="0" quotePrefix="0" xfId="0">
      <alignment horizontal="center" vertical="center"/>
      <protection locked="0" hidden="0"/>
    </xf>
    <xf numFmtId="178" fontId="9" fillId="0" borderId="1" applyAlignment="1" applyProtection="1" pivotButton="0" quotePrefix="0" xfId="0">
      <alignment horizontal="center" vertical="center"/>
      <protection locked="0" hidden="0"/>
    </xf>
    <xf numFmtId="177" fontId="9" fillId="0" borderId="1" applyAlignment="1" pivotButton="0" quotePrefix="0" xfId="9">
      <alignment horizontal="center" vertical="center"/>
    </xf>
    <xf numFmtId="165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/>
    </xf>
    <xf numFmtId="165" fontId="4" fillId="3" borderId="1" applyAlignment="1" pivotButton="0" quotePrefix="0" xfId="6">
      <alignment horizontal="center" vertical="center" wrapText="1"/>
    </xf>
    <xf numFmtId="0" fontId="6" fillId="2" borderId="0" applyAlignment="1" applyProtection="1" pivotButton="0" quotePrefix="0" xfId="0">
      <alignment horizontal="left" vertical="top" wrapText="1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5" fontId="4" fillId="0" borderId="0" applyAlignment="1" applyProtection="1" pivotButton="0" quotePrefix="0" xfId="0">
      <alignment horizontal="center" vertical="center"/>
      <protection locked="0" hidden="0"/>
    </xf>
    <xf numFmtId="165" fontId="3" fillId="0" borderId="0" applyAlignment="1" applyProtection="1" pivotButton="0" quotePrefix="0" xfId="0">
      <alignment vertical="center"/>
      <protection locked="0" hidden="0"/>
    </xf>
    <xf numFmtId="166" fontId="3" fillId="0" borderId="0" applyAlignment="1" applyProtection="1" pivotButton="0" quotePrefix="0" xfId="0">
      <alignment horizontal="left" vertical="center"/>
      <protection locked="0" hidden="0"/>
    </xf>
    <xf numFmtId="166" fontId="3" fillId="0" borderId="0" applyAlignment="1" applyProtection="1" pivotButton="0" quotePrefix="0" xfId="0">
      <alignment vertical="center"/>
      <protection locked="0" hidden="0"/>
    </xf>
    <xf numFmtId="164" fontId="3" fillId="0" borderId="0" applyAlignment="1" pivotButton="0" quotePrefix="0" xfId="0">
      <alignment vertical="center"/>
    </xf>
    <xf numFmtId="167" fontId="4" fillId="0" borderId="0" applyAlignment="1" applyProtection="1" pivotButton="0" quotePrefix="0" xfId="0">
      <alignment vertical="center"/>
      <protection locked="0" hidden="0"/>
    </xf>
    <xf numFmtId="165" fontId="3" fillId="0" borderId="0" applyAlignment="1" applyProtection="1" pivotButton="0" quotePrefix="0" xfId="0">
      <alignment horizontal="center" vertical="center"/>
      <protection locked="0" hidden="0"/>
    </xf>
    <xf numFmtId="165" fontId="3" fillId="0" borderId="0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165" fontId="4" fillId="3" borderId="1" applyAlignment="1" pivotButton="0" quotePrefix="0" xfId="6">
      <alignment horizontal="center" vertical="center" wrapText="1"/>
    </xf>
    <xf numFmtId="166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164" fontId="8" fillId="3" borderId="1" applyAlignment="1" pivotButton="0" quotePrefix="0" xfId="6">
      <alignment horizontal="center" vertical="center" wrapText="1"/>
    </xf>
    <xf numFmtId="165" fontId="8" fillId="3" borderId="1" applyAlignment="1" pivotButton="0" quotePrefix="0" xfId="6">
      <alignment horizontal="center" vertical="center" wrapText="1"/>
    </xf>
    <xf numFmtId="165" fontId="8" fillId="2" borderId="1" applyAlignment="1" pivotButton="0" quotePrefix="0" xfId="6">
      <alignment horizontal="center" vertical="center" wrapText="1"/>
    </xf>
    <xf numFmtId="165" fontId="8" fillId="4" borderId="1" applyAlignment="1" pivotButton="0" quotePrefix="0" xfId="6">
      <alignment horizontal="center" vertical="center" wrapText="1"/>
    </xf>
    <xf numFmtId="165" fontId="9" fillId="0" borderId="0" applyProtection="1" pivotButton="0" quotePrefix="0" xfId="0">
      <protection locked="0" hidden="0"/>
    </xf>
    <xf numFmtId="166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168" fontId="10" fillId="0" borderId="1" applyAlignment="1" pivotButton="0" quotePrefix="0" xfId="6">
      <alignment horizontal="center" vertical="center"/>
    </xf>
    <xf numFmtId="169" fontId="9" fillId="0" borderId="1" applyAlignment="1" pivotButton="0" quotePrefix="0" xfId="6">
      <alignment horizontal="right" vertical="center"/>
    </xf>
    <xf numFmtId="170" fontId="11" fillId="2" borderId="1" applyAlignment="1" pivotButton="0" quotePrefix="0" xfId="0">
      <alignment horizontal="right" vertical="center"/>
    </xf>
    <xf numFmtId="170" fontId="9" fillId="2" borderId="1" applyAlignment="1" pivotButton="0" quotePrefix="0" xfId="0">
      <alignment horizontal="right" vertical="center"/>
    </xf>
    <xf numFmtId="171" fontId="9" fillId="2" borderId="1" applyAlignment="1" pivotButton="0" quotePrefix="0" xfId="0">
      <alignment horizontal="right" vertical="center"/>
    </xf>
    <xf numFmtId="172" fontId="9" fillId="0" borderId="1" applyAlignment="1" pivotButton="0" quotePrefix="0" xfId="6">
      <alignment horizontal="right" vertical="center"/>
    </xf>
    <xf numFmtId="172" fontId="9" fillId="2" borderId="1" applyAlignment="1" pivotButton="0" quotePrefix="0" xfId="6">
      <alignment horizontal="right" vertical="center"/>
    </xf>
    <xf numFmtId="170" fontId="9" fillId="0" borderId="1" applyAlignment="1" pivotButton="0" quotePrefix="0" xfId="6">
      <alignment horizontal="right" vertical="center"/>
    </xf>
    <xf numFmtId="173" fontId="9" fillId="0" borderId="1" applyAlignment="1" pivotButton="0" quotePrefix="0" xfId="6">
      <alignment horizontal="right" vertical="center"/>
    </xf>
    <xf numFmtId="174" fontId="9" fillId="0" borderId="1" applyAlignment="1" pivotButton="0" quotePrefix="0" xfId="1">
      <alignment horizontal="right" vertical="center"/>
    </xf>
    <xf numFmtId="175" fontId="9" fillId="0" borderId="1" applyAlignment="1" pivotButton="0" quotePrefix="0" xfId="6">
      <alignment horizontal="right" vertical="center"/>
    </xf>
    <xf numFmtId="176" fontId="9" fillId="0" borderId="1" applyAlignment="1" pivotButton="0" quotePrefix="0" xfId="9">
      <alignment horizontal="center" vertical="center"/>
    </xf>
    <xf numFmtId="177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77" fontId="9" fillId="0" borderId="1" applyAlignment="1" applyProtection="1" pivotButton="0" quotePrefix="0" xfId="0">
      <alignment horizontal="center" vertical="center"/>
      <protection locked="0" hidden="0"/>
    </xf>
    <xf numFmtId="178" fontId="9" fillId="0" borderId="1" applyAlignment="1" applyProtection="1" pivotButton="0" quotePrefix="0" xfId="0">
      <alignment horizontal="center" vertical="center"/>
      <protection locked="0" hidden="0"/>
    </xf>
    <xf numFmtId="177" fontId="9" fillId="0" borderId="1" applyAlignment="1" pivotButton="0" quotePrefix="0" xfId="9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10" fontId="9" fillId="0" borderId="1" applyAlignment="1" applyProtection="1" pivotButton="0" quotePrefix="0" xfId="0">
      <alignment horizontal="center" vertical="center" wrapText="1"/>
      <protection locked="0" hidden="0"/>
    </xf>
    <xf numFmtId="1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9" fontId="9" fillId="2" borderId="1" applyAlignment="1" pivotButton="0" quotePrefix="0" xfId="0">
      <alignment horizontal="center" vertical="center"/>
    </xf>
    <xf numFmtId="169" fontId="9" fillId="0" borderId="1" applyAlignment="1" pivotButton="0" quotePrefix="0" xfId="0">
      <alignment horizontal="right" vertical="center"/>
    </xf>
    <xf numFmtId="172" fontId="9" fillId="0" borderId="1" applyAlignment="1" pivotButton="0" quotePrefix="0" xfId="0">
      <alignment horizontal="right" vertical="center"/>
    </xf>
    <xf numFmtId="9" fontId="9" fillId="0" borderId="1" applyAlignment="1" pivotButton="0" quotePrefix="0" xfId="0">
      <alignment horizontal="right" vertical="center"/>
    </xf>
    <xf numFmtId="172" fontId="9" fillId="2" borderId="1" applyAlignment="1" pivotButton="0" quotePrefix="0" xfId="0">
      <alignment horizontal="right" vertical="center"/>
    </xf>
    <xf numFmtId="170" fontId="9" fillId="0" borderId="1" applyAlignment="1" pivotButton="0" quotePrefix="0" xfId="0">
      <alignment horizontal="right" vertical="center"/>
    </xf>
    <xf numFmtId="173" fontId="9" fillId="0" borderId="1" applyAlignment="1" pivotButton="0" quotePrefix="0" xfId="0">
      <alignment horizontal="right" vertical="center"/>
    </xf>
    <xf numFmtId="174" fontId="9" fillId="0" borderId="1" applyAlignment="1" pivotButton="0" quotePrefix="0" xfId="0">
      <alignment horizontal="right" vertical="center"/>
    </xf>
    <xf numFmtId="175" fontId="9" fillId="0" borderId="1" applyAlignment="1" pivotButton="0" quotePrefix="0" xfId="0">
      <alignment horizontal="right" vertical="center"/>
    </xf>
    <xf numFmtId="9" fontId="10" fillId="0" borderId="1" applyAlignment="1" pivotButton="0" quotePrefix="0" xfId="0">
      <alignment horizontal="right" vertical="center"/>
    </xf>
    <xf numFmtId="9" fontId="9" fillId="0" borderId="1" pivotButton="0" quotePrefix="0" xfId="0"/>
    <xf numFmtId="176" fontId="9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right" vertical="center" wrapText="1"/>
    </xf>
  </cellXfs>
  <cellStyles count="13">
    <cellStyle name="Normal" xfId="0" builtinId="0"/>
    <cellStyle name="Percent" xfId="1" builtinId="5"/>
    <cellStyle name="Comma 2 10" xfId="2"/>
    <cellStyle name="Normal 2 2" xfId="3"/>
    <cellStyle name="Normal 3" xfId="4"/>
    <cellStyle name="常规 4 2" xfId="5"/>
    <cellStyle name="常规_030821XEROX确认" xfId="6"/>
    <cellStyle name="常规_IEM外协" xfId="7"/>
    <cellStyle name="常规_Sheet1" xfId="8"/>
    <cellStyle name="样式 1" xfId="9"/>
    <cellStyle name="Normal 2 2 2 2" xfId="10"/>
    <cellStyle name="常规_ (2)" xfId="11"/>
    <cellStyle name="Normal 2 2 2" xfId="12"/>
  </cellStyles>
  <dxfs count="18">
    <dxf>
      <fill>
        <patternFill patternType="solid">
          <bgColor theme="1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/E&#30424;/&#9313;.&#24310;&#38155;/&#9313;.&#39033;&#30446;&#20449;&#24687;/20230816-W02&#39033;&#30446;(&#20986;&#24120;&#24030;)/&#9312;.&#20135;&#21697;&#25968;&#25454;/BOM%2030015278_LI%20AUTO_W02_&#20391;&#22260;_M_VER%20A_FROM_ZHANGJIANHUI_20230724%20TO&#21451;&#25104;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pdate Status"/>
      <sheetName val="Work Instructions"/>
      <sheetName val="EBOMTemplate"/>
      <sheetName val="ALL_Ver"/>
      <sheetName val="HstyVer_Sheet4_A"/>
      <sheetName val="Rev. History"/>
      <sheetName val="Checklist"/>
      <sheetName val="BOM"/>
      <sheetName val="ImportCBOM"/>
      <sheetName val="PDsheet0"/>
      <sheetName val="Assumptions"/>
      <sheetName val="Visual"/>
      <sheetName val="Part Desc."/>
      <sheetName val="VE Ideas"/>
      <sheetName val="Questions"/>
      <sheetName val="Explaination"/>
      <sheetName val="Self-made Process Flow"/>
      <sheetName val="Tool list(just for new process)"/>
      <sheetName val="Drop-Down Lists"/>
      <sheetName val="Mfg Process List"/>
      <sheetName val="Material List"/>
      <sheetName val=" PPV 2015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"/>
  <sheetViews>
    <sheetView tabSelected="1" topLeftCell="W1" workbookViewId="0">
      <selection activeCell="AG4" sqref="AG4"/>
    </sheetView>
  </sheetViews>
  <sheetFormatPr baseColWidth="10" defaultColWidth="9" defaultRowHeight="14"/>
  <cols>
    <col width="6.33203125" customWidth="1" style="77" min="1" max="1"/>
    <col width="7.5" customWidth="1" style="77" min="2" max="2"/>
    <col width="19.33203125" customWidth="1" style="77" min="4" max="4"/>
    <col width="10.6640625" customWidth="1" style="77" min="5" max="5"/>
    <col width="12.1640625" customWidth="1" style="77" min="6" max="6"/>
    <col width="11.33203125" customWidth="1" style="77" min="26" max="26"/>
    <col width="8" customWidth="1" style="77" min="27" max="27"/>
    <col width="7.5" customWidth="1" style="77" min="32" max="32"/>
  </cols>
  <sheetData>
    <row r="1" ht="19" customFormat="1" customHeight="1" s="1">
      <c r="A1" s="4" t="n"/>
      <c r="B1" s="4" t="inlineStr">
        <is>
          <t>GEA新项目报价</t>
        </is>
      </c>
      <c r="C1" s="5" t="n"/>
      <c r="D1" s="6" t="inlineStr">
        <is>
          <t>报价注意点：</t>
        </is>
      </c>
      <c r="E1" s="76" t="inlineStr">
        <is>
          <t>1、运输费按照100公里距离计算
2、包装按照周转箱计算。
3、料头重量按照0%回收比例计算（实际可回收），非外观件可针阀直接点在产品上。
4、产品克重统一根据数据体积*密度1.2计算。
5、原材料价格参考锦湖日丽，普利特类似材料价格
6、报价不含年降</t>
        </is>
      </c>
      <c r="F1" s="78" t="n"/>
      <c r="G1" s="78" t="n"/>
      <c r="H1" s="78" t="n"/>
      <c r="I1" s="78" t="n"/>
      <c r="J1" s="78" t="n"/>
      <c r="K1" s="5" t="n"/>
      <c r="L1" s="5" t="n"/>
      <c r="M1" s="5" t="n"/>
      <c r="N1" s="79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80" t="n"/>
      <c r="AA1" s="5" t="n"/>
      <c r="AB1" s="80" t="n"/>
      <c r="AC1" s="5" t="n"/>
      <c r="AD1" s="80" t="n"/>
      <c r="AE1" s="80" t="n"/>
      <c r="AF1" s="80" t="n"/>
      <c r="AG1" s="80" t="n"/>
      <c r="AH1" s="80" t="n"/>
      <c r="AI1" s="80" t="n"/>
      <c r="AJ1" s="80" t="n"/>
      <c r="AK1" s="80" t="n"/>
      <c r="AL1" s="80" t="n"/>
      <c r="AM1" s="80" t="n"/>
      <c r="AN1" s="80" t="n"/>
      <c r="AO1" s="80" t="n"/>
      <c r="AP1" s="80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0" t="n"/>
      <c r="BA1" s="80" t="n"/>
      <c r="BB1" s="80" t="n"/>
      <c r="BC1" s="82" t="n"/>
      <c r="BD1" s="83" t="n"/>
      <c r="BE1" s="83" t="n"/>
      <c r="BF1" s="83" t="n"/>
      <c r="BG1" s="83" t="n"/>
      <c r="BH1" s="83" t="n"/>
      <c r="BI1" s="83" t="n"/>
      <c r="BJ1" s="83" t="n"/>
      <c r="BK1" s="81" t="n"/>
    </row>
    <row r="2" ht="44" customFormat="1" customHeight="1" s="2">
      <c r="B2" s="12" t="n"/>
      <c r="C2" s="13" t="n"/>
      <c r="D2" s="14" t="n"/>
      <c r="E2" s="78" t="n"/>
      <c r="F2" s="78" t="n"/>
      <c r="G2" s="78" t="n"/>
      <c r="H2" s="78" t="n"/>
      <c r="I2" s="78" t="n"/>
      <c r="J2" s="78" t="n"/>
      <c r="K2" s="5" t="n"/>
      <c r="L2" s="5" t="n"/>
      <c r="M2" s="5" t="n"/>
      <c r="N2" s="84" t="n"/>
      <c r="O2" s="13" t="n"/>
      <c r="P2" s="13" t="n"/>
      <c r="Q2" s="13" t="n"/>
      <c r="R2" s="13" t="n"/>
      <c r="S2" s="16" t="n"/>
      <c r="T2" s="16" t="n"/>
      <c r="U2" s="13" t="n"/>
      <c r="V2" s="13" t="n"/>
      <c r="W2" s="13" t="n"/>
      <c r="X2" s="85" t="n"/>
      <c r="Y2" s="85" t="n"/>
      <c r="Z2" s="86" t="n"/>
      <c r="AA2" s="16" t="n"/>
      <c r="AB2" s="87" t="n"/>
      <c r="AC2" s="16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8" t="inlineStr">
        <is>
          <t>年降%</t>
        </is>
      </c>
      <c r="AO2" s="89" t="n"/>
      <c r="AP2" s="87" t="n"/>
      <c r="AQ2" s="87" t="n"/>
      <c r="AR2" s="81" t="n"/>
      <c r="AS2" s="90" t="inlineStr">
        <is>
          <t>年降
SOP+1</t>
        </is>
      </c>
      <c r="AT2" s="89" t="n"/>
      <c r="AU2" s="90" t="inlineStr">
        <is>
          <t>年降
SOP+2</t>
        </is>
      </c>
      <c r="AV2" s="89" t="n"/>
      <c r="AW2" s="90" t="inlineStr">
        <is>
          <t>年降
SOP+3</t>
        </is>
      </c>
      <c r="AX2" s="89" t="n"/>
      <c r="AY2" s="90" t="inlineStr">
        <is>
          <t>年降
SOP+4</t>
        </is>
      </c>
      <c r="AZ2" s="89" t="n"/>
      <c r="BA2" s="90" t="inlineStr">
        <is>
          <t>年降
SOP+5</t>
        </is>
      </c>
      <c r="BB2" s="89" t="n"/>
      <c r="BC2" s="91" t="n"/>
      <c r="BD2" s="92" t="n"/>
      <c r="BE2" s="92" t="n"/>
      <c r="BF2" s="92" t="n"/>
      <c r="BG2" s="92" t="n"/>
      <c r="BH2" s="92" t="n"/>
      <c r="BI2" s="92" t="n"/>
      <c r="BJ2" s="92" t="n"/>
      <c r="BK2" s="87" t="n"/>
    </row>
    <row r="3" ht="68" customFormat="1" customHeight="1" s="3">
      <c r="A3" s="22" t="inlineStr">
        <is>
          <t>NO</t>
        </is>
      </c>
      <c r="B3" s="22" t="inlineStr">
        <is>
          <t>车型</t>
        </is>
      </c>
      <c r="C3" s="22" t="inlineStr">
        <is>
          <t>零件号</t>
        </is>
      </c>
      <c r="D3" s="22" t="inlineStr">
        <is>
          <t>产品名称</t>
        </is>
      </c>
      <c r="E3" s="22" t="inlineStr">
        <is>
          <t>部品图片</t>
        </is>
      </c>
      <c r="F3" s="22" t="inlineStr">
        <is>
          <t>产品尺寸</t>
        </is>
      </c>
      <c r="G3" s="22" t="inlineStr">
        <is>
          <t>模穴数</t>
        </is>
      </c>
      <c r="H3" s="23" t="inlineStr">
        <is>
          <t>取数</t>
        </is>
      </c>
      <c r="I3" s="23" t="inlineStr">
        <is>
          <t>员数</t>
        </is>
      </c>
      <c r="J3" s="23" t="inlineStr">
        <is>
          <t>图纸&amp;BOM要求材料</t>
        </is>
      </c>
      <c r="K3" s="23" t="inlineStr">
        <is>
          <t>总量纲/W</t>
        </is>
      </c>
      <c r="L3" s="23" t="inlineStr">
        <is>
          <t>生命周期</t>
        </is>
      </c>
      <c r="M3" s="23" t="inlineStr">
        <is>
          <t>月批量</t>
        </is>
      </c>
      <c r="N3" s="93" t="inlineStr">
        <is>
          <t>制品重量（G）</t>
        </is>
      </c>
      <c r="O3" s="23" t="inlineStr">
        <is>
          <t>料头（G）</t>
        </is>
      </c>
      <c r="P3" s="23" t="inlineStr">
        <is>
          <t>再生率 （%）</t>
        </is>
      </c>
      <c r="Q3" s="23" t="inlineStr">
        <is>
          <t>步留 （%）</t>
        </is>
      </c>
      <c r="R3" s="23" t="inlineStr">
        <is>
          <t>段取
(g)</t>
        </is>
      </c>
      <c r="S3" s="23" t="inlineStr">
        <is>
          <t>使用
重量  (g)</t>
        </is>
      </c>
      <c r="T3" s="23" t="inlineStr">
        <is>
          <t>材料单价 (RMB)</t>
        </is>
      </c>
      <c r="U3" s="23" t="inlineStr">
        <is>
          <t>不良损耗</t>
        </is>
      </c>
      <c r="V3" s="23" t="inlineStr">
        <is>
          <t>部品材料费RMB</t>
        </is>
      </c>
      <c r="W3" s="23" t="inlineStr">
        <is>
          <t>成形机（T）</t>
        </is>
      </c>
      <c r="X3" s="23" t="inlineStr">
        <is>
          <t>友成加工时间 (S)</t>
        </is>
      </c>
      <c r="Y3" s="23" t="inlineStr">
        <is>
          <t>机台费率/分</t>
        </is>
      </c>
      <c r="Z3" s="94" t="inlineStr">
        <is>
          <t>分钟机台费率
/60/机台效率90%（RMB/S）</t>
        </is>
      </c>
      <c r="AA3" s="23" t="inlineStr">
        <is>
          <t>不良损耗</t>
        </is>
      </c>
      <c r="AB3" s="94" t="inlineStr">
        <is>
          <t>加工费 (RMB)</t>
        </is>
      </c>
      <c r="AC3" s="23" t="inlineStr">
        <is>
          <t>材料管理费用</t>
        </is>
      </c>
      <c r="AD3" s="94" t="inlineStr">
        <is>
          <t>加工管理费（RMB）</t>
        </is>
      </c>
      <c r="AE3" s="94" t="inlineStr">
        <is>
          <t>运输  (RMB)</t>
        </is>
      </c>
      <c r="AF3" s="94" t="n"/>
      <c r="AG3" s="94" t="inlineStr">
        <is>
          <t>包装（RMB）</t>
        </is>
      </c>
      <c r="AH3" s="94" t="n"/>
      <c r="AI3" s="94" t="inlineStr">
        <is>
          <t>利润                      （RMB）</t>
        </is>
      </c>
      <c r="AJ3" s="94" t="inlineStr">
        <is>
          <t>模具费</t>
        </is>
      </c>
      <c r="AK3" s="94" t="inlineStr">
        <is>
          <t>模具实验分摊费(52.5万套)</t>
        </is>
      </c>
      <c r="AL3" s="94" t="inlineStr">
        <is>
          <t xml:space="preserve">总计价格
/RMB未税
</t>
        </is>
      </c>
      <c r="AM3" s="95" t="inlineStr">
        <is>
          <t>返利BL:</t>
        </is>
      </c>
      <c r="AN3" s="95" t="inlineStr">
        <is>
          <t>LTA年降%</t>
        </is>
      </c>
      <c r="AO3" s="95" t="inlineStr">
        <is>
          <t>年降期限</t>
        </is>
      </c>
      <c r="AP3" s="96" t="inlineStr">
        <is>
          <t>总计价格
/RMB未税
含LTA/BL</t>
        </is>
      </c>
      <c r="AQ3" s="94" t="inlineStr">
        <is>
          <t>原材料占比</t>
        </is>
      </c>
      <c r="AR3" s="97" t="n"/>
      <c r="AS3" s="29" t="n"/>
      <c r="AT3" s="94" t="inlineStr">
        <is>
          <t>年降金额</t>
        </is>
      </c>
      <c r="AU3" s="29" t="n"/>
      <c r="AV3" s="94" t="inlineStr">
        <is>
          <t>年降金额</t>
        </is>
      </c>
      <c r="AW3" s="29" t="n"/>
      <c r="AX3" s="94" t="inlineStr">
        <is>
          <t>年降金额</t>
        </is>
      </c>
      <c r="AY3" s="29" t="n"/>
      <c r="AZ3" s="94" t="inlineStr">
        <is>
          <t>年降金额</t>
        </is>
      </c>
      <c r="BA3" s="29" t="n"/>
      <c r="BB3" s="94" t="inlineStr">
        <is>
          <t>年降金额</t>
        </is>
      </c>
      <c r="BC3" s="98" t="inlineStr">
        <is>
          <t>模具总费用(RMB)不含税</t>
        </is>
      </c>
      <c r="BD3" s="98" t="inlineStr">
        <is>
          <t>实验费用
(RMB)不含税</t>
        </is>
      </c>
      <c r="BE3" s="98" t="inlineStr">
        <is>
          <t>检具</t>
        </is>
      </c>
      <c r="BF3" s="98" t="inlineStr">
        <is>
          <t>工装</t>
        </is>
      </c>
      <c r="BG3" s="98" t="inlineStr">
        <is>
          <t>检具+工装费用 (RMB)
不含税</t>
        </is>
      </c>
      <c r="BH3" s="98" t="inlineStr">
        <is>
          <t>分摊数</t>
        </is>
      </c>
      <c r="BI3" s="98" t="inlineStr">
        <is>
          <t>分摊年限</t>
        </is>
      </c>
      <c r="BJ3" s="98" t="inlineStr">
        <is>
          <t>分摊费/RMB</t>
        </is>
      </c>
      <c r="BK3" s="99" t="inlineStr">
        <is>
          <t>月产值</t>
        </is>
      </c>
      <c r="BL3" s="32" t="inlineStr">
        <is>
          <t>总产值</t>
        </is>
      </c>
    </row>
    <row r="4" ht="66" customFormat="1" customHeight="1" s="3">
      <c r="A4" s="33" t="n">
        <v>1</v>
      </c>
      <c r="B4" s="34" t="inlineStr">
        <is>
          <t>单色</t>
        </is>
      </c>
      <c r="C4" s="34" t="inlineStr">
        <is>
          <t>638431477R</t>
        </is>
      </c>
      <c r="D4" s="35" t="inlineStr">
        <is>
          <t>气坝前左(PHEV/HEV)</t>
        </is>
      </c>
      <c r="E4" s="36" t="n"/>
      <c r="F4" s="37" t="inlineStr">
        <is>
          <t>124*360*65</t>
        </is>
      </c>
      <c r="G4" s="38" t="n">
        <v>2</v>
      </c>
      <c r="H4" s="39" t="n">
        <v>2</v>
      </c>
      <c r="I4" s="40" t="n"/>
      <c r="J4" s="41" t="inlineStr">
        <is>
          <t>TPV Santoprene 103-40</t>
        </is>
      </c>
      <c r="K4" s="42" t="n">
        <v>61.2178</v>
      </c>
      <c r="L4" s="43" t="n">
        <v>8</v>
      </c>
      <c r="M4" s="44">
        <f>ROUND(K4/L4/12*10000,-2)</f>
        <v/>
      </c>
      <c r="N4" s="45" t="n">
        <v>77</v>
      </c>
      <c r="O4" s="46" t="n">
        <v>11.55</v>
      </c>
      <c r="P4" s="47" t="n">
        <v>0</v>
      </c>
      <c r="Q4" s="48" t="n"/>
      <c r="R4" s="49" t="n">
        <v>25000</v>
      </c>
      <c r="S4" s="100">
        <f>(N4+O4*(1-P4)/H4)*(1+Q4)+R4/M4</f>
        <v/>
      </c>
      <c r="T4" s="46" t="n">
        <v>18</v>
      </c>
      <c r="U4" s="51" t="n">
        <v>0.01</v>
      </c>
      <c r="V4" s="101">
        <f>(S4*T4/1000)*(1+U4)</f>
        <v/>
      </c>
      <c r="W4" s="102" t="n">
        <v>360</v>
      </c>
      <c r="X4" s="103" t="n">
        <v>60</v>
      </c>
      <c r="Y4" s="104" t="n">
        <v>1.8</v>
      </c>
      <c r="Z4" s="105">
        <f>Y4/60/0.9</f>
        <v/>
      </c>
      <c r="AA4" s="57">
        <f>U4</f>
        <v/>
      </c>
      <c r="AB4" s="105">
        <f>(Z4*X4/H4)*(1+AA4)</f>
        <v/>
      </c>
      <c r="AC4" s="105">
        <f>V4*0.03</f>
        <v/>
      </c>
      <c r="AD4" s="105">
        <f>(AB4)*0.08</f>
        <v/>
      </c>
      <c r="AE4" s="106" t="n">
        <v>0.3151</v>
      </c>
      <c r="AF4" s="57">
        <f>AE4/$AL4</f>
        <v/>
      </c>
      <c r="AG4" s="106" t="n">
        <v>0.1969</v>
      </c>
      <c r="AH4" s="57">
        <f>AG4/$AL4</f>
        <v/>
      </c>
      <c r="AI4" s="105">
        <f>(AB4+AC4+AD4+AE4+AG4+V4)*15%</f>
        <v/>
      </c>
      <c r="AJ4" s="107" t="n">
        <v>52500</v>
      </c>
      <c r="AK4" s="105">
        <f>AJ4/229566</f>
        <v/>
      </c>
      <c r="AL4" s="108">
        <f>SUM($V4+$AB4+$AC4+$AD4+$AE4+$AG4+$AI4+$AK4)</f>
        <v/>
      </c>
      <c r="AM4" s="109" t="n"/>
      <c r="AN4" s="57" t="n"/>
      <c r="AO4" s="62" t="n"/>
      <c r="AP4" s="110">
        <f>PRODUCT($AL4,1/(1-AM4),1/(1-$AS4),1/(1-$AU4),1/(1-$AW4),1/(1-$AY4),1/(1-$BA4))</f>
        <v/>
      </c>
      <c r="AQ4" s="64">
        <f>V4/AP4</f>
        <v/>
      </c>
      <c r="AR4" s="97" t="n"/>
      <c r="AS4" s="65">
        <f>$AS$3</f>
        <v/>
      </c>
      <c r="AT4" s="111">
        <f>AP4*(1-$AM4)</f>
        <v/>
      </c>
      <c r="AU4" s="65">
        <f>$AU$3</f>
        <v/>
      </c>
      <c r="AV4" s="111">
        <f>$AT4*(1-$AU4)</f>
        <v/>
      </c>
      <c r="AW4" s="65">
        <f>$AW$3</f>
        <v/>
      </c>
      <c r="AX4" s="111">
        <f>$AV4*(1-$AW4)</f>
        <v/>
      </c>
      <c r="AY4" s="65">
        <f>$AY$3</f>
        <v/>
      </c>
      <c r="AZ4" s="111">
        <f>$AX4*(1-$AY4)</f>
        <v/>
      </c>
      <c r="BA4" s="65">
        <f>$BA$3</f>
        <v/>
      </c>
      <c r="BB4" s="111">
        <f>$AX4*(1-$AY4)</f>
        <v/>
      </c>
      <c r="BC4" s="67" t="n"/>
      <c r="BD4" s="112" t="n"/>
      <c r="BE4" s="112" t="n"/>
      <c r="BF4" s="113" t="n"/>
      <c r="BG4" s="114" t="n"/>
      <c r="BH4" s="114" t="n"/>
      <c r="BI4" s="114" t="n"/>
      <c r="BJ4" s="115" t="n"/>
      <c r="BK4" s="116" t="n"/>
      <c r="BL4" s="116" t="n"/>
    </row>
    <row r="5" ht="66" customHeight="1" s="77">
      <c r="A5" s="33" t="n">
        <v>2</v>
      </c>
      <c r="B5" s="34" t="inlineStr">
        <is>
          <t>单色</t>
        </is>
      </c>
      <c r="C5" s="34" t="inlineStr">
        <is>
          <t>638422166R</t>
        </is>
      </c>
      <c r="D5" s="35" t="inlineStr">
        <is>
          <t>气坝前右(PHEV/HEV)</t>
        </is>
      </c>
      <c r="E5" s="36" t="n"/>
      <c r="F5" s="37" t="inlineStr">
        <is>
          <t>124*360*65</t>
        </is>
      </c>
      <c r="G5" s="38" t="n">
        <v>2</v>
      </c>
      <c r="H5" s="39" t="n">
        <v>2</v>
      </c>
      <c r="I5" s="40" t="n"/>
      <c r="J5" s="117" t="inlineStr">
        <is>
          <t>TPV Santoprene 103-40</t>
        </is>
      </c>
      <c r="K5" s="118" t="n">
        <v>61.2178</v>
      </c>
      <c r="L5" s="43" t="n">
        <v>8</v>
      </c>
      <c r="M5" s="118">
        <f>ROUND(K5/L5/12*10000,-2)</f>
        <v/>
      </c>
      <c r="N5" s="119" t="n">
        <v>77</v>
      </c>
      <c r="O5" s="46" t="n">
        <v>11.55</v>
      </c>
      <c r="P5" s="120" t="n">
        <v>0</v>
      </c>
      <c r="Q5" s="121" t="n"/>
      <c r="R5" s="122" t="n">
        <v>25000</v>
      </c>
      <c r="S5" s="123">
        <f>(N5+O5*(1-P5)/H5)*(1+Q5)+R5/M5</f>
        <v/>
      </c>
      <c r="T5" s="46" t="n">
        <v>18</v>
      </c>
      <c r="U5" s="124" t="n">
        <v>0.01</v>
      </c>
      <c r="V5" s="125">
        <f>(S5*T5/1000)*(1+U5)</f>
        <v/>
      </c>
      <c r="W5" s="102" t="n">
        <v>360</v>
      </c>
      <c r="X5" s="103" t="n">
        <v>60</v>
      </c>
      <c r="Y5" s="104" t="n">
        <v>1.8</v>
      </c>
      <c r="Z5" s="126">
        <f>Y5/60/0.9</f>
        <v/>
      </c>
      <c r="AA5" s="127">
        <f>U5</f>
        <v/>
      </c>
      <c r="AB5" s="126">
        <f>(Z5*X5/H5)*(1+AA5)</f>
        <v/>
      </c>
      <c r="AC5" s="126">
        <f>V5*0.03</f>
        <v/>
      </c>
      <c r="AD5" s="126">
        <f>(AB5)*0.08</f>
        <v/>
      </c>
      <c r="AE5" s="128" t="n">
        <v>0.3151</v>
      </c>
      <c r="AF5" s="127">
        <f>AE5/$AL5</f>
        <v/>
      </c>
      <c r="AG5" s="128" t="n">
        <v>0.1969</v>
      </c>
      <c r="AH5" s="127">
        <f>AG5/$AL5</f>
        <v/>
      </c>
      <c r="AI5" s="126">
        <f>(AB5+AC5+AD5+AE5+AG5+V5)*15%</f>
        <v/>
      </c>
      <c r="AJ5" s="129" t="n">
        <v>52500</v>
      </c>
      <c r="AK5" s="126">
        <f>AJ5/229566</f>
        <v/>
      </c>
      <c r="AL5" s="130">
        <f>SUM($V5+$AB5+$AC5+$AD5+$AE5+$AG5+$AI5+$AK5)</f>
        <v/>
      </c>
      <c r="AM5" s="131" t="n"/>
      <c r="AN5" s="127" t="n"/>
      <c r="AO5" s="122" t="n"/>
      <c r="AP5" s="132">
        <f>PRODUCT($AL5,1/(1-AM5),1/(1-$AS5),1/(1-$AU5),1/(1-$AW5),1/(1-$AY5),1/(1-$BA5))</f>
        <v/>
      </c>
      <c r="AQ5" s="133">
        <f>V5/AP5</f>
        <v/>
      </c>
      <c r="AR5" s="97" t="n"/>
      <c r="AS5" s="134">
        <f>$AS$3</f>
        <v/>
      </c>
      <c r="AT5" s="135">
        <f>AP5*(1-$AM5)</f>
        <v/>
      </c>
      <c r="AU5" s="134">
        <f>$AU$3</f>
        <v/>
      </c>
      <c r="AV5" s="135">
        <f>$AT5*(1-$AU5)</f>
        <v/>
      </c>
      <c r="AW5" s="134">
        <f>$AW$3</f>
        <v/>
      </c>
      <c r="AX5" s="135">
        <f>$AV5*(1-$AW5)</f>
        <v/>
      </c>
      <c r="AY5" s="134">
        <f>$AY$3</f>
        <v/>
      </c>
      <c r="AZ5" s="135">
        <f>$AX5*(1-$AY5)</f>
        <v/>
      </c>
      <c r="BA5" s="134">
        <f>$BA$3</f>
        <v/>
      </c>
      <c r="BB5" s="135">
        <f>$AX5*(1-$AY5)</f>
        <v/>
      </c>
      <c r="BC5" s="136" t="n"/>
      <c r="BD5" s="112" t="n"/>
      <c r="BE5" s="112" t="n"/>
      <c r="BF5" s="113" t="n"/>
      <c r="BG5" s="114" t="n"/>
      <c r="BH5" s="114" t="n"/>
      <c r="BI5" s="114" t="n"/>
      <c r="BJ5" s="115" t="n"/>
      <c r="BK5" s="112" t="n"/>
      <c r="BL5" s="112" t="n"/>
    </row>
    <row r="6" ht="66" customHeight="1" s="77">
      <c r="A6" s="33" t="n">
        <v>3</v>
      </c>
      <c r="B6" s="34" t="inlineStr">
        <is>
          <t>单色</t>
        </is>
      </c>
      <c r="C6" s="34" t="inlineStr">
        <is>
          <t>638439763R</t>
        </is>
      </c>
      <c r="D6" s="35" t="inlineStr">
        <is>
          <t>气坝前左(BEV)</t>
        </is>
      </c>
      <c r="E6" s="36" t="n"/>
      <c r="F6" s="37" t="inlineStr">
        <is>
          <t>124*361*65</t>
        </is>
      </c>
      <c r="G6" s="38" t="n">
        <v>2</v>
      </c>
      <c r="H6" s="39" t="n">
        <v>2</v>
      </c>
      <c r="I6" s="40" t="n"/>
      <c r="J6" s="117" t="inlineStr">
        <is>
          <t>TPV Santoprene 103-40</t>
        </is>
      </c>
      <c r="K6" s="118" t="n">
        <v>61.2178</v>
      </c>
      <c r="L6" s="43" t="n">
        <v>8</v>
      </c>
      <c r="M6" s="118">
        <f>ROUND(K6/L6/12*10000,-2)</f>
        <v/>
      </c>
      <c r="N6" s="119" t="n">
        <v>78</v>
      </c>
      <c r="O6" s="46" t="n">
        <v>11.7</v>
      </c>
      <c r="P6" s="120" t="n">
        <v>0</v>
      </c>
      <c r="Q6" s="121" t="n"/>
      <c r="R6" s="122" t="n">
        <v>25000</v>
      </c>
      <c r="S6" s="123">
        <f>(N6+O6*(1-P6)/H6)*(1+Q6)+R6/M6</f>
        <v/>
      </c>
      <c r="T6" s="46" t="n">
        <v>18</v>
      </c>
      <c r="U6" s="124" t="n">
        <v>0.01</v>
      </c>
      <c r="V6" s="125">
        <f>(S6*T6/1000)*(1+U6)</f>
        <v/>
      </c>
      <c r="W6" s="102" t="n">
        <v>360</v>
      </c>
      <c r="X6" s="103" t="n">
        <v>60</v>
      </c>
      <c r="Y6" s="104" t="n">
        <v>1.8</v>
      </c>
      <c r="Z6" s="126">
        <f>Y6/60/0.9</f>
        <v/>
      </c>
      <c r="AA6" s="127">
        <f>U6</f>
        <v/>
      </c>
      <c r="AB6" s="126">
        <f>(Z6*X6/H6)*(1+AA6)</f>
        <v/>
      </c>
      <c r="AC6" s="126">
        <f>V6*0.03</f>
        <v/>
      </c>
      <c r="AD6" s="126">
        <f>(AB6)*0.08</f>
        <v/>
      </c>
      <c r="AE6" s="128" t="n">
        <v>0.3173</v>
      </c>
      <c r="AF6" s="127">
        <f>AE6/$AL6</f>
        <v/>
      </c>
      <c r="AG6" s="128" t="n">
        <v>0.1983</v>
      </c>
      <c r="AH6" s="127">
        <f>AG6/$AL6</f>
        <v/>
      </c>
      <c r="AI6" s="126">
        <f>(AB6+AC6+AD6+AE6+AG6+V6)*15%</f>
        <v/>
      </c>
      <c r="AJ6" s="129" t="n">
        <v>52500</v>
      </c>
      <c r="AK6" s="126">
        <f>AJ6/229566</f>
        <v/>
      </c>
      <c r="AL6" s="130">
        <f>SUM($V6+$AB6+$AC6+$AD6+$AE6+$AG6+$AI6+$AK6)</f>
        <v/>
      </c>
      <c r="AM6" s="131" t="n"/>
      <c r="AN6" s="127" t="n"/>
      <c r="AO6" s="122" t="n"/>
      <c r="AP6" s="132">
        <f>PRODUCT($AL6,1/(1-AM6),1/(1-$AS6),1/(1-$AU6),1/(1-$AW6),1/(1-$AY6),1/(1-$BA6))</f>
        <v/>
      </c>
      <c r="AQ6" s="133">
        <f>V6/AP6</f>
        <v/>
      </c>
      <c r="AR6" s="97" t="n"/>
      <c r="AS6" s="134">
        <f>$AS$3</f>
        <v/>
      </c>
      <c r="AT6" s="135">
        <f>AP6*(1-$AM6)</f>
        <v/>
      </c>
      <c r="AU6" s="134">
        <f>$AU$3</f>
        <v/>
      </c>
      <c r="AV6" s="135">
        <f>$AT6*(1-$AU6)</f>
        <v/>
      </c>
      <c r="AW6" s="134">
        <f>$AW$3</f>
        <v/>
      </c>
      <c r="AX6" s="135">
        <f>$AV6*(1-$AW6)</f>
        <v/>
      </c>
      <c r="AY6" s="134">
        <f>$AY$3</f>
        <v/>
      </c>
      <c r="AZ6" s="135">
        <f>$AX6*(1-$AY6)</f>
        <v/>
      </c>
      <c r="BA6" s="134">
        <f>$BA$3</f>
        <v/>
      </c>
      <c r="BB6" s="135">
        <f>$AX6*(1-$AY6)</f>
        <v/>
      </c>
      <c r="BC6" s="136" t="n"/>
      <c r="BD6" s="112" t="n"/>
      <c r="BE6" s="112" t="n"/>
      <c r="BF6" s="113" t="n"/>
      <c r="BG6" s="114" t="n"/>
      <c r="BH6" s="114" t="n"/>
      <c r="BI6" s="114" t="n"/>
      <c r="BJ6" s="115" t="n"/>
      <c r="BK6" s="112" t="n"/>
      <c r="BL6" s="112" t="n"/>
    </row>
    <row r="7" ht="66" customHeight="1" s="77">
      <c r="A7" s="33" t="n">
        <v>4</v>
      </c>
      <c r="B7" s="34" t="inlineStr">
        <is>
          <t>单色</t>
        </is>
      </c>
      <c r="C7" s="34" t="inlineStr">
        <is>
          <t>638424366R</t>
        </is>
      </c>
      <c r="D7" s="35" t="inlineStr">
        <is>
          <t>气坝前右(BEV)</t>
        </is>
      </c>
      <c r="E7" s="36" t="n"/>
      <c r="F7" s="37" t="inlineStr">
        <is>
          <t>124*361*65</t>
        </is>
      </c>
      <c r="G7" s="38" t="n">
        <v>2</v>
      </c>
      <c r="H7" s="39" t="n">
        <v>2</v>
      </c>
      <c r="I7" s="40" t="n"/>
      <c r="J7" s="117" t="inlineStr">
        <is>
          <t>TPV Santoprene 103-40</t>
        </is>
      </c>
      <c r="K7" s="118" t="n">
        <v>61.2178</v>
      </c>
      <c r="L7" s="43" t="n">
        <v>8</v>
      </c>
      <c r="M7" s="118">
        <f>ROUND(K7/L7/12*10000,-2)</f>
        <v/>
      </c>
      <c r="N7" s="119" t="n">
        <v>78</v>
      </c>
      <c r="O7" s="46" t="n">
        <v>11.7</v>
      </c>
      <c r="P7" s="120" t="n">
        <v>0</v>
      </c>
      <c r="Q7" s="121" t="n"/>
      <c r="R7" s="122" t="n">
        <v>25000</v>
      </c>
      <c r="S7" s="123">
        <f>(N7+O7*(1-P7)/H7)*(1+Q7)+R7/M7</f>
        <v/>
      </c>
      <c r="T7" s="46" t="n">
        <v>18</v>
      </c>
      <c r="U7" s="124" t="n">
        <v>0.01</v>
      </c>
      <c r="V7" s="125">
        <f>(S7*T7/1000)*(1+U7)</f>
        <v/>
      </c>
      <c r="W7" s="102" t="n">
        <v>360</v>
      </c>
      <c r="X7" s="103" t="n">
        <v>60</v>
      </c>
      <c r="Y7" s="104" t="n">
        <v>1.8</v>
      </c>
      <c r="Z7" s="126">
        <f>Y7/60/0.9</f>
        <v/>
      </c>
      <c r="AA7" s="127">
        <f>U7</f>
        <v/>
      </c>
      <c r="AB7" s="126">
        <f>(Z7*X7/H7)*(1+AA7)</f>
        <v/>
      </c>
      <c r="AC7" s="126">
        <f>V7*0.03</f>
        <v/>
      </c>
      <c r="AD7" s="126">
        <f>(AB7)*0.08</f>
        <v/>
      </c>
      <c r="AE7" s="128" t="n">
        <v>0.3173</v>
      </c>
      <c r="AF7" s="127">
        <f>AE7/$AL7</f>
        <v/>
      </c>
      <c r="AG7" s="128" t="n">
        <v>0.1983</v>
      </c>
      <c r="AH7" s="127">
        <f>AG7/$AL7</f>
        <v/>
      </c>
      <c r="AI7" s="126">
        <f>(AB7+AC7+AD7+AE7+AG7+V7)*15%</f>
        <v/>
      </c>
      <c r="AJ7" s="129" t="n">
        <v>52500</v>
      </c>
      <c r="AK7" s="126">
        <f>AJ7/229566</f>
        <v/>
      </c>
      <c r="AL7" s="130">
        <f>SUM($V7+$AB7+$AC7+$AD7+$AE7+$AG7+$AI7+$AK7)</f>
        <v/>
      </c>
      <c r="AM7" s="131" t="n"/>
      <c r="AN7" s="127" t="n"/>
      <c r="AO7" s="122" t="n"/>
      <c r="AP7" s="132">
        <f>PRODUCT($AL7,1/(1-AM7),1/(1-$AS7),1/(1-$AU7),1/(1-$AW7),1/(1-$AY7),1/(1-$BA7))</f>
        <v/>
      </c>
      <c r="AQ7" s="133">
        <f>V7/AP7</f>
        <v/>
      </c>
      <c r="AR7" s="97" t="n"/>
      <c r="AS7" s="134">
        <f>$AS$3</f>
        <v/>
      </c>
      <c r="AT7" s="135">
        <f>AP7*(1-$AM7)</f>
        <v/>
      </c>
      <c r="AU7" s="134">
        <f>$AU$3</f>
        <v/>
      </c>
      <c r="AV7" s="135">
        <f>$AT7*(1-$AU7)</f>
        <v/>
      </c>
      <c r="AW7" s="134">
        <f>$AW$3</f>
        <v/>
      </c>
      <c r="AX7" s="135">
        <f>$AV7*(1-$AW7)</f>
        <v/>
      </c>
      <c r="AY7" s="134">
        <f>$AY$3</f>
        <v/>
      </c>
      <c r="AZ7" s="135">
        <f>$AX7*(1-$AY7)</f>
        <v/>
      </c>
      <c r="BA7" s="134">
        <f>$BA$3</f>
        <v/>
      </c>
      <c r="BB7" s="135">
        <f>$AX7*(1-$AY7)</f>
        <v/>
      </c>
      <c r="BC7" s="136" t="n"/>
      <c r="BD7" s="112" t="n"/>
      <c r="BE7" s="112" t="n"/>
      <c r="BF7" s="113" t="n"/>
      <c r="BG7" s="114" t="n"/>
      <c r="BH7" s="114" t="n"/>
      <c r="BI7" s="114" t="n"/>
      <c r="BJ7" s="115" t="n"/>
      <c r="BK7" s="112" t="n"/>
      <c r="BL7" s="112" t="n"/>
    </row>
    <row r="8" ht="66" customHeight="1" s="77">
      <c r="A8" s="33" t="n">
        <v>5</v>
      </c>
      <c r="B8" s="34" t="inlineStr">
        <is>
          <t>单色</t>
        </is>
      </c>
      <c r="C8" s="34" t="inlineStr">
        <is>
          <t>767496296R</t>
        </is>
      </c>
      <c r="D8" s="35" t="inlineStr">
        <is>
          <t>气坝后左</t>
        </is>
      </c>
      <c r="E8" s="36" t="n"/>
      <c r="F8" s="37" t="inlineStr">
        <is>
          <t>96*129*57</t>
        </is>
      </c>
      <c r="G8" s="38" t="n">
        <v>2</v>
      </c>
      <c r="H8" s="39" t="n">
        <v>2</v>
      </c>
      <c r="I8" s="40" t="n"/>
      <c r="J8" s="117" t="inlineStr">
        <is>
          <t>TPV Santoprene 103-40</t>
        </is>
      </c>
      <c r="K8" s="118" t="n">
        <v>61.2178</v>
      </c>
      <c r="L8" s="43" t="n">
        <v>8</v>
      </c>
      <c r="M8" s="118">
        <f>ROUND(K8/L8/12*10000,-2)</f>
        <v/>
      </c>
      <c r="N8" s="119" t="n">
        <v>27</v>
      </c>
      <c r="O8" s="46" t="n">
        <v>4.05</v>
      </c>
      <c r="P8" s="120" t="n">
        <v>0</v>
      </c>
      <c r="Q8" s="121" t="n"/>
      <c r="R8" s="122" t="n">
        <v>15000</v>
      </c>
      <c r="S8" s="123">
        <f>(N8+O8*(1-P8)/H8)*(1+Q8)+R8/M8</f>
        <v/>
      </c>
      <c r="T8" s="46" t="n">
        <v>18</v>
      </c>
      <c r="U8" s="124" t="n">
        <v>0.01</v>
      </c>
      <c r="V8" s="125">
        <f>(S8*T8/1000)*(1+U8)</f>
        <v/>
      </c>
      <c r="W8" s="102" t="n">
        <v>160</v>
      </c>
      <c r="X8" s="103" t="n">
        <v>30</v>
      </c>
      <c r="Y8" s="104" t="n">
        <v>1.14</v>
      </c>
      <c r="Z8" s="126">
        <f>Y8/60/0.9</f>
        <v/>
      </c>
      <c r="AA8" s="127">
        <f>U8</f>
        <v/>
      </c>
      <c r="AB8" s="126">
        <f>(Z8*X8/H8)*(1+AA8)</f>
        <v/>
      </c>
      <c r="AC8" s="126">
        <f>V8*0.03</f>
        <v/>
      </c>
      <c r="AD8" s="126">
        <f>(AB8)*0.08</f>
        <v/>
      </c>
      <c r="AE8" s="128" t="n">
        <v>0.1255</v>
      </c>
      <c r="AF8" s="127">
        <f>AE8/$AL8</f>
        <v/>
      </c>
      <c r="AG8" s="128" t="n">
        <v>0.0784</v>
      </c>
      <c r="AH8" s="127">
        <f>AG8/$AL8</f>
        <v/>
      </c>
      <c r="AI8" s="126">
        <f>(AB8+AC8+AD8+AE8+AG8+V8)*15%</f>
        <v/>
      </c>
      <c r="AJ8" s="129" t="n">
        <v>60000</v>
      </c>
      <c r="AK8" s="126">
        <f>AJ8/229566</f>
        <v/>
      </c>
      <c r="AL8" s="130">
        <f>SUM($V8+$AB8+$AC8+$AD8+$AE8+$AG8+$AI8+$AK8)</f>
        <v/>
      </c>
      <c r="AM8" s="131" t="n"/>
      <c r="AN8" s="127" t="n"/>
      <c r="AO8" s="122" t="n"/>
      <c r="AP8" s="132">
        <f>PRODUCT($AL8,1/(1-AM8),1/(1-$AS8),1/(1-$AU8),1/(1-$AW8),1/(1-$AY8),1/(1-$BA8))</f>
        <v/>
      </c>
      <c r="AQ8" s="133">
        <f>V8/AP8</f>
        <v/>
      </c>
      <c r="AR8" s="97" t="n"/>
      <c r="AS8" s="134">
        <f>$AS$3</f>
        <v/>
      </c>
      <c r="AT8" s="135">
        <f>AP8*(1-$AM8)</f>
        <v/>
      </c>
      <c r="AU8" s="134">
        <f>$AU$3</f>
        <v/>
      </c>
      <c r="AV8" s="135">
        <f>$AT8*(1-$AU8)</f>
        <v/>
      </c>
      <c r="AW8" s="134">
        <f>$AW$3</f>
        <v/>
      </c>
      <c r="AX8" s="135">
        <f>$AV8*(1-$AW8)</f>
        <v/>
      </c>
      <c r="AY8" s="134">
        <f>$AY$3</f>
        <v/>
      </c>
      <c r="AZ8" s="135">
        <f>$AX8*(1-$AY8)</f>
        <v/>
      </c>
      <c r="BA8" s="134">
        <f>$BA$3</f>
        <v/>
      </c>
      <c r="BB8" s="135">
        <f>$AX8*(1-$AY8)</f>
        <v/>
      </c>
      <c r="BC8" s="136" t="n"/>
      <c r="BD8" s="112" t="n"/>
      <c r="BE8" s="112" t="n"/>
      <c r="BF8" s="113" t="n"/>
      <c r="BG8" s="114" t="n"/>
      <c r="BH8" s="114" t="n"/>
      <c r="BI8" s="114" t="n"/>
      <c r="BJ8" s="115" t="n"/>
      <c r="BK8" s="112" t="n"/>
      <c r="BL8" s="112" t="n"/>
    </row>
    <row r="9" ht="66" customHeight="1" s="77">
      <c r="A9" s="33" t="n">
        <v>6</v>
      </c>
      <c r="B9" s="34" t="inlineStr">
        <is>
          <t>单色</t>
        </is>
      </c>
      <c r="C9" s="34" t="inlineStr">
        <is>
          <t>767483010R</t>
        </is>
      </c>
      <c r="D9" s="35" t="inlineStr">
        <is>
          <t>气坝后右</t>
        </is>
      </c>
      <c r="E9" s="36" t="n"/>
      <c r="F9" s="37" t="inlineStr">
        <is>
          <t>96*129*57</t>
        </is>
      </c>
      <c r="G9" s="38" t="n">
        <v>2</v>
      </c>
      <c r="H9" s="39" t="n">
        <v>2</v>
      </c>
      <c r="I9" s="40" t="n"/>
      <c r="J9" s="117" t="inlineStr">
        <is>
          <t>TPV Santoprene 103-40</t>
        </is>
      </c>
      <c r="K9" s="118" t="n">
        <v>61.2178</v>
      </c>
      <c r="L9" s="43" t="n">
        <v>8</v>
      </c>
      <c r="M9" s="118">
        <f>ROUND(K9/L9/12*10000,-2)</f>
        <v/>
      </c>
      <c r="N9" s="119" t="n">
        <v>27</v>
      </c>
      <c r="O9" s="46" t="n">
        <v>4.05</v>
      </c>
      <c r="P9" s="120" t="n">
        <v>0</v>
      </c>
      <c r="Q9" s="121" t="n"/>
      <c r="R9" s="122" t="n">
        <v>15000</v>
      </c>
      <c r="S9" s="123">
        <f>(N9+O9*(1-P9)/H9)*(1+Q9)+R9/M9</f>
        <v/>
      </c>
      <c r="T9" s="46" t="n">
        <v>18</v>
      </c>
      <c r="U9" s="124" t="n">
        <v>0.01</v>
      </c>
      <c r="V9" s="125">
        <f>(S9*T9/1000)*(1+U9)</f>
        <v/>
      </c>
      <c r="W9" s="102" t="n">
        <v>160</v>
      </c>
      <c r="X9" s="103" t="n">
        <v>30</v>
      </c>
      <c r="Y9" s="104" t="n">
        <v>1.14</v>
      </c>
      <c r="Z9" s="126">
        <f>Y9/60/0.9</f>
        <v/>
      </c>
      <c r="AA9" s="127">
        <f>U9</f>
        <v/>
      </c>
      <c r="AB9" s="126">
        <f>(Z9*X9/H9)*(1+AA9)</f>
        <v/>
      </c>
      <c r="AC9" s="126">
        <f>V9*0.03</f>
        <v/>
      </c>
      <c r="AD9" s="126">
        <f>(AB9)*0.08</f>
        <v/>
      </c>
      <c r="AE9" s="128" t="n">
        <v>0.1255</v>
      </c>
      <c r="AF9" s="127">
        <f>AE9/$AL9</f>
        <v/>
      </c>
      <c r="AG9" s="128" t="n">
        <v>0.0784</v>
      </c>
      <c r="AH9" s="127">
        <f>AG9/$AL9</f>
        <v/>
      </c>
      <c r="AI9" s="126">
        <f>(AB9+AC9+AD9+AE9+AG9+V9)*15%</f>
        <v/>
      </c>
      <c r="AJ9" s="129" t="n">
        <v>60000</v>
      </c>
      <c r="AK9" s="126">
        <f>AJ9/229566</f>
        <v/>
      </c>
      <c r="AL9" s="130">
        <f>SUM($V9+$AB9+$AC9+$AD9+$AE9+$AG9+$AI9+$AK9)</f>
        <v/>
      </c>
      <c r="AM9" s="131" t="n"/>
      <c r="AN9" s="127" t="n"/>
      <c r="AO9" s="122" t="n"/>
      <c r="AP9" s="132">
        <f>PRODUCT($AL9,1/(1-AM9),1/(1-$AS9),1/(1-$AU9),1/(1-$AW9),1/(1-$AY9),1/(1-$BA9))</f>
        <v/>
      </c>
      <c r="AQ9" s="133">
        <f>V9/AP9</f>
        <v/>
      </c>
      <c r="AR9" s="97" t="n"/>
      <c r="AS9" s="134">
        <f>$AS$3</f>
        <v/>
      </c>
      <c r="AT9" s="135">
        <f>AP9*(1-$AM9)</f>
        <v/>
      </c>
      <c r="AU9" s="134">
        <f>$AU$3</f>
        <v/>
      </c>
      <c r="AV9" s="135">
        <f>$AT9*(1-$AU9)</f>
        <v/>
      </c>
      <c r="AW9" s="134">
        <f>$AW$3</f>
        <v/>
      </c>
      <c r="AX9" s="135">
        <f>$AV9*(1-$AW9)</f>
        <v/>
      </c>
      <c r="AY9" s="134">
        <f>$AY$3</f>
        <v/>
      </c>
      <c r="AZ9" s="135">
        <f>$AX9*(1-$AY9)</f>
        <v/>
      </c>
      <c r="BA9" s="134">
        <f>$BA$3</f>
        <v/>
      </c>
      <c r="BB9" s="135">
        <f>$AX9*(1-$AY9)</f>
        <v/>
      </c>
      <c r="BC9" s="136" t="n"/>
      <c r="BD9" s="112" t="n"/>
      <c r="BE9" s="112" t="n"/>
      <c r="BF9" s="113" t="n"/>
      <c r="BG9" s="114" t="n"/>
      <c r="BH9" s="114" t="n"/>
      <c r="BI9" s="114" t="n"/>
      <c r="BJ9" s="115" t="n"/>
      <c r="BK9" s="112" t="n"/>
      <c r="BL9" s="112" t="n"/>
    </row>
  </sheetData>
  <mergeCells count="7">
    <mergeCell ref="E1:J2"/>
    <mergeCell ref="AS2:AT2"/>
    <mergeCell ref="AW2:AX2"/>
    <mergeCell ref="AU2:AV2"/>
    <mergeCell ref="BA2:BB2"/>
    <mergeCell ref="AY2:AZ2"/>
    <mergeCell ref="AN2:AO2"/>
  </mergeCells>
  <conditionalFormatting sqref="AS4:BB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2023-09-05T12:28:00Z</dcterms:created>
  <dcterms:modified xmlns:dcterms="http://purl.org/dc/terms/" xmlns:xsi="http://www.w3.org/2001/XMLSchema-instance" xsi:type="dcterms:W3CDTF">2026-07-07T03:12:16Z</dcterms:modified>
  <cp:lastModifiedBy>翊汉(陈思远)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B3ACE354EE9B4FFCBE2508B6C178A21A_13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