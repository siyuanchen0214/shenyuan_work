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自动化报价/"/>
    </mc:Choice>
  </mc:AlternateContent>
  <xr:revisionPtr revIDLastSave="0" documentId="13_ncr:1_{724B694B-76A4-ED49-A805-FFC3885158A8}" xr6:coauthVersionLast="47" xr6:coauthVersionMax="47" xr10:uidLastSave="{00000000-0000-0000-0000-000000000000}"/>
  <bookViews>
    <workbookView xWindow="18540" yWindow="3180" windowWidth="39200" windowHeight="15420" tabRatio="566" xr2:uid="{00000000-000D-0000-FFFF-FFFF00000000}"/>
  </bookViews>
  <sheets>
    <sheet name="Sheet1" sheetId="20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20" l="1"/>
  <c r="AC4" i="20"/>
  <c r="S4" i="20"/>
  <c r="V4" i="20" s="1"/>
  <c r="BA4" i="20"/>
  <c r="AY4" i="20"/>
  <c r="AW4" i="20"/>
  <c r="AU4" i="20"/>
  <c r="AS4" i="20"/>
  <c r="AD4" i="20"/>
  <c r="AB4" i="20"/>
  <c r="AA4" i="20"/>
  <c r="Z4" i="20"/>
  <c r="M4" i="20"/>
  <c r="AI4" i="20" l="1"/>
  <c r="AL4" i="20" l="1"/>
  <c r="AH4" i="20" l="1"/>
  <c r="AF4" i="20"/>
  <c r="AP4" i="20"/>
  <c r="AT4" i="20" l="1"/>
  <c r="AV4" i="20" s="1"/>
  <c r="AX4" i="20" s="1"/>
  <c r="AQ4" i="20"/>
  <c r="BB4" i="20" l="1"/>
  <c r="AZ4" i="20"/>
</calcChain>
</file>

<file path=xl/sharedStrings.xml><?xml version="1.0" encoding="utf-8"?>
<sst xmlns="http://schemas.openxmlformats.org/spreadsheetml/2006/main" count="69" uniqueCount="64">
  <si>
    <t>GEA新项目报价</t>
  </si>
  <si>
    <t>报价注意点：</t>
  </si>
  <si>
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</si>
  <si>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</si>
  <si>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</si>
  <si>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</si>
  <si>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</si>
  <si>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</si>
  <si>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</si>
  <si>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</si>
  <si>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</si>
  <si>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</si>
  <si>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</si>
  <si>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</si>
  <si>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</si>
  <si>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</si>
  <si>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</si>
  <si>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</si>
  <si>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</si>
  <si>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</si>
  <si>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</si>
  <si>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</si>
  <si>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</si>
  <si>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</si>
  <si>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</si>
  <si>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</si>
  <si>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</si>
  <si>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</si>
  <si>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</si>
  <si>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</si>
  <si>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</si>
  <si>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</si>
  <si>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</si>
  <si>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</si>
  <si>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</si>
  <si>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</si>
  <si>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</si>
  <si>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</si>
  <si>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</si>
  <si>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</si>
  <si>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</si>
  <si>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</si>
  <si>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</si>
  <si>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</si>
  <si>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</si>
  <si>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</si>
  <si>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</si>
  <si>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</si>
  <si>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</si>
  <si>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</si>
  <si>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</si>
  <si>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</si>
  <si>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</si>
  <si>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</si>
  <si>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</si>
  <si>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</si>
  <si>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</si>
  <si>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</si>
  <si>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</si>
  <si>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</si>
  <si>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单色</t>
  </si>
  <si>
    <t>P51-N32500-AA</t>
  </si>
  <si>
    <t>Floor hatch cover</t>
  </si>
  <si>
    <t>250 单色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</si>
</sst>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6" formatCode="_ * #,##0.00_ ;_ * \-#,##0.00_ ;_ * &quot;-&quot;??_ ;_ @_ "/>
    <numFmt numFmtId="168" formatCode="_-* #,##0.00\ [$€-1]_-;\-* #,##0.00\ [$€-1]_-;_-* &quot;-&quot;??\ [$€-1]_-"/>
    <numFmt numFmtId="169" formatCode="0.00_ "/>
    <numFmt numFmtId="170" formatCode="0.0000_ "/>
    <numFmt numFmtId="171" formatCode="0.00_);[Red]\(0.00\)"/>
    <numFmt numFmtId="172" formatCode="_ * #,##0.0000_ ;_ * \-#,##0.0000_ ;_ * &quot;-&quot;??.00_ ;_ @_ "/>
    <numFmt numFmtId="173" formatCode="#,##0_ "/>
    <numFmt numFmtId="174" formatCode="#,##0.00_ "/>
    <numFmt numFmtId="175" formatCode="#,##0.000_ "/>
    <numFmt numFmtId="176" formatCode="#,##0.0000_);[Red]\(#,##0.0000\)"/>
    <numFmt numFmtId="177" formatCode="0.0%"/>
    <numFmt numFmtId="178" formatCode="#,##0.000_);[Red]\(#,##0.000\)"/>
    <numFmt numFmtId="179" formatCode="_ * #,##0.0000_ ;_ * \-#,##0.0000_ ;_ * &quot;-&quot;??.0000_ ;_ @_ "/>
    <numFmt numFmtId="180" formatCode="_ * #,##0_ ;_ * \-#,##0_ ;_ * &quot;-&quot;??_ ;_ @_ "/>
  </numFmts>
  <fonts count="20">
    <font>
      <sz val="11"/>
      <color indexed="8"/>
      <name val="宋体"/>
      <charset val="134"/>
    </font>
    <font>
      <sz val="18"/>
      <color indexed="8"/>
      <name val="微软雅黑"/>
      <charset val="134"/>
    </font>
    <font>
      <b/>
      <sz val="11"/>
      <color indexed="8"/>
      <name val="微软雅黑"/>
      <charset val="134"/>
    </font>
    <font>
      <sz val="18"/>
      <name val="微软雅黑"/>
      <charset val="134"/>
    </font>
    <font>
      <b/>
      <sz val="18"/>
      <name val="微软雅黑"/>
      <charset val="134"/>
    </font>
    <font>
      <b/>
      <sz val="18"/>
      <color rgb="FFC00000"/>
      <name val="微软雅黑"/>
      <charset val="134"/>
    </font>
    <font>
      <b/>
      <sz val="14"/>
      <color rgb="FFC00000"/>
      <name val="微软雅黑"/>
      <charset val="134"/>
    </font>
    <font>
      <sz val="18"/>
      <color rgb="FF0070C0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Calibri"/>
      <charset val="134"/>
    </font>
    <font>
      <sz val="11"/>
      <color indexed="8"/>
      <name val="微软雅黑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1"/>
      <name val="ＭＳ Ｐゴシック"/>
      <charset val="134"/>
    </font>
    <font>
      <sz val="14"/>
      <name val="System"/>
      <charset val="134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168" fontId="15" fillId="0" borderId="0"/>
    <xf numFmtId="168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77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9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0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9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9" fillId="0" borderId="1" xfId="7" applyFont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0" fontId="9" fillId="0" borderId="1" xfId="9" applyFont="1" applyBorder="1" applyAlignment="1">
      <alignment horizontal="center" vertical="center"/>
    </xf>
    <xf numFmtId="171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 applyProtection="1">
      <alignment horizontal="center" vertical="center"/>
    </xf>
    <xf numFmtId="172" fontId="9" fillId="0" borderId="1" xfId="6" applyNumberFormat="1" applyFont="1" applyBorder="1" applyAlignment="1">
      <alignment horizontal="right" vertical="center"/>
    </xf>
    <xf numFmtId="173" fontId="11" fillId="2" borderId="1" xfId="0" applyNumberFormat="1" applyFont="1" applyFill="1" applyBorder="1" applyAlignment="1">
      <alignment horizontal="right" vertical="center"/>
    </xf>
    <xf numFmtId="173" fontId="9" fillId="2" borderId="1" xfId="0" applyNumberFormat="1" applyFont="1" applyFill="1" applyBorder="1" applyAlignment="1">
      <alignment horizontal="right" vertical="center"/>
    </xf>
    <xf numFmtId="174" fontId="9" fillId="2" borderId="1" xfId="0" applyNumberFormat="1" applyFont="1" applyFill="1" applyBorder="1" applyAlignment="1">
      <alignment horizontal="right" vertical="center"/>
    </xf>
    <xf numFmtId="175" fontId="9" fillId="0" borderId="1" xfId="6" applyNumberFormat="1" applyFont="1" applyBorder="1" applyAlignment="1">
      <alignment horizontal="right" vertical="center"/>
    </xf>
    <xf numFmtId="9" fontId="9" fillId="0" borderId="1" xfId="1" applyFont="1" applyFill="1" applyBorder="1" applyAlignment="1" applyProtection="1">
      <alignment horizontal="right" vertical="center"/>
    </xf>
    <xf numFmtId="175" fontId="9" fillId="2" borderId="1" xfId="6" applyNumberFormat="1" applyFont="1" applyFill="1" applyBorder="1" applyAlignment="1">
      <alignment horizontal="right" vertical="center"/>
    </xf>
    <xf numFmtId="173" fontId="9" fillId="0" borderId="1" xfId="6" applyNumberFormat="1" applyFont="1" applyBorder="1" applyAlignment="1">
      <alignment horizontal="right" vertical="center"/>
    </xf>
    <xf numFmtId="176" fontId="9" fillId="0" borderId="1" xfId="6" applyNumberFormat="1" applyFont="1" applyBorder="1" applyAlignment="1">
      <alignment horizontal="right" vertical="center"/>
    </xf>
    <xf numFmtId="177" fontId="9" fillId="0" borderId="1" xfId="1" applyNumberFormat="1" applyFont="1" applyFill="1" applyBorder="1" applyAlignment="1" applyProtection="1">
      <alignment horizontal="right" vertical="center"/>
    </xf>
    <xf numFmtId="0" fontId="9" fillId="0" borderId="1" xfId="6" applyFont="1" applyBorder="1" applyAlignment="1">
      <alignment horizontal="center" vertical="center"/>
    </xf>
    <xf numFmtId="178" fontId="9" fillId="0" borderId="1" xfId="6" applyNumberFormat="1" applyFont="1" applyBorder="1" applyAlignment="1">
      <alignment horizontal="right" vertical="center"/>
    </xf>
    <xf numFmtId="9" fontId="10" fillId="0" borderId="1" xfId="1" applyFont="1" applyFill="1" applyBorder="1" applyAlignment="1" applyProtection="1">
      <alignment horizontal="right" vertical="center"/>
    </xf>
    <xf numFmtId="9" fontId="9" fillId="0" borderId="1" xfId="1" applyFont="1" applyFill="1" applyBorder="1" applyAlignment="1" applyProtection="1"/>
    <xf numFmtId="179" fontId="9" fillId="0" borderId="1" xfId="9" applyNumberFormat="1" applyFont="1" applyBorder="1" applyAlignment="1">
      <alignment horizontal="center" vertical="center"/>
    </xf>
    <xf numFmtId="9" fontId="13" fillId="0" borderId="1" xfId="1" applyFont="1" applyFill="1" applyBorder="1" applyAlignment="1" applyProtection="1">
      <alignment horizontal="right" vertical="center" wrapText="1"/>
    </xf>
    <xf numFmtId="180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80" fontId="9" fillId="0" borderId="1" xfId="9" applyNumberFormat="1" applyFont="1" applyBorder="1" applyAlignment="1">
      <alignment horizontal="center" vertical="center"/>
    </xf>
    <xf numFmtId="8" fontId="3" fillId="2" borderId="1" xfId="0" applyNumberFormat="1" applyFont="1" applyFill="1" applyBorder="1" applyAlignment="1">
      <alignment horizontal="center" vertical="center" wrapText="1"/>
    </xf>
    <xf numFmtId="8" fontId="3" fillId="2" borderId="1" xfId="0" applyNumberFormat="1" applyFont="1" applyFill="1" applyBorder="1" applyAlignment="1">
      <alignment horizontal="center" vertical="center"/>
    </xf>
    <xf numFmtId="8" fontId="4" fillId="3" borderId="1" xfId="6" applyNumberFormat="1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18"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"/>
  <sheetViews>
    <sheetView tabSelected="1" topLeftCell="W1" workbookViewId="0">
      <selection activeCell="AG4" sqref="AG4"/>
    </sheetView>
  </sheetViews>
  <sheetFormatPr baseColWidth="10" defaultColWidth="9" defaultRowHeight="14"/>
  <cols>
    <col min="1" max="1" width="6.33203125" customWidth="1"/>
    <col min="2" max="2" width="7.5" customWidth="1"/>
    <col min="4" max="4" width="19.33203125" customWidth="1"/>
    <col min="5" max="5" width="10.6640625" customWidth="1"/>
    <col min="6" max="6" width="12.1640625" customWidth="1"/>
    <col min="26" max="26" width="11.33203125" customWidth="1"/>
    <col min="27" max="27" width="8" customWidth="1"/>
    <col min="32" max="32" width="7.5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76" t="s">
        <v>2</v>
      </c>
      <c r="F1" s="76"/>
      <c r="G1" s="76"/>
      <c r="H1" s="76"/>
      <c r="I1" s="76"/>
      <c r="J1" s="76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76"/>
      <c r="F2" s="76"/>
      <c r="G2" s="76"/>
      <c r="H2" s="76"/>
      <c r="I2" s="76"/>
      <c r="J2" s="76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73" t="s">
        <v>3</v>
      </c>
      <c r="AO2" s="74"/>
      <c r="AP2" s="19"/>
      <c r="AQ2" s="19"/>
      <c r="AR2" s="9"/>
      <c r="AS2" s="75" t="s">
        <v>4</v>
      </c>
      <c r="AT2" s="75"/>
      <c r="AU2" s="75" t="s">
        <v>5</v>
      </c>
      <c r="AV2" s="75"/>
      <c r="AW2" s="75" t="s">
        <v>6</v>
      </c>
      <c r="AX2" s="75"/>
      <c r="AY2" s="75" t="s">
        <v>7</v>
      </c>
      <c r="AZ2" s="75"/>
      <c r="BA2" s="75" t="s">
        <v>8</v>
      </c>
      <c r="BB2" s="75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68">
      <c r="A3" s="22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22" t="s">
        <v>15</v>
      </c>
      <c r="H3" s="23" t="s">
        <v>16</v>
      </c>
      <c r="I3" s="23" t="s">
        <v>17</v>
      </c>
      <c r="J3" s="23" t="s">
        <v>18</v>
      </c>
      <c r="K3" s="23" t="s">
        <v>19</v>
      </c>
      <c r="L3" s="23" t="s">
        <v>20</v>
      </c>
      <c r="M3" s="23" t="s">
        <v>21</v>
      </c>
      <c r="N3" s="24" t="s">
        <v>22</v>
      </c>
      <c r="O3" s="23" t="s">
        <v>23</v>
      </c>
      <c r="P3" s="23" t="s">
        <v>24</v>
      </c>
      <c r="Q3" s="23" t="s">
        <v>25</v>
      </c>
      <c r="R3" s="23" t="s">
        <v>26</v>
      </c>
      <c r="S3" s="23" t="s">
        <v>27</v>
      </c>
      <c r="T3" s="23" t="s">
        <v>28</v>
      </c>
      <c r="U3" s="23" t="s">
        <v>29</v>
      </c>
      <c r="V3" s="23" t="s">
        <v>30</v>
      </c>
      <c r="W3" s="23" t="s">
        <v>31</v>
      </c>
      <c r="X3" s="23" t="s">
        <v>32</v>
      </c>
      <c r="Y3" s="23" t="s">
        <v>33</v>
      </c>
      <c r="Z3" s="25" t="s">
        <v>34</v>
      </c>
      <c r="AA3" s="23" t="s">
        <v>29</v>
      </c>
      <c r="AB3" s="25" t="s">
        <v>35</v>
      </c>
      <c r="AC3" s="23" t="s">
        <v>36</v>
      </c>
      <c r="AD3" s="25" t="s">
        <v>37</v>
      </c>
      <c r="AE3" s="25" t="s">
        <v>38</v>
      </c>
      <c r="AF3" s="25"/>
      <c r="AG3" s="25" t="s">
        <v>39</v>
      </c>
      <c r="AH3" s="25"/>
      <c r="AI3" s="25" t="s">
        <v>40</v>
      </c>
      <c r="AJ3" s="25" t="s">
        <v>41</v>
      </c>
      <c r="AK3" s="25" t="s">
        <v>42</v>
      </c>
      <c r="AL3" s="25" t="s">
        <v>43</v>
      </c>
      <c r="AM3" s="26" t="s">
        <v>44</v>
      </c>
      <c r="AN3" s="26" t="s">
        <v>45</v>
      </c>
      <c r="AO3" s="26" t="s">
        <v>46</v>
      </c>
      <c r="AP3" s="27" t="s">
        <v>47</v>
      </c>
      <c r="AQ3" s="25" t="s">
        <v>48</v>
      </c>
      <c r="AR3" s="28"/>
      <c r="AS3" s="29"/>
      <c r="AT3" s="25" t="s">
        <v>49</v>
      </c>
      <c r="AU3" s="29"/>
      <c r="AV3" s="25" t="s">
        <v>49</v>
      </c>
      <c r="AW3" s="29"/>
      <c r="AX3" s="25" t="s">
        <v>49</v>
      </c>
      <c r="AY3" s="29"/>
      <c r="AZ3" s="25" t="s">
        <v>49</v>
      </c>
      <c r="BA3" s="29"/>
      <c r="BB3" s="25" t="s">
        <v>49</v>
      </c>
      <c r="BC3" s="30" t="s">
        <v>50</v>
      </c>
      <c r="BD3" s="30" t="s">
        <v>51</v>
      </c>
      <c r="BE3" s="30" t="s">
        <v>52</v>
      </c>
      <c r="BF3" s="30" t="s">
        <v>53</v>
      </c>
      <c r="BG3" s="30" t="s">
        <v>54</v>
      </c>
      <c r="BH3" s="30" t="s">
        <v>55</v>
      </c>
      <c r="BI3" s="30" t="s">
        <v>56</v>
      </c>
      <c r="BJ3" s="30" t="s">
        <v>57</v>
      </c>
      <c r="BK3" s="31" t="s">
        <v>58</v>
      </c>
      <c r="BL3" s="32" t="s">
        <v>59</v>
      </c>
    </row>
    <row r="4" spans="1:64" s="3" customFormat="1" ht="66" customHeight="1">
      <c r="A4" s="33">
        <v>1</v>
      </c>
      <c r="B4" s="34" t="s">
        <v>60</v>
      </c>
      <c r="C4" s="34" t="s">
        <v>61</v>
      </c>
      <c r="D4" s="35" t="s">
        <v>62</v>
      </c>
      <c r="E4" s="36"/>
      <c r="F4" s="37"/>
      <c r="G4" s="38">
        <v>4</v>
      </c>
      <c r="H4" s="39">
        <v>4</v>
      </c>
      <c r="I4" s="40"/>
      <c r="J4" s="41"/>
      <c r="K4" s="42">
        <v>52.5</v>
      </c>
      <c r="L4" s="43">
        <v>3</v>
      </c>
      <c r="M4" s="44">
        <f>ROUND(K4/L4/12*10000,-2)</f>
        <v>14600</v>
      </c>
      <c r="N4" s="45">
        <v>28</v>
      </c>
      <c r="O4" s="46">
        <v>14</v>
      </c>
      <c r="P4" s="47">
        <v>0</v>
      </c>
      <c r="Q4" s="48"/>
      <c r="R4" s="49">
        <v>6000</v>
      </c>
      <c r="S4" s="50">
        <f>(N4+O4*(1-P4)/H4)*(1+Q4)+R4/M4</f>
        <v>31.910958904109588</v>
      </c>
      <c r="T4" s="46">
        <v>9.1</v>
      </c>
      <c r="U4" s="51">
        <v>0.01</v>
      </c>
      <c r="V4" s="52">
        <f>(S4*T4/1000)*(1+U4)</f>
        <v>0.29329362328767117</v>
      </c>
      <c r="W4" s="53" t="s">
        <v>63</v>
      </c>
      <c r="X4" s="54">
        <v>40</v>
      </c>
      <c r="Y4" s="55">
        <v>1.5</v>
      </c>
      <c r="Z4" s="56">
        <f>Y4/60/0.9</f>
        <v>2.7777777777777801E-2</v>
      </c>
      <c r="AA4" s="57">
        <f>U4</f>
        <v>0.01</v>
      </c>
      <c r="AB4" s="56">
        <f>(Z4*X4/H4)*(1+AA4)</f>
        <v>0.280555555555556</v>
      </c>
      <c r="AC4" s="56">
        <f>V4*0.03</f>
        <v>8.7988086986301346E-3</v>
      </c>
      <c r="AD4" s="56">
        <f>(AB4)*0.08</f>
        <v>2.2444444444444399E-2</v>
      </c>
      <c r="AE4" s="58">
        <v>0.1</v>
      </c>
      <c r="AF4" s="57">
        <f>AE4/$AL4</f>
        <v>9.971748442394128E-2</v>
      </c>
      <c r="AG4" s="58">
        <v>0.1</v>
      </c>
      <c r="AH4" s="57">
        <f>AG4/$AL4</f>
        <v>9.971748442394128E-2</v>
      </c>
      <c r="AI4" s="56">
        <f>(AB4+AC4+AD4+AE4+AG4+V4)*8%</f>
        <v>6.4407394558904138E-2</v>
      </c>
      <c r="AJ4" s="59">
        <v>70000</v>
      </c>
      <c r="AK4" s="56">
        <f>AJ4/525000</f>
        <v>0.13333333333333333</v>
      </c>
      <c r="AL4" s="60">
        <f>SUM($V4+$AB4+$AC4+$AD4+$AE4+$AG4+$AI4+$AK4)</f>
        <v>1.0028331598785387</v>
      </c>
      <c r="AM4" s="61"/>
      <c r="AN4" s="57"/>
      <c r="AO4" s="62"/>
      <c r="AP4" s="63">
        <f>PRODUCT($AL4,1/(1-AM4),1/(1-$AS4),1/(1-$AU4),1/(1-$AW4),1/(1-$AY4),1/(1-$BA4))</f>
        <v>1.0028331598785387</v>
      </c>
      <c r="AQ4" s="64">
        <f>V4/AP4</f>
        <v>0.29246502311829653</v>
      </c>
      <c r="AR4" s="28"/>
      <c r="AS4" s="65">
        <f>$AS$3</f>
        <v>0</v>
      </c>
      <c r="AT4" s="66">
        <f>AP4*(1-$AM4)</f>
        <v>1.0028331598785387</v>
      </c>
      <c r="AU4" s="65">
        <f>$AU$3</f>
        <v>0</v>
      </c>
      <c r="AV4" s="66">
        <f>$AT4*(1-$AU4)</f>
        <v>1.0028331598785387</v>
      </c>
      <c r="AW4" s="65">
        <f>$AW$3</f>
        <v>0</v>
      </c>
      <c r="AX4" s="66">
        <f>$AV4*(1-$AW4)</f>
        <v>1.0028331598785387</v>
      </c>
      <c r="AY4" s="65">
        <f>$AY$3</f>
        <v>0</v>
      </c>
      <c r="AZ4" s="66">
        <f>$AX4*(1-$AY4)</f>
        <v>1.0028331598785387</v>
      </c>
      <c r="BA4" s="65">
        <f>$BA$3</f>
        <v>0</v>
      </c>
      <c r="BB4" s="66">
        <f>$AX4*(1-$AY4)</f>
        <v>1.0028331598785387</v>
      </c>
      <c r="BC4" s="67"/>
      <c r="BD4" s="68"/>
      <c r="BE4" s="68"/>
      <c r="BF4" s="69"/>
      <c r="BG4" s="70"/>
      <c r="BH4" s="70"/>
      <c r="BI4" s="70"/>
      <c r="BJ4" s="71"/>
      <c r="BK4" s="72"/>
      <c r="BL4" s="72"/>
    </row>
  </sheetData>
  <mergeCells count="7">
    <mergeCell ref="BA2:BB2"/>
    <mergeCell ref="E1:J2"/>
    <mergeCell ref="AN2:AO2"/>
    <mergeCell ref="AS2:AT2"/>
    <mergeCell ref="AU2:AV2"/>
    <mergeCell ref="AW2:AX2"/>
    <mergeCell ref="AY2:AZ2"/>
  </mergeCells>
  <conditionalFormatting sqref="AS4:BB4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2026-07-06T13:36:40Z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