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8FF32A7D-9DBF-0740-94A6-CBEE395BE4BB}" xr6:coauthVersionLast="47" xr6:coauthVersionMax="47" xr10:uidLastSave="{00000000-0000-0000-0000-000000000000}"/>
  <bookViews>
    <workbookView xWindow="3060" yWindow="600" windowWidth="35340" windowHeight="19200" tabRatio="56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2" l="1"/>
  <c r="AI11" i="2"/>
  <c r="AI10" i="2"/>
  <c r="AI9" i="2"/>
  <c r="AJ14" i="2"/>
  <c r="AK14" i="2" s="1"/>
  <c r="AA14" i="2"/>
  <c r="Z14" i="2"/>
  <c r="AB14" i="2" s="1"/>
  <c r="M14" i="2"/>
  <c r="S14" i="2" s="1"/>
  <c r="V14" i="2" s="1"/>
  <c r="AJ13" i="2"/>
  <c r="AK13" i="2" s="1"/>
  <c r="AA13" i="2"/>
  <c r="Z13" i="2"/>
  <c r="AB13" i="2" s="1"/>
  <c r="M13" i="2"/>
  <c r="S13" i="2" s="1"/>
  <c r="V13" i="2" s="1"/>
  <c r="AK12" i="2"/>
  <c r="AA12" i="2"/>
  <c r="Z12" i="2"/>
  <c r="AB12" i="2" s="1"/>
  <c r="M12" i="2"/>
  <c r="S12" i="2" s="1"/>
  <c r="V12" i="2" s="1"/>
  <c r="AK11" i="2"/>
  <c r="AA11" i="2"/>
  <c r="Z11" i="2"/>
  <c r="AB11" i="2" s="1"/>
  <c r="M11" i="2"/>
  <c r="S11" i="2" s="1"/>
  <c r="V11" i="2" s="1"/>
  <c r="AK10" i="2"/>
  <c r="AA10" i="2"/>
  <c r="Z10" i="2"/>
  <c r="AB10" i="2" s="1"/>
  <c r="M10" i="2"/>
  <c r="S10" i="2" s="1"/>
  <c r="V10" i="2" s="1"/>
  <c r="AK9" i="2"/>
  <c r="AB9" i="2"/>
  <c r="AD9" i="2" s="1"/>
  <c r="AA9" i="2"/>
  <c r="Z9" i="2"/>
  <c r="M9" i="2"/>
  <c r="S9" i="2" s="1"/>
  <c r="V9" i="2" s="1"/>
  <c r="AB32" i="1"/>
  <c r="AI32" i="1"/>
  <c r="AK37" i="1"/>
  <c r="AK36" i="1"/>
  <c r="AK35" i="1"/>
  <c r="AK34" i="1"/>
  <c r="AK33" i="1"/>
  <c r="AK32" i="1"/>
  <c r="AJ37" i="1"/>
  <c r="AJ36" i="1"/>
  <c r="AA37" i="1"/>
  <c r="Z37" i="1"/>
  <c r="AB37" i="1" s="1"/>
  <c r="M37" i="1"/>
  <c r="S37" i="1" s="1"/>
  <c r="V37" i="1" s="1"/>
  <c r="AA36" i="1"/>
  <c r="Z36" i="1"/>
  <c r="AB36" i="1" s="1"/>
  <c r="M36" i="1"/>
  <c r="S36" i="1" s="1"/>
  <c r="V36" i="1" s="1"/>
  <c r="AA35" i="1"/>
  <c r="Z35" i="1"/>
  <c r="AB35" i="1" s="1"/>
  <c r="M35" i="1"/>
  <c r="S35" i="1" s="1"/>
  <c r="V35" i="1" s="1"/>
  <c r="AA34" i="1"/>
  <c r="Z34" i="1"/>
  <c r="AB34" i="1" s="1"/>
  <c r="AD34" i="1" s="1"/>
  <c r="M34" i="1"/>
  <c r="S34" i="1" s="1"/>
  <c r="V34" i="1" s="1"/>
  <c r="AA33" i="1"/>
  <c r="Z33" i="1"/>
  <c r="AB33" i="1" s="1"/>
  <c r="AD33" i="1" s="1"/>
  <c r="M33" i="1"/>
  <c r="S33" i="1" s="1"/>
  <c r="V33" i="1" s="1"/>
  <c r="AA32" i="1"/>
  <c r="Z32" i="1"/>
  <c r="S32" i="1"/>
  <c r="V32" i="1" s="1"/>
  <c r="M32" i="1"/>
  <c r="AK17" i="1"/>
  <c r="BJ17" i="1" s="1"/>
  <c r="AK16" i="1"/>
  <c r="BJ16" i="1" s="1"/>
  <c r="AK14" i="1"/>
  <c r="AK15" i="1"/>
  <c r="BJ15" i="1" s="1"/>
  <c r="AK13" i="1"/>
  <c r="BJ13" i="1" s="1"/>
  <c r="AK12" i="1"/>
  <c r="BJ12" i="1" s="1"/>
  <c r="BA17" i="1"/>
  <c r="AY17" i="1"/>
  <c r="AW17" i="1"/>
  <c r="AU17" i="1"/>
  <c r="AS17" i="1"/>
  <c r="AA17" i="1"/>
  <c r="Z17" i="1"/>
  <c r="AB17" i="1" s="1"/>
  <c r="M17" i="1"/>
  <c r="S17" i="1" s="1"/>
  <c r="V17" i="1" s="1"/>
  <c r="AC17" i="1" s="1"/>
  <c r="BA16" i="1"/>
  <c r="AY16" i="1"/>
  <c r="AW16" i="1"/>
  <c r="AU16" i="1"/>
  <c r="AS16" i="1"/>
  <c r="AA16" i="1"/>
  <c r="Z16" i="1"/>
  <c r="AB16" i="1" s="1"/>
  <c r="M16" i="1"/>
  <c r="S16" i="1" s="1"/>
  <c r="V16" i="1" s="1"/>
  <c r="AC16" i="1" s="1"/>
  <c r="BA15" i="1"/>
  <c r="AY15" i="1"/>
  <c r="AW15" i="1"/>
  <c r="AU15" i="1"/>
  <c r="AS15" i="1"/>
  <c r="AA15" i="1"/>
  <c r="Z15" i="1"/>
  <c r="AB15" i="1" s="1"/>
  <c r="M15" i="1"/>
  <c r="S15" i="1" s="1"/>
  <c r="V15" i="1" s="1"/>
  <c r="AC15" i="1" s="1"/>
  <c r="BA14" i="1"/>
  <c r="AY14" i="1"/>
  <c r="AW14" i="1"/>
  <c r="AU14" i="1"/>
  <c r="AS14" i="1"/>
  <c r="BJ14" i="1"/>
  <c r="AA14" i="1"/>
  <c r="Z14" i="1"/>
  <c r="AB14" i="1" s="1"/>
  <c r="M14" i="1"/>
  <c r="S14" i="1" s="1"/>
  <c r="V14" i="1" s="1"/>
  <c r="AC14" i="1" s="1"/>
  <c r="BA13" i="1"/>
  <c r="AY13" i="1"/>
  <c r="AW13" i="1"/>
  <c r="AU13" i="1"/>
  <c r="AS13" i="1"/>
  <c r="AA13" i="1"/>
  <c r="Z13" i="1"/>
  <c r="AB13" i="1" s="1"/>
  <c r="M13" i="1"/>
  <c r="S13" i="1" s="1"/>
  <c r="V13" i="1" s="1"/>
  <c r="AC13" i="1" s="1"/>
  <c r="BA12" i="1"/>
  <c r="AY12" i="1"/>
  <c r="AW12" i="1"/>
  <c r="AU12" i="1"/>
  <c r="AS12" i="1"/>
  <c r="AA12" i="1"/>
  <c r="Z12" i="1"/>
  <c r="AB12" i="1" s="1"/>
  <c r="M12" i="1"/>
  <c r="S12" i="1" s="1"/>
  <c r="V12" i="1" s="1"/>
  <c r="AC12" i="1" s="1"/>
  <c r="AK24" i="1"/>
  <c r="BJ24" i="1" s="1"/>
  <c r="AK23" i="1"/>
  <c r="AK20" i="1"/>
  <c r="AK21" i="1"/>
  <c r="BJ21" i="1" s="1"/>
  <c r="AK22" i="1"/>
  <c r="AK19" i="1"/>
  <c r="BJ19" i="1" s="1"/>
  <c r="BJ23" i="1"/>
  <c r="BJ22" i="1"/>
  <c r="BJ20" i="1"/>
  <c r="BA24" i="1"/>
  <c r="AY24" i="1"/>
  <c r="AW24" i="1"/>
  <c r="AU24" i="1"/>
  <c r="AS24" i="1"/>
  <c r="AA24" i="1"/>
  <c r="Z24" i="1"/>
  <c r="AB24" i="1" s="1"/>
  <c r="M24" i="1"/>
  <c r="S24" i="1" s="1"/>
  <c r="V24" i="1" s="1"/>
  <c r="BA23" i="1"/>
  <c r="AY23" i="1"/>
  <c r="AW23" i="1"/>
  <c r="AU23" i="1"/>
  <c r="AS23" i="1"/>
  <c r="AA23" i="1"/>
  <c r="Z23" i="1"/>
  <c r="M23" i="1"/>
  <c r="S23" i="1" s="1"/>
  <c r="V23" i="1" s="1"/>
  <c r="BA22" i="1"/>
  <c r="AY22" i="1"/>
  <c r="AW22" i="1"/>
  <c r="AU22" i="1"/>
  <c r="AS22" i="1"/>
  <c r="AA22" i="1"/>
  <c r="Z22" i="1"/>
  <c r="M22" i="1"/>
  <c r="S22" i="1" s="1"/>
  <c r="V22" i="1" s="1"/>
  <c r="BA21" i="1"/>
  <c r="AY21" i="1"/>
  <c r="AW21" i="1"/>
  <c r="AU21" i="1"/>
  <c r="AS21" i="1"/>
  <c r="AA21" i="1"/>
  <c r="Z21" i="1"/>
  <c r="AB21" i="1" s="1"/>
  <c r="M21" i="1"/>
  <c r="S21" i="1" s="1"/>
  <c r="V21" i="1" s="1"/>
  <c r="BA20" i="1"/>
  <c r="AY20" i="1"/>
  <c r="AW20" i="1"/>
  <c r="AU20" i="1"/>
  <c r="AS20" i="1"/>
  <c r="AA20" i="1"/>
  <c r="Z20" i="1"/>
  <c r="M20" i="1"/>
  <c r="S20" i="1" s="1"/>
  <c r="V20" i="1" s="1"/>
  <c r="BA19" i="1"/>
  <c r="AY19" i="1"/>
  <c r="AW19" i="1"/>
  <c r="AU19" i="1"/>
  <c r="AS19" i="1"/>
  <c r="AA19" i="1"/>
  <c r="Z19" i="1"/>
  <c r="M19" i="1"/>
  <c r="S19" i="1" s="1"/>
  <c r="V19" i="1" s="1"/>
  <c r="BA9" i="1"/>
  <c r="AY9" i="1"/>
  <c r="AW9" i="1"/>
  <c r="AU9" i="1"/>
  <c r="AS9" i="1"/>
  <c r="AK9" i="1"/>
  <c r="BJ9" i="1" s="1"/>
  <c r="AA9" i="1"/>
  <c r="Z9" i="1"/>
  <c r="AB9" i="1" s="1"/>
  <c r="M9" i="1"/>
  <c r="S9" i="1" s="1"/>
  <c r="V9" i="1" s="1"/>
  <c r="BA8" i="1"/>
  <c r="AY8" i="1"/>
  <c r="AW8" i="1"/>
  <c r="AU8" i="1"/>
  <c r="AS8" i="1"/>
  <c r="AK8" i="1"/>
  <c r="BJ8" i="1" s="1"/>
  <c r="AA8" i="1"/>
  <c r="Z8" i="1"/>
  <c r="M8" i="1"/>
  <c r="S8" i="1" s="1"/>
  <c r="V8" i="1" s="1"/>
  <c r="BA7" i="1"/>
  <c r="AY7" i="1"/>
  <c r="AW7" i="1"/>
  <c r="AU7" i="1"/>
  <c r="AS7" i="1"/>
  <c r="AK7" i="1"/>
  <c r="BJ7" i="1" s="1"/>
  <c r="AA7" i="1"/>
  <c r="Z7" i="1"/>
  <c r="M7" i="1"/>
  <c r="S7" i="1" s="1"/>
  <c r="V7" i="1" s="1"/>
  <c r="BA6" i="1"/>
  <c r="AY6" i="1"/>
  <c r="AW6" i="1"/>
  <c r="AU6" i="1"/>
  <c r="AS6" i="1"/>
  <c r="AK6" i="1"/>
  <c r="BJ6" i="1" s="1"/>
  <c r="AA6" i="1"/>
  <c r="Z6" i="1"/>
  <c r="M6" i="1"/>
  <c r="S6" i="1" s="1"/>
  <c r="V6" i="1" s="1"/>
  <c r="BA5" i="1"/>
  <c r="AY5" i="1"/>
  <c r="AW5" i="1"/>
  <c r="AU5" i="1"/>
  <c r="AS5" i="1"/>
  <c r="AK5" i="1"/>
  <c r="BJ5" i="1" s="1"/>
  <c r="AA5" i="1"/>
  <c r="Z5" i="1"/>
  <c r="M5" i="1"/>
  <c r="S5" i="1" s="1"/>
  <c r="V5" i="1" s="1"/>
  <c r="BA4" i="1"/>
  <c r="AY4" i="1"/>
  <c r="AW4" i="1"/>
  <c r="AU4" i="1"/>
  <c r="AS4" i="1"/>
  <c r="AK4" i="1"/>
  <c r="BJ4" i="1" s="1"/>
  <c r="AA4" i="1"/>
  <c r="Z4" i="1"/>
  <c r="AB4" i="1" s="1"/>
  <c r="M4" i="1"/>
  <c r="S4" i="1" s="1"/>
  <c r="V4" i="1" s="1"/>
  <c r="AD11" i="2" l="1"/>
  <c r="AC13" i="2"/>
  <c r="AD10" i="2"/>
  <c r="AD14" i="2"/>
  <c r="AD12" i="2"/>
  <c r="AL12" i="2" s="1"/>
  <c r="AC10" i="2"/>
  <c r="AL10" i="2" s="1"/>
  <c r="AC14" i="2"/>
  <c r="AI14" i="2" s="1"/>
  <c r="AC12" i="2"/>
  <c r="AC9" i="2"/>
  <c r="AD13" i="2"/>
  <c r="AC11" i="2"/>
  <c r="AL9" i="2"/>
  <c r="AC35" i="1"/>
  <c r="AI35" i="1" s="1"/>
  <c r="AD36" i="1"/>
  <c r="AC37" i="1"/>
  <c r="AI37" i="1" s="1"/>
  <c r="AC32" i="1"/>
  <c r="AC33" i="1"/>
  <c r="AD37" i="1"/>
  <c r="AD35" i="1"/>
  <c r="AD32" i="1"/>
  <c r="AC36" i="1"/>
  <c r="AI36" i="1" s="1"/>
  <c r="AC34" i="1"/>
  <c r="AI34" i="1" s="1"/>
  <c r="AB5" i="1"/>
  <c r="AB19" i="1"/>
  <c r="AB7" i="1"/>
  <c r="AB23" i="1"/>
  <c r="AD23" i="1" s="1"/>
  <c r="AD15" i="1"/>
  <c r="AI15" i="1" s="1"/>
  <c r="AD14" i="1"/>
  <c r="AI14" i="1" s="1"/>
  <c r="AD12" i="1"/>
  <c r="AD13" i="1"/>
  <c r="AI13" i="1" s="1"/>
  <c r="AD17" i="1"/>
  <c r="AI17" i="1" s="1"/>
  <c r="AD16" i="1"/>
  <c r="AB8" i="1"/>
  <c r="AD8" i="1" s="1"/>
  <c r="AB20" i="1"/>
  <c r="AD20" i="1" s="1"/>
  <c r="AB6" i="1"/>
  <c r="AD6" i="1" s="1"/>
  <c r="AB22" i="1"/>
  <c r="AC20" i="1"/>
  <c r="AD22" i="1"/>
  <c r="AD19" i="1"/>
  <c r="AC22" i="1"/>
  <c r="AC19" i="1"/>
  <c r="AC24" i="1"/>
  <c r="AD24" i="1"/>
  <c r="AC21" i="1"/>
  <c r="AD21" i="1"/>
  <c r="AC23" i="1"/>
  <c r="AD9" i="1"/>
  <c r="AC5" i="1"/>
  <c r="AC9" i="1"/>
  <c r="AC6" i="1"/>
  <c r="AC7" i="1"/>
  <c r="AC4" i="1"/>
  <c r="AD4" i="1"/>
  <c r="AC8" i="1"/>
  <c r="AD5" i="1"/>
  <c r="AD7" i="1"/>
  <c r="AH9" i="2" l="1"/>
  <c r="AF9" i="2"/>
  <c r="AH10" i="2"/>
  <c r="AF10" i="2"/>
  <c r="AH12" i="2"/>
  <c r="AF12" i="2"/>
  <c r="AL14" i="2"/>
  <c r="AI13" i="2"/>
  <c r="AL13" i="2" s="1"/>
  <c r="AL11" i="2"/>
  <c r="AI33" i="1"/>
  <c r="AL33" i="1" s="1"/>
  <c r="AL35" i="1"/>
  <c r="AF35" i="1" s="1"/>
  <c r="AL34" i="1"/>
  <c r="AH34" i="1" s="1"/>
  <c r="AL32" i="1"/>
  <c r="AL37" i="1"/>
  <c r="AL36" i="1"/>
  <c r="AF34" i="1"/>
  <c r="AI16" i="1"/>
  <c r="AI12" i="1"/>
  <c r="AE8" i="1"/>
  <c r="AG6" i="1"/>
  <c r="AI21" i="1"/>
  <c r="AL21" i="1" s="1"/>
  <c r="AE6" i="1"/>
  <c r="AI6" i="1"/>
  <c r="AG4" i="1"/>
  <c r="AG9" i="1"/>
  <c r="AE4" i="1"/>
  <c r="AE9" i="1"/>
  <c r="AE7" i="1"/>
  <c r="AE5" i="1"/>
  <c r="AG7" i="1"/>
  <c r="AG5" i="1"/>
  <c r="AG8" i="1"/>
  <c r="AF13" i="2" l="1"/>
  <c r="AH13" i="2"/>
  <c r="AF11" i="2"/>
  <c r="AH11" i="2"/>
  <c r="AF14" i="2"/>
  <c r="AH14" i="2"/>
  <c r="AF33" i="1"/>
  <c r="AH33" i="1"/>
  <c r="AF32" i="1"/>
  <c r="AQ32" i="1"/>
  <c r="AH32" i="1"/>
  <c r="AH35" i="1"/>
  <c r="AH36" i="1"/>
  <c r="AF36" i="1"/>
  <c r="AH37" i="1"/>
  <c r="AF37" i="1"/>
  <c r="AL12" i="1"/>
  <c r="AL16" i="1"/>
  <c r="AL14" i="1"/>
  <c r="AL17" i="1"/>
  <c r="AF17" i="1" s="1"/>
  <c r="AL15" i="1"/>
  <c r="AL13" i="1"/>
  <c r="AF13" i="1" s="1"/>
  <c r="AL6" i="1"/>
  <c r="AF6" i="1" s="1"/>
  <c r="AI20" i="1"/>
  <c r="AL20" i="1" s="1"/>
  <c r="AF20" i="1" s="1"/>
  <c r="AI19" i="1"/>
  <c r="AL19" i="1" s="1"/>
  <c r="AI22" i="1"/>
  <c r="AL22" i="1" s="1"/>
  <c r="AI24" i="1"/>
  <c r="AL24" i="1" s="1"/>
  <c r="BL21" i="1"/>
  <c r="BK21" i="1"/>
  <c r="AP21" i="1"/>
  <c r="AF21" i="1"/>
  <c r="AH21" i="1"/>
  <c r="AI23" i="1"/>
  <c r="AL23" i="1" s="1"/>
  <c r="AI8" i="1"/>
  <c r="AI7" i="1"/>
  <c r="AL7" i="1" s="1"/>
  <c r="AL8" i="1"/>
  <c r="AP6" i="1"/>
  <c r="AI9" i="1"/>
  <c r="AL9" i="1" s="1"/>
  <c r="AH9" i="1" s="1"/>
  <c r="AI4" i="1"/>
  <c r="AL4" i="1" s="1"/>
  <c r="AI5" i="1"/>
  <c r="AL5" i="1" s="1"/>
  <c r="AH6" i="1" l="1"/>
  <c r="BK6" i="1"/>
  <c r="AH13" i="1"/>
  <c r="BL15" i="1"/>
  <c r="BK15" i="1"/>
  <c r="AP15" i="1"/>
  <c r="AF15" i="1"/>
  <c r="AH15" i="1"/>
  <c r="BL16" i="1"/>
  <c r="BK16" i="1"/>
  <c r="AP16" i="1"/>
  <c r="AH16" i="1"/>
  <c r="AF16" i="1"/>
  <c r="BL12" i="1"/>
  <c r="BK12" i="1"/>
  <c r="AP12" i="1"/>
  <c r="AH12" i="1"/>
  <c r="AF12" i="1"/>
  <c r="BL14" i="1"/>
  <c r="BK14" i="1"/>
  <c r="AP14" i="1"/>
  <c r="AF14" i="1"/>
  <c r="AH14" i="1"/>
  <c r="BL6" i="1"/>
  <c r="BL13" i="1"/>
  <c r="BK13" i="1"/>
  <c r="AP13" i="1"/>
  <c r="BL17" i="1"/>
  <c r="BK17" i="1"/>
  <c r="AP17" i="1"/>
  <c r="AH17" i="1"/>
  <c r="AH20" i="1"/>
  <c r="BL20" i="1"/>
  <c r="AP20" i="1"/>
  <c r="AT20" i="1" s="1"/>
  <c r="AV20" i="1" s="1"/>
  <c r="AX20" i="1" s="1"/>
  <c r="BK20" i="1"/>
  <c r="BL23" i="1"/>
  <c r="BK23" i="1"/>
  <c r="AP23" i="1"/>
  <c r="AH23" i="1"/>
  <c r="AF23" i="1"/>
  <c r="BL24" i="1"/>
  <c r="BK24" i="1"/>
  <c r="AP24" i="1"/>
  <c r="AH24" i="1"/>
  <c r="AF24" i="1"/>
  <c r="BL22" i="1"/>
  <c r="BK22" i="1"/>
  <c r="AP22" i="1"/>
  <c r="AF22" i="1"/>
  <c r="BL19" i="1"/>
  <c r="BK19" i="1"/>
  <c r="AP19" i="1"/>
  <c r="AH19" i="1"/>
  <c r="AT21" i="1"/>
  <c r="AV21" i="1" s="1"/>
  <c r="AX21" i="1" s="1"/>
  <c r="AQ21" i="1"/>
  <c r="AH22" i="1"/>
  <c r="AF19" i="1"/>
  <c r="BL4" i="1"/>
  <c r="BK4" i="1"/>
  <c r="AP4" i="1"/>
  <c r="AH4" i="1"/>
  <c r="AF4" i="1"/>
  <c r="AF9" i="1"/>
  <c r="BL7" i="1"/>
  <c r="BK7" i="1"/>
  <c r="AP7" i="1"/>
  <c r="AT6" i="1"/>
  <c r="AV6" i="1" s="1"/>
  <c r="AX6" i="1" s="1"/>
  <c r="AQ6" i="1"/>
  <c r="BL8" i="1"/>
  <c r="BK8" i="1"/>
  <c r="AP8" i="1"/>
  <c r="AF8" i="1"/>
  <c r="BL5" i="1"/>
  <c r="BK5" i="1"/>
  <c r="AP5" i="1"/>
  <c r="AF5" i="1"/>
  <c r="AH7" i="1"/>
  <c r="AH5" i="1"/>
  <c r="AH8" i="1"/>
  <c r="BL9" i="1"/>
  <c r="BK9" i="1"/>
  <c r="AP9" i="1"/>
  <c r="AF7" i="1"/>
  <c r="AT15" i="1" l="1"/>
  <c r="AV15" i="1" s="1"/>
  <c r="AX15" i="1" s="1"/>
  <c r="AQ15" i="1"/>
  <c r="AT12" i="1"/>
  <c r="AV12" i="1" s="1"/>
  <c r="AX12" i="1" s="1"/>
  <c r="AQ12" i="1"/>
  <c r="AT13" i="1"/>
  <c r="AV13" i="1" s="1"/>
  <c r="AX13" i="1" s="1"/>
  <c r="AQ13" i="1"/>
  <c r="AT16" i="1"/>
  <c r="AV16" i="1" s="1"/>
  <c r="AX16" i="1" s="1"/>
  <c r="AQ16" i="1"/>
  <c r="AT14" i="1"/>
  <c r="AV14" i="1" s="1"/>
  <c r="AX14" i="1" s="1"/>
  <c r="AQ14" i="1"/>
  <c r="AT17" i="1"/>
  <c r="AV17" i="1" s="1"/>
  <c r="AX17" i="1" s="1"/>
  <c r="AQ17" i="1"/>
  <c r="AQ20" i="1"/>
  <c r="AZ20" i="1"/>
  <c r="BB20" i="1"/>
  <c r="AT22" i="1"/>
  <c r="AV22" i="1" s="1"/>
  <c r="AX22" i="1" s="1"/>
  <c r="AQ22" i="1"/>
  <c r="AT24" i="1"/>
  <c r="AV24" i="1" s="1"/>
  <c r="AX24" i="1" s="1"/>
  <c r="AQ24" i="1"/>
  <c r="BB21" i="1"/>
  <c r="AZ21" i="1"/>
  <c r="AT19" i="1"/>
  <c r="AV19" i="1" s="1"/>
  <c r="AX19" i="1" s="1"/>
  <c r="AQ19" i="1"/>
  <c r="AT23" i="1"/>
  <c r="AV23" i="1" s="1"/>
  <c r="AX23" i="1" s="1"/>
  <c r="AQ23" i="1"/>
  <c r="AT9" i="1"/>
  <c r="AV9" i="1" s="1"/>
  <c r="AX9" i="1" s="1"/>
  <c r="AQ9" i="1"/>
  <c r="AT4" i="1"/>
  <c r="AV4" i="1" s="1"/>
  <c r="AX4" i="1" s="1"/>
  <c r="AQ4" i="1"/>
  <c r="AT7" i="1"/>
  <c r="AV7" i="1" s="1"/>
  <c r="AX7" i="1" s="1"/>
  <c r="AQ7" i="1"/>
  <c r="AT5" i="1"/>
  <c r="AV5" i="1" s="1"/>
  <c r="AX5" i="1" s="1"/>
  <c r="AQ5" i="1"/>
  <c r="AT8" i="1"/>
  <c r="AV8" i="1" s="1"/>
  <c r="AX8" i="1" s="1"/>
  <c r="AQ8" i="1"/>
  <c r="AZ6" i="1"/>
  <c r="BB6" i="1"/>
  <c r="BB16" i="1" l="1"/>
  <c r="AZ16" i="1"/>
  <c r="BB14" i="1"/>
  <c r="AZ14" i="1"/>
  <c r="BB13" i="1"/>
  <c r="AZ13" i="1"/>
  <c r="BB17" i="1"/>
  <c r="AZ17" i="1"/>
  <c r="BB12" i="1"/>
  <c r="AZ12" i="1"/>
  <c r="BB15" i="1"/>
  <c r="AZ15" i="1"/>
  <c r="AZ23" i="1"/>
  <c r="BB23" i="1"/>
  <c r="AZ19" i="1"/>
  <c r="BB19" i="1"/>
  <c r="AZ24" i="1"/>
  <c r="BB24" i="1"/>
  <c r="AZ22" i="1"/>
  <c r="BB22" i="1"/>
  <c r="AZ5" i="1"/>
  <c r="BB5" i="1"/>
  <c r="BB4" i="1"/>
  <c r="AZ4" i="1"/>
  <c r="AZ8" i="1"/>
  <c r="BB8" i="1"/>
  <c r="AZ7" i="1"/>
  <c r="BB7" i="1"/>
  <c r="BB9" i="1"/>
  <c r="AZ9" i="1"/>
</calcChain>
</file>

<file path=xl/sharedStrings.xml><?xml version="1.0" encoding="utf-8"?>
<sst xmlns="http://schemas.openxmlformats.org/spreadsheetml/2006/main" count="362" uniqueCount="81">
  <si>
    <t>GEA轮罩气坝内部报价 · 2026-06-30</t>
  </si>
  <si>
    <t>报价注意点：</t>
  </si>
  <si>
    <t>报价说明：
① 材料TPV Santoprene 103-40 @ ¥30/kg
② 运输=总价7%、包装=总价4%（AE/AG公式已解循环引用）
③ 利润=成本*8%（按模板AI公式）
④ 段取7000g/月均摊到月批量6377件 → +1.10g/件
⑤ 取数H=1（全周期记一件）; 料头O=单件料头; 模具费AJ=半副价
⑥ 模具摊销分母=229566件（3年分摊数）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</si>
  <si>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</si>
  <si>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</si>
  <si>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</si>
  <si>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</si>
  <si>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</si>
  <si>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</si>
  <si>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</si>
  <si>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</si>
  <si>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</si>
  <si>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</si>
  <si>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</si>
  <si>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</si>
  <si>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</si>
  <si>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</si>
  <si>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</si>
  <si>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</si>
  <si>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</si>
  <si>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</si>
  <si>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</si>
  <si>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</si>
  <si>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</si>
  <si>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</si>
  <si>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</si>
  <si>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</si>
  <si>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</si>
  <si>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</si>
  <si>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</si>
  <si>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</si>
  <si>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</si>
  <si>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友成加工时间 (S)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</si>
  <si>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</si>
  <si>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</si>
  <si>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</si>
  <si>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</si>
  <si>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</si>
  <si>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</t>
  </si>
  <si>
    <t>包装（RMB）</t>
  </si>
  <si>
    <t>利润                      （RMB）</t>
  </si>
  <si>
    <t>模具费</t>
  </si>
  <si>
    <t>模具实验分摊费(52.5万套)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</si>
  <si>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</si>
  <si>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</si>
  <si>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</si>
  <si>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</si>
  <si>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</si>
  <si>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</si>
  <si>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</si>
  <si>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</si>
  <si>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</si>
  <si>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</si>
  <si>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</si>
  <si>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</si>
  <si>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</si>
  <si>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</si>
  <si>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</si>
  <si>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</si>
  <si>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</si>
  <si>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PHEV/HEV</t>
  </si>
  <si>
    <t>638431477R</t>
  </si>
  <si>
    <t>气坝前左 SPOILER-FR LH WH SHIELD (PHEV/HEV)</t>
  </si>
  <si>
    <t>124×360×65</t>
  </si>
  <si>
    <t>TPV Santoprene 103-40</t>
  </si>
  <si>
    <t>638422166R</t>
  </si>
  <si>
    <t>气坝前右 SPOILER-FR RH WH SHIELD (PHEV/HEV)</t>
  </si>
  <si>
    <t>BEV</t>
  </si>
  <si>
    <t>638439763R</t>
  </si>
  <si>
    <t>气坝前左 SPOILER-FR LH WH SHIELD (BEV)</t>
  </si>
  <si>
    <t>124×361×65</t>
  </si>
  <si>
    <t>638424366R</t>
  </si>
  <si>
    <t>气坝前右 SPOILER-FR RH WH SHIELD (BEV)</t>
  </si>
  <si>
    <t>通用</t>
  </si>
  <si>
    <t>767496296R</t>
  </si>
  <si>
    <t>气坝后左 SPOILER-RR LH WH SHIELD</t>
  </si>
  <si>
    <t>96×129×57</t>
  </si>
  <si>
    <t>767483010R</t>
  </si>
  <si>
    <t>气坝后右 SPOILER-RR RH WH SHIELD</t>
  </si>
  <si>
    <t>06-30 极限报价</t>
  </si>
  <si>
    <t>模具取数更正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</si>
</sst>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¥&quot;#,##0_);[Red]\(&quot;¥&quot;#,##0\)"/>
    <numFmt numFmtId="8" formatCode="&quot;¥&quot;#,##0.00_);[Red]\(&quot;¥&quot;#,##0.00\)"/>
    <numFmt numFmtId="43" formatCode="_(* #,##0.00_);_(* \(#,##0.00\);_(* &quot;-&quot;??_);_(@_)"/>
    <numFmt numFmtId="164" formatCode="0.00_ "/>
    <numFmt numFmtId="165" formatCode="0.0000_ "/>
    <numFmt numFmtId="166" formatCode="0.00_);[Red]\(0.00\)"/>
    <numFmt numFmtId="167" formatCode="_ * #,##0.0000_ ;_ * \-#,##0.0000_ ;_ * &quot;-&quot;??.00_ ;_ @_ "/>
    <numFmt numFmtId="168" formatCode="#,##0_ "/>
    <numFmt numFmtId="169" formatCode="#,##0.00_ "/>
    <numFmt numFmtId="170" formatCode="#,##0.000_ "/>
    <numFmt numFmtId="171" formatCode="#,##0.0000_);[Red]\(#,##0.0000\)"/>
    <numFmt numFmtId="172" formatCode="0.0%"/>
    <numFmt numFmtId="173" formatCode="#,##0.000_);[Red]\(#,##0.000\)"/>
    <numFmt numFmtId="174" formatCode="_ * #,##0.0000_ ;_ * \-#,##0.0000_ ;_ * &quot;-&quot;??.0000_ ;_ @_ "/>
    <numFmt numFmtId="175" formatCode="_ * #,##0_ ;_ * \-#,##0_ ;_ * &quot;-&quot;??_ ;_ @_ "/>
    <numFmt numFmtId="176" formatCode="_ * #,##0.00_ ;_ * \-#,##0.00_ ;_ * &quot;-&quot;??_ ;_ @_ "/>
    <numFmt numFmtId="177" formatCode="_-* #,##0.00\ [$€-1]_-;\-* #,##0.00\ [$€-1]_-;_-* &quot;-&quot;??\ [$€-1]_-"/>
  </numFmts>
  <fonts count="20">
    <font>
      <sz val="11"/>
      <color indexed="8"/>
      <name val="宋体"/>
      <charset val="134"/>
    </font>
    <font>
      <sz val="18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8"/>
      <color rgb="FF0070C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indexed="8"/>
      <name val="Calibri"/>
      <family val="2"/>
    </font>
    <font>
      <sz val="11"/>
      <color indexed="8"/>
      <name val="微软雅黑"/>
      <family val="2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1"/>
      <name val="ＭＳ Ｐゴシック"/>
      <family val="2"/>
      <charset val="128"/>
    </font>
    <font>
      <sz val="14"/>
      <name val="System"/>
      <charset val="134"/>
    </font>
    <font>
      <sz val="11"/>
      <color indexed="8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>
      <alignment vertical="center"/>
    </xf>
    <xf numFmtId="9" fontId="19" fillId="0" borderId="0">
      <alignment vertical="center"/>
    </xf>
    <xf numFmtId="43" fontId="15" fillId="0" borderId="0"/>
    <xf numFmtId="177" fontId="15" fillId="0" borderId="0"/>
    <xf numFmtId="177" fontId="15" fillId="0" borderId="0"/>
    <xf numFmtId="0" fontId="14" fillId="0" borderId="0">
      <alignment vertical="center"/>
    </xf>
    <xf numFmtId="0" fontId="16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165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8" fontId="4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Protection="1">
      <alignment vertical="center"/>
      <protection locked="0"/>
    </xf>
    <xf numFmtId="6" fontId="3" fillId="0" borderId="0" xfId="0" applyNumberFormat="1" applyFont="1" applyAlignment="1" applyProtection="1">
      <alignment horizontal="left" vertical="center"/>
      <protection locked="0"/>
    </xf>
    <xf numFmtId="6" fontId="3" fillId="0" borderId="0" xfId="0" applyNumberFormat="1" applyFont="1" applyProtection="1">
      <alignment vertical="center"/>
      <protection locked="0"/>
    </xf>
    <xf numFmtId="0" fontId="4" fillId="0" borderId="0" xfId="8" applyFont="1" applyAlignment="1">
      <alignment horizontal="left" vertical="center"/>
    </xf>
    <xf numFmtId="0" fontId="3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64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Protection="1">
      <alignment vertical="center"/>
      <protection locked="0"/>
    </xf>
    <xf numFmtId="8" fontId="3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left" vertical="center"/>
    </xf>
    <xf numFmtId="6" fontId="3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 wrapText="1"/>
    </xf>
    <xf numFmtId="164" fontId="8" fillId="3" borderId="1" xfId="6" applyNumberFormat="1" applyFont="1" applyFill="1" applyBorder="1" applyAlignment="1">
      <alignment horizontal="center" vertical="center" wrapText="1"/>
    </xf>
    <xf numFmtId="8" fontId="8" fillId="3" borderId="1" xfId="6" applyNumberFormat="1" applyFont="1" applyFill="1" applyBorder="1" applyAlignment="1">
      <alignment horizontal="center" vertical="center" wrapText="1"/>
    </xf>
    <xf numFmtId="8" fontId="8" fillId="2" borderId="1" xfId="6" applyNumberFormat="1" applyFont="1" applyFill="1" applyBorder="1" applyAlignment="1">
      <alignment horizontal="center" vertical="center" wrapText="1"/>
    </xf>
    <xf numFmtId="8" fontId="8" fillId="4" borderId="1" xfId="6" applyNumberFormat="1" applyFont="1" applyFill="1" applyBorder="1" applyAlignment="1">
      <alignment horizontal="center" vertical="center" wrapText="1"/>
    </xf>
    <xf numFmtId="8" fontId="9" fillId="0" borderId="0" xfId="0" applyNumberFormat="1" applyFont="1" applyAlignment="1" applyProtection="1">
      <protection locked="0"/>
    </xf>
    <xf numFmtId="9" fontId="10" fillId="3" borderId="1" xfId="1" applyFont="1" applyFill="1" applyBorder="1" applyAlignment="1" applyProtection="1">
      <alignment horizontal="center" vertical="center"/>
      <protection locked="0"/>
    </xf>
    <xf numFmtId="6" fontId="8" fillId="3" borderId="1" xfId="0" applyNumberFormat="1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10" applyFont="1" applyBorder="1" applyAlignment="1">
      <alignment horizontal="left" vertical="center" wrapText="1"/>
    </xf>
    <xf numFmtId="0" fontId="9" fillId="0" borderId="1" xfId="1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9" fillId="0" borderId="1" xfId="7" applyFont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0" fontId="9" fillId="0" borderId="1" xfId="7" applyNumberFormat="1" applyFont="1" applyBorder="1" applyAlignment="1" applyProtection="1">
      <alignment horizontal="center" vertical="center" wrapText="1"/>
      <protection locked="0"/>
    </xf>
    <xf numFmtId="10" fontId="9" fillId="0" borderId="1" xfId="7" applyNumberFormat="1" applyFont="1" applyBorder="1" applyAlignment="1">
      <alignment vertical="center" wrapText="1"/>
    </xf>
    <xf numFmtId="0" fontId="9" fillId="0" borderId="1" xfId="9" applyFont="1" applyBorder="1" applyAlignment="1">
      <alignment horizontal="center" vertical="center"/>
    </xf>
    <xf numFmtId="166" fontId="10" fillId="0" borderId="1" xfId="6" applyNumberFormat="1" applyFont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167" fontId="9" fillId="0" borderId="1" xfId="6" applyNumberFormat="1" applyFont="1" applyBorder="1" applyAlignment="1">
      <alignment horizontal="right" vertical="center"/>
    </xf>
    <xf numFmtId="168" fontId="11" fillId="2" borderId="1" xfId="0" applyNumberFormat="1" applyFont="1" applyFill="1" applyBorder="1" applyAlignment="1">
      <alignment horizontal="right" vertical="center"/>
    </xf>
    <xf numFmtId="168" fontId="9" fillId="2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 vertical="center"/>
    </xf>
    <xf numFmtId="170" fontId="9" fillId="0" borderId="1" xfId="6" applyNumberFormat="1" applyFont="1" applyBorder="1" applyAlignment="1">
      <alignment horizontal="right" vertical="center"/>
    </xf>
    <xf numFmtId="9" fontId="9" fillId="0" borderId="1" xfId="1" applyFont="1" applyBorder="1" applyAlignment="1">
      <alignment horizontal="right" vertical="center"/>
    </xf>
    <xf numFmtId="170" fontId="9" fillId="2" borderId="1" xfId="6" applyNumberFormat="1" applyFont="1" applyFill="1" applyBorder="1" applyAlignment="1">
      <alignment horizontal="right" vertical="center"/>
    </xf>
    <xf numFmtId="168" fontId="9" fillId="0" borderId="1" xfId="6" applyNumberFormat="1" applyFont="1" applyBorder="1" applyAlignment="1">
      <alignment horizontal="right" vertical="center"/>
    </xf>
    <xf numFmtId="171" fontId="9" fillId="0" borderId="1" xfId="6" applyNumberFormat="1" applyFont="1" applyBorder="1" applyAlignment="1">
      <alignment horizontal="right" vertical="center"/>
    </xf>
    <xf numFmtId="172" fontId="9" fillId="0" borderId="1" xfId="1" applyNumberFormat="1" applyFont="1" applyBorder="1" applyAlignment="1">
      <alignment horizontal="right" vertical="center"/>
    </xf>
    <xf numFmtId="0" fontId="9" fillId="0" borderId="1" xfId="6" applyFont="1" applyBorder="1" applyAlignment="1">
      <alignment horizontal="center" vertical="center"/>
    </xf>
    <xf numFmtId="173" fontId="9" fillId="0" borderId="1" xfId="6" applyNumberFormat="1" applyFont="1" applyBorder="1" applyAlignment="1">
      <alignment horizontal="right" vertical="center"/>
    </xf>
    <xf numFmtId="9" fontId="10" fillId="0" borderId="1" xfId="1" applyFont="1" applyBorder="1" applyAlignment="1">
      <alignment horizontal="right" vertical="center"/>
    </xf>
    <xf numFmtId="9" fontId="9" fillId="0" borderId="1" xfId="1" applyFont="1" applyBorder="1" applyAlignment="1"/>
    <xf numFmtId="174" fontId="9" fillId="0" borderId="1" xfId="9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right" vertical="center" wrapText="1"/>
    </xf>
    <xf numFmtId="175" fontId="9" fillId="0" borderId="1" xfId="0" applyNumberFormat="1" applyFont="1" applyBorder="1" applyAlignment="1">
      <alignment horizontal="center" vertical="center"/>
    </xf>
    <xf numFmtId="6" fontId="9" fillId="0" borderId="1" xfId="0" applyNumberFormat="1" applyFont="1" applyBorder="1" applyAlignment="1">
      <alignment horizontal="center" vertical="center"/>
    </xf>
    <xf numFmtId="175" fontId="9" fillId="0" borderId="1" xfId="0" applyNumberFormat="1" applyFont="1" applyBorder="1" applyAlignment="1" applyProtection="1">
      <alignment horizontal="center" vertical="center"/>
      <protection locked="0"/>
    </xf>
    <xf numFmtId="176" fontId="9" fillId="0" borderId="1" xfId="0" applyNumberFormat="1" applyFont="1" applyBorder="1" applyAlignment="1" applyProtection="1">
      <alignment horizontal="center" vertical="center"/>
      <protection locked="0"/>
    </xf>
    <xf numFmtId="175" fontId="9" fillId="0" borderId="1" xfId="9" applyNumberFormat="1" applyFont="1" applyBorder="1" applyAlignment="1">
      <alignment horizontal="center" vertical="center"/>
    </xf>
    <xf numFmtId="0" fontId="0" fillId="0" borderId="0" xfId="0" applyAlignment="1"/>
    <xf numFmtId="0" fontId="11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/>
    </xf>
    <xf numFmtId="170" fontId="9" fillId="0" borderId="1" xfId="0" applyNumberFormat="1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right" vertical="center"/>
    </xf>
    <xf numFmtId="170" fontId="9" fillId="2" borderId="1" xfId="0" applyNumberFormat="1" applyFont="1" applyFill="1" applyBorder="1" applyAlignment="1">
      <alignment horizontal="right" vertical="center"/>
    </xf>
    <xf numFmtId="168" fontId="9" fillId="0" borderId="1" xfId="0" applyNumberFormat="1" applyFont="1" applyBorder="1" applyAlignment="1">
      <alignment horizontal="right" vertical="center"/>
    </xf>
    <xf numFmtId="171" fontId="9" fillId="0" borderId="1" xfId="0" applyNumberFormat="1" applyFont="1" applyBorder="1" applyAlignment="1">
      <alignment horizontal="right" vertical="center"/>
    </xf>
    <xf numFmtId="173" fontId="9" fillId="0" borderId="1" xfId="0" applyNumberFormat="1" applyFont="1" applyBorder="1" applyAlignment="1">
      <alignment horizontal="right" vertical="center"/>
    </xf>
    <xf numFmtId="9" fontId="10" fillId="0" borderId="1" xfId="0" applyNumberFormat="1" applyFont="1" applyBorder="1" applyAlignment="1">
      <alignment horizontal="right" vertical="center"/>
    </xf>
    <xf numFmtId="9" fontId="9" fillId="0" borderId="1" xfId="0" applyNumberFormat="1" applyFont="1" applyBorder="1" applyAlignment="1"/>
    <xf numFmtId="174" fontId="9" fillId="0" borderId="1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8" fontId="9" fillId="5" borderId="0" xfId="0" applyNumberFormat="1" applyFont="1" applyFill="1" applyAlignment="1" applyProtection="1">
      <protection locked="0"/>
    </xf>
    <xf numFmtId="0" fontId="2" fillId="5" borderId="0" xfId="0" applyFont="1" applyFill="1">
      <alignment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49" fontId="9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left" vertical="center" wrapText="1"/>
      <protection locked="0"/>
    </xf>
    <xf numFmtId="0" fontId="12" fillId="5" borderId="1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1" xfId="10" applyFont="1" applyFill="1" applyBorder="1" applyAlignment="1">
      <alignment horizontal="left" vertical="center" wrapText="1"/>
    </xf>
    <xf numFmtId="0" fontId="9" fillId="5" borderId="1" xfId="10" applyFont="1" applyFill="1" applyBorder="1" applyAlignment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7" applyFont="1" applyFill="1" applyBorder="1" applyAlignment="1">
      <alignment horizontal="center" vertical="center" wrapText="1"/>
    </xf>
    <xf numFmtId="10" fontId="9" fillId="5" borderId="1" xfId="7" applyNumberFormat="1" applyFont="1" applyFill="1" applyBorder="1" applyAlignment="1" applyProtection="1">
      <alignment horizontal="center" vertical="center" wrapText="1"/>
      <protection locked="0"/>
    </xf>
    <xf numFmtId="10" fontId="9" fillId="5" borderId="1" xfId="7" applyNumberFormat="1" applyFont="1" applyFill="1" applyBorder="1" applyAlignment="1">
      <alignment vertical="center" wrapText="1"/>
    </xf>
    <xf numFmtId="0" fontId="9" fillId="5" borderId="1" xfId="9" applyFont="1" applyFill="1" applyBorder="1" applyAlignment="1">
      <alignment horizontal="center" vertical="center"/>
    </xf>
    <xf numFmtId="166" fontId="10" fillId="5" borderId="1" xfId="6" applyNumberFormat="1" applyFont="1" applyFill="1" applyBorder="1" applyAlignment="1">
      <alignment horizontal="center" vertical="center"/>
    </xf>
    <xf numFmtId="9" fontId="9" fillId="5" borderId="1" xfId="1" applyFont="1" applyFill="1" applyBorder="1" applyAlignment="1">
      <alignment horizontal="center" vertical="center"/>
    </xf>
    <xf numFmtId="167" fontId="9" fillId="5" borderId="1" xfId="6" applyNumberFormat="1" applyFont="1" applyFill="1" applyBorder="1" applyAlignment="1">
      <alignment horizontal="right" vertical="center"/>
    </xf>
    <xf numFmtId="168" fontId="11" fillId="5" borderId="1" xfId="0" applyNumberFormat="1" applyFont="1" applyFill="1" applyBorder="1" applyAlignment="1">
      <alignment horizontal="right" vertical="center"/>
    </xf>
    <xf numFmtId="168" fontId="9" fillId="5" borderId="1" xfId="0" applyNumberFormat="1" applyFont="1" applyFill="1" applyBorder="1" applyAlignment="1">
      <alignment horizontal="right" vertical="center"/>
    </xf>
    <xf numFmtId="169" fontId="9" fillId="5" borderId="1" xfId="0" applyNumberFormat="1" applyFont="1" applyFill="1" applyBorder="1" applyAlignment="1">
      <alignment horizontal="right" vertical="center"/>
    </xf>
    <xf numFmtId="170" fontId="9" fillId="5" borderId="1" xfId="6" applyNumberFormat="1" applyFont="1" applyFill="1" applyBorder="1" applyAlignment="1">
      <alignment horizontal="right" vertical="center"/>
    </xf>
    <xf numFmtId="9" fontId="9" fillId="5" borderId="1" xfId="1" applyFont="1" applyFill="1" applyBorder="1" applyAlignment="1">
      <alignment horizontal="right" vertical="center"/>
    </xf>
    <xf numFmtId="168" fontId="9" fillId="5" borderId="1" xfId="6" applyNumberFormat="1" applyFont="1" applyFill="1" applyBorder="1" applyAlignment="1">
      <alignment horizontal="right" vertical="center"/>
    </xf>
    <xf numFmtId="171" fontId="9" fillId="5" borderId="1" xfId="6" applyNumberFormat="1" applyFont="1" applyFill="1" applyBorder="1" applyAlignment="1">
      <alignment horizontal="right" vertical="center"/>
    </xf>
    <xf numFmtId="172" fontId="9" fillId="5" borderId="1" xfId="1" applyNumberFormat="1" applyFont="1" applyFill="1" applyBorder="1" applyAlignment="1">
      <alignment horizontal="right" vertical="center"/>
    </xf>
    <xf numFmtId="0" fontId="9" fillId="5" borderId="1" xfId="6" applyFont="1" applyFill="1" applyBorder="1" applyAlignment="1">
      <alignment horizontal="center" vertical="center"/>
    </xf>
    <xf numFmtId="173" fontId="9" fillId="5" borderId="1" xfId="6" applyNumberFormat="1" applyFont="1" applyFill="1" applyBorder="1" applyAlignment="1">
      <alignment horizontal="right" vertical="center"/>
    </xf>
    <xf numFmtId="9" fontId="10" fillId="5" borderId="1" xfId="1" applyFont="1" applyFill="1" applyBorder="1" applyAlignment="1">
      <alignment horizontal="right" vertical="center"/>
    </xf>
    <xf numFmtId="9" fontId="9" fillId="5" borderId="1" xfId="1" applyFont="1" applyFill="1" applyBorder="1" applyAlignment="1"/>
    <xf numFmtId="174" fontId="9" fillId="5" borderId="1" xfId="9" applyNumberFormat="1" applyFont="1" applyFill="1" applyBorder="1" applyAlignment="1">
      <alignment horizontal="center" vertical="center"/>
    </xf>
    <xf numFmtId="9" fontId="13" fillId="5" borderId="1" xfId="1" applyFont="1" applyFill="1" applyBorder="1" applyAlignment="1">
      <alignment horizontal="right" vertical="center" wrapText="1"/>
    </xf>
    <xf numFmtId="175" fontId="9" fillId="5" borderId="1" xfId="0" applyNumberFormat="1" applyFont="1" applyFill="1" applyBorder="1" applyAlignment="1">
      <alignment horizontal="center" vertical="center"/>
    </xf>
    <xf numFmtId="6" fontId="9" fillId="5" borderId="1" xfId="0" applyNumberFormat="1" applyFont="1" applyFill="1" applyBorder="1" applyAlignment="1">
      <alignment horizontal="center" vertical="center"/>
    </xf>
    <xf numFmtId="175" fontId="9" fillId="5" borderId="1" xfId="0" applyNumberFormat="1" applyFont="1" applyFill="1" applyBorder="1" applyAlignment="1" applyProtection="1">
      <alignment horizontal="center" vertical="center"/>
      <protection locked="0"/>
    </xf>
    <xf numFmtId="176" fontId="9" fillId="5" borderId="1" xfId="0" applyNumberFormat="1" applyFont="1" applyFill="1" applyBorder="1" applyAlignment="1" applyProtection="1">
      <alignment horizontal="center" vertical="center"/>
      <protection locked="0"/>
    </xf>
    <xf numFmtId="175" fontId="9" fillId="5" borderId="1" xfId="9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0" fillId="5" borderId="0" xfId="0" applyFill="1" applyAlignment="1"/>
    <xf numFmtId="0" fontId="9" fillId="5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right" vertical="center"/>
    </xf>
    <xf numFmtId="170" fontId="9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>
      <alignment horizontal="right" vertical="center"/>
    </xf>
    <xf numFmtId="171" fontId="9" fillId="5" borderId="1" xfId="0" applyNumberFormat="1" applyFont="1" applyFill="1" applyBorder="1" applyAlignment="1">
      <alignment horizontal="right" vertical="center"/>
    </xf>
    <xf numFmtId="173" fontId="9" fillId="5" borderId="1" xfId="0" applyNumberFormat="1" applyFont="1" applyFill="1" applyBorder="1" applyAlignment="1">
      <alignment horizontal="right" vertical="center"/>
    </xf>
    <xf numFmtId="9" fontId="10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/>
    <xf numFmtId="174" fontId="9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9" fontId="19" fillId="0" borderId="0" xfId="1">
      <alignment vertical="center"/>
    </xf>
    <xf numFmtId="8" fontId="4" fillId="3" borderId="1" xfId="6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8" fontId="3" fillId="2" borderId="1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20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00000000-0011-0000-FFFF-FFFF01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7"/>
  <sheetViews>
    <sheetView topLeftCell="A45" workbookViewId="0">
      <selection activeCell="A57" sqref="A57:AL63"/>
    </sheetView>
  </sheetViews>
  <sheetFormatPr baseColWidth="10" defaultColWidth="9" defaultRowHeight="14"/>
  <cols>
    <col min="1" max="1" width="6.33203125" style="73" customWidth="1"/>
    <col min="2" max="2" width="7.5" style="73" customWidth="1"/>
    <col min="4" max="4" width="19.33203125" style="73" customWidth="1"/>
    <col min="5" max="5" width="10.6640625" style="73" customWidth="1"/>
    <col min="6" max="6" width="12.1640625" style="73" customWidth="1"/>
    <col min="26" max="26" width="11.33203125" style="73" customWidth="1"/>
    <col min="27" max="27" width="8" style="73" customWidth="1"/>
    <col min="32" max="32" width="7.5" style="73" customWidth="1"/>
  </cols>
  <sheetData>
    <row r="1" spans="1:64" s="1" customFormat="1" ht="19" customHeight="1">
      <c r="A1" s="4"/>
      <c r="B1" s="4" t="s">
        <v>0</v>
      </c>
      <c r="C1" s="5"/>
      <c r="D1" s="6" t="s">
        <v>1</v>
      </c>
      <c r="E1" s="163" t="s">
        <v>2</v>
      </c>
      <c r="F1" s="164"/>
      <c r="G1" s="164"/>
      <c r="H1" s="164"/>
      <c r="I1" s="164"/>
      <c r="J1" s="164"/>
      <c r="K1" s="5"/>
      <c r="L1" s="5"/>
      <c r="M1" s="5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8"/>
      <c r="AA1" s="5"/>
      <c r="AB1" s="8"/>
      <c r="AC1" s="5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  <c r="AR1" s="9"/>
      <c r="AS1" s="9"/>
      <c r="AT1" s="9"/>
      <c r="AU1" s="9"/>
      <c r="AV1" s="9"/>
      <c r="AW1" s="9"/>
      <c r="AX1" s="9"/>
      <c r="AY1" s="9"/>
      <c r="AZ1" s="8"/>
      <c r="BA1" s="8"/>
      <c r="BB1" s="8"/>
      <c r="BC1" s="10"/>
      <c r="BD1" s="11"/>
      <c r="BE1" s="11"/>
      <c r="BF1" s="11"/>
      <c r="BG1" s="11"/>
      <c r="BH1" s="11"/>
      <c r="BI1" s="11"/>
      <c r="BJ1" s="11"/>
      <c r="BK1" s="9"/>
    </row>
    <row r="2" spans="1:64" s="2" customFormat="1" ht="44" customHeight="1">
      <c r="B2" s="12"/>
      <c r="C2" s="13"/>
      <c r="D2" s="14"/>
      <c r="E2" s="164"/>
      <c r="F2" s="164"/>
      <c r="G2" s="164"/>
      <c r="H2" s="164"/>
      <c r="I2" s="164"/>
      <c r="J2" s="164"/>
      <c r="K2" s="5"/>
      <c r="L2" s="5"/>
      <c r="M2" s="5"/>
      <c r="N2" s="15"/>
      <c r="O2" s="13"/>
      <c r="P2" s="13"/>
      <c r="Q2" s="13"/>
      <c r="R2" s="13"/>
      <c r="S2" s="16"/>
      <c r="T2" s="16"/>
      <c r="U2" s="13"/>
      <c r="V2" s="13"/>
      <c r="W2" s="13"/>
      <c r="X2" s="17"/>
      <c r="Y2" s="17"/>
      <c r="Z2" s="18"/>
      <c r="AA2" s="16"/>
      <c r="AB2" s="19"/>
      <c r="AC2" s="16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59" t="s">
        <v>3</v>
      </c>
      <c r="AO2" s="158"/>
      <c r="AP2" s="19"/>
      <c r="AQ2" s="19"/>
      <c r="AR2" s="9"/>
      <c r="AS2" s="157" t="s">
        <v>4</v>
      </c>
      <c r="AT2" s="158"/>
      <c r="AU2" s="157" t="s">
        <v>5</v>
      </c>
      <c r="AV2" s="158"/>
      <c r="AW2" s="157" t="s">
        <v>6</v>
      </c>
      <c r="AX2" s="158"/>
      <c r="AY2" s="157" t="s">
        <v>7</v>
      </c>
      <c r="AZ2" s="158"/>
      <c r="BA2" s="157" t="s">
        <v>8</v>
      </c>
      <c r="BB2" s="158"/>
      <c r="BC2" s="20"/>
      <c r="BD2" s="21"/>
      <c r="BE2" s="21"/>
      <c r="BF2" s="21"/>
      <c r="BG2" s="21"/>
      <c r="BH2" s="21"/>
      <c r="BI2" s="21"/>
      <c r="BJ2" s="21"/>
      <c r="BK2" s="19"/>
    </row>
    <row r="3" spans="1:64" s="3" customFormat="1" ht="73.25" customHeight="1">
      <c r="A3" s="22" t="s">
        <v>9</v>
      </c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14</v>
      </c>
      <c r="G3" s="22" t="s">
        <v>15</v>
      </c>
      <c r="H3" s="23" t="s">
        <v>16</v>
      </c>
      <c r="I3" s="23" t="s">
        <v>17</v>
      </c>
      <c r="J3" s="23" t="s">
        <v>18</v>
      </c>
      <c r="K3" s="23" t="s">
        <v>19</v>
      </c>
      <c r="L3" s="23" t="s">
        <v>20</v>
      </c>
      <c r="M3" s="23" t="s">
        <v>21</v>
      </c>
      <c r="N3" s="24" t="s">
        <v>22</v>
      </c>
      <c r="O3" s="23" t="s">
        <v>23</v>
      </c>
      <c r="P3" s="23" t="s">
        <v>24</v>
      </c>
      <c r="Q3" s="23" t="s">
        <v>25</v>
      </c>
      <c r="R3" s="23" t="s">
        <v>26</v>
      </c>
      <c r="S3" s="23" t="s">
        <v>27</v>
      </c>
      <c r="T3" s="23" t="s">
        <v>28</v>
      </c>
      <c r="U3" s="23" t="s">
        <v>29</v>
      </c>
      <c r="V3" s="23" t="s">
        <v>30</v>
      </c>
      <c r="W3" s="23" t="s">
        <v>31</v>
      </c>
      <c r="X3" s="23" t="s">
        <v>32</v>
      </c>
      <c r="Y3" s="23" t="s">
        <v>33</v>
      </c>
      <c r="Z3" s="25" t="s">
        <v>34</v>
      </c>
      <c r="AA3" s="23" t="s">
        <v>29</v>
      </c>
      <c r="AB3" s="25" t="s">
        <v>35</v>
      </c>
      <c r="AC3" s="23" t="s">
        <v>36</v>
      </c>
      <c r="AD3" s="25" t="s">
        <v>37</v>
      </c>
      <c r="AE3" s="25" t="s">
        <v>38</v>
      </c>
      <c r="AF3" s="25"/>
      <c r="AG3" s="25" t="s">
        <v>39</v>
      </c>
      <c r="AH3" s="25"/>
      <c r="AI3" s="25" t="s">
        <v>40</v>
      </c>
      <c r="AJ3" s="25" t="s">
        <v>41</v>
      </c>
      <c r="AK3" s="25" t="s">
        <v>42</v>
      </c>
      <c r="AL3" s="25" t="s">
        <v>43</v>
      </c>
      <c r="AM3" s="26" t="s">
        <v>44</v>
      </c>
      <c r="AN3" s="26" t="s">
        <v>45</v>
      </c>
      <c r="AO3" s="26" t="s">
        <v>46</v>
      </c>
      <c r="AP3" s="27" t="s">
        <v>47</v>
      </c>
      <c r="AQ3" s="25" t="s">
        <v>48</v>
      </c>
      <c r="AR3" s="28"/>
      <c r="AS3" s="29"/>
      <c r="AT3" s="25" t="s">
        <v>49</v>
      </c>
      <c r="AU3" s="29"/>
      <c r="AV3" s="25" t="s">
        <v>49</v>
      </c>
      <c r="AW3" s="29"/>
      <c r="AX3" s="25" t="s">
        <v>49</v>
      </c>
      <c r="AY3" s="29"/>
      <c r="AZ3" s="25" t="s">
        <v>49</v>
      </c>
      <c r="BA3" s="29"/>
      <c r="BB3" s="25" t="s">
        <v>49</v>
      </c>
      <c r="BC3" s="30" t="s">
        <v>50</v>
      </c>
      <c r="BD3" s="30" t="s">
        <v>51</v>
      </c>
      <c r="BE3" s="30" t="s">
        <v>52</v>
      </c>
      <c r="BF3" s="30" t="s">
        <v>53</v>
      </c>
      <c r="BG3" s="30" t="s">
        <v>54</v>
      </c>
      <c r="BH3" s="30" t="s">
        <v>55</v>
      </c>
      <c r="BI3" s="30" t="s">
        <v>56</v>
      </c>
      <c r="BJ3" s="30" t="s">
        <v>57</v>
      </c>
      <c r="BK3" s="31" t="s">
        <v>58</v>
      </c>
      <c r="BL3" s="32" t="s">
        <v>59</v>
      </c>
    </row>
    <row r="4" spans="1:64" s="3" customFormat="1" ht="28" customHeight="1">
      <c r="A4" s="33">
        <v>1</v>
      </c>
      <c r="B4" s="34" t="s">
        <v>60</v>
      </c>
      <c r="C4" s="34" t="s">
        <v>61</v>
      </c>
      <c r="D4" s="35" t="s">
        <v>62</v>
      </c>
      <c r="E4" s="36"/>
      <c r="F4" s="37" t="s">
        <v>63</v>
      </c>
      <c r="G4" s="38">
        <v>2</v>
      </c>
      <c r="H4" s="39">
        <v>1</v>
      </c>
      <c r="I4" s="40">
        <v>1.5</v>
      </c>
      <c r="J4" s="41" t="s">
        <v>64</v>
      </c>
      <c r="K4" s="42">
        <v>61.217799999999997</v>
      </c>
      <c r="L4" s="43">
        <v>8</v>
      </c>
      <c r="M4" s="44">
        <f t="shared" ref="M4:M9" si="0">ROUND(K4/L4/12*10000,-2)</f>
        <v>6400</v>
      </c>
      <c r="N4" s="45">
        <v>77</v>
      </c>
      <c r="O4" s="46">
        <v>11.7</v>
      </c>
      <c r="P4" s="47">
        <v>0</v>
      </c>
      <c r="Q4" s="48"/>
      <c r="R4" s="49">
        <v>7000</v>
      </c>
      <c r="S4" s="50">
        <f t="shared" ref="S4:S9" si="1">(N4+O4*(1-P4)/H4)*(1+Q4)+R4/M4</f>
        <v>89.793750000000003</v>
      </c>
      <c r="T4" s="46">
        <v>35</v>
      </c>
      <c r="U4" s="51">
        <v>0.01</v>
      </c>
      <c r="V4" s="52">
        <f t="shared" ref="V4:V9" si="2">(S4*T4/1000)*(1+U4)</f>
        <v>3.1742090625000001</v>
      </c>
      <c r="W4" s="53">
        <v>360</v>
      </c>
      <c r="X4" s="54">
        <v>50</v>
      </c>
      <c r="Y4" s="55">
        <v>1.7728999999999999</v>
      </c>
      <c r="Z4" s="56">
        <f t="shared" ref="Z4:Z9" si="3">Y4/60/0.9</f>
        <v>3.2831481481481482E-2</v>
      </c>
      <c r="AA4" s="57">
        <f t="shared" ref="AA4:AA9" si="4">U4</f>
        <v>0.01</v>
      </c>
      <c r="AB4" s="56">
        <f t="shared" ref="AB4:AB9" si="5">(Z4*X4/H4)*(1+AA4)</f>
        <v>1.6579898148148149</v>
      </c>
      <c r="AC4" s="56">
        <f t="shared" ref="AC4:AC9" si="6">V4*0.03</f>
        <v>9.5226271875000004E-2</v>
      </c>
      <c r="AD4" s="56">
        <f t="shared" ref="AD4:AD9" si="7">(AB4)*0.08</f>
        <v>0.13263918518518519</v>
      </c>
      <c r="AE4" s="58">
        <f t="shared" ref="AE4:AE9" si="8">((V4+AB4+AC4+AD4)*1.08+AK4)/0.8704*7%</f>
        <v>0.4953769698338984</v>
      </c>
      <c r="AF4" s="57">
        <f t="shared" ref="AF4:AF9" si="9">AE4/$AL4</f>
        <v>7.0000000000000007E-2</v>
      </c>
      <c r="AG4" s="58">
        <f t="shared" ref="AG4:AG9" si="10">((V4+AB4+AC4+AD4)*1.08+AK4)/0.8704*5%</f>
        <v>0.35384069273849883</v>
      </c>
      <c r="AH4" s="57">
        <f t="shared" ref="AH4:AH9" si="11">AG4/$AL4</f>
        <v>4.9999999999999996E-2</v>
      </c>
      <c r="AI4" s="56">
        <f t="shared" ref="AI4:AI9" si="12">(AB4+AC4+AD4+AE4+AG4+V4)*8%</f>
        <v>0.47274255975579182</v>
      </c>
      <c r="AJ4" s="59">
        <v>159500</v>
      </c>
      <c r="AK4" s="56">
        <f t="shared" ref="AK4:AK9" si="13">AJ4/229566</f>
        <v>0.69478929806678691</v>
      </c>
      <c r="AL4" s="60">
        <f t="shared" ref="AL4:AL17" si="14">SUM($V4+$AB4+$AC4+$AD4+$AE4+$AG4+$AI4+$AK4)</f>
        <v>7.076813854769977</v>
      </c>
      <c r="AM4" s="61"/>
      <c r="AN4" s="57"/>
      <c r="AO4" s="62"/>
      <c r="AP4" s="63">
        <f t="shared" ref="AP4:AP9" si="15">PRODUCT($AL4,1/(1-AM4),1/(1-$AS4),1/(1-$AU4),1/(1-$AW4),1/(1-$AY4),1/(1-$BA4))</f>
        <v>7.076813854769977</v>
      </c>
      <c r="AQ4" s="64">
        <f t="shared" ref="AQ4:AQ9" si="16">V4/AP4</f>
        <v>0.44853646395693897</v>
      </c>
      <c r="AR4" s="28"/>
      <c r="AS4" s="65">
        <f t="shared" ref="AS4:AS17" si="17">$AS$3</f>
        <v>0</v>
      </c>
      <c r="AT4" s="66">
        <f t="shared" ref="AT4:AT9" si="18">AP4*(1-$AM4)</f>
        <v>7.076813854769977</v>
      </c>
      <c r="AU4" s="65">
        <f t="shared" ref="AU4:AU17" si="19">$AU$3</f>
        <v>0</v>
      </c>
      <c r="AV4" s="66">
        <f t="shared" ref="AV4:AV17" si="20">$AT4*(1-$AU4)</f>
        <v>7.076813854769977</v>
      </c>
      <c r="AW4" s="65">
        <f t="shared" ref="AW4:AW17" si="21">$AW$3</f>
        <v>0</v>
      </c>
      <c r="AX4" s="66">
        <f t="shared" ref="AX4:AX17" si="22">$AV4*(1-$AW4)</f>
        <v>7.076813854769977</v>
      </c>
      <c r="AY4" s="65">
        <f t="shared" ref="AY4:AY17" si="23">$AY$3</f>
        <v>0</v>
      </c>
      <c r="AZ4" s="66">
        <f t="shared" ref="AZ4:AZ17" si="24">$AX4*(1-$AY4)</f>
        <v>7.076813854769977</v>
      </c>
      <c r="BA4" s="65">
        <f t="shared" ref="BA4:BA17" si="25">$BA$3</f>
        <v>0</v>
      </c>
      <c r="BB4" s="66">
        <f t="shared" ref="BB4:BB17" si="26">$AX4*(1-$AY4)</f>
        <v>7.076813854769977</v>
      </c>
      <c r="BC4" s="67">
        <v>319000</v>
      </c>
      <c r="BD4" s="68"/>
      <c r="BE4" s="68"/>
      <c r="BF4" s="69"/>
      <c r="BG4" s="70"/>
      <c r="BH4" s="70">
        <v>229566</v>
      </c>
      <c r="BI4" s="70">
        <v>3</v>
      </c>
      <c r="BJ4" s="71">
        <f t="shared" ref="BJ4:BJ9" si="27">AK4</f>
        <v>0.69478929806678691</v>
      </c>
      <c r="BK4" s="72">
        <f t="shared" ref="BK4:BK9" si="28">AL4*M4</f>
        <v>45291.60867052785</v>
      </c>
      <c r="BL4" s="72">
        <f t="shared" ref="BL4:BL9" si="29">AL4*K4*10000</f>
        <v>4332269.7519853748</v>
      </c>
    </row>
    <row r="5" spans="1:64" ht="28" customHeight="1">
      <c r="A5" s="74">
        <v>2</v>
      </c>
      <c r="B5" s="75" t="s">
        <v>60</v>
      </c>
      <c r="C5" s="75" t="s">
        <v>65</v>
      </c>
      <c r="D5" s="76" t="s">
        <v>66</v>
      </c>
      <c r="F5" s="37" t="s">
        <v>63</v>
      </c>
      <c r="G5" s="38">
        <v>2</v>
      </c>
      <c r="H5" s="77">
        <v>1</v>
      </c>
      <c r="I5" s="155">
        <v>1.5</v>
      </c>
      <c r="J5" s="76" t="s">
        <v>64</v>
      </c>
      <c r="K5" s="77">
        <v>61.217799999999997</v>
      </c>
      <c r="L5" s="78">
        <v>8</v>
      </c>
      <c r="M5" s="77">
        <f t="shared" si="0"/>
        <v>6400</v>
      </c>
      <c r="N5" s="79">
        <v>77</v>
      </c>
      <c r="O5" s="80">
        <v>11.7</v>
      </c>
      <c r="P5" s="81">
        <v>0</v>
      </c>
      <c r="Q5" s="155"/>
      <c r="R5" s="82">
        <v>7000</v>
      </c>
      <c r="S5" s="83">
        <f t="shared" si="1"/>
        <v>89.793750000000003</v>
      </c>
      <c r="T5" s="46">
        <v>35</v>
      </c>
      <c r="U5" s="84">
        <v>0.01</v>
      </c>
      <c r="V5" s="85">
        <f t="shared" si="2"/>
        <v>3.1742090625000001</v>
      </c>
      <c r="W5" s="53">
        <v>360</v>
      </c>
      <c r="X5" s="54">
        <v>50</v>
      </c>
      <c r="Y5" s="55">
        <v>1.7728999999999999</v>
      </c>
      <c r="Z5" s="86">
        <f t="shared" si="3"/>
        <v>3.2831481481481482E-2</v>
      </c>
      <c r="AA5" s="87">
        <f t="shared" si="4"/>
        <v>0.01</v>
      </c>
      <c r="AB5" s="86">
        <f t="shared" si="5"/>
        <v>1.6579898148148149</v>
      </c>
      <c r="AC5" s="86">
        <f t="shared" si="6"/>
        <v>9.5226271875000004E-2</v>
      </c>
      <c r="AD5" s="86">
        <f t="shared" si="7"/>
        <v>0.13263918518518519</v>
      </c>
      <c r="AE5" s="88">
        <f t="shared" si="8"/>
        <v>0.4953769698338984</v>
      </c>
      <c r="AF5" s="87">
        <f t="shared" si="9"/>
        <v>7.0000000000000007E-2</v>
      </c>
      <c r="AG5" s="88">
        <f t="shared" si="10"/>
        <v>0.35384069273849883</v>
      </c>
      <c r="AH5" s="87">
        <f t="shared" si="11"/>
        <v>4.9999999999999996E-2</v>
      </c>
      <c r="AI5" s="86">
        <f t="shared" si="12"/>
        <v>0.47274255975579182</v>
      </c>
      <c r="AJ5" s="89">
        <v>159500</v>
      </c>
      <c r="AK5" s="86">
        <f t="shared" si="13"/>
        <v>0.69478929806678691</v>
      </c>
      <c r="AL5" s="90">
        <f t="shared" si="14"/>
        <v>7.076813854769977</v>
      </c>
      <c r="AP5" s="91">
        <f t="shared" si="15"/>
        <v>7.076813854769977</v>
      </c>
      <c r="AQ5" s="92">
        <f t="shared" si="16"/>
        <v>0.44853646395693897</v>
      </c>
      <c r="AS5" s="93">
        <f t="shared" si="17"/>
        <v>0</v>
      </c>
      <c r="AT5" s="94">
        <f t="shared" si="18"/>
        <v>7.076813854769977</v>
      </c>
      <c r="AU5" s="93">
        <f t="shared" si="19"/>
        <v>0</v>
      </c>
      <c r="AV5" s="94">
        <f t="shared" si="20"/>
        <v>7.076813854769977</v>
      </c>
      <c r="AW5" s="93">
        <f t="shared" si="21"/>
        <v>0</v>
      </c>
      <c r="AX5" s="94">
        <f t="shared" si="22"/>
        <v>7.076813854769977</v>
      </c>
      <c r="AY5" s="93">
        <f t="shared" si="23"/>
        <v>0</v>
      </c>
      <c r="AZ5" s="94">
        <f t="shared" si="24"/>
        <v>7.076813854769977</v>
      </c>
      <c r="BA5" s="93">
        <f t="shared" si="25"/>
        <v>0</v>
      </c>
      <c r="BB5" s="94">
        <f t="shared" si="26"/>
        <v>7.076813854769977</v>
      </c>
      <c r="BC5">
        <v>319000</v>
      </c>
      <c r="BH5">
        <v>229566</v>
      </c>
      <c r="BI5">
        <v>3</v>
      </c>
      <c r="BJ5">
        <f t="shared" si="27"/>
        <v>0.69478929806678691</v>
      </c>
      <c r="BK5">
        <f t="shared" si="28"/>
        <v>45291.60867052785</v>
      </c>
      <c r="BL5">
        <f t="shared" si="29"/>
        <v>4332269.7519853748</v>
      </c>
    </row>
    <row r="6" spans="1:64" ht="28" customHeight="1">
      <c r="A6" s="74">
        <v>3</v>
      </c>
      <c r="B6" s="75" t="s">
        <v>67</v>
      </c>
      <c r="C6" s="75" t="s">
        <v>68</v>
      </c>
      <c r="D6" s="76" t="s">
        <v>69</v>
      </c>
      <c r="F6" s="37" t="s">
        <v>70</v>
      </c>
      <c r="G6" s="38">
        <v>2</v>
      </c>
      <c r="H6" s="77">
        <v>1</v>
      </c>
      <c r="I6" s="155">
        <v>1.5</v>
      </c>
      <c r="J6" s="76" t="s">
        <v>64</v>
      </c>
      <c r="K6" s="77">
        <v>61.217799999999997</v>
      </c>
      <c r="L6" s="78">
        <v>8</v>
      </c>
      <c r="M6" s="77">
        <f t="shared" si="0"/>
        <v>6400</v>
      </c>
      <c r="N6" s="79">
        <v>78</v>
      </c>
      <c r="O6" s="80">
        <v>11.7</v>
      </c>
      <c r="P6" s="81">
        <v>0</v>
      </c>
      <c r="Q6" s="155"/>
      <c r="R6" s="82">
        <v>7000</v>
      </c>
      <c r="S6" s="83">
        <f t="shared" si="1"/>
        <v>90.793750000000003</v>
      </c>
      <c r="T6" s="46">
        <v>35</v>
      </c>
      <c r="U6" s="84">
        <v>0.01</v>
      </c>
      <c r="V6" s="85">
        <f t="shared" si="2"/>
        <v>3.2095590624999999</v>
      </c>
      <c r="W6" s="53">
        <v>360</v>
      </c>
      <c r="X6" s="54">
        <v>50</v>
      </c>
      <c r="Y6" s="55">
        <v>1.7728999999999999</v>
      </c>
      <c r="Z6" s="86">
        <f t="shared" si="3"/>
        <v>3.2831481481481482E-2</v>
      </c>
      <c r="AA6" s="87">
        <f t="shared" si="4"/>
        <v>0.01</v>
      </c>
      <c r="AB6" s="86">
        <f t="shared" si="5"/>
        <v>1.6579898148148149</v>
      </c>
      <c r="AC6" s="86">
        <f t="shared" si="6"/>
        <v>9.6286771874999996E-2</v>
      </c>
      <c r="AD6" s="86">
        <f t="shared" si="7"/>
        <v>0.13263918518518519</v>
      </c>
      <c r="AE6" s="88">
        <f t="shared" si="8"/>
        <v>0.49853946271073668</v>
      </c>
      <c r="AF6" s="87">
        <f t="shared" si="9"/>
        <v>7.0000000000000021E-2</v>
      </c>
      <c r="AG6" s="88">
        <f t="shared" si="10"/>
        <v>0.35609961622195474</v>
      </c>
      <c r="AH6" s="87">
        <f t="shared" si="11"/>
        <v>5.000000000000001E-2</v>
      </c>
      <c r="AI6" s="86">
        <f t="shared" si="12"/>
        <v>0.47608911306461538</v>
      </c>
      <c r="AJ6" s="89">
        <v>159500</v>
      </c>
      <c r="AK6" s="86">
        <f t="shared" si="13"/>
        <v>0.69478929806678691</v>
      </c>
      <c r="AL6" s="90">
        <f t="shared" si="14"/>
        <v>7.121992324439093</v>
      </c>
      <c r="AP6" s="91">
        <f t="shared" si="15"/>
        <v>7.121992324439093</v>
      </c>
      <c r="AQ6" s="92">
        <f t="shared" si="16"/>
        <v>0.45065466463455861</v>
      </c>
      <c r="AS6" s="93">
        <f t="shared" si="17"/>
        <v>0</v>
      </c>
      <c r="AT6" s="94">
        <f t="shared" si="18"/>
        <v>7.121992324439093</v>
      </c>
      <c r="AU6" s="93">
        <f t="shared" si="19"/>
        <v>0</v>
      </c>
      <c r="AV6" s="94">
        <f t="shared" si="20"/>
        <v>7.121992324439093</v>
      </c>
      <c r="AW6" s="93">
        <f t="shared" si="21"/>
        <v>0</v>
      </c>
      <c r="AX6" s="94">
        <f t="shared" si="22"/>
        <v>7.121992324439093</v>
      </c>
      <c r="AY6" s="93">
        <f t="shared" si="23"/>
        <v>0</v>
      </c>
      <c r="AZ6" s="94">
        <f t="shared" si="24"/>
        <v>7.121992324439093</v>
      </c>
      <c r="BA6" s="93">
        <f t="shared" si="25"/>
        <v>0</v>
      </c>
      <c r="BB6" s="94">
        <f t="shared" si="26"/>
        <v>7.121992324439093</v>
      </c>
      <c r="BC6">
        <v>319000</v>
      </c>
      <c r="BH6">
        <v>229566</v>
      </c>
      <c r="BI6">
        <v>3</v>
      </c>
      <c r="BJ6">
        <f t="shared" si="27"/>
        <v>0.69478929806678691</v>
      </c>
      <c r="BK6">
        <f t="shared" si="28"/>
        <v>45580.750876410195</v>
      </c>
      <c r="BL6">
        <f t="shared" si="29"/>
        <v>4359927.017190475</v>
      </c>
    </row>
    <row r="7" spans="1:64" ht="28" customHeight="1">
      <c r="A7" s="74">
        <v>4</v>
      </c>
      <c r="B7" s="75" t="s">
        <v>67</v>
      </c>
      <c r="C7" s="75" t="s">
        <v>71</v>
      </c>
      <c r="D7" s="76" t="s">
        <v>72</v>
      </c>
      <c r="F7" s="37" t="s">
        <v>70</v>
      </c>
      <c r="G7" s="38">
        <v>2</v>
      </c>
      <c r="H7" s="77">
        <v>1</v>
      </c>
      <c r="I7" s="155">
        <v>1.5</v>
      </c>
      <c r="J7" s="76" t="s">
        <v>64</v>
      </c>
      <c r="K7" s="77">
        <v>61.217799999999997</v>
      </c>
      <c r="L7" s="78">
        <v>8</v>
      </c>
      <c r="M7" s="77">
        <f t="shared" si="0"/>
        <v>6400</v>
      </c>
      <c r="N7" s="79">
        <v>78</v>
      </c>
      <c r="O7" s="80">
        <v>11.7</v>
      </c>
      <c r="P7" s="81">
        <v>0</v>
      </c>
      <c r="Q7" s="155"/>
      <c r="R7" s="82">
        <v>7000</v>
      </c>
      <c r="S7" s="83">
        <f t="shared" si="1"/>
        <v>90.793750000000003</v>
      </c>
      <c r="T7" s="46">
        <v>35</v>
      </c>
      <c r="U7" s="84">
        <v>0.01</v>
      </c>
      <c r="V7" s="85">
        <f t="shared" si="2"/>
        <v>3.2095590624999999</v>
      </c>
      <c r="W7" s="53">
        <v>360</v>
      </c>
      <c r="X7" s="54">
        <v>50</v>
      </c>
      <c r="Y7" s="55">
        <v>1.7728999999999999</v>
      </c>
      <c r="Z7" s="86">
        <f t="shared" si="3"/>
        <v>3.2831481481481482E-2</v>
      </c>
      <c r="AA7" s="87">
        <f t="shared" si="4"/>
        <v>0.01</v>
      </c>
      <c r="AB7" s="86">
        <f t="shared" si="5"/>
        <v>1.6579898148148149</v>
      </c>
      <c r="AC7" s="86">
        <f t="shared" si="6"/>
        <v>9.6286771874999996E-2</v>
      </c>
      <c r="AD7" s="86">
        <f t="shared" si="7"/>
        <v>0.13263918518518519</v>
      </c>
      <c r="AE7" s="88">
        <f t="shared" si="8"/>
        <v>0.49853946271073668</v>
      </c>
      <c r="AF7" s="87">
        <f t="shared" si="9"/>
        <v>7.0000000000000021E-2</v>
      </c>
      <c r="AG7" s="88">
        <f t="shared" si="10"/>
        <v>0.35609961622195474</v>
      </c>
      <c r="AH7" s="87">
        <f t="shared" si="11"/>
        <v>5.000000000000001E-2</v>
      </c>
      <c r="AI7" s="86">
        <f t="shared" si="12"/>
        <v>0.47608911306461538</v>
      </c>
      <c r="AJ7" s="89">
        <v>159500</v>
      </c>
      <c r="AK7" s="86">
        <f t="shared" si="13"/>
        <v>0.69478929806678691</v>
      </c>
      <c r="AL7" s="90">
        <f t="shared" si="14"/>
        <v>7.121992324439093</v>
      </c>
      <c r="AP7" s="91">
        <f t="shared" si="15"/>
        <v>7.121992324439093</v>
      </c>
      <c r="AQ7" s="92">
        <f t="shared" si="16"/>
        <v>0.45065466463455861</v>
      </c>
      <c r="AS7" s="93">
        <f t="shared" si="17"/>
        <v>0</v>
      </c>
      <c r="AT7" s="94">
        <f t="shared" si="18"/>
        <v>7.121992324439093</v>
      </c>
      <c r="AU7" s="93">
        <f t="shared" si="19"/>
        <v>0</v>
      </c>
      <c r="AV7" s="94">
        <f t="shared" si="20"/>
        <v>7.121992324439093</v>
      </c>
      <c r="AW7" s="93">
        <f t="shared" si="21"/>
        <v>0</v>
      </c>
      <c r="AX7" s="94">
        <f t="shared" si="22"/>
        <v>7.121992324439093</v>
      </c>
      <c r="AY7" s="93">
        <f t="shared" si="23"/>
        <v>0</v>
      </c>
      <c r="AZ7" s="94">
        <f t="shared" si="24"/>
        <v>7.121992324439093</v>
      </c>
      <c r="BA7" s="93">
        <f t="shared" si="25"/>
        <v>0</v>
      </c>
      <c r="BB7" s="94">
        <f t="shared" si="26"/>
        <v>7.121992324439093</v>
      </c>
      <c r="BC7">
        <v>319000</v>
      </c>
      <c r="BH7">
        <v>229566</v>
      </c>
      <c r="BI7">
        <v>3</v>
      </c>
      <c r="BJ7">
        <f t="shared" si="27"/>
        <v>0.69478929806678691</v>
      </c>
      <c r="BK7">
        <f t="shared" si="28"/>
        <v>45580.750876410195</v>
      </c>
      <c r="BL7">
        <f t="shared" si="29"/>
        <v>4359927.017190475</v>
      </c>
    </row>
    <row r="8" spans="1:64" ht="28" customHeight="1">
      <c r="A8" s="74">
        <v>5</v>
      </c>
      <c r="B8" s="75" t="s">
        <v>73</v>
      </c>
      <c r="C8" s="75" t="s">
        <v>74</v>
      </c>
      <c r="D8" s="76" t="s">
        <v>75</v>
      </c>
      <c r="F8" s="37" t="s">
        <v>76</v>
      </c>
      <c r="G8" s="38">
        <v>2</v>
      </c>
      <c r="H8" s="77">
        <v>1</v>
      </c>
      <c r="I8" s="155">
        <v>1.5</v>
      </c>
      <c r="J8" s="76" t="s">
        <v>64</v>
      </c>
      <c r="K8" s="77">
        <v>61.217799999999997</v>
      </c>
      <c r="L8" s="78">
        <v>8</v>
      </c>
      <c r="M8" s="77">
        <f t="shared" si="0"/>
        <v>6400</v>
      </c>
      <c r="N8" s="79">
        <v>27</v>
      </c>
      <c r="O8" s="80">
        <v>4.8</v>
      </c>
      <c r="P8" s="81">
        <v>0</v>
      </c>
      <c r="Q8" s="155"/>
      <c r="R8" s="82">
        <v>7000</v>
      </c>
      <c r="S8" s="83">
        <f t="shared" si="1"/>
        <v>32.893749999999997</v>
      </c>
      <c r="T8" s="46">
        <v>35</v>
      </c>
      <c r="U8" s="84">
        <v>0.01</v>
      </c>
      <c r="V8" s="85">
        <f t="shared" si="2"/>
        <v>1.1627940624999999</v>
      </c>
      <c r="W8" s="53">
        <v>160</v>
      </c>
      <c r="X8" s="54">
        <v>22.5</v>
      </c>
      <c r="Y8" s="55">
        <v>1.0953999999999999</v>
      </c>
      <c r="Z8" s="86">
        <f t="shared" si="3"/>
        <v>2.028518518518518E-2</v>
      </c>
      <c r="AA8" s="87">
        <f t="shared" si="4"/>
        <v>0.01</v>
      </c>
      <c r="AB8" s="86">
        <f t="shared" si="5"/>
        <v>0.46098083333333323</v>
      </c>
      <c r="AC8" s="86">
        <f t="shared" si="6"/>
        <v>3.4883821874999998E-2</v>
      </c>
      <c r="AD8" s="86">
        <f t="shared" si="7"/>
        <v>3.6878466666666658E-2</v>
      </c>
      <c r="AE8" s="88">
        <f t="shared" si="8"/>
        <v>0.17424367849618094</v>
      </c>
      <c r="AF8" s="87">
        <f t="shared" si="9"/>
        <v>7.0000000000000007E-2</v>
      </c>
      <c r="AG8" s="88">
        <f t="shared" si="10"/>
        <v>0.12445977035441497</v>
      </c>
      <c r="AH8" s="87">
        <f t="shared" si="11"/>
        <v>0.05</v>
      </c>
      <c r="AI8" s="86">
        <f t="shared" si="12"/>
        <v>0.15953925065804767</v>
      </c>
      <c r="AJ8" s="89">
        <v>77000</v>
      </c>
      <c r="AK8" s="86">
        <f t="shared" si="13"/>
        <v>0.33541552320465573</v>
      </c>
      <c r="AL8" s="90">
        <f t="shared" si="14"/>
        <v>2.4891954070882991</v>
      </c>
      <c r="AP8" s="91">
        <f t="shared" si="15"/>
        <v>2.4891954070882991</v>
      </c>
      <c r="AQ8" s="92">
        <f t="shared" si="16"/>
        <v>0.46713651294261455</v>
      </c>
      <c r="AS8" s="93">
        <f t="shared" si="17"/>
        <v>0</v>
      </c>
      <c r="AT8" s="94">
        <f t="shared" si="18"/>
        <v>2.4891954070882991</v>
      </c>
      <c r="AU8" s="93">
        <f t="shared" si="19"/>
        <v>0</v>
      </c>
      <c r="AV8" s="94">
        <f t="shared" si="20"/>
        <v>2.4891954070882991</v>
      </c>
      <c r="AW8" s="93">
        <f t="shared" si="21"/>
        <v>0</v>
      </c>
      <c r="AX8" s="94">
        <f t="shared" si="22"/>
        <v>2.4891954070882991</v>
      </c>
      <c r="AY8" s="93">
        <f t="shared" si="23"/>
        <v>0</v>
      </c>
      <c r="AZ8" s="94">
        <f t="shared" si="24"/>
        <v>2.4891954070882991</v>
      </c>
      <c r="BA8" s="93">
        <f t="shared" si="25"/>
        <v>0</v>
      </c>
      <c r="BB8" s="94">
        <f t="shared" si="26"/>
        <v>2.4891954070882991</v>
      </c>
      <c r="BC8">
        <v>154000</v>
      </c>
      <c r="BH8">
        <v>229566</v>
      </c>
      <c r="BI8">
        <v>3</v>
      </c>
      <c r="BJ8">
        <f t="shared" si="27"/>
        <v>0.33541552320465573</v>
      </c>
      <c r="BK8">
        <f t="shared" si="28"/>
        <v>15930.850605365114</v>
      </c>
      <c r="BL8">
        <f t="shared" si="29"/>
        <v>1523830.6659205006</v>
      </c>
    </row>
    <row r="9" spans="1:64" ht="28" customHeight="1">
      <c r="A9" s="74">
        <v>6</v>
      </c>
      <c r="B9" s="75" t="s">
        <v>73</v>
      </c>
      <c r="C9" s="75" t="s">
        <v>77</v>
      </c>
      <c r="D9" s="76" t="s">
        <v>78</v>
      </c>
      <c r="F9" s="37" t="s">
        <v>76</v>
      </c>
      <c r="G9" s="38">
        <v>2</v>
      </c>
      <c r="H9" s="77">
        <v>1</v>
      </c>
      <c r="I9" s="155">
        <v>1.5</v>
      </c>
      <c r="J9" s="76" t="s">
        <v>64</v>
      </c>
      <c r="K9" s="77">
        <v>61.217799999999997</v>
      </c>
      <c r="L9" s="78">
        <v>8</v>
      </c>
      <c r="M9" s="77">
        <f t="shared" si="0"/>
        <v>6400</v>
      </c>
      <c r="N9" s="79">
        <v>27</v>
      </c>
      <c r="O9" s="80">
        <v>4.8</v>
      </c>
      <c r="P9" s="81">
        <v>0</v>
      </c>
      <c r="Q9" s="155"/>
      <c r="R9" s="82">
        <v>7000</v>
      </c>
      <c r="S9" s="83">
        <f t="shared" si="1"/>
        <v>32.893749999999997</v>
      </c>
      <c r="T9" s="46">
        <v>35</v>
      </c>
      <c r="U9" s="84">
        <v>0.01</v>
      </c>
      <c r="V9" s="85">
        <f t="shared" si="2"/>
        <v>1.1627940624999999</v>
      </c>
      <c r="W9" s="53">
        <v>160</v>
      </c>
      <c r="X9" s="54">
        <v>22.5</v>
      </c>
      <c r="Y9" s="55">
        <v>1.0953999999999999</v>
      </c>
      <c r="Z9" s="86">
        <f t="shared" si="3"/>
        <v>2.028518518518518E-2</v>
      </c>
      <c r="AA9" s="87">
        <f t="shared" si="4"/>
        <v>0.01</v>
      </c>
      <c r="AB9" s="86">
        <f t="shared" si="5"/>
        <v>0.46098083333333323</v>
      </c>
      <c r="AC9" s="86">
        <f t="shared" si="6"/>
        <v>3.4883821874999998E-2</v>
      </c>
      <c r="AD9" s="86">
        <f t="shared" si="7"/>
        <v>3.6878466666666658E-2</v>
      </c>
      <c r="AE9" s="88">
        <f t="shared" si="8"/>
        <v>0.17424367849618094</v>
      </c>
      <c r="AF9" s="87">
        <f t="shared" si="9"/>
        <v>7.0000000000000007E-2</v>
      </c>
      <c r="AG9" s="88">
        <f t="shared" si="10"/>
        <v>0.12445977035441497</v>
      </c>
      <c r="AH9" s="87">
        <f t="shared" si="11"/>
        <v>0.05</v>
      </c>
      <c r="AI9" s="86">
        <f t="shared" si="12"/>
        <v>0.15953925065804767</v>
      </c>
      <c r="AJ9" s="89">
        <v>77000</v>
      </c>
      <c r="AK9" s="86">
        <f t="shared" si="13"/>
        <v>0.33541552320465573</v>
      </c>
      <c r="AL9" s="90">
        <f t="shared" si="14"/>
        <v>2.4891954070882991</v>
      </c>
      <c r="AP9" s="91">
        <f t="shared" si="15"/>
        <v>2.4891954070882991</v>
      </c>
      <c r="AQ9" s="92">
        <f t="shared" si="16"/>
        <v>0.46713651294261455</v>
      </c>
      <c r="AS9" s="93">
        <f t="shared" si="17"/>
        <v>0</v>
      </c>
      <c r="AT9" s="94">
        <f t="shared" si="18"/>
        <v>2.4891954070882991</v>
      </c>
      <c r="AU9" s="93">
        <f t="shared" si="19"/>
        <v>0</v>
      </c>
      <c r="AV9" s="94">
        <f t="shared" si="20"/>
        <v>2.4891954070882991</v>
      </c>
      <c r="AW9" s="93">
        <f t="shared" si="21"/>
        <v>0</v>
      </c>
      <c r="AX9" s="94">
        <f t="shared" si="22"/>
        <v>2.4891954070882991</v>
      </c>
      <c r="AY9" s="93">
        <f t="shared" si="23"/>
        <v>0</v>
      </c>
      <c r="AZ9" s="94">
        <f t="shared" si="24"/>
        <v>2.4891954070882991</v>
      </c>
      <c r="BA9" s="93">
        <f t="shared" si="25"/>
        <v>0</v>
      </c>
      <c r="BB9" s="94">
        <f t="shared" si="26"/>
        <v>2.4891954070882991</v>
      </c>
      <c r="BC9">
        <v>154000</v>
      </c>
      <c r="BH9">
        <v>229566</v>
      </c>
      <c r="BI9">
        <v>3</v>
      </c>
      <c r="BJ9">
        <f t="shared" si="27"/>
        <v>0.33541552320465573</v>
      </c>
      <c r="BK9">
        <f t="shared" si="28"/>
        <v>15930.850605365114</v>
      </c>
      <c r="BL9">
        <f t="shared" si="29"/>
        <v>1523830.6659205006</v>
      </c>
    </row>
    <row r="10" spans="1:64" ht="28" customHeight="1">
      <c r="A10" s="160" t="s">
        <v>79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2"/>
      <c r="O10" s="80"/>
      <c r="P10" s="81"/>
      <c r="Q10" s="155"/>
      <c r="R10" s="82"/>
      <c r="S10" s="83"/>
      <c r="T10" s="46"/>
      <c r="U10" s="84"/>
      <c r="V10" s="85"/>
      <c r="W10" s="53"/>
      <c r="X10" s="54"/>
      <c r="Y10" s="55"/>
      <c r="Z10" s="86"/>
      <c r="AA10" s="87"/>
      <c r="AB10" s="86"/>
      <c r="AC10" s="86"/>
      <c r="AD10" s="86"/>
      <c r="AE10" s="88"/>
      <c r="AF10" s="87"/>
      <c r="AG10" s="88"/>
      <c r="AH10" s="87"/>
      <c r="AI10" s="86"/>
      <c r="AJ10" s="89"/>
      <c r="AK10" s="86"/>
      <c r="AL10" s="90"/>
      <c r="AP10" s="91"/>
      <c r="AQ10" s="92"/>
      <c r="AS10" s="93"/>
      <c r="AT10" s="94"/>
      <c r="AU10" s="93"/>
      <c r="AV10" s="94"/>
      <c r="AW10" s="93"/>
      <c r="AX10" s="94"/>
      <c r="AY10" s="93"/>
      <c r="AZ10" s="94"/>
      <c r="BA10" s="93"/>
      <c r="BB10" s="94"/>
    </row>
    <row r="11" spans="1:64" s="3" customFormat="1" ht="73.25" customHeight="1">
      <c r="A11" s="22">
        <v>0</v>
      </c>
      <c r="B11" s="22" t="s">
        <v>10</v>
      </c>
      <c r="C11" s="22" t="s">
        <v>11</v>
      </c>
      <c r="D11" s="22" t="s">
        <v>12</v>
      </c>
      <c r="E11" s="22" t="s">
        <v>13</v>
      </c>
      <c r="F11" s="22" t="s">
        <v>14</v>
      </c>
      <c r="G11" s="22" t="s">
        <v>15</v>
      </c>
      <c r="H11" s="23" t="s">
        <v>16</v>
      </c>
      <c r="I11" s="23" t="s">
        <v>17</v>
      </c>
      <c r="J11" s="23" t="s">
        <v>18</v>
      </c>
      <c r="K11" s="23" t="s">
        <v>19</v>
      </c>
      <c r="L11" s="23" t="s">
        <v>20</v>
      </c>
      <c r="M11" s="23" t="s">
        <v>21</v>
      </c>
      <c r="N11" s="24" t="s">
        <v>22</v>
      </c>
      <c r="O11" s="23" t="s">
        <v>23</v>
      </c>
      <c r="P11" s="23" t="s">
        <v>24</v>
      </c>
      <c r="Q11" s="23" t="s">
        <v>25</v>
      </c>
      <c r="R11" s="23" t="s">
        <v>26</v>
      </c>
      <c r="S11" s="23" t="s">
        <v>27</v>
      </c>
      <c r="T11" s="23" t="s">
        <v>28</v>
      </c>
      <c r="U11" s="23" t="s">
        <v>29</v>
      </c>
      <c r="V11" s="23" t="s">
        <v>30</v>
      </c>
      <c r="W11" s="23" t="s">
        <v>31</v>
      </c>
      <c r="X11" s="23" t="s">
        <v>32</v>
      </c>
      <c r="Y11" s="23" t="s">
        <v>33</v>
      </c>
      <c r="Z11" s="25" t="s">
        <v>34</v>
      </c>
      <c r="AA11" s="23" t="s">
        <v>29</v>
      </c>
      <c r="AB11" s="25" t="s">
        <v>35</v>
      </c>
      <c r="AC11" s="23" t="s">
        <v>36</v>
      </c>
      <c r="AD11" s="25" t="s">
        <v>37</v>
      </c>
      <c r="AE11" s="25" t="s">
        <v>38</v>
      </c>
      <c r="AF11" s="25"/>
      <c r="AG11" s="25" t="s">
        <v>39</v>
      </c>
      <c r="AH11" s="25"/>
      <c r="AI11" s="25" t="s">
        <v>40</v>
      </c>
      <c r="AJ11" s="25" t="s">
        <v>41</v>
      </c>
      <c r="AK11" s="25" t="s">
        <v>42</v>
      </c>
      <c r="AL11" s="25" t="s">
        <v>43</v>
      </c>
      <c r="AM11" s="26" t="s">
        <v>44</v>
      </c>
      <c r="AN11" s="26" t="s">
        <v>45</v>
      </c>
      <c r="AO11" s="26" t="s">
        <v>46</v>
      </c>
      <c r="AP11" s="27" t="s">
        <v>47</v>
      </c>
      <c r="AQ11" s="25" t="s">
        <v>48</v>
      </c>
      <c r="AR11" s="28"/>
      <c r="AS11" s="29"/>
      <c r="AT11" s="25" t="s">
        <v>49</v>
      </c>
      <c r="AU11" s="29"/>
      <c r="AV11" s="25" t="s">
        <v>49</v>
      </c>
      <c r="AW11" s="29"/>
      <c r="AX11" s="25" t="s">
        <v>49</v>
      </c>
      <c r="AY11" s="29"/>
      <c r="AZ11" s="25" t="s">
        <v>49</v>
      </c>
      <c r="BA11" s="29"/>
      <c r="BB11" s="25" t="s">
        <v>49</v>
      </c>
      <c r="BC11" s="30" t="s">
        <v>50</v>
      </c>
      <c r="BD11" s="30" t="s">
        <v>51</v>
      </c>
      <c r="BE11" s="30" t="s">
        <v>52</v>
      </c>
      <c r="BF11" s="30" t="s">
        <v>53</v>
      </c>
      <c r="BG11" s="30" t="s">
        <v>54</v>
      </c>
      <c r="BH11" s="30" t="s">
        <v>55</v>
      </c>
      <c r="BI11" s="30" t="s">
        <v>56</v>
      </c>
      <c r="BJ11" s="30" t="s">
        <v>57</v>
      </c>
      <c r="BK11" s="31" t="s">
        <v>58</v>
      </c>
      <c r="BL11" s="32" t="s">
        <v>59</v>
      </c>
    </row>
    <row r="12" spans="1:64" s="97" customFormat="1" ht="28" customHeight="1">
      <c r="A12" s="98">
        <v>1</v>
      </c>
      <c r="B12" s="99" t="s">
        <v>60</v>
      </c>
      <c r="C12" s="99" t="s">
        <v>61</v>
      </c>
      <c r="D12" s="100" t="s">
        <v>62</v>
      </c>
      <c r="E12" s="101"/>
      <c r="F12" s="102" t="s">
        <v>63</v>
      </c>
      <c r="G12" s="103">
        <v>2</v>
      </c>
      <c r="H12" s="104">
        <v>1</v>
      </c>
      <c r="I12" s="105">
        <v>1.5</v>
      </c>
      <c r="J12" s="106" t="s">
        <v>64</v>
      </c>
      <c r="K12" s="107">
        <v>61.217799999999997</v>
      </c>
      <c r="L12" s="108">
        <v>8</v>
      </c>
      <c r="M12" s="109">
        <f t="shared" ref="M12:M17" si="30">ROUND(K12/L12/12*10000,-2)</f>
        <v>6400</v>
      </c>
      <c r="N12" s="107">
        <v>77</v>
      </c>
      <c r="O12" s="105"/>
      <c r="P12" s="110">
        <v>0</v>
      </c>
      <c r="Q12" s="111"/>
      <c r="R12" s="112"/>
      <c r="S12" s="113">
        <f t="shared" ref="S12:S17" si="31">(N12+O12*(1-P12)/H12)*(1+Q12)+R12/M12</f>
        <v>77</v>
      </c>
      <c r="T12" s="105">
        <v>15</v>
      </c>
      <c r="U12" s="114">
        <v>0.01</v>
      </c>
      <c r="V12" s="115">
        <f t="shared" ref="V12:V17" si="32">(S12*T12/1000)*(1+U12)</f>
        <v>1.16655</v>
      </c>
      <c r="W12" s="116">
        <v>360</v>
      </c>
      <c r="X12" s="117">
        <v>40</v>
      </c>
      <c r="Y12" s="118">
        <v>1.7728999999999999</v>
      </c>
      <c r="Z12" s="119">
        <f t="shared" ref="Z12:Z17" si="33">Y12/60/0.9</f>
        <v>3.2831481481481482E-2</v>
      </c>
      <c r="AA12" s="120">
        <f t="shared" ref="AA12:AA17" si="34">U12</f>
        <v>0.01</v>
      </c>
      <c r="AB12" s="119">
        <f t="shared" ref="AB12:AB17" si="35">(Z12*X12/H12)*(1+AA12)</f>
        <v>1.326391851851852</v>
      </c>
      <c r="AC12" s="119">
        <f t="shared" ref="AC12:AC17" si="36">V12*0.03</f>
        <v>3.49965E-2</v>
      </c>
      <c r="AD12" s="119">
        <f t="shared" ref="AD12:AD17" si="37">(AB12)*0.08</f>
        <v>0.10611134814814817</v>
      </c>
      <c r="AE12" s="58">
        <v>0.25</v>
      </c>
      <c r="AF12" s="120">
        <f t="shared" ref="AF12:AF17" si="38">AE12/$AL12</f>
        <v>7.3343424815008731E-2</v>
      </c>
      <c r="AG12" s="58">
        <v>0.18</v>
      </c>
      <c r="AH12" s="120">
        <f t="shared" ref="AH12:AH17" si="39">AG12/$AL12</f>
        <v>5.2807265866806286E-2</v>
      </c>
      <c r="AI12" s="119">
        <f>(AB12+AC12+AD12+AE12+AG12+V12)*3%</f>
        <v>9.1921490999999994E-2</v>
      </c>
      <c r="AJ12" s="121">
        <v>232000</v>
      </c>
      <c r="AK12" s="119">
        <f>AJ12/(229566*4)</f>
        <v>0.25265065384246799</v>
      </c>
      <c r="AL12" s="122">
        <f t="shared" si="14"/>
        <v>3.408621844842469</v>
      </c>
      <c r="AM12" s="123"/>
      <c r="AN12" s="120"/>
      <c r="AO12" s="124"/>
      <c r="AP12" s="125">
        <f t="shared" ref="AP12:AP17" si="40">PRODUCT($AL12,1/(1-AM12),1/(1-$AS12),1/(1-$AU12),1/(1-$AW12),1/(1-$AY12),1/(1-$BA12))</f>
        <v>3.408621844842469</v>
      </c>
      <c r="AQ12" s="126">
        <f t="shared" ref="AQ12:AQ17" si="41">V12/AP12</f>
        <v>0.34223508887179377</v>
      </c>
      <c r="AR12" s="96"/>
      <c r="AS12" s="127">
        <f t="shared" si="17"/>
        <v>0</v>
      </c>
      <c r="AT12" s="128">
        <f t="shared" ref="AT12:AT17" si="42">AP12*(1-$AM12)</f>
        <v>3.408621844842469</v>
      </c>
      <c r="AU12" s="127">
        <f t="shared" si="19"/>
        <v>0</v>
      </c>
      <c r="AV12" s="128">
        <f t="shared" si="20"/>
        <v>3.408621844842469</v>
      </c>
      <c r="AW12" s="127">
        <f t="shared" si="21"/>
        <v>0</v>
      </c>
      <c r="AX12" s="128">
        <f t="shared" si="22"/>
        <v>3.408621844842469</v>
      </c>
      <c r="AY12" s="127">
        <f t="shared" si="23"/>
        <v>0</v>
      </c>
      <c r="AZ12" s="128">
        <f t="shared" si="24"/>
        <v>3.408621844842469</v>
      </c>
      <c r="BA12" s="127">
        <f t="shared" si="25"/>
        <v>0</v>
      </c>
      <c r="BB12" s="128">
        <f t="shared" si="26"/>
        <v>3.408621844842469</v>
      </c>
      <c r="BC12" s="129">
        <v>319000</v>
      </c>
      <c r="BD12" s="130"/>
      <c r="BE12" s="130"/>
      <c r="BF12" s="131"/>
      <c r="BG12" s="132"/>
      <c r="BH12" s="132">
        <v>229566</v>
      </c>
      <c r="BI12" s="132">
        <v>3</v>
      </c>
      <c r="BJ12" s="133">
        <f t="shared" ref="BJ12:BJ17" si="43">AK12</f>
        <v>0.25265065384246799</v>
      </c>
      <c r="BK12" s="134">
        <f t="shared" ref="BK12:BK17" si="44">AL12*M12</f>
        <v>21815.1798069918</v>
      </c>
      <c r="BL12" s="134">
        <f t="shared" ref="BL12:BL17" si="45">AL12*K12*10000</f>
        <v>2086683.3037319728</v>
      </c>
    </row>
    <row r="13" spans="1:64" s="140" customFormat="1" ht="28" customHeight="1">
      <c r="A13" s="135">
        <v>2</v>
      </c>
      <c r="B13" s="136" t="s">
        <v>60</v>
      </c>
      <c r="C13" s="136" t="s">
        <v>65</v>
      </c>
      <c r="D13" s="137" t="s">
        <v>66</v>
      </c>
      <c r="E13" s="138"/>
      <c r="F13" s="102" t="s">
        <v>63</v>
      </c>
      <c r="G13" s="103">
        <v>2</v>
      </c>
      <c r="H13" s="139">
        <v>1</v>
      </c>
      <c r="I13" s="140">
        <v>1.5</v>
      </c>
      <c r="J13" s="137" t="s">
        <v>64</v>
      </c>
      <c r="K13" s="139">
        <v>61.217799999999997</v>
      </c>
      <c r="L13" s="141">
        <v>8</v>
      </c>
      <c r="M13" s="139">
        <f t="shared" si="30"/>
        <v>6400</v>
      </c>
      <c r="N13" s="139">
        <v>77</v>
      </c>
      <c r="O13" s="142"/>
      <c r="P13" s="143">
        <v>0</v>
      </c>
      <c r="Q13" s="154"/>
      <c r="R13" s="142"/>
      <c r="S13" s="144">
        <f t="shared" si="31"/>
        <v>77</v>
      </c>
      <c r="T13" s="105">
        <v>15</v>
      </c>
      <c r="U13" s="145">
        <v>0.01</v>
      </c>
      <c r="V13" s="146">
        <f t="shared" si="32"/>
        <v>1.16655</v>
      </c>
      <c r="W13" s="116">
        <v>360</v>
      </c>
      <c r="X13" s="117">
        <v>40</v>
      </c>
      <c r="Y13" s="118">
        <v>1.7728999999999999</v>
      </c>
      <c r="Z13" s="147">
        <f t="shared" si="33"/>
        <v>3.2831481481481482E-2</v>
      </c>
      <c r="AA13" s="148">
        <f t="shared" si="34"/>
        <v>0.01</v>
      </c>
      <c r="AB13" s="147">
        <f t="shared" si="35"/>
        <v>1.326391851851852</v>
      </c>
      <c r="AC13" s="147">
        <f t="shared" si="36"/>
        <v>3.49965E-2</v>
      </c>
      <c r="AD13" s="147">
        <f t="shared" si="37"/>
        <v>0.10611134814814817</v>
      </c>
      <c r="AE13" s="58">
        <v>0.25</v>
      </c>
      <c r="AF13" s="148">
        <f t="shared" si="38"/>
        <v>7.3343424815008731E-2</v>
      </c>
      <c r="AG13" s="88">
        <v>0.18</v>
      </c>
      <c r="AH13" s="148">
        <f t="shared" si="39"/>
        <v>5.2807265866806286E-2</v>
      </c>
      <c r="AI13" s="119">
        <f t="shared" ref="AI13:AI17" si="46">(AB13+AC13+AD13+AE13+AG13+V13)*3%</f>
        <v>9.1921490999999994E-2</v>
      </c>
      <c r="AJ13" s="121">
        <v>232000</v>
      </c>
      <c r="AK13" s="147">
        <f>AJ13/(229566*4)</f>
        <v>0.25265065384246799</v>
      </c>
      <c r="AL13" s="149">
        <f t="shared" si="14"/>
        <v>3.408621844842469</v>
      </c>
      <c r="AP13" s="150">
        <f t="shared" si="40"/>
        <v>3.408621844842469</v>
      </c>
      <c r="AQ13" s="151">
        <f t="shared" si="41"/>
        <v>0.34223508887179377</v>
      </c>
      <c r="AS13" s="152">
        <f t="shared" si="17"/>
        <v>0</v>
      </c>
      <c r="AT13" s="153">
        <f t="shared" si="42"/>
        <v>3.408621844842469</v>
      </c>
      <c r="AU13" s="152">
        <f t="shared" si="19"/>
        <v>0</v>
      </c>
      <c r="AV13" s="153">
        <f t="shared" si="20"/>
        <v>3.408621844842469</v>
      </c>
      <c r="AW13" s="152">
        <f t="shared" si="21"/>
        <v>0</v>
      </c>
      <c r="AX13" s="153">
        <f t="shared" si="22"/>
        <v>3.408621844842469</v>
      </c>
      <c r="AY13" s="152">
        <f t="shared" si="23"/>
        <v>0</v>
      </c>
      <c r="AZ13" s="153">
        <f t="shared" si="24"/>
        <v>3.408621844842469</v>
      </c>
      <c r="BA13" s="152">
        <f t="shared" si="25"/>
        <v>0</v>
      </c>
      <c r="BB13" s="153">
        <f t="shared" si="26"/>
        <v>3.408621844842469</v>
      </c>
      <c r="BC13" s="140">
        <v>319000</v>
      </c>
      <c r="BH13" s="140">
        <v>229566</v>
      </c>
      <c r="BI13" s="140">
        <v>3</v>
      </c>
      <c r="BJ13" s="140">
        <f t="shared" si="43"/>
        <v>0.25265065384246799</v>
      </c>
      <c r="BK13" s="140">
        <f t="shared" si="44"/>
        <v>21815.1798069918</v>
      </c>
      <c r="BL13" s="140">
        <f t="shared" si="45"/>
        <v>2086683.3037319728</v>
      </c>
    </row>
    <row r="14" spans="1:64" s="140" customFormat="1" ht="28" customHeight="1">
      <c r="A14" s="135">
        <v>3</v>
      </c>
      <c r="B14" s="136" t="s">
        <v>67</v>
      </c>
      <c r="C14" s="136" t="s">
        <v>68</v>
      </c>
      <c r="D14" s="137" t="s">
        <v>69</v>
      </c>
      <c r="E14" s="138"/>
      <c r="F14" s="102" t="s">
        <v>70</v>
      </c>
      <c r="G14" s="103">
        <v>2</v>
      </c>
      <c r="H14" s="139">
        <v>1</v>
      </c>
      <c r="I14" s="140">
        <v>1.5</v>
      </c>
      <c r="J14" s="137" t="s">
        <v>64</v>
      </c>
      <c r="K14" s="139">
        <v>61.217799999999997</v>
      </c>
      <c r="L14" s="141">
        <v>8</v>
      </c>
      <c r="M14" s="139">
        <f t="shared" si="30"/>
        <v>6400</v>
      </c>
      <c r="N14" s="139">
        <v>78</v>
      </c>
      <c r="O14" s="142"/>
      <c r="P14" s="143">
        <v>0</v>
      </c>
      <c r="Q14" s="154"/>
      <c r="R14" s="142"/>
      <c r="S14" s="144">
        <f t="shared" si="31"/>
        <v>78</v>
      </c>
      <c r="T14" s="105">
        <v>15</v>
      </c>
      <c r="U14" s="145">
        <v>0.01</v>
      </c>
      <c r="V14" s="146">
        <f t="shared" si="32"/>
        <v>1.1817</v>
      </c>
      <c r="W14" s="116">
        <v>360</v>
      </c>
      <c r="X14" s="117">
        <v>40</v>
      </c>
      <c r="Y14" s="118">
        <v>1.7728999999999999</v>
      </c>
      <c r="Z14" s="147">
        <f t="shared" si="33"/>
        <v>3.2831481481481482E-2</v>
      </c>
      <c r="AA14" s="148">
        <f t="shared" si="34"/>
        <v>0.01</v>
      </c>
      <c r="AB14" s="147">
        <f t="shared" si="35"/>
        <v>1.326391851851852</v>
      </c>
      <c r="AC14" s="147">
        <f t="shared" si="36"/>
        <v>3.5450999999999996E-2</v>
      </c>
      <c r="AD14" s="147">
        <f t="shared" si="37"/>
        <v>0.10611134814814817</v>
      </c>
      <c r="AE14" s="58">
        <v>0.25</v>
      </c>
      <c r="AF14" s="148">
        <f t="shared" si="38"/>
        <v>7.299921247617383E-2</v>
      </c>
      <c r="AG14" s="88">
        <v>0.18</v>
      </c>
      <c r="AH14" s="148">
        <f t="shared" si="39"/>
        <v>5.2559432982845163E-2</v>
      </c>
      <c r="AI14" s="119">
        <f t="shared" si="46"/>
        <v>9.2389626000000002E-2</v>
      </c>
      <c r="AJ14" s="121">
        <v>232000</v>
      </c>
      <c r="AK14" s="119">
        <f t="shared" ref="AK14:AK15" si="47">AJ14/(229566*4)</f>
        <v>0.25265065384246799</v>
      </c>
      <c r="AL14" s="149">
        <f t="shared" si="14"/>
        <v>3.4246944798424686</v>
      </c>
      <c r="AP14" s="150">
        <f t="shared" si="40"/>
        <v>3.4246944798424686</v>
      </c>
      <c r="AQ14" s="151">
        <f t="shared" si="41"/>
        <v>0.3450526775323785</v>
      </c>
      <c r="AS14" s="152">
        <f t="shared" si="17"/>
        <v>0</v>
      </c>
      <c r="AT14" s="153">
        <f t="shared" si="42"/>
        <v>3.4246944798424686</v>
      </c>
      <c r="AU14" s="152">
        <f t="shared" si="19"/>
        <v>0</v>
      </c>
      <c r="AV14" s="153">
        <f t="shared" si="20"/>
        <v>3.4246944798424686</v>
      </c>
      <c r="AW14" s="152">
        <f t="shared" si="21"/>
        <v>0</v>
      </c>
      <c r="AX14" s="153">
        <f t="shared" si="22"/>
        <v>3.4246944798424686</v>
      </c>
      <c r="AY14" s="152">
        <f t="shared" si="23"/>
        <v>0</v>
      </c>
      <c r="AZ14" s="153">
        <f t="shared" si="24"/>
        <v>3.4246944798424686</v>
      </c>
      <c r="BA14" s="152">
        <f t="shared" si="25"/>
        <v>0</v>
      </c>
      <c r="BB14" s="153">
        <f t="shared" si="26"/>
        <v>3.4246944798424686</v>
      </c>
      <c r="BC14" s="140">
        <v>319000</v>
      </c>
      <c r="BH14" s="140">
        <v>229566</v>
      </c>
      <c r="BI14" s="140">
        <v>3</v>
      </c>
      <c r="BJ14" s="140">
        <f t="shared" si="43"/>
        <v>0.25265065384246799</v>
      </c>
      <c r="BK14" s="140">
        <f t="shared" si="44"/>
        <v>21918.0446709918</v>
      </c>
      <c r="BL14" s="140">
        <f t="shared" si="45"/>
        <v>2096522.6172810025</v>
      </c>
    </row>
    <row r="15" spans="1:64" s="140" customFormat="1" ht="28" customHeight="1">
      <c r="A15" s="135">
        <v>4</v>
      </c>
      <c r="B15" s="136" t="s">
        <v>67</v>
      </c>
      <c r="C15" s="136" t="s">
        <v>71</v>
      </c>
      <c r="D15" s="137" t="s">
        <v>72</v>
      </c>
      <c r="E15" s="138"/>
      <c r="F15" s="102" t="s">
        <v>70</v>
      </c>
      <c r="G15" s="103">
        <v>2</v>
      </c>
      <c r="H15" s="139">
        <v>1</v>
      </c>
      <c r="I15" s="140">
        <v>1.5</v>
      </c>
      <c r="J15" s="137" t="s">
        <v>64</v>
      </c>
      <c r="K15" s="139">
        <v>61.217799999999997</v>
      </c>
      <c r="L15" s="141">
        <v>8</v>
      </c>
      <c r="M15" s="139">
        <f t="shared" si="30"/>
        <v>6400</v>
      </c>
      <c r="N15" s="139">
        <v>78</v>
      </c>
      <c r="O15" s="142"/>
      <c r="P15" s="143">
        <v>0</v>
      </c>
      <c r="Q15" s="154"/>
      <c r="R15" s="142"/>
      <c r="S15" s="144">
        <f t="shared" si="31"/>
        <v>78</v>
      </c>
      <c r="T15" s="105">
        <v>15</v>
      </c>
      <c r="U15" s="145">
        <v>0.01</v>
      </c>
      <c r="V15" s="146">
        <f t="shared" si="32"/>
        <v>1.1817</v>
      </c>
      <c r="W15" s="116">
        <v>360</v>
      </c>
      <c r="X15" s="117">
        <v>40</v>
      </c>
      <c r="Y15" s="118">
        <v>1.7728999999999999</v>
      </c>
      <c r="Z15" s="147">
        <f t="shared" si="33"/>
        <v>3.2831481481481482E-2</v>
      </c>
      <c r="AA15" s="148">
        <f t="shared" si="34"/>
        <v>0.01</v>
      </c>
      <c r="AB15" s="147">
        <f t="shared" si="35"/>
        <v>1.326391851851852</v>
      </c>
      <c r="AC15" s="147">
        <f t="shared" si="36"/>
        <v>3.5450999999999996E-2</v>
      </c>
      <c r="AD15" s="147">
        <f t="shared" si="37"/>
        <v>0.10611134814814817</v>
      </c>
      <c r="AE15" s="58">
        <v>0.25</v>
      </c>
      <c r="AF15" s="148">
        <f t="shared" si="38"/>
        <v>7.299921247617383E-2</v>
      </c>
      <c r="AG15" s="88">
        <v>0.18</v>
      </c>
      <c r="AH15" s="148">
        <f t="shared" si="39"/>
        <v>5.2559432982845163E-2</v>
      </c>
      <c r="AI15" s="119">
        <f t="shared" si="46"/>
        <v>9.2389626000000002E-2</v>
      </c>
      <c r="AJ15" s="121">
        <v>232000</v>
      </c>
      <c r="AK15" s="147">
        <f t="shared" si="47"/>
        <v>0.25265065384246799</v>
      </c>
      <c r="AL15" s="149">
        <f t="shared" si="14"/>
        <v>3.4246944798424686</v>
      </c>
      <c r="AP15" s="150">
        <f t="shared" si="40"/>
        <v>3.4246944798424686</v>
      </c>
      <c r="AQ15" s="151">
        <f t="shared" si="41"/>
        <v>0.3450526775323785</v>
      </c>
      <c r="AS15" s="152">
        <f t="shared" si="17"/>
        <v>0</v>
      </c>
      <c r="AT15" s="153">
        <f t="shared" si="42"/>
        <v>3.4246944798424686</v>
      </c>
      <c r="AU15" s="152">
        <f t="shared" si="19"/>
        <v>0</v>
      </c>
      <c r="AV15" s="153">
        <f t="shared" si="20"/>
        <v>3.4246944798424686</v>
      </c>
      <c r="AW15" s="152">
        <f t="shared" si="21"/>
        <v>0</v>
      </c>
      <c r="AX15" s="153">
        <f t="shared" si="22"/>
        <v>3.4246944798424686</v>
      </c>
      <c r="AY15" s="152">
        <f t="shared" si="23"/>
        <v>0</v>
      </c>
      <c r="AZ15" s="153">
        <f t="shared" si="24"/>
        <v>3.4246944798424686</v>
      </c>
      <c r="BA15" s="152">
        <f t="shared" si="25"/>
        <v>0</v>
      </c>
      <c r="BB15" s="153">
        <f t="shared" si="26"/>
        <v>3.4246944798424686</v>
      </c>
      <c r="BC15" s="140">
        <v>319000</v>
      </c>
      <c r="BH15" s="140">
        <v>229566</v>
      </c>
      <c r="BI15" s="140">
        <v>3</v>
      </c>
      <c r="BJ15" s="140">
        <f t="shared" si="43"/>
        <v>0.25265065384246799</v>
      </c>
      <c r="BK15" s="140">
        <f t="shared" si="44"/>
        <v>21918.0446709918</v>
      </c>
      <c r="BL15" s="140">
        <f t="shared" si="45"/>
        <v>2096522.6172810025</v>
      </c>
    </row>
    <row r="16" spans="1:64" s="140" customFormat="1" ht="28" customHeight="1">
      <c r="A16" s="135">
        <v>5</v>
      </c>
      <c r="B16" s="136" t="s">
        <v>73</v>
      </c>
      <c r="C16" s="136" t="s">
        <v>74</v>
      </c>
      <c r="D16" s="137" t="s">
        <v>75</v>
      </c>
      <c r="E16" s="138"/>
      <c r="F16" s="102" t="s">
        <v>76</v>
      </c>
      <c r="G16" s="103">
        <v>2</v>
      </c>
      <c r="H16" s="139">
        <v>1</v>
      </c>
      <c r="I16" s="140">
        <v>1.5</v>
      </c>
      <c r="J16" s="137" t="s">
        <v>64</v>
      </c>
      <c r="K16" s="139">
        <v>61.217799999999997</v>
      </c>
      <c r="L16" s="141">
        <v>8</v>
      </c>
      <c r="M16" s="139">
        <f t="shared" si="30"/>
        <v>6400</v>
      </c>
      <c r="N16" s="139">
        <v>27</v>
      </c>
      <c r="O16" s="142"/>
      <c r="P16" s="143">
        <v>0</v>
      </c>
      <c r="Q16" s="154"/>
      <c r="R16" s="142"/>
      <c r="S16" s="144">
        <f t="shared" si="31"/>
        <v>27</v>
      </c>
      <c r="T16" s="105">
        <v>15</v>
      </c>
      <c r="U16" s="145">
        <v>0.01</v>
      </c>
      <c r="V16" s="146">
        <f t="shared" si="32"/>
        <v>0.40905000000000002</v>
      </c>
      <c r="W16" s="116">
        <v>160</v>
      </c>
      <c r="X16" s="117">
        <v>30</v>
      </c>
      <c r="Y16" s="118">
        <v>1.0953999999999999</v>
      </c>
      <c r="Z16" s="147">
        <f t="shared" si="33"/>
        <v>2.028518518518518E-2</v>
      </c>
      <c r="AA16" s="148">
        <f t="shared" si="34"/>
        <v>0.01</v>
      </c>
      <c r="AB16" s="147">
        <f t="shared" si="35"/>
        <v>0.61464111111111097</v>
      </c>
      <c r="AC16" s="147">
        <f t="shared" si="36"/>
        <v>1.2271499999999999E-2</v>
      </c>
      <c r="AD16" s="147">
        <f t="shared" si="37"/>
        <v>4.917128888888888E-2</v>
      </c>
      <c r="AE16" s="88">
        <v>0.1</v>
      </c>
      <c r="AF16" s="148">
        <f t="shared" si="38"/>
        <v>6.5424196649610619E-2</v>
      </c>
      <c r="AG16" s="88">
        <v>6.2E-2</v>
      </c>
      <c r="AH16" s="148">
        <f t="shared" si="39"/>
        <v>4.0563001922758586E-2</v>
      </c>
      <c r="AI16" s="119">
        <f t="shared" si="46"/>
        <v>3.7414016999999987E-2</v>
      </c>
      <c r="AJ16" s="117">
        <v>112000</v>
      </c>
      <c r="AK16" s="119">
        <f>AJ16/(229566*2)</f>
        <v>0.24393856233065872</v>
      </c>
      <c r="AL16" s="149">
        <f t="shared" si="14"/>
        <v>1.5284864793306585</v>
      </c>
      <c r="AP16" s="150">
        <f t="shared" si="40"/>
        <v>1.5284864793306585</v>
      </c>
      <c r="AQ16" s="151">
        <f t="shared" si="41"/>
        <v>0.26761767639523226</v>
      </c>
      <c r="AS16" s="152">
        <f t="shared" si="17"/>
        <v>0</v>
      </c>
      <c r="AT16" s="153">
        <f t="shared" si="42"/>
        <v>1.5284864793306585</v>
      </c>
      <c r="AU16" s="152">
        <f t="shared" si="19"/>
        <v>0</v>
      </c>
      <c r="AV16" s="153">
        <f t="shared" si="20"/>
        <v>1.5284864793306585</v>
      </c>
      <c r="AW16" s="152">
        <f t="shared" si="21"/>
        <v>0</v>
      </c>
      <c r="AX16" s="153">
        <f t="shared" si="22"/>
        <v>1.5284864793306585</v>
      </c>
      <c r="AY16" s="152">
        <f t="shared" si="23"/>
        <v>0</v>
      </c>
      <c r="AZ16" s="153">
        <f t="shared" si="24"/>
        <v>1.5284864793306585</v>
      </c>
      <c r="BA16" s="152">
        <f t="shared" si="25"/>
        <v>0</v>
      </c>
      <c r="BB16" s="153">
        <f t="shared" si="26"/>
        <v>1.5284864793306585</v>
      </c>
      <c r="BC16" s="140">
        <v>154000</v>
      </c>
      <c r="BH16" s="140">
        <v>229566</v>
      </c>
      <c r="BI16" s="140">
        <v>3</v>
      </c>
      <c r="BJ16" s="140">
        <f t="shared" si="43"/>
        <v>0.24393856233065872</v>
      </c>
      <c r="BK16" s="140">
        <f t="shared" si="44"/>
        <v>9782.3134677162143</v>
      </c>
      <c r="BL16" s="140">
        <f t="shared" si="45"/>
        <v>935705.79594368383</v>
      </c>
    </row>
    <row r="17" spans="1:64" s="140" customFormat="1" ht="28" customHeight="1">
      <c r="A17" s="135">
        <v>6</v>
      </c>
      <c r="B17" s="136" t="s">
        <v>73</v>
      </c>
      <c r="C17" s="136" t="s">
        <v>77</v>
      </c>
      <c r="D17" s="137" t="s">
        <v>78</v>
      </c>
      <c r="E17" s="138"/>
      <c r="F17" s="102" t="s">
        <v>76</v>
      </c>
      <c r="G17" s="103">
        <v>2</v>
      </c>
      <c r="H17" s="139">
        <v>1</v>
      </c>
      <c r="I17" s="140">
        <v>1.5</v>
      </c>
      <c r="J17" s="137" t="s">
        <v>64</v>
      </c>
      <c r="K17" s="139">
        <v>61.217799999999997</v>
      </c>
      <c r="L17" s="141">
        <v>8</v>
      </c>
      <c r="M17" s="139">
        <f t="shared" si="30"/>
        <v>6400</v>
      </c>
      <c r="N17" s="139">
        <v>27</v>
      </c>
      <c r="O17" s="142"/>
      <c r="P17" s="143">
        <v>0</v>
      </c>
      <c r="Q17" s="154"/>
      <c r="R17" s="142"/>
      <c r="S17" s="144">
        <f t="shared" si="31"/>
        <v>27</v>
      </c>
      <c r="T17" s="105">
        <v>15</v>
      </c>
      <c r="U17" s="145">
        <v>0.01</v>
      </c>
      <c r="V17" s="146">
        <f t="shared" si="32"/>
        <v>0.40905000000000002</v>
      </c>
      <c r="W17" s="116">
        <v>160</v>
      </c>
      <c r="X17" s="117">
        <v>30</v>
      </c>
      <c r="Y17" s="118">
        <v>1.0953999999999999</v>
      </c>
      <c r="Z17" s="147">
        <f t="shared" si="33"/>
        <v>2.028518518518518E-2</v>
      </c>
      <c r="AA17" s="148">
        <f t="shared" si="34"/>
        <v>0.01</v>
      </c>
      <c r="AB17" s="147">
        <f t="shared" si="35"/>
        <v>0.61464111111111097</v>
      </c>
      <c r="AC17" s="147">
        <f t="shared" si="36"/>
        <v>1.2271499999999999E-2</v>
      </c>
      <c r="AD17" s="147">
        <f t="shared" si="37"/>
        <v>4.917128888888888E-2</v>
      </c>
      <c r="AE17" s="88">
        <v>0.1</v>
      </c>
      <c r="AF17" s="148">
        <f t="shared" si="38"/>
        <v>6.5424196649610619E-2</v>
      </c>
      <c r="AG17" s="88">
        <v>6.2E-2</v>
      </c>
      <c r="AH17" s="148">
        <f t="shared" si="39"/>
        <v>4.0563001922758586E-2</v>
      </c>
      <c r="AI17" s="119">
        <f t="shared" si="46"/>
        <v>3.7414016999999987E-2</v>
      </c>
      <c r="AJ17" s="117">
        <v>112000</v>
      </c>
      <c r="AK17" s="147">
        <f>AJ17/(229566*2)</f>
        <v>0.24393856233065872</v>
      </c>
      <c r="AL17" s="149">
        <f t="shared" si="14"/>
        <v>1.5284864793306585</v>
      </c>
      <c r="AP17" s="150">
        <f t="shared" si="40"/>
        <v>1.5284864793306585</v>
      </c>
      <c r="AQ17" s="151">
        <f t="shared" si="41"/>
        <v>0.26761767639523226</v>
      </c>
      <c r="AS17" s="152">
        <f t="shared" si="17"/>
        <v>0</v>
      </c>
      <c r="AT17" s="153">
        <f t="shared" si="42"/>
        <v>1.5284864793306585</v>
      </c>
      <c r="AU17" s="152">
        <f t="shared" si="19"/>
        <v>0</v>
      </c>
      <c r="AV17" s="153">
        <f t="shared" si="20"/>
        <v>1.5284864793306585</v>
      </c>
      <c r="AW17" s="152">
        <f t="shared" si="21"/>
        <v>0</v>
      </c>
      <c r="AX17" s="153">
        <f t="shared" si="22"/>
        <v>1.5284864793306585</v>
      </c>
      <c r="AY17" s="152">
        <f t="shared" si="23"/>
        <v>0</v>
      </c>
      <c r="AZ17" s="153">
        <f t="shared" si="24"/>
        <v>1.5284864793306585</v>
      </c>
      <c r="BA17" s="152">
        <f t="shared" si="25"/>
        <v>0</v>
      </c>
      <c r="BB17" s="153">
        <f t="shared" si="26"/>
        <v>1.5284864793306585</v>
      </c>
      <c r="BC17" s="140">
        <v>154000</v>
      </c>
      <c r="BH17" s="140">
        <v>229566</v>
      </c>
      <c r="BI17" s="140">
        <v>3</v>
      </c>
      <c r="BJ17" s="140">
        <f t="shared" si="43"/>
        <v>0.24393856233065872</v>
      </c>
      <c r="BK17" s="140">
        <f t="shared" si="44"/>
        <v>9782.3134677162143</v>
      </c>
      <c r="BL17" s="140">
        <f t="shared" si="45"/>
        <v>935705.79594368383</v>
      </c>
    </row>
    <row r="19" spans="1:64" s="3" customFormat="1" ht="28" customHeight="1">
      <c r="A19" s="33">
        <v>1</v>
      </c>
      <c r="B19" s="34" t="s">
        <v>60</v>
      </c>
      <c r="C19" s="34" t="s">
        <v>61</v>
      </c>
      <c r="D19" s="35" t="s">
        <v>62</v>
      </c>
      <c r="E19" s="36"/>
      <c r="F19" s="37" t="s">
        <v>63</v>
      </c>
      <c r="G19" s="38">
        <v>2</v>
      </c>
      <c r="H19" s="39">
        <v>1</v>
      </c>
      <c r="I19" s="40">
        <v>1.5</v>
      </c>
      <c r="J19" s="41" t="s">
        <v>64</v>
      </c>
      <c r="K19" s="42">
        <v>61.217799999999997</v>
      </c>
      <c r="L19" s="43">
        <v>8</v>
      </c>
      <c r="M19" s="44">
        <f t="shared" ref="M19:M24" si="48">ROUND(K19/L19/12*10000,-2)</f>
        <v>6400</v>
      </c>
      <c r="N19" s="45">
        <v>77</v>
      </c>
      <c r="O19" s="46"/>
      <c r="P19" s="47">
        <v>0</v>
      </c>
      <c r="Q19" s="48"/>
      <c r="R19" s="49">
        <v>7000</v>
      </c>
      <c r="S19" s="50">
        <f t="shared" ref="S19:S24" si="49">(N19+O19*(1-P19)/H19)*(1+Q19)+R19/M19</f>
        <v>78.09375</v>
      </c>
      <c r="T19" s="46">
        <v>30</v>
      </c>
      <c r="U19" s="51">
        <v>0.01</v>
      </c>
      <c r="V19" s="52">
        <f>(S19*T19/1000)*(1+U19)</f>
        <v>2.3662406250000001</v>
      </c>
      <c r="W19" s="53">
        <v>360</v>
      </c>
      <c r="X19" s="54">
        <v>40</v>
      </c>
      <c r="Y19" s="55">
        <v>1.7728999999999999</v>
      </c>
      <c r="Z19" s="56">
        <f t="shared" ref="Z19:Z24" si="50">Y19/60/0.9</f>
        <v>3.2831481481481482E-2</v>
      </c>
      <c r="AA19" s="57">
        <f t="shared" ref="AA19:AA24" si="51">U19</f>
        <v>0.01</v>
      </c>
      <c r="AB19" s="56">
        <f>(Z19*X19/H19)*(1+AA19)</f>
        <v>1.326391851851852</v>
      </c>
      <c r="AC19" s="56">
        <f t="shared" ref="AC19:AC24" si="52">V19*0.03</f>
        <v>7.0987218749999997E-2</v>
      </c>
      <c r="AD19" s="56">
        <f t="shared" ref="AD19:AD24" si="53">(AB19)*0.08</f>
        <v>0.10611134814814817</v>
      </c>
      <c r="AE19" s="58">
        <v>0.25</v>
      </c>
      <c r="AF19" s="57">
        <f t="shared" ref="AF19:AF24" si="54">AE19/$AL19</f>
        <v>5.2243529070442121E-2</v>
      </c>
      <c r="AG19" s="58">
        <v>0.18</v>
      </c>
      <c r="AH19" s="57">
        <f t="shared" ref="AH19:AH24" si="55">AG19/$AL19</f>
        <v>3.7615340930718326E-2</v>
      </c>
      <c r="AI19" s="56">
        <f t="shared" ref="AI19:AI24" si="56">(AB19+AC19+AD19+AE19+AG19+V19)*8%</f>
        <v>0.34397848350000004</v>
      </c>
      <c r="AJ19" s="59">
        <v>130000</v>
      </c>
      <c r="AK19" s="56">
        <f>AJ19/918260</f>
        <v>0.1415721037614619</v>
      </c>
      <c r="AL19" s="60">
        <f t="shared" ref="AL19:AL24" si="57">SUM($V19+$AB19+$AC19+$AD19+$AE19+$AG19+$AI19+$AK19)</f>
        <v>4.7852816310114621</v>
      </c>
      <c r="AM19" s="61"/>
      <c r="AN19" s="57">
        <v>2.41</v>
      </c>
      <c r="AO19" s="62"/>
      <c r="AP19" s="63">
        <f t="shared" ref="AP19:AP24" si="58">PRODUCT($AL19,1/(1-AM19),1/(1-$AS19),1/(1-$AU19),1/(1-$AW19),1/(1-$AY19),1/(1-$BA19))</f>
        <v>4.7852816310114621</v>
      </c>
      <c r="AQ19" s="64">
        <f t="shared" ref="AQ19:AQ24" si="59">V19/AP19</f>
        <v>0.49448304351939454</v>
      </c>
      <c r="AR19" s="28"/>
      <c r="AS19" s="65">
        <f t="shared" ref="AS19:AS24" si="60">$AS$3</f>
        <v>0</v>
      </c>
      <c r="AT19" s="66">
        <f t="shared" ref="AT19:AT24" si="61">AP19*(1-$AM19)</f>
        <v>4.7852816310114621</v>
      </c>
      <c r="AU19" s="65">
        <f t="shared" ref="AU19:AU24" si="62">$AU$3</f>
        <v>0</v>
      </c>
      <c r="AV19" s="66">
        <f t="shared" ref="AV19:AV24" si="63">$AT19*(1-$AU19)</f>
        <v>4.7852816310114621</v>
      </c>
      <c r="AW19" s="65">
        <f t="shared" ref="AW19:AW24" si="64">$AW$3</f>
        <v>0</v>
      </c>
      <c r="AX19" s="66">
        <f t="shared" ref="AX19:AX24" si="65">$AV19*(1-$AW19)</f>
        <v>4.7852816310114621</v>
      </c>
      <c r="AY19" s="65">
        <f t="shared" ref="AY19:AY24" si="66">$AY$3</f>
        <v>0</v>
      </c>
      <c r="AZ19" s="66">
        <f t="shared" ref="AZ19:AZ24" si="67">$AX19*(1-$AY19)</f>
        <v>4.7852816310114621</v>
      </c>
      <c r="BA19" s="65">
        <f t="shared" ref="BA19:BA24" si="68">$BA$3</f>
        <v>0</v>
      </c>
      <c r="BB19" s="66">
        <f t="shared" ref="BB19:BB24" si="69">$AX19*(1-$AY19)</f>
        <v>4.7852816310114621</v>
      </c>
      <c r="BC19" s="67">
        <v>319000</v>
      </c>
      <c r="BD19" s="68"/>
      <c r="BE19" s="68"/>
      <c r="BF19" s="69"/>
      <c r="BG19" s="70"/>
      <c r="BH19" s="70">
        <v>229566</v>
      </c>
      <c r="BI19" s="70">
        <v>3</v>
      </c>
      <c r="BJ19" s="71">
        <f t="shared" ref="BJ19:BJ24" si="70">AK19</f>
        <v>0.1415721037614619</v>
      </c>
      <c r="BK19" s="72">
        <f t="shared" ref="BK19:BK24" si="71">AL19*M19</f>
        <v>30625.802438473358</v>
      </c>
      <c r="BL19" s="72">
        <f t="shared" ref="BL19:BL24" si="72">AL19*K19*10000</f>
        <v>2929444.1383093344</v>
      </c>
    </row>
    <row r="20" spans="1:64" ht="28" customHeight="1">
      <c r="A20" s="74">
        <v>2</v>
      </c>
      <c r="B20" s="75" t="s">
        <v>60</v>
      </c>
      <c r="C20" s="75" t="s">
        <v>65</v>
      </c>
      <c r="D20" s="76" t="s">
        <v>66</v>
      </c>
      <c r="F20" s="37" t="s">
        <v>63</v>
      </c>
      <c r="G20" s="38">
        <v>2</v>
      </c>
      <c r="H20" s="77">
        <v>1</v>
      </c>
      <c r="I20">
        <v>1.5</v>
      </c>
      <c r="J20" s="76" t="s">
        <v>64</v>
      </c>
      <c r="K20" s="77">
        <v>61.217799999999997</v>
      </c>
      <c r="L20" s="78">
        <v>8</v>
      </c>
      <c r="M20" s="77">
        <f t="shared" si="48"/>
        <v>6400</v>
      </c>
      <c r="N20" s="79">
        <v>77</v>
      </c>
      <c r="O20" s="80"/>
      <c r="P20" s="81">
        <v>0</v>
      </c>
      <c r="R20" s="82">
        <v>7000</v>
      </c>
      <c r="S20" s="83">
        <f t="shared" si="49"/>
        <v>78.09375</v>
      </c>
      <c r="T20" s="46">
        <v>30</v>
      </c>
      <c r="U20" s="84">
        <v>0.01</v>
      </c>
      <c r="V20" s="85">
        <f>(S20*T20/1000)*(1+U20)</f>
        <v>2.3662406250000001</v>
      </c>
      <c r="W20" s="53">
        <v>360</v>
      </c>
      <c r="X20" s="54">
        <v>40</v>
      </c>
      <c r="Y20" s="55">
        <v>1.7728999999999999</v>
      </c>
      <c r="Z20" s="86">
        <f t="shared" si="50"/>
        <v>3.2831481481481482E-2</v>
      </c>
      <c r="AA20" s="87">
        <f t="shared" si="51"/>
        <v>0.01</v>
      </c>
      <c r="AB20" s="86">
        <f t="shared" ref="AB20:AB24" si="73">(Z20*X20/H20)*(1+AA20)</f>
        <v>1.326391851851852</v>
      </c>
      <c r="AC20" s="86">
        <f t="shared" si="52"/>
        <v>7.0987218749999997E-2</v>
      </c>
      <c r="AD20" s="86">
        <f t="shared" si="53"/>
        <v>0.10611134814814817</v>
      </c>
      <c r="AE20" s="58">
        <v>0.25</v>
      </c>
      <c r="AF20" s="87">
        <f t="shared" si="54"/>
        <v>5.2243529070442121E-2</v>
      </c>
      <c r="AG20" s="88">
        <v>0.18</v>
      </c>
      <c r="AH20" s="87">
        <f t="shared" si="55"/>
        <v>3.7615340930718326E-2</v>
      </c>
      <c r="AI20" s="86">
        <f t="shared" si="56"/>
        <v>0.34397848350000004</v>
      </c>
      <c r="AJ20" s="59">
        <v>130000</v>
      </c>
      <c r="AK20" s="56">
        <f t="shared" ref="AK20:AK22" si="74">AJ20/918260</f>
        <v>0.1415721037614619</v>
      </c>
      <c r="AL20" s="90">
        <f t="shared" si="57"/>
        <v>4.7852816310114621</v>
      </c>
      <c r="AN20" s="95">
        <v>2.41</v>
      </c>
      <c r="AP20" s="91">
        <f t="shared" si="58"/>
        <v>4.7852816310114621</v>
      </c>
      <c r="AQ20" s="92">
        <f t="shared" si="59"/>
        <v>0.49448304351939454</v>
      </c>
      <c r="AS20" s="93">
        <f t="shared" si="60"/>
        <v>0</v>
      </c>
      <c r="AT20" s="94">
        <f t="shared" si="61"/>
        <v>4.7852816310114621</v>
      </c>
      <c r="AU20" s="93">
        <f t="shared" si="62"/>
        <v>0</v>
      </c>
      <c r="AV20" s="94">
        <f t="shared" si="63"/>
        <v>4.7852816310114621</v>
      </c>
      <c r="AW20" s="93">
        <f t="shared" si="64"/>
        <v>0</v>
      </c>
      <c r="AX20" s="94">
        <f t="shared" si="65"/>
        <v>4.7852816310114621</v>
      </c>
      <c r="AY20" s="93">
        <f t="shared" si="66"/>
        <v>0</v>
      </c>
      <c r="AZ20" s="94">
        <f t="shared" si="67"/>
        <v>4.7852816310114621</v>
      </c>
      <c r="BA20" s="93">
        <f t="shared" si="68"/>
        <v>0</v>
      </c>
      <c r="BB20" s="94">
        <f t="shared" si="69"/>
        <v>4.7852816310114621</v>
      </c>
      <c r="BC20">
        <v>319000</v>
      </c>
      <c r="BH20">
        <v>229566</v>
      </c>
      <c r="BI20">
        <v>3</v>
      </c>
      <c r="BJ20">
        <f t="shared" si="70"/>
        <v>0.1415721037614619</v>
      </c>
      <c r="BK20">
        <f t="shared" si="71"/>
        <v>30625.802438473358</v>
      </c>
      <c r="BL20">
        <f t="shared" si="72"/>
        <v>2929444.1383093344</v>
      </c>
    </row>
    <row r="21" spans="1:64" ht="28" customHeight="1">
      <c r="A21" s="74">
        <v>3</v>
      </c>
      <c r="B21" s="75" t="s">
        <v>67</v>
      </c>
      <c r="C21" s="75" t="s">
        <v>68</v>
      </c>
      <c r="D21" s="76" t="s">
        <v>69</v>
      </c>
      <c r="F21" s="37" t="s">
        <v>70</v>
      </c>
      <c r="G21" s="38">
        <v>2</v>
      </c>
      <c r="H21" s="77">
        <v>1</v>
      </c>
      <c r="I21">
        <v>1.5</v>
      </c>
      <c r="J21" s="76" t="s">
        <v>64</v>
      </c>
      <c r="K21" s="77">
        <v>61.217799999999997</v>
      </c>
      <c r="L21" s="78">
        <v>8</v>
      </c>
      <c r="M21" s="77">
        <f t="shared" si="48"/>
        <v>6400</v>
      </c>
      <c r="N21" s="79">
        <v>78</v>
      </c>
      <c r="O21" s="80"/>
      <c r="P21" s="81">
        <v>0</v>
      </c>
      <c r="R21" s="82">
        <v>7000</v>
      </c>
      <c r="S21" s="83">
        <f t="shared" si="49"/>
        <v>79.09375</v>
      </c>
      <c r="T21" s="46">
        <v>30</v>
      </c>
      <c r="U21" s="84">
        <v>0.01</v>
      </c>
      <c r="V21" s="85">
        <f>(S21*T21/1000)*(1+U21)</f>
        <v>2.3965406250000001</v>
      </c>
      <c r="W21" s="53">
        <v>360</v>
      </c>
      <c r="X21" s="54">
        <v>40</v>
      </c>
      <c r="Y21" s="55">
        <v>1.7728999999999999</v>
      </c>
      <c r="Z21" s="86">
        <f t="shared" si="50"/>
        <v>3.2831481481481482E-2</v>
      </c>
      <c r="AA21" s="87">
        <f t="shared" si="51"/>
        <v>0.01</v>
      </c>
      <c r="AB21" s="86">
        <f t="shared" si="73"/>
        <v>1.326391851851852</v>
      </c>
      <c r="AC21" s="86">
        <f t="shared" si="52"/>
        <v>7.1896218750000004E-2</v>
      </c>
      <c r="AD21" s="86">
        <f t="shared" si="53"/>
        <v>0.10611134814814817</v>
      </c>
      <c r="AE21" s="58">
        <v>0.25</v>
      </c>
      <c r="AF21" s="87">
        <f t="shared" si="54"/>
        <v>5.1878119154541304E-2</v>
      </c>
      <c r="AG21" s="88">
        <v>0.18</v>
      </c>
      <c r="AH21" s="87">
        <f t="shared" si="55"/>
        <v>3.7352245791269736E-2</v>
      </c>
      <c r="AI21" s="86">
        <f t="shared" si="56"/>
        <v>0.3464752035</v>
      </c>
      <c r="AJ21" s="59">
        <v>130000</v>
      </c>
      <c r="AK21" s="56">
        <f t="shared" si="74"/>
        <v>0.1415721037614619</v>
      </c>
      <c r="AL21" s="90">
        <f t="shared" si="57"/>
        <v>4.8189873510114625</v>
      </c>
      <c r="AN21" s="95">
        <v>2.41</v>
      </c>
      <c r="AP21" s="91">
        <f t="shared" si="58"/>
        <v>4.8189873510114625</v>
      </c>
      <c r="AQ21" s="92">
        <f t="shared" si="59"/>
        <v>0.49731208040979558</v>
      </c>
      <c r="AS21" s="93">
        <f t="shared" si="60"/>
        <v>0</v>
      </c>
      <c r="AT21" s="94">
        <f t="shared" si="61"/>
        <v>4.8189873510114625</v>
      </c>
      <c r="AU21" s="93">
        <f t="shared" si="62"/>
        <v>0</v>
      </c>
      <c r="AV21" s="94">
        <f t="shared" si="63"/>
        <v>4.8189873510114625</v>
      </c>
      <c r="AW21" s="93">
        <f t="shared" si="64"/>
        <v>0</v>
      </c>
      <c r="AX21" s="94">
        <f t="shared" si="65"/>
        <v>4.8189873510114625</v>
      </c>
      <c r="AY21" s="93">
        <f t="shared" si="66"/>
        <v>0</v>
      </c>
      <c r="AZ21" s="94">
        <f t="shared" si="67"/>
        <v>4.8189873510114625</v>
      </c>
      <c r="BA21" s="93">
        <f t="shared" si="68"/>
        <v>0</v>
      </c>
      <c r="BB21" s="94">
        <f t="shared" si="69"/>
        <v>4.8189873510114625</v>
      </c>
      <c r="BC21">
        <v>319000</v>
      </c>
      <c r="BH21">
        <v>229566</v>
      </c>
      <c r="BI21">
        <v>3</v>
      </c>
      <c r="BJ21">
        <f t="shared" si="70"/>
        <v>0.1415721037614619</v>
      </c>
      <c r="BK21">
        <f t="shared" si="71"/>
        <v>30841.519046473361</v>
      </c>
      <c r="BL21">
        <f t="shared" si="72"/>
        <v>2950078.0385674951</v>
      </c>
    </row>
    <row r="22" spans="1:64" ht="28" customHeight="1">
      <c r="A22" s="74">
        <v>4</v>
      </c>
      <c r="B22" s="75" t="s">
        <v>67</v>
      </c>
      <c r="C22" s="75" t="s">
        <v>71</v>
      </c>
      <c r="D22" s="76" t="s">
        <v>72</v>
      </c>
      <c r="F22" s="37" t="s">
        <v>70</v>
      </c>
      <c r="G22" s="38">
        <v>2</v>
      </c>
      <c r="H22" s="77">
        <v>1</v>
      </c>
      <c r="I22">
        <v>1.5</v>
      </c>
      <c r="J22" s="76" t="s">
        <v>64</v>
      </c>
      <c r="K22" s="77">
        <v>61.217799999999997</v>
      </c>
      <c r="L22" s="78">
        <v>8</v>
      </c>
      <c r="M22" s="77">
        <f t="shared" si="48"/>
        <v>6400</v>
      </c>
      <c r="N22" s="79">
        <v>78</v>
      </c>
      <c r="O22" s="80"/>
      <c r="P22" s="81">
        <v>0</v>
      </c>
      <c r="R22" s="82">
        <v>7000</v>
      </c>
      <c r="S22" s="83">
        <f t="shared" si="49"/>
        <v>79.09375</v>
      </c>
      <c r="T22" s="46">
        <v>30</v>
      </c>
      <c r="U22" s="84">
        <v>0.01</v>
      </c>
      <c r="V22" s="85">
        <f t="shared" ref="V22:V24" si="75">(S22*T22/1000)*(1+U22)</f>
        <v>2.3965406250000001</v>
      </c>
      <c r="W22" s="53">
        <v>360</v>
      </c>
      <c r="X22" s="54">
        <v>40</v>
      </c>
      <c r="Y22" s="55">
        <v>1.7728999999999999</v>
      </c>
      <c r="Z22" s="86">
        <f t="shared" si="50"/>
        <v>3.2831481481481482E-2</v>
      </c>
      <c r="AA22" s="87">
        <f t="shared" si="51"/>
        <v>0.01</v>
      </c>
      <c r="AB22" s="86">
        <f t="shared" si="73"/>
        <v>1.326391851851852</v>
      </c>
      <c r="AC22" s="86">
        <f t="shared" si="52"/>
        <v>7.1896218750000004E-2</v>
      </c>
      <c r="AD22" s="86">
        <f t="shared" si="53"/>
        <v>0.10611134814814817</v>
      </c>
      <c r="AE22" s="58">
        <v>0.25</v>
      </c>
      <c r="AF22" s="87">
        <f t="shared" si="54"/>
        <v>5.1878119154541304E-2</v>
      </c>
      <c r="AG22" s="88">
        <v>0.18</v>
      </c>
      <c r="AH22" s="87">
        <f t="shared" si="55"/>
        <v>3.7352245791269736E-2</v>
      </c>
      <c r="AI22" s="86">
        <f t="shared" si="56"/>
        <v>0.3464752035</v>
      </c>
      <c r="AJ22" s="59">
        <v>130000</v>
      </c>
      <c r="AK22" s="56">
        <f t="shared" si="74"/>
        <v>0.1415721037614619</v>
      </c>
      <c r="AL22" s="90">
        <f t="shared" si="57"/>
        <v>4.8189873510114625</v>
      </c>
      <c r="AN22" s="95">
        <v>2.41</v>
      </c>
      <c r="AP22" s="91">
        <f t="shared" si="58"/>
        <v>4.8189873510114625</v>
      </c>
      <c r="AQ22" s="92">
        <f t="shared" si="59"/>
        <v>0.49731208040979558</v>
      </c>
      <c r="AS22" s="93">
        <f t="shared" si="60"/>
        <v>0</v>
      </c>
      <c r="AT22" s="94">
        <f t="shared" si="61"/>
        <v>4.8189873510114625</v>
      </c>
      <c r="AU22" s="93">
        <f t="shared" si="62"/>
        <v>0</v>
      </c>
      <c r="AV22" s="94">
        <f t="shared" si="63"/>
        <v>4.8189873510114625</v>
      </c>
      <c r="AW22" s="93">
        <f t="shared" si="64"/>
        <v>0</v>
      </c>
      <c r="AX22" s="94">
        <f t="shared" si="65"/>
        <v>4.8189873510114625</v>
      </c>
      <c r="AY22" s="93">
        <f t="shared" si="66"/>
        <v>0</v>
      </c>
      <c r="AZ22" s="94">
        <f t="shared" si="67"/>
        <v>4.8189873510114625</v>
      </c>
      <c r="BA22" s="93">
        <f t="shared" si="68"/>
        <v>0</v>
      </c>
      <c r="BB22" s="94">
        <f t="shared" si="69"/>
        <v>4.8189873510114625</v>
      </c>
      <c r="BC22">
        <v>319000</v>
      </c>
      <c r="BH22">
        <v>229566</v>
      </c>
      <c r="BI22">
        <v>3</v>
      </c>
      <c r="BJ22">
        <f t="shared" si="70"/>
        <v>0.1415721037614619</v>
      </c>
      <c r="BK22">
        <f t="shared" si="71"/>
        <v>30841.519046473361</v>
      </c>
      <c r="BL22">
        <f t="shared" si="72"/>
        <v>2950078.0385674951</v>
      </c>
    </row>
    <row r="23" spans="1:64" ht="28" customHeight="1">
      <c r="A23" s="74">
        <v>5</v>
      </c>
      <c r="B23" s="75" t="s">
        <v>73</v>
      </c>
      <c r="C23" s="75" t="s">
        <v>74</v>
      </c>
      <c r="D23" s="76" t="s">
        <v>75</v>
      </c>
      <c r="F23" s="37" t="s">
        <v>76</v>
      </c>
      <c r="G23" s="38">
        <v>2</v>
      </c>
      <c r="H23" s="77">
        <v>1</v>
      </c>
      <c r="I23">
        <v>1.5</v>
      </c>
      <c r="J23" s="76" t="s">
        <v>64</v>
      </c>
      <c r="K23" s="77">
        <v>61.217799999999997</v>
      </c>
      <c r="L23" s="78">
        <v>8</v>
      </c>
      <c r="M23" s="77">
        <f t="shared" si="48"/>
        <v>6400</v>
      </c>
      <c r="N23" s="79">
        <v>27</v>
      </c>
      <c r="O23" s="80"/>
      <c r="P23" s="81">
        <v>0</v>
      </c>
      <c r="R23" s="82">
        <v>7000</v>
      </c>
      <c r="S23" s="83">
        <f t="shared" si="49"/>
        <v>28.09375</v>
      </c>
      <c r="T23" s="46">
        <v>30</v>
      </c>
      <c r="U23" s="84">
        <v>0.01</v>
      </c>
      <c r="V23" s="85">
        <f t="shared" si="75"/>
        <v>0.85124062499999997</v>
      </c>
      <c r="W23" s="53">
        <v>160</v>
      </c>
      <c r="X23" s="54">
        <v>30</v>
      </c>
      <c r="Y23" s="55">
        <v>1.0953999999999999</v>
      </c>
      <c r="Z23" s="86">
        <f t="shared" si="50"/>
        <v>2.028518518518518E-2</v>
      </c>
      <c r="AA23" s="87">
        <f t="shared" si="51"/>
        <v>0.01</v>
      </c>
      <c r="AB23" s="86">
        <f t="shared" si="73"/>
        <v>0.61464111111111097</v>
      </c>
      <c r="AC23" s="86">
        <f t="shared" si="52"/>
        <v>2.5537218749999997E-2</v>
      </c>
      <c r="AD23" s="86">
        <f t="shared" si="53"/>
        <v>4.917128888888888E-2</v>
      </c>
      <c r="AE23" s="88">
        <v>0.1</v>
      </c>
      <c r="AF23" s="87">
        <f t="shared" si="54"/>
        <v>4.9837896638101051E-2</v>
      </c>
      <c r="AG23" s="88">
        <v>6.2E-2</v>
      </c>
      <c r="AH23" s="87">
        <f t="shared" si="55"/>
        <v>3.0899495915622646E-2</v>
      </c>
      <c r="AI23" s="86">
        <f t="shared" si="56"/>
        <v>0.13620721949999998</v>
      </c>
      <c r="AJ23" s="89">
        <v>77000</v>
      </c>
      <c r="AK23" s="86">
        <f>AJ23/(229566*2)</f>
        <v>0.16770776160232787</v>
      </c>
      <c r="AL23" s="90">
        <f t="shared" si="57"/>
        <v>2.0065052248523276</v>
      </c>
      <c r="AN23" s="95">
        <v>1.81</v>
      </c>
      <c r="AP23" s="91">
        <f t="shared" si="58"/>
        <v>2.0065052248523276</v>
      </c>
      <c r="AQ23" s="92">
        <f t="shared" si="59"/>
        <v>0.4242404228290253</v>
      </c>
      <c r="AS23" s="93">
        <f t="shared" si="60"/>
        <v>0</v>
      </c>
      <c r="AT23" s="94">
        <f t="shared" si="61"/>
        <v>2.0065052248523276</v>
      </c>
      <c r="AU23" s="93">
        <f t="shared" si="62"/>
        <v>0</v>
      </c>
      <c r="AV23" s="94">
        <f t="shared" si="63"/>
        <v>2.0065052248523276</v>
      </c>
      <c r="AW23" s="93">
        <f t="shared" si="64"/>
        <v>0</v>
      </c>
      <c r="AX23" s="94">
        <f t="shared" si="65"/>
        <v>2.0065052248523276</v>
      </c>
      <c r="AY23" s="93">
        <f t="shared" si="66"/>
        <v>0</v>
      </c>
      <c r="AZ23" s="94">
        <f t="shared" si="67"/>
        <v>2.0065052248523276</v>
      </c>
      <c r="BA23" s="93">
        <f t="shared" si="68"/>
        <v>0</v>
      </c>
      <c r="BB23" s="94">
        <f t="shared" si="69"/>
        <v>2.0065052248523276</v>
      </c>
      <c r="BC23">
        <v>154000</v>
      </c>
      <c r="BH23">
        <v>229566</v>
      </c>
      <c r="BI23">
        <v>3</v>
      </c>
      <c r="BJ23">
        <f t="shared" si="70"/>
        <v>0.16770776160232787</v>
      </c>
      <c r="BK23">
        <f t="shared" si="71"/>
        <v>12841.633439054896</v>
      </c>
      <c r="BL23">
        <f t="shared" si="72"/>
        <v>1228338.3555396481</v>
      </c>
    </row>
    <row r="24" spans="1:64" ht="28" customHeight="1">
      <c r="A24" s="74">
        <v>6</v>
      </c>
      <c r="B24" s="75" t="s">
        <v>73</v>
      </c>
      <c r="C24" s="75" t="s">
        <v>77</v>
      </c>
      <c r="D24" s="76" t="s">
        <v>78</v>
      </c>
      <c r="F24" s="37" t="s">
        <v>76</v>
      </c>
      <c r="G24" s="38">
        <v>2</v>
      </c>
      <c r="H24" s="77">
        <v>1</v>
      </c>
      <c r="I24">
        <v>1.5</v>
      </c>
      <c r="J24" s="76" t="s">
        <v>64</v>
      </c>
      <c r="K24" s="77">
        <v>61.217799999999997</v>
      </c>
      <c r="L24" s="78">
        <v>8</v>
      </c>
      <c r="M24" s="77">
        <f t="shared" si="48"/>
        <v>6400</v>
      </c>
      <c r="N24" s="79">
        <v>27</v>
      </c>
      <c r="O24" s="80"/>
      <c r="P24" s="81">
        <v>0</v>
      </c>
      <c r="R24" s="82">
        <v>7000</v>
      </c>
      <c r="S24" s="83">
        <f t="shared" si="49"/>
        <v>28.09375</v>
      </c>
      <c r="T24" s="46">
        <v>30</v>
      </c>
      <c r="U24" s="84">
        <v>0.01</v>
      </c>
      <c r="V24" s="85">
        <f t="shared" si="75"/>
        <v>0.85124062499999997</v>
      </c>
      <c r="W24" s="53">
        <v>160</v>
      </c>
      <c r="X24" s="54">
        <v>30</v>
      </c>
      <c r="Y24" s="55">
        <v>1.0953999999999999</v>
      </c>
      <c r="Z24" s="86">
        <f t="shared" si="50"/>
        <v>2.028518518518518E-2</v>
      </c>
      <c r="AA24" s="87">
        <f t="shared" si="51"/>
        <v>0.01</v>
      </c>
      <c r="AB24" s="86">
        <f t="shared" si="73"/>
        <v>0.61464111111111097</v>
      </c>
      <c r="AC24" s="86">
        <f t="shared" si="52"/>
        <v>2.5537218749999997E-2</v>
      </c>
      <c r="AD24" s="86">
        <f t="shared" si="53"/>
        <v>4.917128888888888E-2</v>
      </c>
      <c r="AE24" s="88">
        <v>0.1</v>
      </c>
      <c r="AF24" s="87">
        <f t="shared" si="54"/>
        <v>4.9837896638101051E-2</v>
      </c>
      <c r="AG24" s="88">
        <v>6.2E-2</v>
      </c>
      <c r="AH24" s="87">
        <f t="shared" si="55"/>
        <v>3.0899495915622646E-2</v>
      </c>
      <c r="AI24" s="86">
        <f t="shared" si="56"/>
        <v>0.13620721949999998</v>
      </c>
      <c r="AJ24" s="89">
        <v>77000</v>
      </c>
      <c r="AK24" s="86">
        <f>AJ24/(229566*2)</f>
        <v>0.16770776160232787</v>
      </c>
      <c r="AL24" s="90">
        <f t="shared" si="57"/>
        <v>2.0065052248523276</v>
      </c>
      <c r="AN24" s="95">
        <v>1.81</v>
      </c>
      <c r="AP24" s="91">
        <f t="shared" si="58"/>
        <v>2.0065052248523276</v>
      </c>
      <c r="AQ24" s="92">
        <f t="shared" si="59"/>
        <v>0.4242404228290253</v>
      </c>
      <c r="AS24" s="93">
        <f t="shared" si="60"/>
        <v>0</v>
      </c>
      <c r="AT24" s="94">
        <f t="shared" si="61"/>
        <v>2.0065052248523276</v>
      </c>
      <c r="AU24" s="93">
        <f t="shared" si="62"/>
        <v>0</v>
      </c>
      <c r="AV24" s="94">
        <f t="shared" si="63"/>
        <v>2.0065052248523276</v>
      </c>
      <c r="AW24" s="93">
        <f t="shared" si="64"/>
        <v>0</v>
      </c>
      <c r="AX24" s="94">
        <f t="shared" si="65"/>
        <v>2.0065052248523276</v>
      </c>
      <c r="AY24" s="93">
        <f t="shared" si="66"/>
        <v>0</v>
      </c>
      <c r="AZ24" s="94">
        <f t="shared" si="67"/>
        <v>2.0065052248523276</v>
      </c>
      <c r="BA24" s="93">
        <f t="shared" si="68"/>
        <v>0</v>
      </c>
      <c r="BB24" s="94">
        <f t="shared" si="69"/>
        <v>2.0065052248523276</v>
      </c>
      <c r="BC24">
        <v>154000</v>
      </c>
      <c r="BH24">
        <v>229566</v>
      </c>
      <c r="BI24">
        <v>3</v>
      </c>
      <c r="BJ24">
        <f t="shared" si="70"/>
        <v>0.16770776160232787</v>
      </c>
      <c r="BK24">
        <f t="shared" si="71"/>
        <v>12841.633439054896</v>
      </c>
      <c r="BL24">
        <f t="shared" si="72"/>
        <v>1228338.3555396481</v>
      </c>
    </row>
    <row r="30" spans="1:64">
      <c r="A30" t="s">
        <v>80</v>
      </c>
    </row>
    <row r="31" spans="1:64" s="3" customFormat="1" ht="73.25" customHeight="1">
      <c r="A31" s="22">
        <v>0</v>
      </c>
      <c r="B31" s="22" t="s">
        <v>10</v>
      </c>
      <c r="C31" s="22" t="s">
        <v>11</v>
      </c>
      <c r="D31" s="22" t="s">
        <v>12</v>
      </c>
      <c r="E31" s="22" t="s">
        <v>13</v>
      </c>
      <c r="F31" s="22" t="s">
        <v>14</v>
      </c>
      <c r="G31" s="22" t="s">
        <v>15</v>
      </c>
      <c r="H31" s="23" t="s">
        <v>16</v>
      </c>
      <c r="I31" s="23" t="s">
        <v>17</v>
      </c>
      <c r="J31" s="23" t="s">
        <v>18</v>
      </c>
      <c r="K31" s="23" t="s">
        <v>19</v>
      </c>
      <c r="L31" s="23" t="s">
        <v>20</v>
      </c>
      <c r="M31" s="23" t="s">
        <v>21</v>
      </c>
      <c r="N31" s="24" t="s">
        <v>22</v>
      </c>
      <c r="O31" s="23" t="s">
        <v>23</v>
      </c>
      <c r="P31" s="23" t="s">
        <v>24</v>
      </c>
      <c r="Q31" s="23" t="s">
        <v>25</v>
      </c>
      <c r="R31" s="23" t="s">
        <v>26</v>
      </c>
      <c r="S31" s="23" t="s">
        <v>27</v>
      </c>
      <c r="T31" s="23" t="s">
        <v>28</v>
      </c>
      <c r="U31" s="23" t="s">
        <v>29</v>
      </c>
      <c r="V31" s="23" t="s">
        <v>30</v>
      </c>
      <c r="W31" s="23" t="s">
        <v>31</v>
      </c>
      <c r="X31" s="23" t="s">
        <v>32</v>
      </c>
      <c r="Y31" s="23" t="s">
        <v>33</v>
      </c>
      <c r="Z31" s="25" t="s">
        <v>34</v>
      </c>
      <c r="AA31" s="23" t="s">
        <v>29</v>
      </c>
      <c r="AB31" s="25" t="s">
        <v>35</v>
      </c>
      <c r="AC31" s="23" t="s">
        <v>36</v>
      </c>
      <c r="AD31" s="25" t="s">
        <v>37</v>
      </c>
      <c r="AE31" s="25" t="s">
        <v>38</v>
      </c>
      <c r="AF31" s="25"/>
      <c r="AG31" s="25" t="s">
        <v>39</v>
      </c>
      <c r="AH31" s="25"/>
      <c r="AI31" s="25" t="s">
        <v>40</v>
      </c>
      <c r="AJ31" s="25" t="s">
        <v>41</v>
      </c>
      <c r="AK31" s="25" t="s">
        <v>42</v>
      </c>
      <c r="AL31" s="25" t="s">
        <v>43</v>
      </c>
      <c r="AM31" s="26" t="s">
        <v>44</v>
      </c>
      <c r="AN31" s="26" t="s">
        <v>45</v>
      </c>
      <c r="AO31" s="26" t="s">
        <v>46</v>
      </c>
      <c r="AP31" s="27" t="s">
        <v>47</v>
      </c>
      <c r="AQ31" s="25" t="s">
        <v>48</v>
      </c>
      <c r="AR31" s="28"/>
      <c r="AS31" s="29"/>
      <c r="AT31" s="25" t="s">
        <v>49</v>
      </c>
      <c r="AU31" s="29"/>
      <c r="AV31" s="25" t="s">
        <v>49</v>
      </c>
      <c r="AW31" s="29"/>
      <c r="AX31" s="25" t="s">
        <v>49</v>
      </c>
      <c r="AY31" s="29"/>
      <c r="AZ31" s="25" t="s">
        <v>49</v>
      </c>
      <c r="BA31" s="29"/>
      <c r="BB31" s="25" t="s">
        <v>49</v>
      </c>
      <c r="BC31" s="30" t="s">
        <v>50</v>
      </c>
      <c r="BD31" s="30" t="s">
        <v>51</v>
      </c>
      <c r="BE31" s="30" t="s">
        <v>52</v>
      </c>
      <c r="BF31" s="30" t="s">
        <v>53</v>
      </c>
      <c r="BG31" s="30" t="s">
        <v>54</v>
      </c>
      <c r="BH31" s="30" t="s">
        <v>55</v>
      </c>
      <c r="BI31" s="30" t="s">
        <v>56</v>
      </c>
      <c r="BJ31" s="30" t="s">
        <v>57</v>
      </c>
      <c r="BK31" s="31" t="s">
        <v>58</v>
      </c>
      <c r="BL31" s="32" t="s">
        <v>59</v>
      </c>
    </row>
    <row r="32" spans="1:64" ht="72">
      <c r="A32" s="33">
        <v>1</v>
      </c>
      <c r="B32" s="34" t="s">
        <v>60</v>
      </c>
      <c r="C32" s="34" t="s">
        <v>61</v>
      </c>
      <c r="D32" s="35" t="s">
        <v>62</v>
      </c>
      <c r="E32" s="36"/>
      <c r="F32" s="37" t="s">
        <v>63</v>
      </c>
      <c r="G32" s="38">
        <v>2</v>
      </c>
      <c r="H32" s="39">
        <v>2</v>
      </c>
      <c r="I32" s="40">
        <v>1.5</v>
      </c>
      <c r="J32" s="41" t="s">
        <v>64</v>
      </c>
      <c r="K32" s="42">
        <v>61.217799999999997</v>
      </c>
      <c r="L32" s="43">
        <v>8</v>
      </c>
      <c r="M32" s="44">
        <f t="shared" ref="M32:M37" si="76">ROUND(K32/L32/12*10000,-2)</f>
        <v>6400</v>
      </c>
      <c r="N32" s="45">
        <v>77</v>
      </c>
      <c r="O32" s="46">
        <v>11.7</v>
      </c>
      <c r="P32" s="47">
        <v>0</v>
      </c>
      <c r="Q32" s="48"/>
      <c r="R32" s="49">
        <v>25000</v>
      </c>
      <c r="S32" s="50">
        <f t="shared" ref="S32:S37" si="77">(N32+O32*(1-P32)/H32)*(1+Q32)+R32/M32</f>
        <v>86.756249999999994</v>
      </c>
      <c r="T32" s="46">
        <v>18</v>
      </c>
      <c r="U32" s="51">
        <v>0.01</v>
      </c>
      <c r="V32" s="52">
        <f>(S32*T32/1000)*(1+U32)</f>
        <v>1.5772286249999998</v>
      </c>
      <c r="W32" s="53">
        <v>360</v>
      </c>
      <c r="X32" s="54">
        <v>50</v>
      </c>
      <c r="Y32" s="55">
        <v>1.7728999999999999</v>
      </c>
      <c r="Z32" s="56">
        <f t="shared" ref="Z32:Z37" si="78">Y32/60/0.9</f>
        <v>3.2831481481481482E-2</v>
      </c>
      <c r="AA32" s="57">
        <f t="shared" ref="AA32:AA37" si="79">U32</f>
        <v>0.01</v>
      </c>
      <c r="AB32" s="56">
        <f>(Z32*X32/H32)*(1+AA32)</f>
        <v>0.82899490740740744</v>
      </c>
      <c r="AC32" s="56">
        <f t="shared" ref="AC32:AC37" si="80">V32*0.03</f>
        <v>4.7316858749999996E-2</v>
      </c>
      <c r="AD32" s="56">
        <f t="shared" ref="AD32:AD37" si="81">(AB32)*0.08</f>
        <v>6.6319592592592597E-2</v>
      </c>
      <c r="AE32" s="58">
        <v>0.32</v>
      </c>
      <c r="AF32" s="57">
        <f t="shared" ref="AF32:AF37" si="82">AE32/$AL32</f>
        <v>8.5728828973264837E-2</v>
      </c>
      <c r="AG32" s="58">
        <v>0.2</v>
      </c>
      <c r="AH32" s="57">
        <f t="shared" ref="AH32:AH37" si="83">AG32/$AL32</f>
        <v>5.3580518108290523E-2</v>
      </c>
      <c r="AI32" s="56">
        <f>(AB32+AC32+AD32+AE32+AG32+V32)*15%</f>
        <v>0.45597899756249993</v>
      </c>
      <c r="AJ32" s="59">
        <v>217500</v>
      </c>
      <c r="AK32" s="56">
        <f>AJ32/918260</f>
        <v>0.23686101975475354</v>
      </c>
      <c r="AL32" s="60">
        <f t="shared" ref="AL32:AL37" si="84">SUM($V32+$AB32+$AC32+$AD32+$AE32+$AG32+$AI32+$AK32)</f>
        <v>3.7327000010672533</v>
      </c>
      <c r="AQ32" s="156">
        <f>V32/AL32</f>
        <v>0.42254363451363325</v>
      </c>
    </row>
    <row r="33" spans="1:38" ht="72">
      <c r="A33" s="74">
        <v>2</v>
      </c>
      <c r="B33" s="75" t="s">
        <v>60</v>
      </c>
      <c r="C33" s="75" t="s">
        <v>65</v>
      </c>
      <c r="D33" s="76" t="s">
        <v>66</v>
      </c>
      <c r="F33" s="37" t="s">
        <v>63</v>
      </c>
      <c r="G33" s="38">
        <v>2</v>
      </c>
      <c r="H33" s="77">
        <v>2</v>
      </c>
      <c r="I33">
        <v>1.5</v>
      </c>
      <c r="J33" s="76" t="s">
        <v>64</v>
      </c>
      <c r="K33" s="77">
        <v>61.217799999999997</v>
      </c>
      <c r="L33" s="78">
        <v>8</v>
      </c>
      <c r="M33" s="77">
        <f t="shared" si="76"/>
        <v>6400</v>
      </c>
      <c r="N33" s="79">
        <v>77</v>
      </c>
      <c r="O33" s="80">
        <v>11.7</v>
      </c>
      <c r="P33" s="81">
        <v>0</v>
      </c>
      <c r="R33" s="49">
        <v>25000</v>
      </c>
      <c r="S33" s="83">
        <f t="shared" si="77"/>
        <v>86.756249999999994</v>
      </c>
      <c r="T33" s="46">
        <v>18</v>
      </c>
      <c r="U33" s="84">
        <v>0.01</v>
      </c>
      <c r="V33" s="85">
        <f>(S33*T33/1000)*(1+U33)</f>
        <v>1.5772286249999998</v>
      </c>
      <c r="W33" s="53">
        <v>360</v>
      </c>
      <c r="X33" s="54">
        <v>50</v>
      </c>
      <c r="Y33" s="55">
        <v>1.7728999999999999</v>
      </c>
      <c r="Z33" s="86">
        <f t="shared" si="78"/>
        <v>3.2831481481481482E-2</v>
      </c>
      <c r="AA33" s="87">
        <f t="shared" si="79"/>
        <v>0.01</v>
      </c>
      <c r="AB33" s="86">
        <f t="shared" ref="AB33:AB37" si="85">(Z33*X33/H33)*(1+AA33)</f>
        <v>0.82899490740740744</v>
      </c>
      <c r="AC33" s="86">
        <f t="shared" si="80"/>
        <v>4.7316858749999996E-2</v>
      </c>
      <c r="AD33" s="86">
        <f t="shared" si="81"/>
        <v>6.6319592592592597E-2</v>
      </c>
      <c r="AE33" s="58">
        <v>0.42</v>
      </c>
      <c r="AF33" s="87">
        <f t="shared" si="82"/>
        <v>0.10598834125391364</v>
      </c>
      <c r="AG33" s="58">
        <v>0.3</v>
      </c>
      <c r="AH33" s="87">
        <f t="shared" si="83"/>
        <v>7.5705958038509741E-2</v>
      </c>
      <c r="AI33" s="86">
        <f t="shared" ref="AI33:AI37" si="86">(AB33+AC33+AD33+AE33+AG33+V33)*15%</f>
        <v>0.48597899756249996</v>
      </c>
      <c r="AJ33" s="59">
        <v>217500</v>
      </c>
      <c r="AK33" s="56">
        <f>AJ33/918260</f>
        <v>0.23686101975475354</v>
      </c>
      <c r="AL33" s="90">
        <f t="shared" si="84"/>
        <v>3.9627000010672533</v>
      </c>
    </row>
    <row r="34" spans="1:38" ht="72">
      <c r="A34" s="74">
        <v>3</v>
      </c>
      <c r="B34" s="75" t="s">
        <v>67</v>
      </c>
      <c r="C34" s="75" t="s">
        <v>68</v>
      </c>
      <c r="D34" s="76" t="s">
        <v>69</v>
      </c>
      <c r="F34" s="37" t="s">
        <v>70</v>
      </c>
      <c r="G34" s="38">
        <v>2</v>
      </c>
      <c r="H34" s="77">
        <v>2</v>
      </c>
      <c r="I34">
        <v>1.5</v>
      </c>
      <c r="J34" s="76" t="s">
        <v>64</v>
      </c>
      <c r="K34" s="77">
        <v>61.217799999999997</v>
      </c>
      <c r="L34" s="78">
        <v>8</v>
      </c>
      <c r="M34" s="77">
        <f t="shared" si="76"/>
        <v>6400</v>
      </c>
      <c r="N34" s="79">
        <v>78</v>
      </c>
      <c r="O34" s="80">
        <v>11.7</v>
      </c>
      <c r="P34" s="81">
        <v>0</v>
      </c>
      <c r="R34" s="49">
        <v>25000</v>
      </c>
      <c r="S34" s="83">
        <f t="shared" si="77"/>
        <v>87.756249999999994</v>
      </c>
      <c r="T34" s="46">
        <v>18</v>
      </c>
      <c r="U34" s="84">
        <v>0.01</v>
      </c>
      <c r="V34" s="85">
        <f>(S34*T34/1000)*(1+U34)</f>
        <v>1.5954086249999999</v>
      </c>
      <c r="W34" s="53">
        <v>360</v>
      </c>
      <c r="X34" s="54">
        <v>50</v>
      </c>
      <c r="Y34" s="55">
        <v>1.7728999999999999</v>
      </c>
      <c r="Z34" s="86">
        <f t="shared" si="78"/>
        <v>3.2831481481481482E-2</v>
      </c>
      <c r="AA34" s="87">
        <f t="shared" si="79"/>
        <v>0.01</v>
      </c>
      <c r="AB34" s="86">
        <f t="shared" si="85"/>
        <v>0.82899490740740744</v>
      </c>
      <c r="AC34" s="86">
        <f t="shared" si="80"/>
        <v>4.7862258749999997E-2</v>
      </c>
      <c r="AD34" s="86">
        <f t="shared" si="81"/>
        <v>6.6319592592592597E-2</v>
      </c>
      <c r="AE34" s="58">
        <v>0.42</v>
      </c>
      <c r="AF34" s="87">
        <f t="shared" si="82"/>
        <v>0.10541548958977864</v>
      </c>
      <c r="AG34" s="58">
        <v>0.3</v>
      </c>
      <c r="AH34" s="87">
        <f t="shared" si="83"/>
        <v>7.5296778278413315E-2</v>
      </c>
      <c r="AI34" s="86">
        <f t="shared" si="86"/>
        <v>0.48878780756249995</v>
      </c>
      <c r="AJ34" s="59">
        <v>217500</v>
      </c>
      <c r="AK34" s="56">
        <f>AJ34/918260</f>
        <v>0.23686101975475354</v>
      </c>
      <c r="AL34" s="90">
        <f t="shared" si="84"/>
        <v>3.9842342110672533</v>
      </c>
    </row>
    <row r="35" spans="1:38" ht="72">
      <c r="A35" s="74">
        <v>4</v>
      </c>
      <c r="B35" s="75" t="s">
        <v>67</v>
      </c>
      <c r="C35" s="75" t="s">
        <v>71</v>
      </c>
      <c r="D35" s="76" t="s">
        <v>72</v>
      </c>
      <c r="F35" s="37" t="s">
        <v>70</v>
      </c>
      <c r="G35" s="38">
        <v>2</v>
      </c>
      <c r="H35" s="77">
        <v>2</v>
      </c>
      <c r="I35">
        <v>1.5</v>
      </c>
      <c r="J35" s="76" t="s">
        <v>64</v>
      </c>
      <c r="K35" s="77">
        <v>61.217799999999997</v>
      </c>
      <c r="L35" s="78">
        <v>8</v>
      </c>
      <c r="M35" s="77">
        <f t="shared" si="76"/>
        <v>6400</v>
      </c>
      <c r="N35" s="79">
        <v>78</v>
      </c>
      <c r="O35" s="80">
        <v>11.7</v>
      </c>
      <c r="P35" s="81">
        <v>0</v>
      </c>
      <c r="R35" s="49">
        <v>25000</v>
      </c>
      <c r="S35" s="83">
        <f t="shared" si="77"/>
        <v>87.756249999999994</v>
      </c>
      <c r="T35" s="46">
        <v>18</v>
      </c>
      <c r="U35" s="84">
        <v>0.01</v>
      </c>
      <c r="V35" s="85">
        <f t="shared" ref="V35:V37" si="87">(S35*T35/1000)*(1+U35)</f>
        <v>1.5954086249999999</v>
      </c>
      <c r="W35" s="53">
        <v>360</v>
      </c>
      <c r="X35" s="54">
        <v>50</v>
      </c>
      <c r="Y35" s="55">
        <v>1.7728999999999999</v>
      </c>
      <c r="Z35" s="86">
        <f t="shared" si="78"/>
        <v>3.2831481481481482E-2</v>
      </c>
      <c r="AA35" s="87">
        <f t="shared" si="79"/>
        <v>0.01</v>
      </c>
      <c r="AB35" s="86">
        <f t="shared" si="85"/>
        <v>0.82899490740740744</v>
      </c>
      <c r="AC35" s="86">
        <f t="shared" si="80"/>
        <v>4.7862258749999997E-2</v>
      </c>
      <c r="AD35" s="86">
        <f t="shared" si="81"/>
        <v>6.6319592592592597E-2</v>
      </c>
      <c r="AE35" s="58">
        <v>0.42</v>
      </c>
      <c r="AF35" s="87">
        <f t="shared" si="82"/>
        <v>0.10541548958977864</v>
      </c>
      <c r="AG35" s="58">
        <v>0.3</v>
      </c>
      <c r="AH35" s="87">
        <f t="shared" si="83"/>
        <v>7.5296778278413315E-2</v>
      </c>
      <c r="AI35" s="86">
        <f t="shared" si="86"/>
        <v>0.48878780756249995</v>
      </c>
      <c r="AJ35" s="59">
        <v>217500</v>
      </c>
      <c r="AK35" s="56">
        <f>AJ35/918260</f>
        <v>0.23686101975475354</v>
      </c>
      <c r="AL35" s="90">
        <f t="shared" si="84"/>
        <v>3.9842342110672533</v>
      </c>
    </row>
    <row r="36" spans="1:38" ht="72">
      <c r="A36" s="74">
        <v>5</v>
      </c>
      <c r="B36" s="75" t="s">
        <v>73</v>
      </c>
      <c r="C36" s="75" t="s">
        <v>74</v>
      </c>
      <c r="D36" s="76" t="s">
        <v>75</v>
      </c>
      <c r="F36" s="37" t="s">
        <v>76</v>
      </c>
      <c r="G36" s="38">
        <v>2</v>
      </c>
      <c r="H36" s="77">
        <v>2</v>
      </c>
      <c r="I36">
        <v>1.5</v>
      </c>
      <c r="J36" s="76" t="s">
        <v>64</v>
      </c>
      <c r="K36" s="77">
        <v>61.217799999999997</v>
      </c>
      <c r="L36" s="78">
        <v>8</v>
      </c>
      <c r="M36" s="77">
        <f t="shared" si="76"/>
        <v>6400</v>
      </c>
      <c r="N36" s="79">
        <v>27</v>
      </c>
      <c r="O36" s="80">
        <v>4.8</v>
      </c>
      <c r="P36" s="81">
        <v>0</v>
      </c>
      <c r="R36" s="49">
        <v>25000</v>
      </c>
      <c r="S36" s="83">
        <f t="shared" si="77"/>
        <v>33.306249999999999</v>
      </c>
      <c r="T36" s="46">
        <v>18</v>
      </c>
      <c r="U36" s="84">
        <v>0.01</v>
      </c>
      <c r="V36" s="85">
        <f t="shared" si="87"/>
        <v>0.60550762499999988</v>
      </c>
      <c r="W36" s="53">
        <v>160</v>
      </c>
      <c r="X36" s="54">
        <v>30</v>
      </c>
      <c r="Y36" s="55">
        <v>1.0953999999999999</v>
      </c>
      <c r="Z36" s="86">
        <f t="shared" si="78"/>
        <v>2.028518518518518E-2</v>
      </c>
      <c r="AA36" s="87">
        <f t="shared" si="79"/>
        <v>0.01</v>
      </c>
      <c r="AB36" s="86">
        <f t="shared" si="85"/>
        <v>0.30732055555555549</v>
      </c>
      <c r="AC36" s="86">
        <f t="shared" si="80"/>
        <v>1.8165228749999995E-2</v>
      </c>
      <c r="AD36" s="86">
        <f t="shared" si="81"/>
        <v>2.458564444444444E-2</v>
      </c>
      <c r="AE36" s="88">
        <v>0.1</v>
      </c>
      <c r="AF36" s="87">
        <f t="shared" si="82"/>
        <v>6.6054198312676449E-2</v>
      </c>
      <c r="AG36" s="88">
        <v>6.2E-2</v>
      </c>
      <c r="AH36" s="87">
        <f t="shared" si="83"/>
        <v>4.09536029538594E-2</v>
      </c>
      <c r="AI36" s="86">
        <f t="shared" si="86"/>
        <v>0.16763685806249995</v>
      </c>
      <c r="AJ36" s="89">
        <f>140000*0.75</f>
        <v>105000</v>
      </c>
      <c r="AK36" s="86">
        <f>AJ36/(229566*2)</f>
        <v>0.22869240218499254</v>
      </c>
      <c r="AL36" s="90">
        <f t="shared" si="84"/>
        <v>1.5139083139974923</v>
      </c>
    </row>
    <row r="37" spans="1:38" ht="72">
      <c r="A37" s="74">
        <v>6</v>
      </c>
      <c r="B37" s="75" t="s">
        <v>73</v>
      </c>
      <c r="C37" s="75" t="s">
        <v>77</v>
      </c>
      <c r="D37" s="76" t="s">
        <v>78</v>
      </c>
      <c r="F37" s="37" t="s">
        <v>76</v>
      </c>
      <c r="G37" s="38">
        <v>2</v>
      </c>
      <c r="H37" s="77">
        <v>2</v>
      </c>
      <c r="I37">
        <v>1.5</v>
      </c>
      <c r="J37" s="76" t="s">
        <v>64</v>
      </c>
      <c r="K37" s="77">
        <v>61.217799999999997</v>
      </c>
      <c r="L37" s="78">
        <v>8</v>
      </c>
      <c r="M37" s="77">
        <f t="shared" si="76"/>
        <v>6400</v>
      </c>
      <c r="N37" s="79">
        <v>27</v>
      </c>
      <c r="O37" s="80">
        <v>4.8</v>
      </c>
      <c r="P37" s="81">
        <v>0</v>
      </c>
      <c r="R37" s="49">
        <v>25000</v>
      </c>
      <c r="S37" s="83">
        <f t="shared" si="77"/>
        <v>33.306249999999999</v>
      </c>
      <c r="T37" s="46">
        <v>18</v>
      </c>
      <c r="U37" s="84">
        <v>0.01</v>
      </c>
      <c r="V37" s="85">
        <f t="shared" si="87"/>
        <v>0.60550762499999988</v>
      </c>
      <c r="W37" s="53">
        <v>160</v>
      </c>
      <c r="X37" s="54">
        <v>30</v>
      </c>
      <c r="Y37" s="55">
        <v>1.0953999999999999</v>
      </c>
      <c r="Z37" s="86">
        <f t="shared" si="78"/>
        <v>2.028518518518518E-2</v>
      </c>
      <c r="AA37" s="87">
        <f t="shared" si="79"/>
        <v>0.01</v>
      </c>
      <c r="AB37" s="86">
        <f t="shared" si="85"/>
        <v>0.30732055555555549</v>
      </c>
      <c r="AC37" s="86">
        <f t="shared" si="80"/>
        <v>1.8165228749999995E-2</v>
      </c>
      <c r="AD37" s="86">
        <f t="shared" si="81"/>
        <v>2.458564444444444E-2</v>
      </c>
      <c r="AE37" s="88">
        <v>0.1</v>
      </c>
      <c r="AF37" s="87">
        <f t="shared" si="82"/>
        <v>6.6054198312676449E-2</v>
      </c>
      <c r="AG37" s="88">
        <v>6.2E-2</v>
      </c>
      <c r="AH37" s="87">
        <f t="shared" si="83"/>
        <v>4.09536029538594E-2</v>
      </c>
      <c r="AI37" s="86">
        <f t="shared" si="86"/>
        <v>0.16763685806249995</v>
      </c>
      <c r="AJ37" s="89">
        <f>140000*0.75</f>
        <v>105000</v>
      </c>
      <c r="AK37" s="86">
        <f>AJ37/(229566*2)</f>
        <v>0.22869240218499254</v>
      </c>
      <c r="AL37" s="90">
        <f t="shared" si="84"/>
        <v>1.5139083139974923</v>
      </c>
    </row>
  </sheetData>
  <mergeCells count="8">
    <mergeCell ref="BA2:BB2"/>
    <mergeCell ref="AY2:AZ2"/>
    <mergeCell ref="AN2:AO2"/>
    <mergeCell ref="A10:N10"/>
    <mergeCell ref="E1:J2"/>
    <mergeCell ref="AS2:AT2"/>
    <mergeCell ref="AW2:AX2"/>
    <mergeCell ref="AU2:AV2"/>
  </mergeCells>
  <conditionalFormatting sqref="AS4:BB4">
    <cfRule type="cellIs" dxfId="2" priority="3" operator="equal">
      <formula>0</formula>
    </cfRule>
  </conditionalFormatting>
  <conditionalFormatting sqref="AS12:BB12">
    <cfRule type="cellIs" dxfId="1" priority="1" operator="equal">
      <formula>0</formula>
    </cfRule>
  </conditionalFormatting>
  <conditionalFormatting sqref="AS19:BB19">
    <cfRule type="cellIs" dxfId="0" priority="2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ABBB-1A40-E44D-97ED-71EFA4EC526D}">
  <dimension ref="A8:AL14"/>
  <sheetViews>
    <sheetView tabSelected="1" topLeftCell="U1" workbookViewId="0">
      <selection activeCell="AP12" sqref="AP12"/>
    </sheetView>
  </sheetViews>
  <sheetFormatPr baseColWidth="10" defaultRowHeight="14"/>
  <sheetData>
    <row r="8" spans="1:38" ht="85">
      <c r="A8" s="22">
        <v>0</v>
      </c>
      <c r="B8" s="22" t="s">
        <v>10</v>
      </c>
      <c r="C8" s="22" t="s">
        <v>11</v>
      </c>
      <c r="D8" s="22" t="s">
        <v>12</v>
      </c>
      <c r="E8" s="22" t="s">
        <v>13</v>
      </c>
      <c r="F8" s="22" t="s">
        <v>14</v>
      </c>
      <c r="G8" s="22" t="s">
        <v>15</v>
      </c>
      <c r="H8" s="23" t="s">
        <v>16</v>
      </c>
      <c r="I8" s="23" t="s">
        <v>17</v>
      </c>
      <c r="J8" s="23" t="s">
        <v>18</v>
      </c>
      <c r="K8" s="23" t="s">
        <v>19</v>
      </c>
      <c r="L8" s="23" t="s">
        <v>20</v>
      </c>
      <c r="M8" s="23" t="s">
        <v>21</v>
      </c>
      <c r="N8" s="24" t="s">
        <v>22</v>
      </c>
      <c r="O8" s="23" t="s">
        <v>23</v>
      </c>
      <c r="P8" s="23" t="s">
        <v>24</v>
      </c>
      <c r="Q8" s="23" t="s">
        <v>25</v>
      </c>
      <c r="R8" s="23" t="s">
        <v>26</v>
      </c>
      <c r="S8" s="23" t="s">
        <v>27</v>
      </c>
      <c r="T8" s="23" t="s">
        <v>28</v>
      </c>
      <c r="U8" s="23" t="s">
        <v>29</v>
      </c>
      <c r="V8" s="23" t="s">
        <v>30</v>
      </c>
      <c r="W8" s="23" t="s">
        <v>31</v>
      </c>
      <c r="X8" s="23" t="s">
        <v>32</v>
      </c>
      <c r="Y8" s="23" t="s">
        <v>33</v>
      </c>
      <c r="Z8" s="25" t="s">
        <v>34</v>
      </c>
      <c r="AA8" s="23" t="s">
        <v>29</v>
      </c>
      <c r="AB8" s="25" t="s">
        <v>35</v>
      </c>
      <c r="AC8" s="23" t="s">
        <v>36</v>
      </c>
      <c r="AD8" s="25" t="s">
        <v>37</v>
      </c>
      <c r="AE8" s="25" t="s">
        <v>38</v>
      </c>
      <c r="AF8" s="25"/>
      <c r="AG8" s="25" t="s">
        <v>39</v>
      </c>
      <c r="AH8" s="25"/>
      <c r="AI8" s="25" t="s">
        <v>40</v>
      </c>
      <c r="AJ8" s="25" t="s">
        <v>41</v>
      </c>
      <c r="AK8" s="25" t="s">
        <v>42</v>
      </c>
      <c r="AL8" s="25" t="s">
        <v>43</v>
      </c>
    </row>
    <row r="9" spans="1:38" ht="108">
      <c r="A9" s="33">
        <v>1</v>
      </c>
      <c r="B9" s="34" t="s">
        <v>60</v>
      </c>
      <c r="C9" s="34" t="s">
        <v>61</v>
      </c>
      <c r="D9" s="35" t="s">
        <v>62</v>
      </c>
      <c r="E9" s="36"/>
      <c r="F9" s="37" t="s">
        <v>63</v>
      </c>
      <c r="G9" s="38">
        <v>2</v>
      </c>
      <c r="H9" s="39">
        <v>2</v>
      </c>
      <c r="I9" s="40">
        <v>1.5</v>
      </c>
      <c r="J9" s="41" t="s">
        <v>64</v>
      </c>
      <c r="K9" s="42">
        <v>61.217799999999997</v>
      </c>
      <c r="L9" s="43">
        <v>8</v>
      </c>
      <c r="M9" s="44">
        <f t="shared" ref="M9:M14" si="0">ROUND(K9/L9/12*10000,-2)</f>
        <v>6400</v>
      </c>
      <c r="N9" s="45">
        <v>77</v>
      </c>
      <c r="O9" s="46">
        <v>11.7</v>
      </c>
      <c r="P9" s="47">
        <v>0</v>
      </c>
      <c r="Q9" s="48"/>
      <c r="R9" s="49">
        <v>25000</v>
      </c>
      <c r="S9" s="50">
        <f t="shared" ref="S9:S14" si="1">(N9+O9*(1-P9)/H9)*(1+Q9)+R9/M9</f>
        <v>86.756249999999994</v>
      </c>
      <c r="T9" s="46">
        <v>18</v>
      </c>
      <c r="U9" s="51">
        <v>0.01</v>
      </c>
      <c r="V9" s="52">
        <f>(S9*T9/1000)*(1+U9)</f>
        <v>1.5772286249999998</v>
      </c>
      <c r="W9" s="53">
        <v>360</v>
      </c>
      <c r="X9" s="54">
        <v>50</v>
      </c>
      <c r="Y9" s="55">
        <v>1.7728999999999999</v>
      </c>
      <c r="Z9" s="56">
        <f t="shared" ref="Z9:Z14" si="2">Y9/60/0.9</f>
        <v>3.2831481481481482E-2</v>
      </c>
      <c r="AA9" s="57">
        <f t="shared" ref="AA9:AA14" si="3">U9</f>
        <v>0.01</v>
      </c>
      <c r="AB9" s="56">
        <f>(Z9*X9/H9)*(1+AA9)</f>
        <v>0.82899490740740744</v>
      </c>
      <c r="AC9" s="56">
        <f t="shared" ref="AC9:AC14" si="4">V9*0.03</f>
        <v>4.7316858749999996E-2</v>
      </c>
      <c r="AD9" s="56">
        <f t="shared" ref="AD9:AD14" si="5">(AB9)*0.08</f>
        <v>6.6319592592592597E-2</v>
      </c>
      <c r="AE9" s="58">
        <v>0.32</v>
      </c>
      <c r="AF9" s="57">
        <f t="shared" ref="AF9:AF14" si="6">AE9/$AL9</f>
        <v>9.091142045729772E-2</v>
      </c>
      <c r="AG9" s="58">
        <v>0.2</v>
      </c>
      <c r="AH9" s="57">
        <f t="shared" ref="AH9:AH14" si="7">AG9/$AL9</f>
        <v>5.6819637785811082E-2</v>
      </c>
      <c r="AI9" s="56">
        <f>(AB9+AC9+AD9+AE9+AG9+V9)*8%</f>
        <v>0.24318879869999996</v>
      </c>
      <c r="AJ9" s="59">
        <v>217500</v>
      </c>
      <c r="AK9" s="56">
        <f>AJ9/918260</f>
        <v>0.23686101975475354</v>
      </c>
      <c r="AL9" s="60">
        <f t="shared" ref="AL9:AL14" si="8">SUM($V9+$AB9+$AC9+$AD9+$AE9+$AG9+$AI9+$AK9)</f>
        <v>3.5199098022047535</v>
      </c>
    </row>
    <row r="10" spans="1:38" ht="108">
      <c r="A10" s="74">
        <v>2</v>
      </c>
      <c r="B10" s="75" t="s">
        <v>60</v>
      </c>
      <c r="C10" s="75" t="s">
        <v>65</v>
      </c>
      <c r="D10" s="76" t="s">
        <v>66</v>
      </c>
      <c r="E10" s="73"/>
      <c r="F10" s="37" t="s">
        <v>63</v>
      </c>
      <c r="G10" s="38">
        <v>2</v>
      </c>
      <c r="H10" s="77">
        <v>2</v>
      </c>
      <c r="I10">
        <v>1.5</v>
      </c>
      <c r="J10" s="76" t="s">
        <v>64</v>
      </c>
      <c r="K10" s="77">
        <v>61.217799999999997</v>
      </c>
      <c r="L10" s="78">
        <v>8</v>
      </c>
      <c r="M10" s="77">
        <f t="shared" si="0"/>
        <v>6400</v>
      </c>
      <c r="N10" s="79">
        <v>77</v>
      </c>
      <c r="O10" s="80">
        <v>11.7</v>
      </c>
      <c r="P10" s="81">
        <v>0</v>
      </c>
      <c r="R10" s="49">
        <v>25000</v>
      </c>
      <c r="S10" s="83">
        <f t="shared" si="1"/>
        <v>86.756249999999994</v>
      </c>
      <c r="T10" s="46">
        <v>18</v>
      </c>
      <c r="U10" s="84">
        <v>0.01</v>
      </c>
      <c r="V10" s="85">
        <f>(S10*T10/1000)*(1+U10)</f>
        <v>1.5772286249999998</v>
      </c>
      <c r="W10" s="53">
        <v>360</v>
      </c>
      <c r="X10" s="54">
        <v>50</v>
      </c>
      <c r="Y10" s="55">
        <v>1.7728999999999999</v>
      </c>
      <c r="Z10" s="86">
        <f t="shared" si="2"/>
        <v>3.2831481481481482E-2</v>
      </c>
      <c r="AA10" s="87">
        <f t="shared" si="3"/>
        <v>0.01</v>
      </c>
      <c r="AB10" s="86">
        <f t="shared" ref="AB10:AB14" si="9">(Z10*X10/H10)*(1+AA10)</f>
        <v>0.82899490740740744</v>
      </c>
      <c r="AC10" s="86">
        <f t="shared" si="4"/>
        <v>4.7316858749999996E-2</v>
      </c>
      <c r="AD10" s="86">
        <f t="shared" si="5"/>
        <v>6.6319592592592597E-2</v>
      </c>
      <c r="AE10" s="58">
        <v>0.32</v>
      </c>
      <c r="AF10" s="87">
        <f t="shared" si="6"/>
        <v>9.091142045729772E-2</v>
      </c>
      <c r="AG10" s="58">
        <v>0.2</v>
      </c>
      <c r="AH10" s="87">
        <f t="shared" si="7"/>
        <v>5.6819637785811082E-2</v>
      </c>
      <c r="AI10" s="86">
        <f>(AB10+AC10+AD10+AE10+AG10+V10)*8%</f>
        <v>0.24318879869999996</v>
      </c>
      <c r="AJ10" s="59">
        <v>217500</v>
      </c>
      <c r="AK10" s="56">
        <f>AJ10/918260</f>
        <v>0.23686101975475354</v>
      </c>
      <c r="AL10" s="90">
        <f t="shared" si="8"/>
        <v>3.5199098022047535</v>
      </c>
    </row>
    <row r="11" spans="1:38" ht="90">
      <c r="A11" s="74">
        <v>3</v>
      </c>
      <c r="B11" s="75" t="s">
        <v>67</v>
      </c>
      <c r="C11" s="75" t="s">
        <v>68</v>
      </c>
      <c r="D11" s="76" t="s">
        <v>69</v>
      </c>
      <c r="E11" s="73"/>
      <c r="F11" s="37" t="s">
        <v>70</v>
      </c>
      <c r="G11" s="38">
        <v>2</v>
      </c>
      <c r="H11" s="77">
        <v>2</v>
      </c>
      <c r="I11">
        <v>1.5</v>
      </c>
      <c r="J11" s="76" t="s">
        <v>64</v>
      </c>
      <c r="K11" s="77">
        <v>61.217799999999997</v>
      </c>
      <c r="L11" s="78">
        <v>8</v>
      </c>
      <c r="M11" s="77">
        <f t="shared" si="0"/>
        <v>6400</v>
      </c>
      <c r="N11" s="79">
        <v>78</v>
      </c>
      <c r="O11" s="80">
        <v>11.7</v>
      </c>
      <c r="P11" s="81">
        <v>0</v>
      </c>
      <c r="R11" s="49">
        <v>25000</v>
      </c>
      <c r="S11" s="83">
        <f t="shared" si="1"/>
        <v>87.756249999999994</v>
      </c>
      <c r="T11" s="46">
        <v>18</v>
      </c>
      <c r="U11" s="84">
        <v>0.01</v>
      </c>
      <c r="V11" s="85">
        <f>(S11*T11/1000)*(1+U11)</f>
        <v>1.5954086249999999</v>
      </c>
      <c r="W11" s="53">
        <v>360</v>
      </c>
      <c r="X11" s="54">
        <v>50</v>
      </c>
      <c r="Y11" s="55">
        <v>1.7728999999999999</v>
      </c>
      <c r="Z11" s="86">
        <f t="shared" si="2"/>
        <v>3.2831481481481482E-2</v>
      </c>
      <c r="AA11" s="87">
        <f t="shared" si="3"/>
        <v>0.01</v>
      </c>
      <c r="AB11" s="86">
        <f t="shared" si="9"/>
        <v>0.82899490740740744</v>
      </c>
      <c r="AC11" s="86">
        <f t="shared" si="4"/>
        <v>4.7862258749999997E-2</v>
      </c>
      <c r="AD11" s="86">
        <f t="shared" si="5"/>
        <v>6.6319592592592597E-2</v>
      </c>
      <c r="AE11" s="58">
        <v>0.32</v>
      </c>
      <c r="AF11" s="87">
        <f t="shared" si="6"/>
        <v>9.0392078159138536E-2</v>
      </c>
      <c r="AG11" s="58">
        <v>0.2</v>
      </c>
      <c r="AH11" s="87">
        <f t="shared" si="7"/>
        <v>5.649504884946159E-2</v>
      </c>
      <c r="AI11" s="86">
        <f>(AB11+AC11+AD11+AE11+AG11+V11)*8%</f>
        <v>0.24468683069999997</v>
      </c>
      <c r="AJ11" s="59">
        <v>217500</v>
      </c>
      <c r="AK11" s="56">
        <f>AJ11/918260</f>
        <v>0.23686101975475354</v>
      </c>
      <c r="AL11" s="90">
        <f t="shared" si="8"/>
        <v>3.5401332342047538</v>
      </c>
    </row>
    <row r="12" spans="1:38" ht="90">
      <c r="A12" s="74">
        <v>4</v>
      </c>
      <c r="B12" s="75" t="s">
        <v>67</v>
      </c>
      <c r="C12" s="75" t="s">
        <v>71</v>
      </c>
      <c r="D12" s="76" t="s">
        <v>72</v>
      </c>
      <c r="E12" s="73"/>
      <c r="F12" s="37" t="s">
        <v>70</v>
      </c>
      <c r="G12" s="38">
        <v>2</v>
      </c>
      <c r="H12" s="77">
        <v>2</v>
      </c>
      <c r="I12">
        <v>1.5</v>
      </c>
      <c r="J12" s="76" t="s">
        <v>64</v>
      </c>
      <c r="K12" s="77">
        <v>61.217799999999997</v>
      </c>
      <c r="L12" s="78">
        <v>8</v>
      </c>
      <c r="M12" s="77">
        <f t="shared" si="0"/>
        <v>6400</v>
      </c>
      <c r="N12" s="79">
        <v>78</v>
      </c>
      <c r="O12" s="80">
        <v>11.7</v>
      </c>
      <c r="P12" s="81">
        <v>0</v>
      </c>
      <c r="R12" s="49">
        <v>25000</v>
      </c>
      <c r="S12" s="83">
        <f t="shared" si="1"/>
        <v>87.756249999999994</v>
      </c>
      <c r="T12" s="46">
        <v>18</v>
      </c>
      <c r="U12" s="84">
        <v>0.01</v>
      </c>
      <c r="V12" s="85">
        <f t="shared" ref="V12:V14" si="10">(S12*T12/1000)*(1+U12)</f>
        <v>1.5954086249999999</v>
      </c>
      <c r="W12" s="53">
        <v>360</v>
      </c>
      <c r="X12" s="54">
        <v>50</v>
      </c>
      <c r="Y12" s="55">
        <v>1.7728999999999999</v>
      </c>
      <c r="Z12" s="86">
        <f t="shared" si="2"/>
        <v>3.2831481481481482E-2</v>
      </c>
      <c r="AA12" s="87">
        <f t="shared" si="3"/>
        <v>0.01</v>
      </c>
      <c r="AB12" s="86">
        <f t="shared" si="9"/>
        <v>0.82899490740740744</v>
      </c>
      <c r="AC12" s="86">
        <f t="shared" si="4"/>
        <v>4.7862258749999997E-2</v>
      </c>
      <c r="AD12" s="86">
        <f t="shared" si="5"/>
        <v>6.6319592592592597E-2</v>
      </c>
      <c r="AE12" s="58">
        <v>0.32</v>
      </c>
      <c r="AF12" s="87">
        <f t="shared" si="6"/>
        <v>9.0392078159138536E-2</v>
      </c>
      <c r="AG12" s="58">
        <v>0.2</v>
      </c>
      <c r="AH12" s="87">
        <f t="shared" si="7"/>
        <v>5.649504884946159E-2</v>
      </c>
      <c r="AI12" s="86">
        <f>(AB12+AC12+AD12+AE12+AG12+V12)*8%</f>
        <v>0.24468683069999997</v>
      </c>
      <c r="AJ12" s="59">
        <v>217500</v>
      </c>
      <c r="AK12" s="56">
        <f>AJ12/918260</f>
        <v>0.23686101975475354</v>
      </c>
      <c r="AL12" s="90">
        <f t="shared" si="8"/>
        <v>3.5401332342047538</v>
      </c>
    </row>
    <row r="13" spans="1:38" ht="72">
      <c r="A13" s="74">
        <v>5</v>
      </c>
      <c r="B13" s="75" t="s">
        <v>73</v>
      </c>
      <c r="C13" s="75" t="s">
        <v>74</v>
      </c>
      <c r="D13" s="76" t="s">
        <v>75</v>
      </c>
      <c r="E13" s="73"/>
      <c r="F13" s="37" t="s">
        <v>76</v>
      </c>
      <c r="G13" s="38">
        <v>2</v>
      </c>
      <c r="H13" s="77">
        <v>2</v>
      </c>
      <c r="I13">
        <v>1.5</v>
      </c>
      <c r="J13" s="76" t="s">
        <v>64</v>
      </c>
      <c r="K13" s="77">
        <v>61.217799999999997</v>
      </c>
      <c r="L13" s="78">
        <v>8</v>
      </c>
      <c r="M13" s="77">
        <f t="shared" si="0"/>
        <v>6400</v>
      </c>
      <c r="N13" s="79">
        <v>27</v>
      </c>
      <c r="O13" s="80">
        <v>4.8</v>
      </c>
      <c r="P13" s="81">
        <v>0</v>
      </c>
      <c r="R13" s="49">
        <v>25000</v>
      </c>
      <c r="S13" s="83">
        <f t="shared" si="1"/>
        <v>33.306249999999999</v>
      </c>
      <c r="T13" s="46">
        <v>18</v>
      </c>
      <c r="U13" s="84">
        <v>0.01</v>
      </c>
      <c r="V13" s="85">
        <f t="shared" si="10"/>
        <v>0.60550762499999988</v>
      </c>
      <c r="W13" s="53">
        <v>160</v>
      </c>
      <c r="X13" s="54">
        <v>30</v>
      </c>
      <c r="Y13" s="55">
        <v>1.0953999999999999</v>
      </c>
      <c r="Z13" s="86">
        <f t="shared" si="2"/>
        <v>2.028518518518518E-2</v>
      </c>
      <c r="AA13" s="87">
        <f t="shared" si="3"/>
        <v>0.01</v>
      </c>
      <c r="AB13" s="86">
        <f t="shared" si="9"/>
        <v>0.30732055555555549</v>
      </c>
      <c r="AC13" s="86">
        <f t="shared" si="4"/>
        <v>1.8165228749999995E-2</v>
      </c>
      <c r="AD13" s="86">
        <f t="shared" si="5"/>
        <v>2.458564444444444E-2</v>
      </c>
      <c r="AE13" s="88">
        <v>0.1</v>
      </c>
      <c r="AF13" s="87">
        <f t="shared" si="6"/>
        <v>6.6054198312676449E-2</v>
      </c>
      <c r="AG13" s="88">
        <v>6.2E-2</v>
      </c>
      <c r="AH13" s="87">
        <f t="shared" si="7"/>
        <v>4.09536029538594E-2</v>
      </c>
      <c r="AI13" s="86">
        <f t="shared" ref="AI10:AI14" si="11">(AB13+AC13+AD13+AE13+AG13+V13)*15%</f>
        <v>0.16763685806249995</v>
      </c>
      <c r="AJ13" s="89">
        <f>140000*0.75</f>
        <v>105000</v>
      </c>
      <c r="AK13" s="86">
        <f>AJ13/(229566*2)</f>
        <v>0.22869240218499254</v>
      </c>
      <c r="AL13" s="90">
        <f t="shared" si="8"/>
        <v>1.5139083139974923</v>
      </c>
    </row>
    <row r="14" spans="1:38" ht="72">
      <c r="A14" s="74">
        <v>6</v>
      </c>
      <c r="B14" s="75" t="s">
        <v>73</v>
      </c>
      <c r="C14" s="75" t="s">
        <v>77</v>
      </c>
      <c r="D14" s="76" t="s">
        <v>78</v>
      </c>
      <c r="E14" s="73"/>
      <c r="F14" s="37" t="s">
        <v>76</v>
      </c>
      <c r="G14" s="38">
        <v>2</v>
      </c>
      <c r="H14" s="77">
        <v>2</v>
      </c>
      <c r="I14">
        <v>1.5</v>
      </c>
      <c r="J14" s="76" t="s">
        <v>64</v>
      </c>
      <c r="K14" s="77">
        <v>61.217799999999997</v>
      </c>
      <c r="L14" s="78">
        <v>8</v>
      </c>
      <c r="M14" s="77">
        <f t="shared" si="0"/>
        <v>6400</v>
      </c>
      <c r="N14" s="79">
        <v>27</v>
      </c>
      <c r="O14" s="80">
        <v>4.8</v>
      </c>
      <c r="P14" s="81">
        <v>0</v>
      </c>
      <c r="R14" s="49">
        <v>25000</v>
      </c>
      <c r="S14" s="83">
        <f t="shared" si="1"/>
        <v>33.306249999999999</v>
      </c>
      <c r="T14" s="46">
        <v>18</v>
      </c>
      <c r="U14" s="84">
        <v>0.01</v>
      </c>
      <c r="V14" s="85">
        <f t="shared" si="10"/>
        <v>0.60550762499999988</v>
      </c>
      <c r="W14" s="53">
        <v>160</v>
      </c>
      <c r="X14" s="54">
        <v>30</v>
      </c>
      <c r="Y14" s="55">
        <v>1.0953999999999999</v>
      </c>
      <c r="Z14" s="86">
        <f t="shared" si="2"/>
        <v>2.028518518518518E-2</v>
      </c>
      <c r="AA14" s="87">
        <f t="shared" si="3"/>
        <v>0.01</v>
      </c>
      <c r="AB14" s="86">
        <f t="shared" si="9"/>
        <v>0.30732055555555549</v>
      </c>
      <c r="AC14" s="86">
        <f t="shared" si="4"/>
        <v>1.8165228749999995E-2</v>
      </c>
      <c r="AD14" s="86">
        <f t="shared" si="5"/>
        <v>2.458564444444444E-2</v>
      </c>
      <c r="AE14" s="88">
        <v>0.1</v>
      </c>
      <c r="AF14" s="87">
        <f t="shared" si="6"/>
        <v>6.6054198312676449E-2</v>
      </c>
      <c r="AG14" s="88">
        <v>6.2E-2</v>
      </c>
      <c r="AH14" s="87">
        <f t="shared" si="7"/>
        <v>4.09536029538594E-2</v>
      </c>
      <c r="AI14" s="86">
        <f t="shared" si="11"/>
        <v>0.16763685806249995</v>
      </c>
      <c r="AJ14" s="89">
        <f>140000*0.75</f>
        <v>105000</v>
      </c>
      <c r="AK14" s="86">
        <f>AJ14/(229566*2)</f>
        <v>0.22869240218499254</v>
      </c>
      <c r="AL14" s="90">
        <f t="shared" si="8"/>
        <v>1.5139083139974923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2026-07-06T08:42:34Z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