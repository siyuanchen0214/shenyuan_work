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724" activeTab="6"/>
  </bookViews>
  <sheets>
    <sheet name="汇总" sheetId="1" r:id="rId1"/>
    <sheet name="FR-LH-PHEV" sheetId="2" r:id="rId2"/>
    <sheet name="FR-RH-PHEV" sheetId="3" r:id="rId3"/>
    <sheet name="FR-LH-BEV" sheetId="4" r:id="rId4"/>
    <sheet name="FR-RH-BEV" sheetId="5" r:id="rId5"/>
    <sheet name="RR-LH" sheetId="6" r:id="rId6"/>
    <sheet name="RR-RH" sheetId="7" r:id="rId7"/>
  </sheets>
  <definedNames>
    <definedName name="_xlnm.Print_Area" localSheetId="1">'FR-LH-PHEV'!$A$1:$U$69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<sst xmlns="http://schemas.openxmlformats.org/spreadsheetml/2006/main" count="993" uniqueCount="203">
  <si>
    <t>GEA轮罩气坝 报价汇总</t>
  </si>
  <si>
    <t>报价方：杭州深远工贸有限公司   日期：2026-06-19   模具分摊：3年(229,566件/号)</t>
  </si>
  <si>
    <t>零件号</t>
  </si>
  <si>
    <t>零件名称</t>
  </si>
  <si>
    <t>年产量(件)</t>
  </si>
  <si>
    <t>含税单价(元)</t>
  </si>
  <si>
    <t>未税单价(元)</t>
  </si>
  <si>
    <t>年产值含税(元)</t>
  </si>
  <si>
    <t>年产值未税(元)</t>
  </si>
  <si>
    <t>638431477R</t>
  </si>
  <si>
    <t>气坝前左 SPOILER-FR LH (PHEV/HEV)</t>
  </si>
  <si>
    <t>638422166R</t>
  </si>
  <si>
    <t>气坝前右 SPOILER-FR RH (PHEV/HEV)</t>
  </si>
  <si>
    <t>638439763R</t>
  </si>
  <si>
    <t>气坝前左 SPOILER-FR LH (BEV)</t>
  </si>
  <si>
    <t>638424366R</t>
  </si>
  <si>
    <t>气坝前右 SPOILER-FR RH (BEV)</t>
  </si>
  <si>
    <t>767496296R</t>
  </si>
  <si>
    <t>气坝后左 SPOILER-RR LH</t>
  </si>
  <si>
    <t>767483010R</t>
  </si>
  <si>
    <t>气坝后右 SPOILER-RR RH</t>
  </si>
  <si>
    <t>合计</t>
  </si>
  <si>
    <t>年总产值：含税 ¥305.2万 / 未税 ¥270.1万    |    年总产量 459,132件</t>
  </si>
  <si>
    <t>⚠ 以下为不确定但已拍版的估值，待确认：</t>
  </si>
  <si>
    <t>•</t>
  </si>
  <si>
    <t>TPV材料单价</t>
  </si>
  <si>
    <t>¥45/kg</t>
  </si>
  <si>
    <t>汽车级Santoprene 103-40市场估，待厂家询价</t>
  </si>
  <si>
    <t>模具费 FR</t>
  </si>
  <si>
    <t>¥29万/副</t>
  </si>
  <si>
    <t>外观件含晒纹+优质钢估，待模具厂报价</t>
  </si>
  <si>
    <t>模具费 RR</t>
  </si>
  <si>
    <t>¥14万/副</t>
  </si>
  <si>
    <t>机台参数</t>
  </si>
  <si>
    <t>250T@40万 / 60T@12万</t>
  </si>
  <si>
    <t>锚定1300T=130万曲线估，待真实购置价</t>
  </si>
  <si>
    <t>浇口料比例</t>
  </si>
  <si>
    <t>FR 15% / RR 18%</t>
  </si>
  <si>
    <t>冷流道经验估，待流道设计</t>
  </si>
  <si>
    <t>运输+包装</t>
  </si>
  <si>
    <t>¥0.5+¥0.3/件</t>
  </si>
  <si>
    <t>小件估，待物流/包装方案</t>
  </si>
  <si>
    <t>成型周期</t>
  </si>
  <si>
    <t>FR 35s / RR 22s(每模)</t>
  </si>
  <si>
    <t>按壁厚2.5mm估，待CAE/试模</t>
  </si>
  <si>
    <t>模具分摊口径</t>
  </si>
  <si>
    <t>每零件号独立摊全额</t>
  </si>
  <si>
    <t>FR一副模4个号共用，是否分摊待定→影响FR单价</t>
  </si>
  <si>
    <t>外观等级</t>
  </si>
  <si>
    <t>外观件+有皮纹</t>
  </si>
  <si>
    <t>技协要求纹理符合样板/分型面不可见；模具计划含上皮纹工序</t>
  </si>
  <si>
    <t>综合废品率</t>
  </si>
  <si>
    <t>2%</t>
  </si>
  <si>
    <t>外观件+皮纹已上调(原1%)；待试模验证</t>
  </si>
  <si>
    <t>▶ FR 气坝（对应 638431477R / 638422166R / 638439763R / 638424366R）</t>
  </si>
  <si>
    <t>▶ RR 气坝（对应 767496296R / 767483010R）</t>
  </si>
  <si>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</si>
  <si>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</si>
  <si>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</si>
  <si>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</si>
  <si>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</si>
  <si>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</si>
  <si>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</si>
  <si>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SPOILER-FR LH WH SHIELD (PHEV/HEV)</t>
  </si>
  <si>
    <t>报价日期</t>
  </si>
  <si>
    <t>成品重量KG</t>
  </si>
  <si>
    <t>公司法人</t>
  </si>
  <si>
    <t>许燊</t>
  </si>
  <si>
    <t>年纳税额
（万元）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</si>
  <si>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</si>
  <si>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</si>
  <si>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</si>
  <si>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</si>
  <si>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</si>
  <si>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</si>
  <si>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</si>
  <si>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</si>
  <si>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</si>
  <si>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</si>
  <si>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</si>
  <si>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</si>
  <si>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</si>
  <si>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</si>
  <si>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</si>
  <si>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</si>
  <si>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</si>
  <si>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</si>
  <si>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</si>
  <si>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</si>
  <si>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</si>
  <si>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</si>
  <si>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</si>
  <si>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</si>
  <si>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</si>
  <si>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</si>
  <si>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</si>
  <si>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</si>
  <si>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</si>
  <si>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</si>
  <si>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</si>
  <si>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</si>
  <si>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</si>
  <si>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</si>
  <si>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TPV Santoprene 103-40</t>
  </si>
  <si>
    <t>Grade: Santoprene 103-40; Supplier: CELANESE
STP体积:86.1cc | 密度:0.9g/cc(BOM) | 成品重:0.0775kg
浇口:15% → 净用量:0.0892kg | 单价:¥45.0/kg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</si>
  <si>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</si>
  <si>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</si>
  <si>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</si>
  <si>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</si>
  <si>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</si>
  <si>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</si>
  <si>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</si>
  <si>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</si>
  <si>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</si>
  <si>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</si>
  <si>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</si>
  <si>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</si>
  <si>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</si>
  <si>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</si>
  <si>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</si>
  <si>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</si>
  <si>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</si>
  <si>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</si>
  <si>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</si>
  <si>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</si>
  <si>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</si>
  <si>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</si>
  <si>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气坝FR LH+RH 1+1一副模(外观件,含晒纹+优质钢)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</si>
  <si>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</si>
  <si>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</si>
  <si>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</si>
  <si>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</si>
  <si>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</si>
  <si>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</si>
  <si>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</si>
  <si>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</si>
  <si>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</si>
  <si>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</si>
  <si>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</si>
  <si>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</si>
  <si>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</si>
  <si>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</si>
  <si>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</si>
  <si>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</si>
  <si>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</si>
  <si>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</si>
  <si>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</si>
  <si>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</si>
  <si>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</si>
  <si>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</si>
  <si>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360T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</si>
  <si>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</si>
  <si>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</si>
  <si>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</si>
  <si>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</si>
  <si>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</si>
  <si>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</si>
  <si>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</si>
  <si>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</si>
  <si>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</si>
  <si>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</si>
  <si>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</si>
  <si>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</si>
  <si>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</si>
  <si>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</si>
  <si>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</si>
  <si>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</si>
  <si>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</si>
  <si>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</si>
  <si>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</si>
  <si>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</si>
  <si>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</si>
  <si>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</si>
  <si>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</si>
  <si>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</si>
  <si>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</si>
  <si>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</si>
  <si>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</si>
  <si>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</si>
  <si>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</si>
  <si>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</si>
  <si>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</si>
  <si>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</si>
  <si>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</si>
  <si>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</si>
  <si>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</si>
  <si>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</si>
  <si>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</si>
  <si>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</si>
  <si>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</si>
  <si>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</si>
  <si>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</si>
  <si>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</si>
  <si>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产品3D视图（STP渲染，左→右：等轴/前视/俯视/侧视）</t>
  </si>
  <si>
    <t>SPOILER-FR RH WH SHIELD (PHEV/HEV)</t>
  </si>
  <si>
    <t>10年2班折90%</t>
  </si>
  <si>
    <t>SPOILER-FR LH WH SHIELD (BEV)</t>
  </si>
  <si>
    <t>SPOILER-FR RH WH SHIELD (BEV)</t>
  </si>
  <si>
    <t>SPOILER-RR LH WH SHIELD</t>
  </si>
  <si>
    <t>Grade: Santoprene 103-40; Supplier: CELANESE
STP体积:29.8cc | 密度:0.9g/cc(BOM) | 成品重:0.0269kg
浇口:18% → 净用量:0.0318kg | 单价:¥45.0/kg</t>
  </si>
  <si>
    <t>气坝RR LH+RH 1+1一副模(外观件,含晒纹+优质钢)</t>
  </si>
  <si>
    <t>160T</t>
  </si>
  <si>
    <t>SPOILER-RR RH WH SHIELD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</si>
</sst>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0_ "/>
    <numFmt numFmtId="178" formatCode="0_ "/>
    <numFmt numFmtId="179" formatCode="0.0000_ "/>
    <numFmt numFmtId="180" formatCode="0.0_ "/>
    <numFmt numFmtId="181" formatCode="&quot;￥&quot;#,##0.000;&quot;￥&quot;\-#,##0.000"/>
    <numFmt numFmtId="182" formatCode="0.000"/>
  </numFmts>
  <fonts count="41">
    <font>
      <sz val="11"/>
      <color theme="1"/>
      <name val="宋体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b/>
      <sz val="14"/>
      <name val="宋体"/>
      <charset val="134"/>
      <scheme val="minor"/>
    </font>
    <font>
      <sz val="10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30549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6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1" applyNumberFormat="0" applyFill="0" applyAlignment="0" applyProtection="0">
      <alignment vertical="center"/>
    </xf>
    <xf numFmtId="0" fontId="28" fillId="0" borderId="61" applyNumberFormat="0" applyFill="0" applyAlignment="0" applyProtection="0">
      <alignment vertical="center"/>
    </xf>
    <xf numFmtId="0" fontId="29" fillId="0" borderId="6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63" applyNumberFormat="0" applyAlignment="0" applyProtection="0">
      <alignment vertical="center"/>
    </xf>
    <xf numFmtId="0" fontId="31" fillId="11" borderId="64" applyNumberFormat="0" applyAlignment="0" applyProtection="0">
      <alignment vertical="center"/>
    </xf>
    <xf numFmtId="0" fontId="32" fillId="11" borderId="63" applyNumberFormat="0" applyAlignment="0" applyProtection="0">
      <alignment vertical="center"/>
    </xf>
    <xf numFmtId="0" fontId="33" fillId="12" borderId="65" applyNumberFormat="0" applyAlignment="0" applyProtection="0">
      <alignment vertical="center"/>
    </xf>
    <xf numFmtId="0" fontId="34" fillId="0" borderId="66" applyNumberFormat="0" applyFill="0" applyAlignment="0" applyProtection="0">
      <alignment vertical="center"/>
    </xf>
    <xf numFmtId="0" fontId="35" fillId="0" borderId="67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187">
    <xf numFmtId="0" fontId="0" fillId="0" borderId="0" xfId="0" applyAlignment="1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176" fontId="6" fillId="3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0" fillId="0" borderId="16" xfId="0" applyBorder="1" applyAlignment="1" applyProtection="1">
      <protection locked="0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176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protection hidden="1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hidden="1"/>
    </xf>
    <xf numFmtId="9" fontId="1" fillId="3" borderId="21" xfId="3" applyFont="1" applyFill="1" applyBorder="1" applyAlignment="1" applyProtection="1">
      <alignment horizontal="center" vertical="center"/>
      <protection locked="0"/>
    </xf>
    <xf numFmtId="176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 textRotation="255" wrapText="1"/>
      <protection hidden="1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0" fillId="0" borderId="29" xfId="0" applyBorder="1" applyAlignment="1" applyProtection="1"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left" vertical="center"/>
      <protection locked="0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9" fontId="6" fillId="3" borderId="31" xfId="3" applyFont="1" applyFill="1" applyBorder="1" applyAlignment="1" applyProtection="1">
      <alignment horizontal="center" vertical="center"/>
      <protection locked="0"/>
    </xf>
    <xf numFmtId="177" fontId="6" fillId="2" borderId="32" xfId="0" applyNumberFormat="1" applyFont="1" applyFill="1" applyBorder="1" applyAlignment="1" applyProtection="1">
      <alignment vertical="center"/>
      <protection hidden="1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 applyProtection="1">
      <alignment horizontal="left" vertical="center"/>
      <protection locked="0"/>
    </xf>
    <xf numFmtId="0" fontId="1" fillId="3" borderId="31" xfId="3" applyNumberFormat="1" applyFont="1" applyFill="1" applyBorder="1" applyAlignment="1" applyProtection="1">
      <alignment horizontal="center" vertical="center"/>
      <protection locked="0"/>
    </xf>
    <xf numFmtId="177" fontId="6" fillId="2" borderId="32" xfId="0" applyNumberFormat="1" applyFont="1" applyFill="1" applyBorder="1" applyAlignment="1" applyProtection="1">
      <alignment horizontal="center" vertical="center"/>
      <protection hidden="1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9" fontId="6" fillId="3" borderId="15" xfId="3" applyFont="1" applyFill="1" applyBorder="1" applyAlignment="1" applyProtection="1">
      <alignment horizontal="center" vertical="center"/>
      <protection locked="0"/>
    </xf>
    <xf numFmtId="177" fontId="6" fillId="2" borderId="17" xfId="0" applyNumberFormat="1" applyFont="1" applyFill="1" applyBorder="1" applyAlignment="1" applyProtection="1">
      <alignment vertical="center"/>
      <protection hidden="1"/>
    </xf>
    <xf numFmtId="0" fontId="12" fillId="3" borderId="15" xfId="0" applyFont="1" applyFill="1" applyBorder="1" applyAlignment="1" applyProtection="1">
      <alignment horizontal="left" vertical="center"/>
      <protection locked="0"/>
    </xf>
    <xf numFmtId="9" fontId="1" fillId="3" borderId="15" xfId="3" applyFont="1" applyFill="1" applyBorder="1" applyAlignment="1" applyProtection="1">
      <alignment horizontal="center" vertical="center"/>
      <protection locked="0"/>
    </xf>
    <xf numFmtId="177" fontId="6" fillId="2" borderId="17" xfId="0" applyNumberFormat="1" applyFont="1" applyFill="1" applyBorder="1" applyAlignment="1" applyProtection="1">
      <alignment horizontal="center" vertical="center"/>
      <protection hidden="1"/>
    </xf>
    <xf numFmtId="49" fontId="6" fillId="3" borderId="15" xfId="0" applyNumberFormat="1" applyFont="1" applyFill="1" applyBorder="1" applyAlignment="1" applyProtection="1">
      <alignment horizontal="left" vertical="center"/>
      <protection locked="0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 wrapText="1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protection hidden="1"/>
    </xf>
    <xf numFmtId="0" fontId="0" fillId="0" borderId="33" xfId="0" applyBorder="1" applyAlignment="1" applyProtection="1">
      <protection hidden="1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177" fontId="6" fillId="2" borderId="21" xfId="0" applyNumberFormat="1" applyFont="1" applyFill="1" applyBorder="1" applyAlignment="1" applyProtection="1">
      <alignment horizontal="right"/>
      <protection hidden="1"/>
    </xf>
    <xf numFmtId="177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12" fillId="2" borderId="21" xfId="0" applyFont="1" applyFill="1" applyBorder="1" applyAlignment="1" applyProtection="1">
      <alignment horizontal="left" vertical="center" indent="1"/>
      <protection hidden="1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0" fontId="5" fillId="2" borderId="37" xfId="0" applyFont="1" applyFill="1" applyBorder="1" applyAlignment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39" xfId="0" applyFont="1" applyFill="1" applyBorder="1" applyAlignment="1" applyProtection="1">
      <alignment horizontal="center" vertical="center" wrapText="1"/>
      <protection hidden="1"/>
    </xf>
    <xf numFmtId="177" fontId="5" fillId="2" borderId="37" xfId="0" applyNumberFormat="1" applyFont="1" applyFill="1" applyBorder="1" applyAlignment="1" applyProtection="1">
      <alignment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177" fontId="6" fillId="3" borderId="31" xfId="0" applyNumberFormat="1" applyFont="1" applyFill="1" applyBorder="1" applyAlignment="1" applyProtection="1">
      <alignment horizontal="center" vertical="center"/>
      <protection locked="0"/>
    </xf>
    <xf numFmtId="177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31" xfId="0" applyFont="1" applyFill="1" applyBorder="1" applyAlignment="1" applyProtection="1">
      <alignment vertical="center"/>
      <protection locked="0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hidden="1"/>
    </xf>
    <xf numFmtId="177" fontId="6" fillId="3" borderId="15" xfId="0" applyNumberFormat="1" applyFont="1" applyFill="1" applyBorder="1" applyAlignment="1" applyProtection="1">
      <alignment horizontal="center" vertical="center"/>
      <protection locked="0"/>
    </xf>
    <xf numFmtId="177" fontId="6" fillId="2" borderId="40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right" vertical="center" indent="1"/>
      <protection hidden="1"/>
    </xf>
    <xf numFmtId="177" fontId="4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 textRotation="255" wrapText="1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 wrapText="1"/>
      <protection hidden="1"/>
    </xf>
    <xf numFmtId="0" fontId="13" fillId="2" borderId="26" xfId="0" applyFont="1" applyFill="1" applyBorder="1" applyAlignment="1" applyProtection="1">
      <alignment horizontal="center" vertical="center" wrapText="1"/>
      <protection hidden="1"/>
    </xf>
    <xf numFmtId="0" fontId="0" fillId="0" borderId="42" xfId="0" applyBorder="1" applyAlignment="1" applyProtection="1">
      <protection hidden="1"/>
    </xf>
    <xf numFmtId="178" fontId="5" fillId="2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 wrapText="1"/>
      <protection hidden="1"/>
    </xf>
    <xf numFmtId="178" fontId="6" fillId="2" borderId="31" xfId="0" applyNumberFormat="1" applyFont="1" applyFill="1" applyBorder="1" applyAlignment="1" applyProtection="1">
      <alignment horizontal="center" vertical="center"/>
      <protection hidden="1"/>
    </xf>
    <xf numFmtId="179" fontId="6" fillId="2" borderId="31" xfId="0" applyNumberFormat="1" applyFont="1" applyFill="1" applyBorder="1" applyAlignment="1" applyProtection="1">
      <alignment horizontal="center" vertical="center"/>
      <protection hidden="1"/>
    </xf>
    <xf numFmtId="180" fontId="6" fillId="3" borderId="31" xfId="0" applyNumberFormat="1" applyFont="1" applyFill="1" applyBorder="1" applyAlignment="1" applyProtection="1">
      <alignment horizontal="center" vertical="center"/>
      <protection locked="0"/>
    </xf>
    <xf numFmtId="177" fontId="6" fillId="2" borderId="31" xfId="0" applyNumberFormat="1" applyFont="1" applyFill="1" applyBorder="1" applyAlignment="1" applyProtection="1">
      <alignment horizontal="center" vertical="center"/>
      <protection hidden="1"/>
    </xf>
    <xf numFmtId="9" fontId="1" fillId="3" borderId="31" xfId="3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177" fontId="1" fillId="2" borderId="31" xfId="0" applyNumberFormat="1" applyFont="1" applyFill="1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protection hidden="1"/>
    </xf>
    <xf numFmtId="178" fontId="6" fillId="3" borderId="31" xfId="0" applyNumberFormat="1" applyFont="1" applyFill="1" applyBorder="1" applyAlignment="1" applyProtection="1">
      <alignment horizontal="center" vertical="center"/>
      <protection locked="0"/>
    </xf>
    <xf numFmtId="180" fontId="6" fillId="3" borderId="15" xfId="0" applyNumberFormat="1" applyFont="1" applyFill="1" applyBorder="1" applyAlignment="1" applyProtection="1">
      <alignment horizontal="center" vertical="center"/>
      <protection locked="0"/>
    </xf>
    <xf numFmtId="178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vertical="center"/>
      <protection hidden="1"/>
    </xf>
    <xf numFmtId="177" fontId="13" fillId="2" borderId="21" xfId="0" applyNumberFormat="1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vertical="center"/>
      <protection hidden="1"/>
    </xf>
    <xf numFmtId="0" fontId="5" fillId="2" borderId="45" xfId="0" applyFont="1" applyFill="1" applyBorder="1" applyAlignment="1" applyProtection="1">
      <alignment vertical="center"/>
      <protection hidden="1"/>
    </xf>
    <xf numFmtId="7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7" fontId="5" fillId="2" borderId="46" xfId="0" applyNumberFormat="1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7" fontId="6" fillId="2" borderId="6" xfId="0" applyNumberFormat="1" applyFont="1" applyFill="1" applyBorder="1" applyAlignment="1" applyProtection="1">
      <alignment horizontal="center" vertical="center"/>
      <protection hidden="1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protection hidden="1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7" fontId="6" fillId="2" borderId="49" xfId="0" applyNumberFormat="1" applyFont="1" applyFill="1" applyBorder="1" applyAlignment="1" applyProtection="1">
      <alignment horizontal="center" vertical="center"/>
      <protection hidden="1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protection hidden="1"/>
    </xf>
    <xf numFmtId="0" fontId="5" fillId="2" borderId="50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0" fillId="0" borderId="52" xfId="0" applyBorder="1" applyAlignment="1" applyProtection="1">
      <protection locked="0"/>
    </xf>
    <xf numFmtId="7" fontId="11" fillId="5" borderId="49" xfId="0" applyNumberFormat="1" applyFont="1" applyFill="1" applyBorder="1" applyAlignment="1" applyProtection="1">
      <alignment horizontal="center" vertical="center"/>
      <protection locked="0"/>
    </xf>
    <xf numFmtId="7" fontId="6" fillId="5" borderId="49" xfId="0" applyNumberFormat="1" applyFont="1" applyFill="1" applyBorder="1" applyAlignment="1" applyProtection="1">
      <alignment horizontal="center" vertical="center"/>
      <protection locked="0"/>
    </xf>
    <xf numFmtId="0" fontId="5" fillId="2" borderId="53" xfId="0" applyFont="1" applyFill="1" applyBorder="1" applyAlignment="1" applyProtection="1">
      <alignment horizontal="center" vertical="center"/>
      <protection hidden="1"/>
    </xf>
    <xf numFmtId="0" fontId="0" fillId="0" borderId="53" xfId="0" applyBorder="1" applyAlignment="1" applyProtection="1">
      <protection hidden="1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181" fontId="5" fillId="2" borderId="49" xfId="0" applyNumberFormat="1" applyFont="1" applyFill="1" applyBorder="1" applyAlignment="1" applyProtection="1">
      <alignment horizontal="center" vertical="center"/>
      <protection hidden="1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9" fontId="6" fillId="5" borderId="49" xfId="3" applyFont="1" applyFill="1" applyBorder="1" applyAlignment="1" applyProtection="1">
      <alignment horizontal="center" vertical="center"/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56" xfId="0" applyBorder="1" applyAlignment="1" applyProtection="1">
      <protection hidden="1"/>
    </xf>
    <xf numFmtId="7" fontId="14" fillId="2" borderId="57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left" vertical="center"/>
      <protection hidden="1"/>
    </xf>
    <xf numFmtId="0" fontId="0" fillId="0" borderId="48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9" fontId="6" fillId="3" borderId="31" xfId="3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/>
    <xf numFmtId="0" fontId="15" fillId="0" borderId="0" xfId="0" applyFont="1" applyAlignment="1"/>
    <xf numFmtId="0" fontId="16" fillId="0" borderId="0" xfId="0" applyFont="1" applyAlignment="1"/>
    <xf numFmtId="0" fontId="17" fillId="6" borderId="58" xfId="0" applyFont="1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8" xfId="0" applyBorder="1" applyAlignment="1">
      <alignment horizontal="left" vertical="center" wrapText="1"/>
    </xf>
    <xf numFmtId="3" fontId="0" fillId="0" borderId="58" xfId="0" applyNumberFormat="1" applyBorder="1" applyAlignment="1">
      <alignment horizontal="center" vertical="center" wrapText="1"/>
    </xf>
    <xf numFmtId="182" fontId="0" fillId="0" borderId="58" xfId="0" applyNumberFormat="1" applyBorder="1" applyAlignment="1">
      <alignment horizontal="center" vertical="center" wrapText="1"/>
    </xf>
    <xf numFmtId="0" fontId="18" fillId="7" borderId="58" xfId="0" applyFont="1" applyFill="1" applyBorder="1" applyAlignment="1">
      <alignment horizontal="center" vertical="center" wrapText="1"/>
    </xf>
    <xf numFmtId="0" fontId="0" fillId="0" borderId="59" xfId="0" applyBorder="1" applyAlignment="1"/>
    <xf numFmtId="3" fontId="18" fillId="7" borderId="58" xfId="0" applyNumberFormat="1" applyFont="1" applyFill="1" applyBorder="1" applyAlignment="1">
      <alignment horizontal="center" vertical="center" wrapText="1"/>
    </xf>
    <xf numFmtId="0" fontId="19" fillId="0" borderId="0" xfId="0" applyFont="1" applyAlignment="1"/>
    <xf numFmtId="0" fontId="18" fillId="0" borderId="0" xfId="0" applyFont="1" applyAlignment="1"/>
    <xf numFmtId="0" fontId="0" fillId="8" borderId="0" xfId="0" applyFill="1" applyAlignment="1">
      <alignment horizontal="center" vertical="center" wrapText="1"/>
    </xf>
    <xf numFmtId="0" fontId="18" fillId="8" borderId="0" xfId="0" applyFont="1" applyFill="1" applyAlignment="1"/>
    <xf numFmtId="0" fontId="0" fillId="8" borderId="0" xfId="0" applyFill="1" applyAlignment="1"/>
    <xf numFmtId="0" fontId="0" fillId="8" borderId="0" xfId="0" applyFill="1" applyAlignment="1">
      <alignment horizontal="left" vertical="center" wrapText="1"/>
    </xf>
    <xf numFmtId="0" fontId="20" fillId="8" borderId="0" xfId="0" applyFont="1" applyFill="1" applyAlignment="1">
      <alignment horizontal="center" vertical="center" wrapText="1"/>
    </xf>
    <xf numFmtId="0" fontId="2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26</xdr:row>
      <xdr:rowOff>0</xdr:rowOff>
    </xdr:from>
    <xdr:ext cx="6858000" cy="22955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4738370"/>
          <a:ext cx="6858000" cy="2295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44</xdr:row>
      <xdr:rowOff>0</xdr:rowOff>
    </xdr:from>
    <xdr:ext cx="6858000" cy="2295525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7824470"/>
          <a:ext cx="6858000" cy="22955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70</xdr:row>
      <xdr:rowOff>0</xdr:rowOff>
    </xdr:from>
    <xdr:ext cx="9525000" cy="27432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60350" y="22442170"/>
          <a:ext cx="9525000" cy="2743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70</xdr:row>
      <xdr:rowOff>0</xdr:rowOff>
    </xdr:from>
    <xdr:ext cx="9525000" cy="27432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60350" y="22442170"/>
          <a:ext cx="9525000" cy="2743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70</xdr:row>
      <xdr:rowOff>0</xdr:rowOff>
    </xdr:from>
    <xdr:ext cx="9525000" cy="27432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60350" y="22442170"/>
          <a:ext cx="9525000" cy="2743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70</xdr:row>
      <xdr:rowOff>0</xdr:rowOff>
    </xdr:from>
    <xdr:ext cx="9525000" cy="27432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60350" y="22442170"/>
          <a:ext cx="9525000" cy="2743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70</xdr:row>
      <xdr:rowOff>0</xdr:rowOff>
    </xdr:from>
    <xdr:ext cx="9525000" cy="27432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60350" y="22442170"/>
          <a:ext cx="9525000" cy="2743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70</xdr:row>
      <xdr:rowOff>0</xdr:rowOff>
    </xdr:from>
    <xdr:ext cx="9525000" cy="27432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60350" y="22442170"/>
          <a:ext cx="9525000" cy="2743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C19" sqref="C19:D19"/>
    </sheetView>
  </sheetViews>
  <sheetFormatPr defaultColWidth="9" defaultRowHeight="13.5" outlineLevelCol="6"/>
  <cols>
    <col min="1" max="1" width="14" style="168" customWidth="1"/>
    <col min="2" max="2" width="34" style="168" customWidth="1"/>
    <col min="3" max="3" width="11" style="168" customWidth="1"/>
    <col min="4" max="5" width="12" style="168" customWidth="1"/>
    <col min="6" max="7" width="15" style="168" customWidth="1"/>
  </cols>
  <sheetData>
    <row r="1" ht="17.6" spans="1:7">
      <c r="A1" s="169" t="s">
        <v>0</v>
      </c>
    </row>
    <row r="2" spans="1:7">
      <c r="A2" s="170" t="s">
        <v>1</v>
      </c>
    </row>
    <row r="4" ht="27" spans="1:7">
      <c r="A4" s="171" t="s">
        <v>2</v>
      </c>
      <c r="B4" s="171" t="s">
        <v>3</v>
      </c>
      <c r="C4" s="171" t="s">
        <v>4</v>
      </c>
      <c r="D4" s="171" t="s">
        <v>5</v>
      </c>
      <c r="E4" s="171" t="s">
        <v>6</v>
      </c>
      <c r="F4" s="171" t="s">
        <v>7</v>
      </c>
      <c r="G4" s="171" t="s">
        <v>8</v>
      </c>
    </row>
    <row r="5" spans="1:7">
      <c r="A5" s="172" t="s">
        <v>9</v>
      </c>
      <c r="B5" s="173" t="s">
        <v>10</v>
      </c>
      <c r="C5" s="174">
        <v>76522</v>
      </c>
      <c r="D5" s="175">
        <v>8.122</v>
      </c>
      <c r="E5" s="175">
        <v>7.188</v>
      </c>
      <c r="F5" s="174">
        <f t="shared" ref="F5:F10" si="0">C5*D5</f>
        <v>621511.684</v>
      </c>
      <c r="G5" s="174">
        <f t="shared" ref="G5:G10" si="1">C5*E5</f>
        <v>550040.136</v>
      </c>
    </row>
    <row r="6" spans="1:7">
      <c r="A6" s="172" t="s">
        <v>11</v>
      </c>
      <c r="B6" s="173" t="s">
        <v>12</v>
      </c>
      <c r="C6" s="174">
        <v>76522</v>
      </c>
      <c r="D6" s="175">
        <v>8.122</v>
      </c>
      <c r="E6" s="175">
        <v>7.188</v>
      </c>
      <c r="F6" s="174">
        <f t="shared" si="0"/>
        <v>621511.684</v>
      </c>
      <c r="G6" s="174">
        <f t="shared" si="1"/>
        <v>550040.136</v>
      </c>
    </row>
    <row r="7" spans="1:7">
      <c r="A7" s="172" t="s">
        <v>13</v>
      </c>
      <c r="B7" s="173" t="s">
        <v>14</v>
      </c>
      <c r="C7" s="174">
        <v>76522</v>
      </c>
      <c r="D7" s="175">
        <v>8.122</v>
      </c>
      <c r="E7" s="175">
        <v>7.188</v>
      </c>
      <c r="F7" s="174">
        <f t="shared" si="0"/>
        <v>621511.684</v>
      </c>
      <c r="G7" s="174">
        <f t="shared" si="1"/>
        <v>550040.136</v>
      </c>
    </row>
    <row r="8" spans="1:7">
      <c r="A8" s="172" t="s">
        <v>15</v>
      </c>
      <c r="B8" s="173" t="s">
        <v>16</v>
      </c>
      <c r="C8" s="174">
        <v>76522</v>
      </c>
      <c r="D8" s="175">
        <v>8.122</v>
      </c>
      <c r="E8" s="175">
        <v>7.188</v>
      </c>
      <c r="F8" s="174">
        <f t="shared" si="0"/>
        <v>621511.684</v>
      </c>
      <c r="G8" s="174">
        <f t="shared" si="1"/>
        <v>550040.136</v>
      </c>
    </row>
    <row r="9" spans="1:7">
      <c r="A9" s="172" t="s">
        <v>17</v>
      </c>
      <c r="B9" s="173" t="s">
        <v>18</v>
      </c>
      <c r="C9" s="174">
        <v>76522</v>
      </c>
      <c r="D9" s="175">
        <v>3.701</v>
      </c>
      <c r="E9" s="175">
        <v>3.275</v>
      </c>
      <c r="F9" s="174">
        <f t="shared" si="0"/>
        <v>283207.922</v>
      </c>
      <c r="G9" s="174">
        <f t="shared" si="1"/>
        <v>250609.55</v>
      </c>
    </row>
    <row r="10" spans="1:7">
      <c r="A10" s="172" t="s">
        <v>19</v>
      </c>
      <c r="B10" s="173" t="s">
        <v>20</v>
      </c>
      <c r="C10" s="174">
        <v>76522</v>
      </c>
      <c r="D10" s="175">
        <v>3.701</v>
      </c>
      <c r="E10" s="175">
        <v>3.275</v>
      </c>
      <c r="F10" s="174">
        <f t="shared" si="0"/>
        <v>283207.922</v>
      </c>
      <c r="G10" s="174">
        <f t="shared" si="1"/>
        <v>250609.55</v>
      </c>
    </row>
    <row r="11" spans="1:7">
      <c r="A11" s="176" t="s">
        <v>21</v>
      </c>
      <c r="B11" s="177"/>
      <c r="C11" s="178">
        <f>SUM(C5:C10)</f>
        <v>459132</v>
      </c>
      <c r="D11" s="176"/>
      <c r="E11" s="176"/>
      <c r="F11" s="178">
        <f>SUM(F5:F10)</f>
        <v>3052462.58</v>
      </c>
      <c r="G11" s="178">
        <f>SUM(G5:G10)</f>
        <v>2701379.644</v>
      </c>
    </row>
    <row r="13" ht="15.75" spans="1:7">
      <c r="A13" s="179" t="s">
        <v>22</v>
      </c>
    </row>
    <row r="15" spans="1:7">
      <c r="A15" s="180" t="s">
        <v>23</v>
      </c>
    </row>
    <row r="16" spans="1:7">
      <c r="A16" s="181" t="s">
        <v>24</v>
      </c>
      <c r="B16" s="182" t="s">
        <v>25</v>
      </c>
      <c r="C16" s="183" t="s">
        <v>26</v>
      </c>
      <c r="E16" s="184" t="s">
        <v>27</v>
      </c>
    </row>
    <row r="17" spans="1:7">
      <c r="A17" s="181" t="s">
        <v>24</v>
      </c>
      <c r="B17" s="182" t="s">
        <v>28</v>
      </c>
      <c r="C17" s="183" t="s">
        <v>29</v>
      </c>
      <c r="E17" s="184" t="s">
        <v>30</v>
      </c>
    </row>
    <row r="18" spans="1:7">
      <c r="A18" s="181" t="s">
        <v>24</v>
      </c>
      <c r="B18" s="182" t="s">
        <v>31</v>
      </c>
      <c r="C18" s="183" t="s">
        <v>32</v>
      </c>
      <c r="E18" s="184" t="s">
        <v>30</v>
      </c>
    </row>
    <row r="19" spans="1:7">
      <c r="A19" s="181" t="s">
        <v>24</v>
      </c>
      <c r="B19" s="182" t="s">
        <v>33</v>
      </c>
      <c r="C19" s="183" t="s">
        <v>34</v>
      </c>
      <c r="E19" s="184" t="s">
        <v>35</v>
      </c>
    </row>
    <row r="20" spans="1:7">
      <c r="A20" s="181" t="s">
        <v>24</v>
      </c>
      <c r="B20" s="182" t="s">
        <v>36</v>
      </c>
      <c r="C20" s="183" t="s">
        <v>37</v>
      </c>
      <c r="E20" s="184" t="s">
        <v>38</v>
      </c>
    </row>
    <row r="21" spans="1:7">
      <c r="A21" s="181" t="s">
        <v>24</v>
      </c>
      <c r="B21" s="182" t="s">
        <v>39</v>
      </c>
      <c r="C21" s="183" t="s">
        <v>40</v>
      </c>
      <c r="E21" s="184" t="s">
        <v>41</v>
      </c>
    </row>
    <row r="22" spans="1:7">
      <c r="A22" s="181" t="s">
        <v>24</v>
      </c>
      <c r="B22" s="182" t="s">
        <v>42</v>
      </c>
      <c r="C22" s="183" t="s">
        <v>43</v>
      </c>
      <c r="E22" s="184" t="s">
        <v>44</v>
      </c>
    </row>
    <row r="23" spans="1:7">
      <c r="A23" s="181" t="s">
        <v>24</v>
      </c>
      <c r="B23" s="182" t="s">
        <v>45</v>
      </c>
      <c r="C23" s="183" t="s">
        <v>46</v>
      </c>
      <c r="E23" s="184" t="s">
        <v>47</v>
      </c>
    </row>
    <row r="24" spans="1:7">
      <c r="A24" s="181" t="s">
        <v>24</v>
      </c>
      <c r="B24" s="182" t="s">
        <v>48</v>
      </c>
      <c r="C24" s="183" t="s">
        <v>49</v>
      </c>
      <c r="D24" s="183"/>
      <c r="E24" s="184" t="s">
        <v>50</v>
      </c>
      <c r="F24" s="183"/>
      <c r="G24" s="183"/>
    </row>
    <row r="25" ht="15.75" spans="1:7">
      <c r="A25" s="185" t="s">
        <v>24</v>
      </c>
      <c r="B25" s="182" t="s">
        <v>51</v>
      </c>
      <c r="C25" s="183" t="s">
        <v>52</v>
      </c>
      <c r="D25" s="183"/>
      <c r="E25" s="184" t="s">
        <v>53</v>
      </c>
      <c r="F25" s="183"/>
      <c r="G25" s="183"/>
    </row>
    <row r="26" spans="1:7">
      <c r="A26" s="186" t="s">
        <v>54</v>
      </c>
    </row>
    <row r="44" spans="1:1">
      <c r="A44" s="186" t="s">
        <v>55</v>
      </c>
    </row>
  </sheetData>
  <mergeCells count="23">
    <mergeCell ref="A11:B11"/>
    <mergeCell ref="A13:G13"/>
    <mergeCell ref="A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0"/>
  <sheetViews>
    <sheetView showGridLines="0" view="pageBreakPreview" zoomScaleNormal="85" topLeftCell="A57" workbookViewId="0">
      <selection activeCell="F66" sqref="F66:P66"/>
    </sheetView>
  </sheetViews>
  <sheetFormatPr defaultColWidth="9" defaultRowHeight="11.25"/>
  <cols>
    <col min="1" max="1" width="3.6283185840708" style="1" customWidth="1"/>
    <col min="2" max="2" width="4.87610619469027" style="1" customWidth="1"/>
    <col min="3" max="3" width="5.87610619469027" style="1" customWidth="1"/>
    <col min="4" max="4" width="5.6283185840708" style="1" customWidth="1"/>
    <col min="5" max="6" width="16.2477876106195" style="1" customWidth="1"/>
    <col min="7" max="7" width="11.3716814159292" style="1" customWidth="1"/>
    <col min="8" max="8" width="8.87610619469027" style="1" customWidth="1"/>
    <col min="9" max="9" width="9.12389380530973" style="1" customWidth="1"/>
    <col min="10" max="10" width="12.7522123893805" style="1" customWidth="1"/>
    <col min="11" max="11" width="8.75221238938053" style="1" customWidth="1"/>
    <col min="12" max="12" width="5.12389380530973" style="1" customWidth="1"/>
    <col min="13" max="13" width="5.87610619469027" style="1" customWidth="1"/>
    <col min="14" max="14" width="4.75221238938053" style="1" customWidth="1"/>
    <col min="15" max="15" width="14.5044247787611" style="1" customWidth="1"/>
    <col min="16" max="16" width="12.6283185840708" style="1" customWidth="1"/>
    <col min="17" max="18" width="11" style="1" customWidth="1"/>
    <col min="19" max="19" width="11.1238938053097" style="1" customWidth="1"/>
    <col min="20" max="20" width="13.5044247787611" style="1" customWidth="1"/>
    <col min="21" max="21" width="11.3716814159292" style="1" customWidth="1"/>
    <col min="22" max="16384" width="9" style="1" customWidth="1"/>
  </cols>
  <sheetData>
    <row r="1" ht="12"/>
    <row r="2" ht="39.95" customHeight="1" spans="1:21">
      <c r="A2" s="2"/>
      <c r="B2" s="3" t="s">
        <v>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0.95" customHeight="1" spans="1:21">
      <c r="A3" s="2"/>
      <c r="B3" s="6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7"/>
    </row>
    <row r="4" ht="27.95" customHeight="1" spans="1:21">
      <c r="A4" s="2"/>
      <c r="B4" s="8" t="s">
        <v>58</v>
      </c>
      <c r="C4" s="9" t="s">
        <v>59</v>
      </c>
      <c r="D4" s="10"/>
      <c r="E4" s="11" t="s">
        <v>60</v>
      </c>
      <c r="F4" s="12"/>
      <c r="G4" s="13" t="s">
        <v>61</v>
      </c>
      <c r="H4" s="11">
        <v>3000</v>
      </c>
      <c r="I4" s="14"/>
      <c r="J4" s="14"/>
      <c r="K4" s="12"/>
      <c r="L4" s="8" t="s">
        <v>62</v>
      </c>
      <c r="M4" s="9" t="s">
        <v>3</v>
      </c>
      <c r="N4" s="10"/>
      <c r="O4" s="15" t="s">
        <v>63</v>
      </c>
      <c r="P4" s="12"/>
      <c r="Q4" s="13" t="s">
        <v>64</v>
      </c>
      <c r="R4" s="16">
        <v>46192</v>
      </c>
      <c r="S4" s="12"/>
      <c r="T4" s="17" t="s">
        <v>65</v>
      </c>
      <c r="U4" s="18">
        <v>0.0775</v>
      </c>
    </row>
    <row r="5" ht="27.95" customHeight="1" spans="1:21">
      <c r="A5" s="2"/>
      <c r="B5" s="19"/>
      <c r="C5" s="20" t="s">
        <v>66</v>
      </c>
      <c r="D5" s="21"/>
      <c r="E5" s="22" t="s">
        <v>67</v>
      </c>
      <c r="F5" s="23"/>
      <c r="G5" s="24" t="s">
        <v>68</v>
      </c>
      <c r="H5" s="22">
        <v>120</v>
      </c>
      <c r="I5" s="25"/>
      <c r="J5" s="25"/>
      <c r="K5" s="23"/>
      <c r="L5" s="19"/>
      <c r="M5" s="20" t="s">
        <v>2</v>
      </c>
      <c r="N5" s="21"/>
      <c r="O5" s="26" t="s">
        <v>9</v>
      </c>
      <c r="P5" s="23"/>
      <c r="Q5" s="27" t="s">
        <v>69</v>
      </c>
      <c r="R5" s="28" t="s">
        <v>70</v>
      </c>
      <c r="S5" s="23"/>
      <c r="T5" s="27" t="s">
        <v>71</v>
      </c>
      <c r="U5" s="29">
        <v>0.0892</v>
      </c>
    </row>
    <row r="6" ht="27.95" customHeight="1" spans="1:21">
      <c r="A6" s="2"/>
      <c r="B6" s="19"/>
      <c r="C6" s="20" t="s">
        <v>72</v>
      </c>
      <c r="D6" s="21"/>
      <c r="E6" s="22" t="s">
        <v>73</v>
      </c>
      <c r="F6" s="23"/>
      <c r="G6" s="24" t="s">
        <v>74</v>
      </c>
      <c r="H6" s="22">
        <v>50</v>
      </c>
      <c r="I6" s="25"/>
      <c r="J6" s="25"/>
      <c r="K6" s="23"/>
      <c r="L6" s="19"/>
      <c r="M6" s="30" t="s">
        <v>75</v>
      </c>
      <c r="N6" s="21"/>
      <c r="O6" s="31">
        <v>61.2178</v>
      </c>
      <c r="P6" s="23"/>
      <c r="Q6" s="27" t="s">
        <v>69</v>
      </c>
      <c r="R6" s="28" t="s">
        <v>70</v>
      </c>
      <c r="S6" s="23"/>
      <c r="T6" s="24" t="s">
        <v>76</v>
      </c>
      <c r="U6" s="32"/>
    </row>
    <row r="7" ht="27.95" customHeight="1" spans="1:21">
      <c r="A7" s="2"/>
      <c r="B7" s="19"/>
      <c r="C7" s="20" t="s">
        <v>77</v>
      </c>
      <c r="D7" s="21"/>
      <c r="E7" s="22" t="s">
        <v>78</v>
      </c>
      <c r="F7" s="23"/>
      <c r="G7" s="27" t="s">
        <v>79</v>
      </c>
      <c r="H7" s="22" t="s">
        <v>80</v>
      </c>
      <c r="I7" s="25"/>
      <c r="J7" s="25"/>
      <c r="K7" s="23"/>
      <c r="L7" s="19"/>
      <c r="M7" s="20" t="s">
        <v>81</v>
      </c>
      <c r="N7" s="21"/>
      <c r="O7" s="31"/>
      <c r="P7" s="23"/>
      <c r="Q7" s="27" t="s">
        <v>82</v>
      </c>
      <c r="R7" s="28" t="s">
        <v>70</v>
      </c>
      <c r="S7" s="23"/>
      <c r="T7" s="24" t="s">
        <v>83</v>
      </c>
      <c r="U7" s="29">
        <v>1</v>
      </c>
    </row>
    <row r="8" ht="27.95" customHeight="1" spans="1:21">
      <c r="A8" s="2"/>
      <c r="B8" s="33"/>
      <c r="C8" s="34" t="s">
        <v>84</v>
      </c>
      <c r="D8" s="35"/>
      <c r="E8" s="36">
        <v>13735526664</v>
      </c>
      <c r="F8" s="37"/>
      <c r="G8" s="38" t="s">
        <v>85</v>
      </c>
      <c r="H8" s="36" t="s">
        <v>86</v>
      </c>
      <c r="I8" s="39"/>
      <c r="J8" s="39"/>
      <c r="K8" s="37"/>
      <c r="L8" s="33"/>
      <c r="M8" s="40" t="s">
        <v>87</v>
      </c>
      <c r="N8" s="35"/>
      <c r="O8" s="41">
        <v>0.02</v>
      </c>
      <c r="P8" s="37"/>
      <c r="Q8" s="38" t="s">
        <v>88</v>
      </c>
      <c r="R8" s="42" t="s">
        <v>70</v>
      </c>
      <c r="S8" s="37"/>
      <c r="T8" s="43" t="s">
        <v>89</v>
      </c>
      <c r="U8" s="44">
        <v>300</v>
      </c>
    </row>
    <row r="9" ht="24.95" customHeight="1" spans="1:21">
      <c r="A9" s="2"/>
      <c r="B9" s="45" t="s">
        <v>90</v>
      </c>
      <c r="C9" s="46" t="s">
        <v>91</v>
      </c>
      <c r="D9" s="47" t="s">
        <v>92</v>
      </c>
      <c r="E9" s="48" t="s">
        <v>93</v>
      </c>
      <c r="F9" s="48" t="s">
        <v>94</v>
      </c>
      <c r="G9" s="48" t="s">
        <v>95</v>
      </c>
      <c r="H9" s="48" t="s">
        <v>96</v>
      </c>
      <c r="I9" s="48" t="s">
        <v>97</v>
      </c>
      <c r="J9" s="48" t="s">
        <v>98</v>
      </c>
      <c r="K9" s="49" t="s">
        <v>99</v>
      </c>
      <c r="L9" s="50" t="s">
        <v>100</v>
      </c>
      <c r="M9" s="46" t="s">
        <v>101</v>
      </c>
      <c r="N9" s="47" t="s">
        <v>92</v>
      </c>
      <c r="O9" s="48" t="s">
        <v>93</v>
      </c>
      <c r="P9" s="48" t="s">
        <v>94</v>
      </c>
      <c r="Q9" s="48" t="s">
        <v>95</v>
      </c>
      <c r="R9" s="48" t="s">
        <v>96</v>
      </c>
      <c r="S9" s="48" t="s">
        <v>97</v>
      </c>
      <c r="T9" s="48" t="s">
        <v>98</v>
      </c>
      <c r="U9" s="49" t="s">
        <v>102</v>
      </c>
    </row>
    <row r="10" ht="24.95" customHeight="1" spans="1:21">
      <c r="A10" s="2"/>
      <c r="B10" s="51"/>
      <c r="C10" s="52"/>
      <c r="D10" s="53">
        <v>1</v>
      </c>
      <c r="E10" s="54" t="s">
        <v>103</v>
      </c>
      <c r="F10" s="55" t="s">
        <v>104</v>
      </c>
      <c r="G10" s="56"/>
      <c r="H10" s="56">
        <v>0.0892</v>
      </c>
      <c r="I10" s="57">
        <v>0.01</v>
      </c>
      <c r="J10" s="56">
        <v>45</v>
      </c>
      <c r="K10" s="58">
        <f>IF(J10="","",J10*H10*(1+I10))</f>
        <v>4.05414</v>
      </c>
      <c r="L10" s="51"/>
      <c r="M10" s="52"/>
      <c r="N10" s="53">
        <v>1</v>
      </c>
      <c r="O10" s="59"/>
      <c r="P10" s="60"/>
      <c r="Q10" s="56"/>
      <c r="R10" s="56"/>
      <c r="S10" s="61"/>
      <c r="T10" s="56"/>
      <c r="U10" s="62" t="str">
        <f t="shared" ref="U10:U26" si="0">IF(T10="","",T10*R10*(1+S10))</f>
        <v/>
      </c>
    </row>
    <row r="11" ht="24.95" customHeight="1" spans="1:21">
      <c r="A11" s="2"/>
      <c r="B11" s="51"/>
      <c r="C11" s="52"/>
      <c r="D11" s="20">
        <v>2</v>
      </c>
      <c r="E11" s="63"/>
      <c r="F11" s="63"/>
      <c r="G11" s="64"/>
      <c r="H11" s="64"/>
      <c r="I11" s="65"/>
      <c r="J11" s="64"/>
      <c r="K11" s="66" t="str">
        <f>IF(J11="","",J11*H11*(1+I11))</f>
        <v/>
      </c>
      <c r="L11" s="51"/>
      <c r="M11" s="52"/>
      <c r="N11" s="20">
        <v>2</v>
      </c>
      <c r="O11" s="67"/>
      <c r="P11" s="63"/>
      <c r="Q11" s="64"/>
      <c r="R11" s="64"/>
      <c r="S11" s="68"/>
      <c r="T11" s="64"/>
      <c r="U11" s="69" t="str">
        <f t="shared" si="0"/>
        <v/>
      </c>
    </row>
    <row r="12" ht="24.95" customHeight="1" spans="1:21">
      <c r="A12" s="2"/>
      <c r="B12" s="51"/>
      <c r="C12" s="52"/>
      <c r="D12" s="20">
        <v>3</v>
      </c>
      <c r="E12" s="63"/>
      <c r="F12" s="63"/>
      <c r="G12" s="64"/>
      <c r="H12" s="64"/>
      <c r="I12" s="65"/>
      <c r="J12" s="64"/>
      <c r="K12" s="66" t="str">
        <f>IF(J12="","",J12*H12*(1+I12))</f>
        <v/>
      </c>
      <c r="L12" s="51"/>
      <c r="M12" s="52"/>
      <c r="N12" s="20">
        <v>3</v>
      </c>
      <c r="O12" s="67"/>
      <c r="P12" s="63"/>
      <c r="Q12" s="64"/>
      <c r="R12" s="64"/>
      <c r="S12" s="68"/>
      <c r="T12" s="64"/>
      <c r="U12" s="69" t="str">
        <f t="shared" si="0"/>
        <v/>
      </c>
    </row>
    <row r="13" ht="24.95" customHeight="1" spans="1:21">
      <c r="A13" s="2"/>
      <c r="B13" s="51"/>
      <c r="C13" s="52"/>
      <c r="D13" s="20">
        <v>4</v>
      </c>
      <c r="E13" s="63"/>
      <c r="F13" s="63"/>
      <c r="G13" s="64"/>
      <c r="I13" s="65"/>
      <c r="J13" s="31"/>
      <c r="K13" s="66" t="str">
        <f>IF(J13="","",J13*G13*(1+I13))</f>
        <v/>
      </c>
      <c r="L13" s="51"/>
      <c r="M13" s="52"/>
      <c r="N13" s="20">
        <v>4</v>
      </c>
      <c r="O13" s="67"/>
      <c r="P13" s="63"/>
      <c r="Q13" s="64"/>
      <c r="R13" s="64"/>
      <c r="S13" s="68"/>
      <c r="T13" s="64"/>
      <c r="U13" s="69" t="str">
        <f t="shared" si="0"/>
        <v/>
      </c>
    </row>
    <row r="14" ht="24.95" customHeight="1" spans="1:21">
      <c r="A14" s="2"/>
      <c r="B14" s="51"/>
      <c r="C14" s="52"/>
      <c r="D14" s="20">
        <v>5</v>
      </c>
      <c r="E14" s="63"/>
      <c r="F14" s="63"/>
      <c r="G14" s="64"/>
      <c r="H14" s="31"/>
      <c r="I14" s="64"/>
      <c r="J14" s="65"/>
      <c r="K14" s="66" t="str">
        <f t="shared" ref="K14:K26" si="1">IF(J14="","",J14*H14*(1+I14))</f>
        <v/>
      </c>
      <c r="L14" s="51"/>
      <c r="M14" s="52"/>
      <c r="N14" s="20">
        <v>5</v>
      </c>
      <c r="O14" s="67"/>
      <c r="P14" s="63"/>
      <c r="Q14" s="64"/>
      <c r="R14" s="64"/>
      <c r="S14" s="68"/>
      <c r="T14" s="64"/>
      <c r="U14" s="69" t="str">
        <f t="shared" si="0"/>
        <v/>
      </c>
    </row>
    <row r="15" ht="24.95" customHeight="1" spans="1:21">
      <c r="A15" s="2"/>
      <c r="B15" s="51"/>
      <c r="C15" s="52"/>
      <c r="D15" s="20">
        <v>6</v>
      </c>
      <c r="E15" s="63"/>
      <c r="F15" s="63"/>
      <c r="G15" s="64"/>
      <c r="H15" s="31"/>
      <c r="I15" s="64"/>
      <c r="J15" s="65"/>
      <c r="K15" s="66" t="str">
        <f t="shared" si="1"/>
        <v/>
      </c>
      <c r="L15" s="51"/>
      <c r="M15" s="52"/>
      <c r="N15" s="20">
        <v>6</v>
      </c>
      <c r="O15" s="67"/>
      <c r="P15" s="63"/>
      <c r="Q15" s="64"/>
      <c r="R15" s="64"/>
      <c r="S15" s="68"/>
      <c r="T15" s="64"/>
      <c r="U15" s="69" t="str">
        <f t="shared" si="0"/>
        <v/>
      </c>
    </row>
    <row r="16" ht="24.95" customHeight="1" spans="1:21">
      <c r="A16" s="2"/>
      <c r="B16" s="51"/>
      <c r="C16" s="52"/>
      <c r="D16" s="20">
        <v>7</v>
      </c>
      <c r="E16" s="63"/>
      <c r="F16" s="63"/>
      <c r="G16" s="64"/>
      <c r="H16" s="31"/>
      <c r="I16" s="64"/>
      <c r="J16" s="65"/>
      <c r="K16" s="66" t="str">
        <f t="shared" si="1"/>
        <v/>
      </c>
      <c r="L16" s="51"/>
      <c r="M16" s="52"/>
      <c r="N16" s="20">
        <v>7</v>
      </c>
      <c r="O16" s="67"/>
      <c r="P16" s="63"/>
      <c r="Q16" s="64"/>
      <c r="R16" s="64"/>
      <c r="S16" s="68"/>
      <c r="T16" s="64"/>
      <c r="U16" s="69" t="str">
        <f t="shared" si="0"/>
        <v/>
      </c>
    </row>
    <row r="17" ht="24.95" customHeight="1" spans="1:21">
      <c r="A17" s="2"/>
      <c r="B17" s="51"/>
      <c r="C17" s="52"/>
      <c r="D17" s="20">
        <v>8</v>
      </c>
      <c r="E17" s="63"/>
      <c r="F17" s="63"/>
      <c r="G17" s="64"/>
      <c r="H17" s="31"/>
      <c r="I17" s="64"/>
      <c r="J17" s="65"/>
      <c r="K17" s="66" t="str">
        <f t="shared" si="1"/>
        <v/>
      </c>
      <c r="L17" s="51"/>
      <c r="M17" s="52"/>
      <c r="N17" s="20">
        <v>8</v>
      </c>
      <c r="O17" s="67"/>
      <c r="P17" s="63"/>
      <c r="Q17" s="64"/>
      <c r="R17" s="64"/>
      <c r="S17" s="68"/>
      <c r="T17" s="64"/>
      <c r="U17" s="69" t="str">
        <f t="shared" si="0"/>
        <v/>
      </c>
    </row>
    <row r="18" ht="24.95" customHeight="1" spans="1:21">
      <c r="A18" s="2"/>
      <c r="B18" s="51"/>
      <c r="C18" s="52"/>
      <c r="D18" s="20">
        <v>9</v>
      </c>
      <c r="E18" s="63"/>
      <c r="F18" s="63"/>
      <c r="G18" s="64"/>
      <c r="H18" s="64"/>
      <c r="I18" s="64"/>
      <c r="J18" s="65"/>
      <c r="K18" s="66" t="str">
        <f t="shared" si="1"/>
        <v/>
      </c>
      <c r="L18" s="51"/>
      <c r="M18" s="52"/>
      <c r="N18" s="20">
        <v>9</v>
      </c>
      <c r="O18" s="67"/>
      <c r="P18" s="63"/>
      <c r="Q18" s="64"/>
      <c r="R18" s="64"/>
      <c r="S18" s="68"/>
      <c r="T18" s="64"/>
      <c r="U18" s="69" t="str">
        <f t="shared" si="0"/>
        <v/>
      </c>
    </row>
    <row r="19" ht="24.95" customHeight="1" spans="1:21">
      <c r="A19" s="2"/>
      <c r="B19" s="51"/>
      <c r="C19" s="52"/>
      <c r="D19" s="20">
        <v>10</v>
      </c>
      <c r="E19" s="63"/>
      <c r="F19" s="63"/>
      <c r="G19" s="64"/>
      <c r="H19" s="64"/>
      <c r="I19" s="64"/>
      <c r="J19" s="65"/>
      <c r="K19" s="66" t="str">
        <f t="shared" si="1"/>
        <v/>
      </c>
      <c r="L19" s="51"/>
      <c r="M19" s="52"/>
      <c r="N19" s="20">
        <v>10</v>
      </c>
      <c r="O19" s="67"/>
      <c r="P19" s="63"/>
      <c r="Q19" s="64"/>
      <c r="R19" s="64"/>
      <c r="S19" s="68"/>
      <c r="T19" s="64"/>
      <c r="U19" s="69" t="str">
        <f t="shared" si="0"/>
        <v/>
      </c>
    </row>
    <row r="20" ht="24.95" customHeight="1" spans="1:21">
      <c r="A20" s="2"/>
      <c r="B20" s="51"/>
      <c r="C20" s="52"/>
      <c r="D20" s="20">
        <v>11</v>
      </c>
      <c r="E20" s="63"/>
      <c r="F20" s="63"/>
      <c r="G20" s="64"/>
      <c r="H20" s="64"/>
      <c r="I20" s="64"/>
      <c r="J20" s="65"/>
      <c r="K20" s="66" t="str">
        <f t="shared" si="1"/>
        <v/>
      </c>
      <c r="L20" s="51"/>
      <c r="M20" s="52"/>
      <c r="N20" s="20">
        <v>11</v>
      </c>
      <c r="O20" s="67"/>
      <c r="P20" s="70"/>
      <c r="Q20" s="71"/>
      <c r="R20" s="64"/>
      <c r="S20" s="68"/>
      <c r="T20" s="64"/>
      <c r="U20" s="69" t="str">
        <f t="shared" si="0"/>
        <v/>
      </c>
    </row>
    <row r="21" ht="24.95" customHeight="1" spans="1:21">
      <c r="A21" s="2"/>
      <c r="B21" s="51"/>
      <c r="C21" s="52"/>
      <c r="D21" s="20">
        <v>12</v>
      </c>
      <c r="E21" s="72"/>
      <c r="F21" s="72"/>
      <c r="G21" s="22"/>
      <c r="H21" s="64"/>
      <c r="I21" s="64"/>
      <c r="J21" s="65"/>
      <c r="K21" s="66" t="str">
        <f t="shared" si="1"/>
        <v/>
      </c>
      <c r="L21" s="51"/>
      <c r="M21" s="52"/>
      <c r="N21" s="20">
        <v>12</v>
      </c>
      <c r="O21" s="67"/>
      <c r="P21" s="70"/>
      <c r="Q21" s="71"/>
      <c r="R21" s="64"/>
      <c r="S21" s="68"/>
      <c r="T21" s="64"/>
      <c r="U21" s="69" t="str">
        <f t="shared" si="0"/>
        <v/>
      </c>
    </row>
    <row r="22" ht="24.95" customHeight="1" spans="1:21">
      <c r="A22" s="2"/>
      <c r="B22" s="51"/>
      <c r="C22" s="52"/>
      <c r="D22" s="20">
        <v>13</v>
      </c>
      <c r="E22" s="72"/>
      <c r="F22" s="72"/>
      <c r="G22" s="22"/>
      <c r="H22" s="64"/>
      <c r="I22" s="64"/>
      <c r="J22" s="65"/>
      <c r="K22" s="66" t="str">
        <f t="shared" si="1"/>
        <v/>
      </c>
      <c r="L22" s="51"/>
      <c r="M22" s="52"/>
      <c r="N22" s="20">
        <v>13</v>
      </c>
      <c r="O22" s="67"/>
      <c r="P22" s="70"/>
      <c r="Q22" s="71"/>
      <c r="R22" s="64"/>
      <c r="S22" s="68"/>
      <c r="T22" s="64"/>
      <c r="U22" s="69" t="str">
        <f t="shared" si="0"/>
        <v/>
      </c>
    </row>
    <row r="23" ht="24.95" customHeight="1" spans="1:21">
      <c r="A23" s="2"/>
      <c r="B23" s="51"/>
      <c r="C23" s="52"/>
      <c r="D23" s="20">
        <v>14</v>
      </c>
      <c r="E23" s="72"/>
      <c r="F23" s="72"/>
      <c r="G23" s="22"/>
      <c r="H23" s="64"/>
      <c r="I23" s="64"/>
      <c r="J23" s="65"/>
      <c r="K23" s="66" t="str">
        <f t="shared" si="1"/>
        <v/>
      </c>
      <c r="L23" s="51"/>
      <c r="M23" s="52"/>
      <c r="N23" s="20">
        <v>14</v>
      </c>
      <c r="O23" s="67"/>
      <c r="P23" s="72"/>
      <c r="Q23" s="22"/>
      <c r="R23" s="64"/>
      <c r="S23" s="68"/>
      <c r="T23" s="64"/>
      <c r="U23" s="69" t="str">
        <f t="shared" si="0"/>
        <v/>
      </c>
    </row>
    <row r="24" ht="24.95" customHeight="1" spans="1:21">
      <c r="A24" s="2"/>
      <c r="B24" s="51"/>
      <c r="C24" s="52"/>
      <c r="D24" s="20">
        <v>15</v>
      </c>
      <c r="E24" s="72"/>
      <c r="F24" s="73"/>
      <c r="G24" s="74"/>
      <c r="H24" s="64"/>
      <c r="I24" s="64"/>
      <c r="J24" s="65"/>
      <c r="K24" s="66" t="str">
        <f t="shared" si="1"/>
        <v/>
      </c>
      <c r="L24" s="51"/>
      <c r="M24" s="52"/>
      <c r="N24" s="20">
        <v>15</v>
      </c>
      <c r="O24" s="67"/>
      <c r="P24" s="72"/>
      <c r="Q24" s="22"/>
      <c r="R24" s="64"/>
      <c r="S24" s="68"/>
      <c r="T24" s="64"/>
      <c r="U24" s="69" t="str">
        <f t="shared" si="0"/>
        <v/>
      </c>
    </row>
    <row r="25" ht="24.95" customHeight="1" spans="1:21">
      <c r="A25" s="2"/>
      <c r="B25" s="51"/>
      <c r="C25" s="52"/>
      <c r="D25" s="20">
        <v>16</v>
      </c>
      <c r="E25" s="72"/>
      <c r="F25" s="72"/>
      <c r="G25" s="22"/>
      <c r="H25" s="64"/>
      <c r="I25" s="64"/>
      <c r="J25" s="65"/>
      <c r="K25" s="66" t="str">
        <f t="shared" si="1"/>
        <v/>
      </c>
      <c r="L25" s="51"/>
      <c r="M25" s="52"/>
      <c r="N25" s="20">
        <v>16</v>
      </c>
      <c r="O25" s="67"/>
      <c r="P25" s="72"/>
      <c r="Q25" s="22"/>
      <c r="R25" s="64"/>
      <c r="S25" s="68"/>
      <c r="T25" s="64"/>
      <c r="U25" s="69" t="str">
        <f t="shared" si="0"/>
        <v/>
      </c>
    </row>
    <row r="26" ht="24.95" customHeight="1" spans="1:21">
      <c r="A26" s="2"/>
      <c r="B26" s="51"/>
      <c r="C26" s="52"/>
      <c r="D26" s="20">
        <v>17</v>
      </c>
      <c r="E26" s="72"/>
      <c r="F26" s="72"/>
      <c r="G26" s="22"/>
      <c r="H26" s="64"/>
      <c r="I26" s="64"/>
      <c r="J26" s="65"/>
      <c r="K26" s="66" t="str">
        <f t="shared" si="1"/>
        <v/>
      </c>
      <c r="L26" s="51"/>
      <c r="M26" s="52"/>
      <c r="N26" s="20">
        <v>17</v>
      </c>
      <c r="O26" s="67"/>
      <c r="P26" s="72"/>
      <c r="Q26" s="22"/>
      <c r="R26" s="64"/>
      <c r="S26" s="68"/>
      <c r="T26" s="64"/>
      <c r="U26" s="69" t="str">
        <f t="shared" si="0"/>
        <v/>
      </c>
    </row>
    <row r="27" ht="24.95" customHeight="1" spans="1:21">
      <c r="A27" s="2"/>
      <c r="B27" s="75"/>
      <c r="C27" s="76"/>
      <c r="D27" s="34"/>
      <c r="E27" s="77"/>
      <c r="F27" s="77"/>
      <c r="G27" s="77"/>
      <c r="H27" s="38" t="s">
        <v>105</v>
      </c>
      <c r="I27" s="35"/>
      <c r="J27" s="78"/>
      <c r="K27" s="79">
        <f>SUM(K10:K26)</f>
        <v>4.05414</v>
      </c>
      <c r="L27" s="75"/>
      <c r="M27" s="76"/>
      <c r="N27" s="34"/>
      <c r="O27" s="80"/>
      <c r="P27" s="38"/>
      <c r="Q27" s="38"/>
      <c r="R27" s="38"/>
      <c r="S27" s="38" t="s">
        <v>106</v>
      </c>
      <c r="T27" s="35"/>
      <c r="U27" s="79">
        <f>SUM(U10:U26)</f>
        <v>0</v>
      </c>
    </row>
    <row r="28" ht="24.95" customHeight="1" spans="1:21">
      <c r="A28" s="2"/>
      <c r="B28" s="45" t="s">
        <v>107</v>
      </c>
      <c r="C28" s="46" t="s">
        <v>108</v>
      </c>
      <c r="D28" s="81" t="s">
        <v>109</v>
      </c>
      <c r="E28" s="82"/>
      <c r="F28" s="82"/>
      <c r="G28" s="82"/>
      <c r="H28" s="82"/>
      <c r="I28" s="82"/>
      <c r="J28" s="82"/>
      <c r="K28" s="83"/>
      <c r="L28" s="50" t="s">
        <v>110</v>
      </c>
      <c r="M28" s="46" t="s">
        <v>111</v>
      </c>
      <c r="N28" s="81" t="s">
        <v>112</v>
      </c>
      <c r="O28" s="82"/>
      <c r="P28" s="82"/>
      <c r="Q28" s="82"/>
      <c r="R28" s="82"/>
      <c r="S28" s="82"/>
      <c r="T28" s="82"/>
      <c r="U28" s="83"/>
    </row>
    <row r="29" ht="24.95" customHeight="1" spans="1:21">
      <c r="A29" s="2"/>
      <c r="B29" s="51"/>
      <c r="C29" s="52"/>
      <c r="D29" s="84" t="s">
        <v>92</v>
      </c>
      <c r="E29" s="85" t="s">
        <v>113</v>
      </c>
      <c r="F29" s="86" t="s">
        <v>114</v>
      </c>
      <c r="G29" s="85" t="s">
        <v>115</v>
      </c>
      <c r="H29" s="86" t="s">
        <v>116</v>
      </c>
      <c r="I29" s="86" t="s">
        <v>117</v>
      </c>
      <c r="J29" s="86" t="s">
        <v>118</v>
      </c>
      <c r="K29" s="87" t="s">
        <v>119</v>
      </c>
      <c r="L29" s="51"/>
      <c r="M29" s="52"/>
      <c r="N29" s="88" t="s">
        <v>120</v>
      </c>
      <c r="O29" s="85" t="s">
        <v>121</v>
      </c>
      <c r="P29" s="86" t="s">
        <v>122</v>
      </c>
      <c r="Q29" s="85" t="s">
        <v>123</v>
      </c>
      <c r="R29" s="86" t="s">
        <v>124</v>
      </c>
      <c r="S29" s="86" t="s">
        <v>125</v>
      </c>
      <c r="T29" s="86" t="s">
        <v>118</v>
      </c>
      <c r="U29" s="87" t="s">
        <v>126</v>
      </c>
    </row>
    <row r="30" ht="24.95" customHeight="1" spans="1:21">
      <c r="A30" s="2"/>
      <c r="B30" s="51"/>
      <c r="C30" s="52"/>
      <c r="D30" s="53">
        <v>1</v>
      </c>
      <c r="E30" s="89" t="s">
        <v>127</v>
      </c>
      <c r="F30" s="90">
        <v>29</v>
      </c>
      <c r="G30" s="90">
        <v>2</v>
      </c>
      <c r="H30" s="90">
        <v>50</v>
      </c>
      <c r="I30" s="90">
        <f>23*2</f>
        <v>46</v>
      </c>
      <c r="J30" s="91">
        <f>22.9566*2</f>
        <v>45.9132</v>
      </c>
      <c r="K30" s="92">
        <f t="shared" ref="K30:K39" si="2">IF(E30="","",IF(J30="",F30/I30,F30/J30))</f>
        <v>0.63162663460617</v>
      </c>
      <c r="L30" s="51"/>
      <c r="M30" s="52"/>
      <c r="N30" s="53">
        <v>1</v>
      </c>
      <c r="O30" s="93" t="s">
        <v>128</v>
      </c>
      <c r="P30" s="90">
        <v>0</v>
      </c>
      <c r="Q30" s="94"/>
      <c r="R30" s="95">
        <f>O6</f>
        <v>61.2178</v>
      </c>
      <c r="S30" s="90">
        <v>23</v>
      </c>
      <c r="T30" s="94"/>
      <c r="U30" s="62">
        <f t="shared" ref="U30:U39" si="3">IF(O30="","",IF(T30="",P30/S30,P30/T30))</f>
        <v>0</v>
      </c>
    </row>
    <row r="31" ht="24.95" customHeight="1" spans="1:21">
      <c r="A31" s="2"/>
      <c r="B31" s="51"/>
      <c r="C31" s="52"/>
      <c r="D31" s="20">
        <v>2</v>
      </c>
      <c r="E31" s="22"/>
      <c r="F31" s="22"/>
      <c r="G31" s="22"/>
      <c r="H31" s="22"/>
      <c r="I31" s="22"/>
      <c r="J31" s="96"/>
      <c r="K31" s="97" t="str">
        <f t="shared" si="2"/>
        <v/>
      </c>
      <c r="L31" s="51"/>
      <c r="M31" s="52"/>
      <c r="N31" s="20">
        <v>2</v>
      </c>
      <c r="O31" s="98"/>
      <c r="P31" s="22"/>
      <c r="Q31" s="22"/>
      <c r="R31" s="99" t="str">
        <f t="shared" ref="R31:R39" si="4">IF(O31="","",R30)</f>
        <v/>
      </c>
      <c r="S31" s="22"/>
      <c r="T31" s="22"/>
      <c r="U31" s="69" t="str">
        <f t="shared" si="3"/>
        <v/>
      </c>
    </row>
    <row r="32" ht="24.95" customHeight="1" spans="1:21">
      <c r="A32" s="2"/>
      <c r="B32" s="51"/>
      <c r="C32" s="52"/>
      <c r="D32" s="20">
        <v>3</v>
      </c>
      <c r="E32" s="22"/>
      <c r="F32" s="22"/>
      <c r="G32" s="22"/>
      <c r="H32" s="22"/>
      <c r="I32" s="22"/>
      <c r="J32" s="96"/>
      <c r="K32" s="97" t="str">
        <f t="shared" si="2"/>
        <v/>
      </c>
      <c r="L32" s="51"/>
      <c r="M32" s="52"/>
      <c r="N32" s="20">
        <v>3</v>
      </c>
      <c r="O32" s="98"/>
      <c r="P32" s="22"/>
      <c r="Q32" s="22"/>
      <c r="R32" s="99" t="str">
        <f t="shared" si="4"/>
        <v/>
      </c>
      <c r="S32" s="22"/>
      <c r="T32" s="22"/>
      <c r="U32" s="69" t="str">
        <f t="shared" si="3"/>
        <v/>
      </c>
    </row>
    <row r="33" ht="24.95" customHeight="1" spans="1:21">
      <c r="A33" s="2"/>
      <c r="B33" s="51"/>
      <c r="C33" s="52"/>
      <c r="D33" s="20">
        <v>5</v>
      </c>
      <c r="E33" s="22"/>
      <c r="F33" s="22"/>
      <c r="G33" s="22"/>
      <c r="H33" s="22"/>
      <c r="I33" s="22"/>
      <c r="J33" s="96"/>
      <c r="K33" s="97" t="str">
        <f t="shared" si="2"/>
        <v/>
      </c>
      <c r="L33" s="51"/>
      <c r="M33" s="52"/>
      <c r="N33" s="20">
        <v>4</v>
      </c>
      <c r="O33" s="98"/>
      <c r="P33" s="22"/>
      <c r="Q33" s="22"/>
      <c r="R33" s="99" t="str">
        <f t="shared" si="4"/>
        <v/>
      </c>
      <c r="S33" s="22"/>
      <c r="T33" s="22"/>
      <c r="U33" s="69" t="str">
        <f t="shared" si="3"/>
        <v/>
      </c>
    </row>
    <row r="34" ht="24.95" customHeight="1" spans="1:21">
      <c r="A34" s="2"/>
      <c r="B34" s="51"/>
      <c r="C34" s="52"/>
      <c r="D34" s="20">
        <v>6</v>
      </c>
      <c r="E34" s="22"/>
      <c r="F34" s="22"/>
      <c r="G34" s="22"/>
      <c r="H34" s="22"/>
      <c r="I34" s="22"/>
      <c r="J34" s="96"/>
      <c r="K34" s="97" t="str">
        <f t="shared" si="2"/>
        <v/>
      </c>
      <c r="L34" s="51"/>
      <c r="M34" s="52"/>
      <c r="N34" s="20">
        <v>5</v>
      </c>
      <c r="O34" s="98"/>
      <c r="P34" s="22"/>
      <c r="Q34" s="22"/>
      <c r="R34" s="99" t="str">
        <f t="shared" si="4"/>
        <v/>
      </c>
      <c r="S34" s="22"/>
      <c r="T34" s="22"/>
      <c r="U34" s="69" t="str">
        <f t="shared" si="3"/>
        <v/>
      </c>
    </row>
    <row r="35" ht="24.95" customHeight="1" spans="1:21">
      <c r="A35" s="2"/>
      <c r="B35" s="51"/>
      <c r="C35" s="52"/>
      <c r="D35" s="20">
        <v>7</v>
      </c>
      <c r="E35" s="22"/>
      <c r="F35" s="22"/>
      <c r="G35" s="22"/>
      <c r="H35" s="22"/>
      <c r="I35" s="22"/>
      <c r="J35" s="96"/>
      <c r="K35" s="97" t="str">
        <f t="shared" si="2"/>
        <v/>
      </c>
      <c r="L35" s="51"/>
      <c r="M35" s="52"/>
      <c r="N35" s="20">
        <v>6</v>
      </c>
      <c r="O35" s="98"/>
      <c r="P35" s="22"/>
      <c r="Q35" s="22"/>
      <c r="R35" s="99" t="str">
        <f t="shared" si="4"/>
        <v/>
      </c>
      <c r="S35" s="22"/>
      <c r="T35" s="22"/>
      <c r="U35" s="69" t="str">
        <f t="shared" si="3"/>
        <v/>
      </c>
    </row>
    <row r="36" ht="24.95" customHeight="1" spans="1:21">
      <c r="A36" s="2"/>
      <c r="B36" s="51"/>
      <c r="C36" s="52"/>
      <c r="D36" s="20">
        <v>8</v>
      </c>
      <c r="E36" s="22"/>
      <c r="F36" s="22"/>
      <c r="G36" s="22"/>
      <c r="H36" s="22"/>
      <c r="I36" s="22"/>
      <c r="J36" s="96"/>
      <c r="K36" s="97" t="str">
        <f t="shared" si="2"/>
        <v/>
      </c>
      <c r="L36" s="51"/>
      <c r="M36" s="52"/>
      <c r="N36" s="20">
        <v>7</v>
      </c>
      <c r="O36" s="98"/>
      <c r="P36" s="22"/>
      <c r="Q36" s="22"/>
      <c r="R36" s="99" t="str">
        <f t="shared" si="4"/>
        <v/>
      </c>
      <c r="S36" s="22"/>
      <c r="T36" s="22"/>
      <c r="U36" s="69" t="str">
        <f t="shared" si="3"/>
        <v/>
      </c>
    </row>
    <row r="37" ht="24.95" customHeight="1" spans="1:21">
      <c r="A37" s="2"/>
      <c r="B37" s="51"/>
      <c r="C37" s="52"/>
      <c r="D37" s="20">
        <v>9</v>
      </c>
      <c r="E37" s="22"/>
      <c r="F37" s="22"/>
      <c r="G37" s="22"/>
      <c r="H37" s="22"/>
      <c r="I37" s="22"/>
      <c r="J37" s="96"/>
      <c r="K37" s="97" t="str">
        <f t="shared" si="2"/>
        <v/>
      </c>
      <c r="L37" s="51"/>
      <c r="M37" s="52"/>
      <c r="N37" s="20">
        <v>8</v>
      </c>
      <c r="O37" s="98"/>
      <c r="P37" s="22"/>
      <c r="Q37" s="22"/>
      <c r="R37" s="99" t="str">
        <f t="shared" si="4"/>
        <v/>
      </c>
      <c r="S37" s="22"/>
      <c r="T37" s="22"/>
      <c r="U37" s="69" t="str">
        <f t="shared" si="3"/>
        <v/>
      </c>
    </row>
    <row r="38" ht="24.95" customHeight="1" spans="1:21">
      <c r="A38" s="2"/>
      <c r="B38" s="51"/>
      <c r="C38" s="52"/>
      <c r="D38" s="20">
        <v>10</v>
      </c>
      <c r="E38" s="22"/>
      <c r="F38" s="22"/>
      <c r="G38" s="22"/>
      <c r="H38" s="22"/>
      <c r="I38" s="22"/>
      <c r="J38" s="96"/>
      <c r="K38" s="97" t="str">
        <f t="shared" si="2"/>
        <v/>
      </c>
      <c r="L38" s="51"/>
      <c r="M38" s="52"/>
      <c r="N38" s="20">
        <v>9</v>
      </c>
      <c r="O38" s="98"/>
      <c r="P38" s="22"/>
      <c r="Q38" s="22"/>
      <c r="R38" s="99" t="str">
        <f t="shared" si="4"/>
        <v/>
      </c>
      <c r="S38" s="22"/>
      <c r="T38" s="22"/>
      <c r="U38" s="69" t="str">
        <f t="shared" si="3"/>
        <v/>
      </c>
    </row>
    <row r="39" ht="24.95" customHeight="1" spans="1:21">
      <c r="A39" s="2"/>
      <c r="B39" s="51"/>
      <c r="C39" s="52"/>
      <c r="D39" s="20">
        <v>11</v>
      </c>
      <c r="E39" s="22"/>
      <c r="F39" s="22"/>
      <c r="G39" s="22"/>
      <c r="H39" s="22"/>
      <c r="I39" s="22"/>
      <c r="J39" s="96"/>
      <c r="K39" s="97" t="str">
        <f t="shared" si="2"/>
        <v/>
      </c>
      <c r="L39" s="51"/>
      <c r="M39" s="52"/>
      <c r="N39" s="20">
        <v>10</v>
      </c>
      <c r="O39" s="98"/>
      <c r="P39" s="22"/>
      <c r="Q39" s="22"/>
      <c r="R39" s="99" t="str">
        <f t="shared" si="4"/>
        <v/>
      </c>
      <c r="S39" s="22"/>
      <c r="T39" s="22"/>
      <c r="U39" s="69" t="str">
        <f t="shared" si="3"/>
        <v/>
      </c>
    </row>
    <row r="40" ht="24.95" customHeight="1" spans="1:21">
      <c r="A40" s="2"/>
      <c r="B40" s="75"/>
      <c r="C40" s="76"/>
      <c r="D40" s="34"/>
      <c r="E40" s="38" t="s">
        <v>129</v>
      </c>
      <c r="F40" s="77">
        <f>SUM(F30:F39)</f>
        <v>29</v>
      </c>
      <c r="G40" s="77"/>
      <c r="H40" s="38" t="s">
        <v>130</v>
      </c>
      <c r="I40" s="35"/>
      <c r="J40" s="100"/>
      <c r="K40" s="101">
        <f>SUM(K30:K39)</f>
        <v>0.63162663460617</v>
      </c>
      <c r="L40" s="75"/>
      <c r="M40" s="76"/>
      <c r="N40" s="102"/>
      <c r="O40" s="38" t="s">
        <v>131</v>
      </c>
      <c r="P40" s="77">
        <f>SUM(P30:P39)</f>
        <v>0</v>
      </c>
      <c r="Q40" s="103"/>
      <c r="R40" s="77"/>
      <c r="S40" s="77"/>
      <c r="T40" s="77"/>
      <c r="U40" s="79">
        <f>SUM(U30:U39)</f>
        <v>0</v>
      </c>
    </row>
    <row r="41" ht="33.95" customHeight="1" spans="1:21">
      <c r="A41" s="2"/>
      <c r="B41" s="104" t="s">
        <v>132</v>
      </c>
      <c r="C41" s="46" t="s">
        <v>133</v>
      </c>
      <c r="D41" s="105" t="s">
        <v>134</v>
      </c>
      <c r="E41" s="106" t="s">
        <v>135</v>
      </c>
      <c r="F41" s="107" t="s">
        <v>136</v>
      </c>
      <c r="G41" s="107" t="s">
        <v>137</v>
      </c>
      <c r="H41" s="107" t="s">
        <v>138</v>
      </c>
      <c r="I41" s="106" t="s">
        <v>139</v>
      </c>
      <c r="J41" s="107" t="s">
        <v>140</v>
      </c>
      <c r="K41" s="106" t="s">
        <v>141</v>
      </c>
      <c r="L41" s="108" t="s">
        <v>142</v>
      </c>
      <c r="M41" s="109"/>
      <c r="N41" s="106" t="s">
        <v>143</v>
      </c>
      <c r="O41" s="109"/>
      <c r="P41" s="107" t="s">
        <v>144</v>
      </c>
      <c r="Q41" s="110" t="s">
        <v>145</v>
      </c>
      <c r="R41" s="106" t="s">
        <v>146</v>
      </c>
      <c r="S41" s="107" t="s">
        <v>147</v>
      </c>
      <c r="T41" s="107" t="s">
        <v>148</v>
      </c>
      <c r="U41" s="111" t="s">
        <v>149</v>
      </c>
    </row>
    <row r="42" ht="24.95" customHeight="1" spans="1:21">
      <c r="A42" s="2"/>
      <c r="B42" s="51"/>
      <c r="C42" s="52"/>
      <c r="D42" s="53">
        <v>1</v>
      </c>
      <c r="E42" s="90" t="s">
        <v>150</v>
      </c>
      <c r="F42" s="90">
        <v>50</v>
      </c>
      <c r="G42" s="112">
        <f t="shared" ref="G42:G57" si="5">IF(E42="","",12/H42*L42)</f>
        <v>648</v>
      </c>
      <c r="H42" s="113">
        <f t="shared" ref="H42:H57" si="6">IF(E42="","",F42/3600)</f>
        <v>0.0138888888888889</v>
      </c>
      <c r="I42" s="90">
        <v>1.5</v>
      </c>
      <c r="J42" s="114">
        <v>24</v>
      </c>
      <c r="K42" s="115">
        <f t="shared" ref="K42:K57" si="7">IF(E42="","",H42*I42/L42)</f>
        <v>0.0277777777777778</v>
      </c>
      <c r="L42" s="116">
        <v>0.75</v>
      </c>
      <c r="M42" s="117"/>
      <c r="N42" s="118">
        <f t="shared" ref="N42:N57" si="8">IF(F42="","",IF(E42="","",J42*K42))</f>
        <v>0.666666666666667</v>
      </c>
      <c r="O42" s="119"/>
      <c r="P42" s="90">
        <v>70</v>
      </c>
      <c r="Q42" s="95" t="str">
        <f t="shared" ref="Q42:Q57" si="9">IF(E42="","","10年2班折90%")</f>
        <v>10年2班折90%</v>
      </c>
      <c r="R42" s="115">
        <f t="shared" ref="R42:R57" si="10">IF(E42="","",P42*0.9/10/$U$8/22*H42*10000/L42)</f>
        <v>0.176767676767677</v>
      </c>
      <c r="S42" s="120">
        <v>90</v>
      </c>
      <c r="T42" s="167">
        <v>0.45</v>
      </c>
      <c r="U42" s="62">
        <f t="shared" ref="U42:U57" si="11">IF(S42="","",S42*T42*$U$7*H42/((L42+(1-L42)/1.4)))</f>
        <v>0.605769230769231</v>
      </c>
    </row>
    <row r="43" ht="24.95" customHeight="1" spans="1:21">
      <c r="A43" s="2"/>
      <c r="B43" s="51"/>
      <c r="C43" s="52"/>
      <c r="D43" s="20">
        <v>2</v>
      </c>
      <c r="E43" s="22"/>
      <c r="F43" s="90"/>
      <c r="G43" s="112" t="str">
        <f t="shared" si="5"/>
        <v/>
      </c>
      <c r="H43" s="113" t="str">
        <f t="shared" si="6"/>
        <v/>
      </c>
      <c r="I43" s="22"/>
      <c r="J43" s="121"/>
      <c r="K43" s="115" t="str">
        <f t="shared" si="7"/>
        <v/>
      </c>
      <c r="L43" s="68"/>
      <c r="M43" s="23"/>
      <c r="N43" s="118" t="str">
        <f t="shared" si="8"/>
        <v/>
      </c>
      <c r="O43" s="119"/>
      <c r="P43" s="22"/>
      <c r="Q43" s="99" t="str">
        <f t="shared" si="9"/>
        <v/>
      </c>
      <c r="R43" s="115" t="str">
        <f t="shared" si="10"/>
        <v/>
      </c>
      <c r="S43" s="122"/>
      <c r="T43" s="65"/>
      <c r="U43" s="62" t="str">
        <f t="shared" si="11"/>
        <v/>
      </c>
    </row>
    <row r="44" ht="24.95" customHeight="1" spans="1:21">
      <c r="A44" s="2"/>
      <c r="B44" s="51"/>
      <c r="C44" s="52"/>
      <c r="D44" s="20">
        <v>3</v>
      </c>
      <c r="E44" s="22"/>
      <c r="F44" s="22"/>
      <c r="G44" s="112" t="str">
        <f t="shared" si="5"/>
        <v/>
      </c>
      <c r="H44" s="113" t="str">
        <f t="shared" si="6"/>
        <v/>
      </c>
      <c r="I44" s="22"/>
      <c r="J44" s="121"/>
      <c r="K44" s="115" t="str">
        <f t="shared" si="7"/>
        <v/>
      </c>
      <c r="L44" s="68"/>
      <c r="M44" s="23"/>
      <c r="N44" s="118" t="str">
        <f t="shared" si="8"/>
        <v/>
      </c>
      <c r="O44" s="119"/>
      <c r="P44" s="22"/>
      <c r="Q44" s="99" t="str">
        <f t="shared" si="9"/>
        <v/>
      </c>
      <c r="R44" s="115" t="str">
        <f t="shared" si="10"/>
        <v/>
      </c>
      <c r="S44" s="122"/>
      <c r="T44" s="65"/>
      <c r="U44" s="62" t="str">
        <f t="shared" si="11"/>
        <v/>
      </c>
    </row>
    <row r="45" ht="24.95" customHeight="1" spans="1:21">
      <c r="A45" s="2"/>
      <c r="B45" s="51"/>
      <c r="C45" s="52"/>
      <c r="D45" s="20">
        <v>4</v>
      </c>
      <c r="E45" s="22"/>
      <c r="F45" s="22"/>
      <c r="G45" s="112" t="str">
        <f t="shared" si="5"/>
        <v/>
      </c>
      <c r="H45" s="113" t="str">
        <f t="shared" si="6"/>
        <v/>
      </c>
      <c r="I45" s="22"/>
      <c r="J45" s="121"/>
      <c r="K45" s="115" t="str">
        <f t="shared" si="7"/>
        <v/>
      </c>
      <c r="L45" s="68"/>
      <c r="M45" s="23"/>
      <c r="N45" s="118" t="str">
        <f t="shared" si="8"/>
        <v/>
      </c>
      <c r="O45" s="119"/>
      <c r="P45" s="22"/>
      <c r="Q45" s="99" t="str">
        <f t="shared" si="9"/>
        <v/>
      </c>
      <c r="R45" s="115" t="str">
        <f t="shared" si="10"/>
        <v/>
      </c>
      <c r="S45" s="122"/>
      <c r="T45" s="65"/>
      <c r="U45" s="62" t="str">
        <f t="shared" si="11"/>
        <v/>
      </c>
    </row>
    <row r="46" ht="24.95" customHeight="1" spans="1:21">
      <c r="A46" s="2"/>
      <c r="B46" s="51"/>
      <c r="C46" s="52"/>
      <c r="D46" s="20">
        <v>5</v>
      </c>
      <c r="E46" s="22"/>
      <c r="F46" s="22"/>
      <c r="G46" s="112" t="str">
        <f t="shared" si="5"/>
        <v/>
      </c>
      <c r="H46" s="113" t="str">
        <f t="shared" si="6"/>
        <v/>
      </c>
      <c r="I46" s="22"/>
      <c r="J46" s="121"/>
      <c r="K46" s="115" t="str">
        <f t="shared" si="7"/>
        <v/>
      </c>
      <c r="L46" s="68"/>
      <c r="M46" s="23"/>
      <c r="N46" s="118" t="str">
        <f t="shared" si="8"/>
        <v/>
      </c>
      <c r="O46" s="119"/>
      <c r="P46" s="22"/>
      <c r="Q46" s="99" t="str">
        <f t="shared" si="9"/>
        <v/>
      </c>
      <c r="R46" s="115" t="str">
        <f t="shared" si="10"/>
        <v/>
      </c>
      <c r="S46" s="122"/>
      <c r="T46" s="65"/>
      <c r="U46" s="62" t="str">
        <f t="shared" si="11"/>
        <v/>
      </c>
    </row>
    <row r="47" ht="24.95" customHeight="1" spans="1:21">
      <c r="A47" s="2"/>
      <c r="B47" s="51"/>
      <c r="C47" s="52"/>
      <c r="D47" s="20">
        <v>6</v>
      </c>
      <c r="E47" s="22"/>
      <c r="F47" s="22"/>
      <c r="G47" s="112" t="str">
        <f t="shared" si="5"/>
        <v/>
      </c>
      <c r="H47" s="113" t="str">
        <f t="shared" si="6"/>
        <v/>
      </c>
      <c r="I47" s="22"/>
      <c r="J47" s="121"/>
      <c r="K47" s="115" t="str">
        <f t="shared" si="7"/>
        <v/>
      </c>
      <c r="L47" s="68"/>
      <c r="M47" s="23"/>
      <c r="N47" s="118" t="str">
        <f t="shared" si="8"/>
        <v/>
      </c>
      <c r="O47" s="119"/>
      <c r="P47" s="22"/>
      <c r="Q47" s="99" t="str">
        <f t="shared" si="9"/>
        <v/>
      </c>
      <c r="R47" s="115" t="str">
        <f t="shared" si="10"/>
        <v/>
      </c>
      <c r="S47" s="122"/>
      <c r="T47" s="65"/>
      <c r="U47" s="62" t="str">
        <f t="shared" si="11"/>
        <v/>
      </c>
    </row>
    <row r="48" ht="24.95" customHeight="1" spans="1:21">
      <c r="A48" s="2"/>
      <c r="B48" s="51"/>
      <c r="C48" s="52"/>
      <c r="D48" s="20">
        <v>7</v>
      </c>
      <c r="E48" s="22"/>
      <c r="F48" s="22"/>
      <c r="G48" s="112" t="str">
        <f t="shared" si="5"/>
        <v/>
      </c>
      <c r="H48" s="113" t="str">
        <f t="shared" si="6"/>
        <v/>
      </c>
      <c r="I48" s="22"/>
      <c r="J48" s="121"/>
      <c r="K48" s="115" t="str">
        <f t="shared" si="7"/>
        <v/>
      </c>
      <c r="L48" s="68"/>
      <c r="M48" s="23"/>
      <c r="N48" s="118" t="str">
        <f t="shared" si="8"/>
        <v/>
      </c>
      <c r="O48" s="119"/>
      <c r="P48" s="22"/>
      <c r="Q48" s="99" t="str">
        <f t="shared" si="9"/>
        <v/>
      </c>
      <c r="R48" s="115" t="str">
        <f t="shared" si="10"/>
        <v/>
      </c>
      <c r="S48" s="122"/>
      <c r="T48" s="65"/>
      <c r="U48" s="62" t="str">
        <f t="shared" si="11"/>
        <v/>
      </c>
    </row>
    <row r="49" ht="24.95" customHeight="1" spans="1:21">
      <c r="A49" s="2"/>
      <c r="B49" s="51"/>
      <c r="C49" s="52"/>
      <c r="D49" s="20">
        <v>8</v>
      </c>
      <c r="E49" s="22"/>
      <c r="F49" s="22"/>
      <c r="G49" s="112" t="str">
        <f t="shared" si="5"/>
        <v/>
      </c>
      <c r="H49" s="113" t="str">
        <f t="shared" si="6"/>
        <v/>
      </c>
      <c r="I49" s="22"/>
      <c r="J49" s="121"/>
      <c r="K49" s="115" t="str">
        <f t="shared" si="7"/>
        <v/>
      </c>
      <c r="L49" s="68"/>
      <c r="M49" s="23"/>
      <c r="N49" s="118" t="str">
        <f t="shared" si="8"/>
        <v/>
      </c>
      <c r="O49" s="119"/>
      <c r="P49" s="22"/>
      <c r="Q49" s="99" t="str">
        <f t="shared" si="9"/>
        <v/>
      </c>
      <c r="R49" s="115" t="str">
        <f t="shared" si="10"/>
        <v/>
      </c>
      <c r="S49" s="122"/>
      <c r="T49" s="65"/>
      <c r="U49" s="62" t="str">
        <f t="shared" si="11"/>
        <v/>
      </c>
    </row>
    <row r="50" ht="24.95" customHeight="1" spans="1:21">
      <c r="A50" s="2"/>
      <c r="B50" s="51"/>
      <c r="C50" s="52"/>
      <c r="D50" s="20">
        <v>9</v>
      </c>
      <c r="E50" s="22"/>
      <c r="F50" s="22"/>
      <c r="G50" s="112" t="str">
        <f t="shared" si="5"/>
        <v/>
      </c>
      <c r="H50" s="113" t="str">
        <f t="shared" si="6"/>
        <v/>
      </c>
      <c r="I50" s="22"/>
      <c r="J50" s="121"/>
      <c r="K50" s="115" t="str">
        <f t="shared" si="7"/>
        <v/>
      </c>
      <c r="L50" s="68"/>
      <c r="M50" s="23"/>
      <c r="N50" s="118" t="str">
        <f t="shared" si="8"/>
        <v/>
      </c>
      <c r="O50" s="119"/>
      <c r="P50" s="22"/>
      <c r="Q50" s="99" t="str">
        <f t="shared" si="9"/>
        <v/>
      </c>
      <c r="R50" s="115" t="str">
        <f t="shared" si="10"/>
        <v/>
      </c>
      <c r="S50" s="122"/>
      <c r="T50" s="65"/>
      <c r="U50" s="62" t="str">
        <f t="shared" si="11"/>
        <v/>
      </c>
    </row>
    <row r="51" ht="24.95" customHeight="1" spans="1:21">
      <c r="A51" s="2"/>
      <c r="B51" s="51"/>
      <c r="C51" s="52"/>
      <c r="D51" s="20">
        <v>10</v>
      </c>
      <c r="E51" s="22"/>
      <c r="F51" s="22"/>
      <c r="G51" s="112" t="str">
        <f t="shared" si="5"/>
        <v/>
      </c>
      <c r="H51" s="113" t="str">
        <f t="shared" si="6"/>
        <v/>
      </c>
      <c r="I51" s="22"/>
      <c r="J51" s="121"/>
      <c r="K51" s="115" t="str">
        <f t="shared" si="7"/>
        <v/>
      </c>
      <c r="L51" s="68"/>
      <c r="M51" s="23"/>
      <c r="N51" s="118" t="str">
        <f t="shared" si="8"/>
        <v/>
      </c>
      <c r="O51" s="119"/>
      <c r="P51" s="22"/>
      <c r="Q51" s="99" t="str">
        <f t="shared" si="9"/>
        <v/>
      </c>
      <c r="R51" s="115" t="str">
        <f t="shared" si="10"/>
        <v/>
      </c>
      <c r="S51" s="122"/>
      <c r="T51" s="65"/>
      <c r="U51" s="62" t="str">
        <f t="shared" si="11"/>
        <v/>
      </c>
    </row>
    <row r="52" ht="24.95" customHeight="1" spans="1:21">
      <c r="A52" s="2"/>
      <c r="B52" s="51"/>
      <c r="C52" s="52"/>
      <c r="D52" s="20">
        <v>11</v>
      </c>
      <c r="E52" s="22"/>
      <c r="F52" s="22"/>
      <c r="G52" s="112" t="str">
        <f t="shared" si="5"/>
        <v/>
      </c>
      <c r="H52" s="113" t="str">
        <f t="shared" si="6"/>
        <v/>
      </c>
      <c r="I52" s="22"/>
      <c r="J52" s="121"/>
      <c r="K52" s="115" t="str">
        <f t="shared" si="7"/>
        <v/>
      </c>
      <c r="L52" s="68"/>
      <c r="M52" s="23"/>
      <c r="N52" s="118" t="str">
        <f t="shared" si="8"/>
        <v/>
      </c>
      <c r="O52" s="119"/>
      <c r="P52" s="22"/>
      <c r="Q52" s="99" t="str">
        <f t="shared" si="9"/>
        <v/>
      </c>
      <c r="R52" s="115" t="str">
        <f t="shared" si="10"/>
        <v/>
      </c>
      <c r="S52" s="122"/>
      <c r="T52" s="65"/>
      <c r="U52" s="62" t="str">
        <f t="shared" si="11"/>
        <v/>
      </c>
    </row>
    <row r="53" ht="24.95" customHeight="1" spans="1:21">
      <c r="A53" s="2"/>
      <c r="B53" s="51"/>
      <c r="C53" s="52"/>
      <c r="D53" s="20">
        <v>12</v>
      </c>
      <c r="E53" s="22"/>
      <c r="F53" s="22"/>
      <c r="G53" s="112" t="str">
        <f t="shared" si="5"/>
        <v/>
      </c>
      <c r="H53" s="113" t="str">
        <f t="shared" si="6"/>
        <v/>
      </c>
      <c r="I53" s="22"/>
      <c r="J53" s="121"/>
      <c r="K53" s="115" t="str">
        <f t="shared" si="7"/>
        <v/>
      </c>
      <c r="L53" s="68"/>
      <c r="M53" s="23"/>
      <c r="N53" s="118" t="str">
        <f t="shared" si="8"/>
        <v/>
      </c>
      <c r="O53" s="119"/>
      <c r="P53" s="22"/>
      <c r="Q53" s="99" t="str">
        <f t="shared" si="9"/>
        <v/>
      </c>
      <c r="R53" s="115" t="str">
        <f t="shared" si="10"/>
        <v/>
      </c>
      <c r="S53" s="122"/>
      <c r="T53" s="65"/>
      <c r="U53" s="62" t="str">
        <f t="shared" si="11"/>
        <v/>
      </c>
    </row>
    <row r="54" ht="24.95" customHeight="1" spans="1:21">
      <c r="A54" s="2"/>
      <c r="B54" s="51"/>
      <c r="C54" s="52"/>
      <c r="D54" s="20">
        <v>13</v>
      </c>
      <c r="E54" s="22"/>
      <c r="F54" s="22"/>
      <c r="G54" s="112" t="str">
        <f t="shared" si="5"/>
        <v/>
      </c>
      <c r="H54" s="113" t="str">
        <f t="shared" si="6"/>
        <v/>
      </c>
      <c r="I54" s="22"/>
      <c r="J54" s="121"/>
      <c r="K54" s="115" t="str">
        <f t="shared" si="7"/>
        <v/>
      </c>
      <c r="L54" s="68"/>
      <c r="M54" s="23"/>
      <c r="N54" s="118" t="str">
        <f t="shared" si="8"/>
        <v/>
      </c>
      <c r="O54" s="119"/>
      <c r="P54" s="22"/>
      <c r="Q54" s="99" t="str">
        <f t="shared" si="9"/>
        <v/>
      </c>
      <c r="R54" s="115" t="str">
        <f t="shared" si="10"/>
        <v/>
      </c>
      <c r="S54" s="122"/>
      <c r="T54" s="65"/>
      <c r="U54" s="62" t="str">
        <f t="shared" si="11"/>
        <v/>
      </c>
    </row>
    <row r="55" ht="24.95" customHeight="1" spans="1:21">
      <c r="A55" s="2"/>
      <c r="B55" s="51"/>
      <c r="C55" s="52"/>
      <c r="D55" s="20">
        <v>14</v>
      </c>
      <c r="E55" s="22"/>
      <c r="F55" s="22"/>
      <c r="G55" s="112" t="str">
        <f t="shared" si="5"/>
        <v/>
      </c>
      <c r="H55" s="113" t="str">
        <f t="shared" si="6"/>
        <v/>
      </c>
      <c r="I55" s="22"/>
      <c r="J55" s="121"/>
      <c r="K55" s="115" t="str">
        <f t="shared" si="7"/>
        <v/>
      </c>
      <c r="L55" s="68"/>
      <c r="M55" s="23"/>
      <c r="N55" s="118" t="str">
        <f t="shared" si="8"/>
        <v/>
      </c>
      <c r="O55" s="119"/>
      <c r="P55" s="22"/>
      <c r="Q55" s="99" t="str">
        <f t="shared" si="9"/>
        <v/>
      </c>
      <c r="R55" s="115" t="str">
        <f t="shared" si="10"/>
        <v/>
      </c>
      <c r="S55" s="122"/>
      <c r="T55" s="65"/>
      <c r="U55" s="62" t="str">
        <f t="shared" si="11"/>
        <v/>
      </c>
    </row>
    <row r="56" ht="24.95" customHeight="1" spans="1:21">
      <c r="A56" s="2"/>
      <c r="B56" s="51"/>
      <c r="C56" s="52"/>
      <c r="D56" s="20">
        <v>15</v>
      </c>
      <c r="E56" s="22"/>
      <c r="F56" s="22"/>
      <c r="G56" s="112" t="str">
        <f t="shared" si="5"/>
        <v/>
      </c>
      <c r="H56" s="113" t="str">
        <f t="shared" si="6"/>
        <v/>
      </c>
      <c r="I56" s="22"/>
      <c r="J56" s="121"/>
      <c r="K56" s="115" t="str">
        <f t="shared" si="7"/>
        <v/>
      </c>
      <c r="L56" s="68"/>
      <c r="M56" s="23"/>
      <c r="N56" s="118" t="str">
        <f t="shared" si="8"/>
        <v/>
      </c>
      <c r="O56" s="119"/>
      <c r="P56" s="22"/>
      <c r="Q56" s="99" t="str">
        <f t="shared" si="9"/>
        <v/>
      </c>
      <c r="R56" s="115" t="str">
        <f t="shared" si="10"/>
        <v/>
      </c>
      <c r="S56" s="122"/>
      <c r="T56" s="65"/>
      <c r="U56" s="62" t="str">
        <f t="shared" si="11"/>
        <v/>
      </c>
    </row>
    <row r="57" ht="24.95" customHeight="1" spans="1:21">
      <c r="A57" s="2"/>
      <c r="B57" s="51"/>
      <c r="C57" s="52"/>
      <c r="D57" s="20">
        <v>16</v>
      </c>
      <c r="E57" s="22"/>
      <c r="F57" s="22"/>
      <c r="G57" s="112" t="str">
        <f t="shared" si="5"/>
        <v/>
      </c>
      <c r="H57" s="113" t="str">
        <f t="shared" si="6"/>
        <v/>
      </c>
      <c r="I57" s="22"/>
      <c r="J57" s="121"/>
      <c r="K57" s="115" t="str">
        <f t="shared" si="7"/>
        <v/>
      </c>
      <c r="L57" s="68"/>
      <c r="M57" s="23"/>
      <c r="N57" s="118" t="str">
        <f t="shared" si="8"/>
        <v/>
      </c>
      <c r="O57" s="119"/>
      <c r="P57" s="22"/>
      <c r="Q57" s="99" t="str">
        <f t="shared" si="9"/>
        <v/>
      </c>
      <c r="R57" s="115" t="str">
        <f t="shared" si="10"/>
        <v/>
      </c>
      <c r="S57" s="122"/>
      <c r="T57" s="65"/>
      <c r="U57" s="62" t="str">
        <f t="shared" si="11"/>
        <v/>
      </c>
    </row>
    <row r="58" ht="24.95" customHeight="1" spans="1:21">
      <c r="A58" s="2"/>
      <c r="B58" s="75"/>
      <c r="C58" s="76"/>
      <c r="D58" s="123">
        <v>17</v>
      </c>
      <c r="E58" s="124"/>
      <c r="F58" s="124"/>
      <c r="G58" s="124"/>
      <c r="H58" s="124"/>
      <c r="I58" s="124"/>
      <c r="J58" s="124" t="s">
        <v>151</v>
      </c>
      <c r="K58" s="38">
        <f>SUM(K42:K57)</f>
        <v>0.0277777777777778</v>
      </c>
      <c r="L58" s="38" t="s">
        <v>152</v>
      </c>
      <c r="M58" s="35"/>
      <c r="N58" s="125">
        <f>SUM(N42:O57)</f>
        <v>0.666666666666667</v>
      </c>
      <c r="O58" s="35"/>
      <c r="P58" s="126"/>
      <c r="Q58" s="127" t="s">
        <v>153</v>
      </c>
      <c r="R58" s="128">
        <f>SUM(R42:R57)</f>
        <v>0.176767676767677</v>
      </c>
      <c r="S58" s="129"/>
      <c r="T58" s="130" t="s">
        <v>154</v>
      </c>
      <c r="U58" s="131">
        <f>SUM(U42:U57)</f>
        <v>0.605769230769231</v>
      </c>
    </row>
    <row r="59" ht="24.95" customHeight="1" spans="1:21">
      <c r="A59" s="2"/>
      <c r="B59" s="53" t="s">
        <v>155</v>
      </c>
      <c r="C59" s="132" t="s">
        <v>156</v>
      </c>
      <c r="D59" s="119"/>
      <c r="E59" s="133">
        <f>IF(U6="",N58,U6*K58)</f>
        <v>0.666666666666667</v>
      </c>
      <c r="F59" s="134" t="s">
        <v>157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0"/>
      <c r="Q59" s="136" t="s">
        <v>158</v>
      </c>
      <c r="R59" s="137"/>
      <c r="S59" s="137"/>
      <c r="T59" s="137"/>
      <c r="U59" s="138"/>
    </row>
    <row r="60" ht="24.95" customHeight="1" spans="1:21">
      <c r="A60" s="2"/>
      <c r="B60" s="20" t="s">
        <v>159</v>
      </c>
      <c r="C60" s="27" t="s">
        <v>160</v>
      </c>
      <c r="D60" s="21"/>
      <c r="E60" s="139">
        <f>(K27+K40+U40+R58+U58+E59+U27)*O8</f>
        <v>0.122699404176195</v>
      </c>
      <c r="F60" s="140" t="s">
        <v>161</v>
      </c>
      <c r="G60" s="141"/>
      <c r="H60" s="141"/>
      <c r="I60" s="141"/>
      <c r="J60" s="141"/>
      <c r="K60" s="141"/>
      <c r="L60" s="141"/>
      <c r="M60" s="141"/>
      <c r="N60" s="141"/>
      <c r="O60" s="141"/>
      <c r="P60" s="21"/>
      <c r="Q60" s="142" t="s">
        <v>162</v>
      </c>
      <c r="R60" s="143"/>
      <c r="S60" s="144"/>
      <c r="T60" s="145"/>
      <c r="U60" s="146"/>
    </row>
    <row r="61" ht="24.95" customHeight="1" spans="1:21">
      <c r="A61" s="2"/>
      <c r="B61" s="20" t="s">
        <v>163</v>
      </c>
      <c r="C61" s="27" t="s">
        <v>164</v>
      </c>
      <c r="D61" s="21"/>
      <c r="E61" s="139">
        <f>(K27+U27)*0.03+(K40+U40+R58+U58+E59+E60)*0.05</f>
        <v>0.231800680649297</v>
      </c>
      <c r="F61" s="140" t="s">
        <v>165</v>
      </c>
      <c r="G61" s="141"/>
      <c r="H61" s="141"/>
      <c r="I61" s="141"/>
      <c r="J61" s="141"/>
      <c r="K61" s="141"/>
      <c r="L61" s="141"/>
      <c r="M61" s="141"/>
      <c r="N61" s="141"/>
      <c r="O61" s="141"/>
      <c r="P61" s="21"/>
      <c r="Q61" s="147" t="s">
        <v>166</v>
      </c>
      <c r="R61" s="141"/>
      <c r="S61" s="29"/>
      <c r="T61" s="25"/>
      <c r="U61" s="148"/>
    </row>
    <row r="62" ht="24.95" customHeight="1" spans="1:21">
      <c r="A62" s="2"/>
      <c r="B62" s="20" t="s">
        <v>167</v>
      </c>
      <c r="C62" s="27" t="s">
        <v>168</v>
      </c>
      <c r="D62" s="21"/>
      <c r="E62" s="149">
        <v>0.5</v>
      </c>
      <c r="F62" s="140" t="s">
        <v>169</v>
      </c>
      <c r="G62" s="141"/>
      <c r="H62" s="141"/>
      <c r="I62" s="141"/>
      <c r="J62" s="141"/>
      <c r="K62" s="141"/>
      <c r="L62" s="141"/>
      <c r="M62" s="141"/>
      <c r="N62" s="141"/>
      <c r="O62" s="141"/>
      <c r="P62" s="21"/>
      <c r="Q62" s="147" t="s">
        <v>170</v>
      </c>
      <c r="R62" s="141"/>
      <c r="S62" s="29"/>
      <c r="T62" s="25"/>
      <c r="U62" s="148"/>
    </row>
    <row r="63" ht="24.95" customHeight="1" spans="1:21">
      <c r="A63" s="2"/>
      <c r="B63" s="20" t="s">
        <v>171</v>
      </c>
      <c r="C63" s="27" t="s">
        <v>172</v>
      </c>
      <c r="D63" s="21"/>
      <c r="E63" s="150">
        <v>0.3</v>
      </c>
      <c r="F63" s="140" t="s">
        <v>173</v>
      </c>
      <c r="G63" s="141"/>
      <c r="H63" s="141"/>
      <c r="I63" s="141"/>
      <c r="J63" s="141"/>
      <c r="K63" s="141"/>
      <c r="L63" s="141"/>
      <c r="M63" s="141"/>
      <c r="N63" s="141"/>
      <c r="O63" s="141"/>
      <c r="P63" s="21"/>
      <c r="Q63" s="151"/>
      <c r="R63" s="152"/>
      <c r="S63" s="153"/>
      <c r="T63" s="154"/>
      <c r="U63" s="155"/>
    </row>
    <row r="64" ht="24.95" customHeight="1" spans="1:21">
      <c r="A64" s="2"/>
      <c r="B64" s="20" t="s">
        <v>174</v>
      </c>
      <c r="C64" s="27" t="s">
        <v>175</v>
      </c>
      <c r="D64" s="21"/>
      <c r="E64" s="156">
        <f>K27+U27+K40+R58+U58+E59+E60+E61+E62+E63+U40-S60</f>
        <v>7.28947029363524</v>
      </c>
      <c r="F64" s="140" t="s">
        <v>176</v>
      </c>
      <c r="G64" s="141"/>
      <c r="H64" s="141"/>
      <c r="I64" s="141"/>
      <c r="J64" s="141"/>
      <c r="K64" s="141"/>
      <c r="L64" s="141"/>
      <c r="M64" s="141"/>
      <c r="N64" s="141"/>
      <c r="O64" s="141"/>
      <c r="P64" s="21"/>
      <c r="Q64" s="157" t="s">
        <v>177</v>
      </c>
      <c r="R64" s="82"/>
      <c r="S64" s="82"/>
      <c r="T64" s="82"/>
      <c r="U64" s="83"/>
    </row>
    <row r="65" ht="24.95" customHeight="1" spans="1:21">
      <c r="A65" s="2"/>
      <c r="B65" s="20" t="s">
        <v>178</v>
      </c>
      <c r="C65" s="27" t="s">
        <v>179</v>
      </c>
      <c r="D65" s="21"/>
      <c r="E65" s="158">
        <v>0.05</v>
      </c>
      <c r="F65" s="140" t="s">
        <v>180</v>
      </c>
      <c r="G65" s="141"/>
      <c r="H65" s="141"/>
      <c r="I65" s="141"/>
      <c r="J65" s="141"/>
      <c r="K65" s="141"/>
      <c r="L65" s="141"/>
      <c r="M65" s="141"/>
      <c r="N65" s="141"/>
      <c r="O65" s="141"/>
      <c r="P65" s="21"/>
      <c r="Q65" s="159"/>
      <c r="R65" s="160"/>
      <c r="S65" s="160"/>
      <c r="T65" s="160"/>
      <c r="U65" s="161"/>
    </row>
    <row r="66" ht="24.95" customHeight="1" spans="1:21">
      <c r="A66" s="2"/>
      <c r="B66" s="20" t="s">
        <v>181</v>
      </c>
      <c r="C66" s="27" t="s">
        <v>182</v>
      </c>
      <c r="D66" s="21"/>
      <c r="E66" s="139">
        <f>E64*E65</f>
        <v>0.364473514681762</v>
      </c>
      <c r="F66" s="140" t="s">
        <v>183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21"/>
      <c r="Q66" s="160"/>
      <c r="R66" s="160"/>
      <c r="S66" s="160"/>
      <c r="T66" s="160"/>
      <c r="U66" s="161"/>
    </row>
    <row r="67" ht="24.95" customHeight="1" spans="1:21">
      <c r="A67" s="2"/>
      <c r="B67" s="20" t="s">
        <v>184</v>
      </c>
      <c r="C67" s="27" t="s">
        <v>185</v>
      </c>
      <c r="D67" s="21"/>
      <c r="E67" s="139">
        <f>E64+E66</f>
        <v>7.653943808317</v>
      </c>
      <c r="F67" s="140" t="s">
        <v>186</v>
      </c>
      <c r="G67" s="141"/>
      <c r="H67" s="141"/>
      <c r="I67" s="141"/>
      <c r="J67" s="141"/>
      <c r="K67" s="141"/>
      <c r="L67" s="141"/>
      <c r="M67" s="141"/>
      <c r="N67" s="141"/>
      <c r="O67" s="141"/>
      <c r="P67" s="21"/>
      <c r="Q67" s="160"/>
      <c r="R67" s="160"/>
      <c r="S67" s="160"/>
      <c r="T67" s="160"/>
      <c r="U67" s="161"/>
    </row>
    <row r="68" ht="24.95" customHeight="1" spans="1:21">
      <c r="A68" s="2"/>
      <c r="B68" s="20" t="s">
        <v>187</v>
      </c>
      <c r="C68" s="27" t="s">
        <v>188</v>
      </c>
      <c r="D68" s="21"/>
      <c r="E68" s="139">
        <f>E67*0.13</f>
        <v>0.99501269508121</v>
      </c>
      <c r="F68" s="140" t="s">
        <v>189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21"/>
      <c r="Q68" s="160"/>
      <c r="R68" s="160"/>
      <c r="S68" s="160"/>
      <c r="T68" s="160"/>
      <c r="U68" s="161"/>
    </row>
    <row r="69" ht="24.95" customHeight="1" spans="1:21">
      <c r="A69" s="2"/>
      <c r="B69" s="123" t="s">
        <v>190</v>
      </c>
      <c r="C69" s="130" t="s">
        <v>191</v>
      </c>
      <c r="D69" s="162"/>
      <c r="E69" s="163">
        <f>E67+E68</f>
        <v>8.64895650339821</v>
      </c>
      <c r="F69" s="164" t="s">
        <v>192</v>
      </c>
      <c r="G69" s="152"/>
      <c r="H69" s="152"/>
      <c r="I69" s="152"/>
      <c r="J69" s="152"/>
      <c r="K69" s="152"/>
      <c r="L69" s="152"/>
      <c r="M69" s="152"/>
      <c r="N69" s="152"/>
      <c r="O69" s="152"/>
      <c r="P69" s="162"/>
      <c r="Q69" s="165"/>
      <c r="R69" s="165"/>
      <c r="S69" s="165"/>
      <c r="T69" s="165"/>
      <c r="U69" s="166"/>
    </row>
    <row r="70" ht="13.5" spans="1:21">
      <c r="B70" t="s">
        <v>193</v>
      </c>
    </row>
  </sheetData>
  <sheetProtection sheet="1" objects="1"/>
  <mergeCells count="119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M9:M27"/>
    <mergeCell ref="M28:M40"/>
    <mergeCell ref="Q65:U69"/>
  </mergeCells>
  <pageMargins left="0.75" right="0.75" top="1" bottom="1" header="0.5" footer="0.5"/>
  <pageSetup paperSize="9" scale="3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0"/>
  <sheetViews>
    <sheetView topLeftCell="A50" workbookViewId="0">
      <selection activeCell="E42" sqref="E42:U42"/>
    </sheetView>
  </sheetViews>
  <sheetFormatPr defaultColWidth="9" defaultRowHeight="11.25"/>
  <cols>
    <col min="1" max="1" width="3.6283185840708" style="1" customWidth="1"/>
    <col min="2" max="2" width="4.87610619469027" style="1" customWidth="1"/>
    <col min="3" max="3" width="5.87610619469027" style="1" customWidth="1"/>
    <col min="4" max="4" width="5.6283185840708" style="1" customWidth="1"/>
    <col min="5" max="6" width="16.2477876106195" style="1" customWidth="1"/>
    <col min="7" max="7" width="11.3716814159292" style="1" customWidth="1"/>
    <col min="8" max="8" width="8.87610619469027" style="1" customWidth="1"/>
    <col min="9" max="9" width="9.12389380530973" style="1" customWidth="1"/>
    <col min="10" max="10" width="12.7522123893805" style="1" customWidth="1"/>
    <col min="11" max="11" width="8.75221238938053" style="1" customWidth="1"/>
    <col min="12" max="12" width="5.12389380530973" style="1" customWidth="1"/>
    <col min="13" max="13" width="5.87610619469027" style="1" customWidth="1"/>
    <col min="14" max="14" width="4.75221238938053" style="1" customWidth="1"/>
    <col min="15" max="15" width="14.5044247787611" style="1" customWidth="1"/>
    <col min="16" max="16" width="12.6283185840708" style="1" customWidth="1"/>
    <col min="17" max="18" width="11" style="1" customWidth="1"/>
    <col min="19" max="19" width="11.1238938053097" style="1" customWidth="1"/>
    <col min="20" max="20" width="13.5044247787611" style="1" customWidth="1"/>
    <col min="21" max="21" width="11.3716814159292" style="1" customWidth="1"/>
    <col min="22" max="16384" width="9" style="1" customWidth="1"/>
  </cols>
  <sheetData>
    <row r="1" ht="12"/>
    <row r="2" ht="39.95" customHeight="1" spans="1:21">
      <c r="A2" s="2"/>
      <c r="B2" s="3" t="s">
        <v>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0.95" customHeight="1" spans="1:21">
      <c r="A3" s="2"/>
      <c r="B3" s="6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7"/>
    </row>
    <row r="4" ht="27.95" customHeight="1" spans="1:21">
      <c r="A4" s="2"/>
      <c r="B4" s="8" t="s">
        <v>58</v>
      </c>
      <c r="C4" s="9" t="s">
        <v>59</v>
      </c>
      <c r="D4" s="10"/>
      <c r="E4" s="11" t="s">
        <v>60</v>
      </c>
      <c r="F4" s="12"/>
      <c r="G4" s="13" t="s">
        <v>61</v>
      </c>
      <c r="H4" s="11">
        <v>3000</v>
      </c>
      <c r="I4" s="14"/>
      <c r="J4" s="14"/>
      <c r="K4" s="12"/>
      <c r="L4" s="8" t="s">
        <v>62</v>
      </c>
      <c r="M4" s="9" t="s">
        <v>3</v>
      </c>
      <c r="N4" s="10"/>
      <c r="O4" s="15" t="s">
        <v>194</v>
      </c>
      <c r="P4" s="12"/>
      <c r="Q4" s="13" t="s">
        <v>64</v>
      </c>
      <c r="R4" s="16">
        <v>46192</v>
      </c>
      <c r="S4" s="12"/>
      <c r="T4" s="17" t="s">
        <v>65</v>
      </c>
      <c r="U4" s="18">
        <v>0.0775</v>
      </c>
    </row>
    <row r="5" ht="27.95" customHeight="1" spans="1:21">
      <c r="A5" s="2"/>
      <c r="B5" s="19"/>
      <c r="C5" s="20" t="s">
        <v>66</v>
      </c>
      <c r="D5" s="21"/>
      <c r="E5" s="22" t="s">
        <v>67</v>
      </c>
      <c r="F5" s="23"/>
      <c r="G5" s="24" t="s">
        <v>68</v>
      </c>
      <c r="H5" s="22">
        <v>120</v>
      </c>
      <c r="I5" s="25"/>
      <c r="J5" s="25"/>
      <c r="K5" s="23"/>
      <c r="L5" s="19"/>
      <c r="M5" s="20" t="s">
        <v>2</v>
      </c>
      <c r="N5" s="21"/>
      <c r="O5" s="26" t="s">
        <v>11</v>
      </c>
      <c r="P5" s="23"/>
      <c r="Q5" s="27" t="s">
        <v>69</v>
      </c>
      <c r="R5" s="28" t="s">
        <v>70</v>
      </c>
      <c r="S5" s="23"/>
      <c r="T5" s="27" t="s">
        <v>71</v>
      </c>
      <c r="U5" s="29">
        <v>0.0892</v>
      </c>
    </row>
    <row r="6" ht="27.95" customHeight="1" spans="1:21">
      <c r="A6" s="2"/>
      <c r="B6" s="19"/>
      <c r="C6" s="20" t="s">
        <v>72</v>
      </c>
      <c r="D6" s="21"/>
      <c r="E6" s="22" t="s">
        <v>73</v>
      </c>
      <c r="F6" s="23"/>
      <c r="G6" s="24" t="s">
        <v>74</v>
      </c>
      <c r="H6" s="22">
        <v>50</v>
      </c>
      <c r="I6" s="25"/>
      <c r="J6" s="25"/>
      <c r="K6" s="23"/>
      <c r="L6" s="19"/>
      <c r="M6" s="30" t="s">
        <v>75</v>
      </c>
      <c r="N6" s="21"/>
      <c r="O6" s="31">
        <v>61.2178</v>
      </c>
      <c r="P6" s="23"/>
      <c r="Q6" s="27" t="s">
        <v>69</v>
      </c>
      <c r="R6" s="28" t="s">
        <v>70</v>
      </c>
      <c r="S6" s="23"/>
      <c r="T6" s="24" t="s">
        <v>76</v>
      </c>
      <c r="U6" s="32"/>
    </row>
    <row r="7" ht="27.95" customHeight="1" spans="1:21">
      <c r="A7" s="2"/>
      <c r="B7" s="19"/>
      <c r="C7" s="20" t="s">
        <v>77</v>
      </c>
      <c r="D7" s="21"/>
      <c r="E7" s="22" t="s">
        <v>78</v>
      </c>
      <c r="F7" s="23"/>
      <c r="G7" s="27" t="s">
        <v>79</v>
      </c>
      <c r="H7" s="22" t="s">
        <v>80</v>
      </c>
      <c r="I7" s="25"/>
      <c r="J7" s="25"/>
      <c r="K7" s="23"/>
      <c r="L7" s="19"/>
      <c r="M7" s="20" t="s">
        <v>81</v>
      </c>
      <c r="N7" s="21"/>
      <c r="O7" s="31"/>
      <c r="P7" s="23"/>
      <c r="Q7" s="27" t="s">
        <v>82</v>
      </c>
      <c r="R7" s="28" t="s">
        <v>70</v>
      </c>
      <c r="S7" s="23"/>
      <c r="T7" s="24" t="s">
        <v>83</v>
      </c>
      <c r="U7" s="29">
        <v>1</v>
      </c>
    </row>
    <row r="8" ht="27.95" customHeight="1" spans="1:21">
      <c r="A8" s="2"/>
      <c r="B8" s="33"/>
      <c r="C8" s="34" t="s">
        <v>84</v>
      </c>
      <c r="D8" s="35"/>
      <c r="E8" s="36">
        <v>13735526664</v>
      </c>
      <c r="F8" s="37"/>
      <c r="G8" s="38" t="s">
        <v>85</v>
      </c>
      <c r="H8" s="36" t="s">
        <v>86</v>
      </c>
      <c r="I8" s="39"/>
      <c r="J8" s="39"/>
      <c r="K8" s="37"/>
      <c r="L8" s="33"/>
      <c r="M8" s="40" t="s">
        <v>87</v>
      </c>
      <c r="N8" s="35"/>
      <c r="O8" s="41">
        <v>0.02</v>
      </c>
      <c r="P8" s="37"/>
      <c r="Q8" s="38" t="s">
        <v>88</v>
      </c>
      <c r="R8" s="42" t="s">
        <v>70</v>
      </c>
      <c r="S8" s="37"/>
      <c r="T8" s="43" t="s">
        <v>89</v>
      </c>
      <c r="U8" s="44">
        <v>300</v>
      </c>
    </row>
    <row r="9" ht="24.95" customHeight="1" spans="1:21">
      <c r="A9" s="2"/>
      <c r="B9" s="45" t="s">
        <v>90</v>
      </c>
      <c r="C9" s="46" t="s">
        <v>91</v>
      </c>
      <c r="D9" s="47" t="s">
        <v>92</v>
      </c>
      <c r="E9" s="48" t="s">
        <v>93</v>
      </c>
      <c r="F9" s="48" t="s">
        <v>94</v>
      </c>
      <c r="G9" s="48" t="s">
        <v>95</v>
      </c>
      <c r="H9" s="48" t="s">
        <v>96</v>
      </c>
      <c r="I9" s="48" t="s">
        <v>97</v>
      </c>
      <c r="J9" s="48" t="s">
        <v>98</v>
      </c>
      <c r="K9" s="49" t="s">
        <v>99</v>
      </c>
      <c r="L9" s="50" t="s">
        <v>100</v>
      </c>
      <c r="M9" s="46" t="s">
        <v>101</v>
      </c>
      <c r="N9" s="47" t="s">
        <v>92</v>
      </c>
      <c r="O9" s="48" t="s">
        <v>93</v>
      </c>
      <c r="P9" s="48" t="s">
        <v>94</v>
      </c>
      <c r="Q9" s="48" t="s">
        <v>95</v>
      </c>
      <c r="R9" s="48" t="s">
        <v>96</v>
      </c>
      <c r="S9" s="48" t="s">
        <v>97</v>
      </c>
      <c r="T9" s="48" t="s">
        <v>98</v>
      </c>
      <c r="U9" s="49" t="s">
        <v>102</v>
      </c>
    </row>
    <row r="10" ht="24.95" customHeight="1" spans="1:21">
      <c r="A10" s="2"/>
      <c r="B10" s="51"/>
      <c r="C10" s="52"/>
      <c r="D10" s="53">
        <v>1</v>
      </c>
      <c r="E10" s="54" t="s">
        <v>103</v>
      </c>
      <c r="F10" s="55" t="s">
        <v>104</v>
      </c>
      <c r="G10" s="56"/>
      <c r="H10" s="56">
        <v>0.0892</v>
      </c>
      <c r="I10" s="57">
        <v>0.01</v>
      </c>
      <c r="J10" s="56">
        <v>45</v>
      </c>
      <c r="K10" s="58">
        <f>IF(J10="","",J10*H10*(1+I10))</f>
        <v>4.05414</v>
      </c>
      <c r="L10" s="51"/>
      <c r="M10" s="52"/>
      <c r="N10" s="53">
        <v>1</v>
      </c>
      <c r="O10" s="59"/>
      <c r="P10" s="60"/>
      <c r="Q10" s="56"/>
      <c r="R10" s="56"/>
      <c r="S10" s="61"/>
      <c r="T10" s="56"/>
      <c r="U10" s="62" t="str">
        <f t="shared" ref="U10:U26" si="0">IF(T10="","",T10*R10*(1+S10))</f>
        <v/>
      </c>
    </row>
    <row r="11" ht="24.95" customHeight="1" spans="1:21">
      <c r="A11" s="2"/>
      <c r="B11" s="51"/>
      <c r="C11" s="52"/>
      <c r="D11" s="20">
        <v>2</v>
      </c>
      <c r="E11" s="63"/>
      <c r="F11" s="63"/>
      <c r="G11" s="64"/>
      <c r="H11" s="64"/>
      <c r="I11" s="65"/>
      <c r="J11" s="64"/>
      <c r="K11" s="66" t="str">
        <f>IF(J11="","",J11*H11*(1+I11))</f>
        <v/>
      </c>
      <c r="L11" s="51"/>
      <c r="M11" s="52"/>
      <c r="N11" s="20">
        <v>2</v>
      </c>
      <c r="O11" s="67"/>
      <c r="P11" s="63"/>
      <c r="Q11" s="64"/>
      <c r="R11" s="64"/>
      <c r="S11" s="68"/>
      <c r="T11" s="64"/>
      <c r="U11" s="69" t="str">
        <f t="shared" si="0"/>
        <v/>
      </c>
    </row>
    <row r="12" ht="24.95" customHeight="1" spans="1:21">
      <c r="A12" s="2"/>
      <c r="B12" s="51"/>
      <c r="C12" s="52"/>
      <c r="D12" s="20">
        <v>3</v>
      </c>
      <c r="E12" s="63"/>
      <c r="F12" s="63"/>
      <c r="G12" s="64"/>
      <c r="H12" s="64"/>
      <c r="I12" s="65"/>
      <c r="J12" s="64"/>
      <c r="K12" s="66" t="str">
        <f>IF(J12="","",J12*H12*(1+I12))</f>
        <v/>
      </c>
      <c r="L12" s="51"/>
      <c r="M12" s="52"/>
      <c r="N12" s="20">
        <v>3</v>
      </c>
      <c r="O12" s="67"/>
      <c r="P12" s="63"/>
      <c r="Q12" s="64"/>
      <c r="R12" s="64"/>
      <c r="S12" s="68"/>
      <c r="T12" s="64"/>
      <c r="U12" s="69" t="str">
        <f t="shared" si="0"/>
        <v/>
      </c>
    </row>
    <row r="13" ht="24.95" customHeight="1" spans="1:21">
      <c r="A13" s="2"/>
      <c r="B13" s="51"/>
      <c r="C13" s="52"/>
      <c r="D13" s="20">
        <v>4</v>
      </c>
      <c r="E13" s="63"/>
      <c r="F13" s="63"/>
      <c r="G13" s="64"/>
      <c r="I13" s="65"/>
      <c r="J13" s="31"/>
      <c r="K13" s="66" t="str">
        <f>IF(J13="","",J13*G13*(1+I13))</f>
        <v/>
      </c>
      <c r="L13" s="51"/>
      <c r="M13" s="52"/>
      <c r="N13" s="20">
        <v>4</v>
      </c>
      <c r="O13" s="67"/>
      <c r="P13" s="63"/>
      <c r="Q13" s="64"/>
      <c r="R13" s="64"/>
      <c r="S13" s="68"/>
      <c r="T13" s="64"/>
      <c r="U13" s="69" t="str">
        <f t="shared" si="0"/>
        <v/>
      </c>
    </row>
    <row r="14" ht="24.95" customHeight="1" spans="1:21">
      <c r="A14" s="2"/>
      <c r="B14" s="51"/>
      <c r="C14" s="52"/>
      <c r="D14" s="20">
        <v>5</v>
      </c>
      <c r="E14" s="63"/>
      <c r="F14" s="63"/>
      <c r="G14" s="64"/>
      <c r="H14" s="31"/>
      <c r="I14" s="64"/>
      <c r="J14" s="65"/>
      <c r="K14" s="66" t="str">
        <f t="shared" ref="K14:K26" si="1">IF(J14="","",J14*H14*(1+I14))</f>
        <v/>
      </c>
      <c r="L14" s="51"/>
      <c r="M14" s="52"/>
      <c r="N14" s="20">
        <v>5</v>
      </c>
      <c r="O14" s="67"/>
      <c r="P14" s="63"/>
      <c r="Q14" s="64"/>
      <c r="R14" s="64"/>
      <c r="S14" s="68"/>
      <c r="T14" s="64"/>
      <c r="U14" s="69" t="str">
        <f t="shared" si="0"/>
        <v/>
      </c>
    </row>
    <row r="15" ht="24.95" customHeight="1" spans="1:21">
      <c r="A15" s="2"/>
      <c r="B15" s="51"/>
      <c r="C15" s="52"/>
      <c r="D15" s="20">
        <v>6</v>
      </c>
      <c r="E15" s="63"/>
      <c r="F15" s="63"/>
      <c r="G15" s="64"/>
      <c r="H15" s="31"/>
      <c r="I15" s="64"/>
      <c r="J15" s="65"/>
      <c r="K15" s="66" t="str">
        <f t="shared" si="1"/>
        <v/>
      </c>
      <c r="L15" s="51"/>
      <c r="M15" s="52"/>
      <c r="N15" s="20">
        <v>6</v>
      </c>
      <c r="O15" s="67"/>
      <c r="P15" s="63"/>
      <c r="Q15" s="64"/>
      <c r="R15" s="64"/>
      <c r="S15" s="68"/>
      <c r="T15" s="64"/>
      <c r="U15" s="69" t="str">
        <f t="shared" si="0"/>
        <v/>
      </c>
    </row>
    <row r="16" ht="24.95" customHeight="1" spans="1:21">
      <c r="A16" s="2"/>
      <c r="B16" s="51"/>
      <c r="C16" s="52"/>
      <c r="D16" s="20">
        <v>7</v>
      </c>
      <c r="E16" s="63"/>
      <c r="F16" s="63"/>
      <c r="G16" s="64"/>
      <c r="H16" s="31"/>
      <c r="I16" s="64"/>
      <c r="J16" s="65"/>
      <c r="K16" s="66" t="str">
        <f t="shared" si="1"/>
        <v/>
      </c>
      <c r="L16" s="51"/>
      <c r="M16" s="52"/>
      <c r="N16" s="20">
        <v>7</v>
      </c>
      <c r="O16" s="67"/>
      <c r="P16" s="63"/>
      <c r="Q16" s="64"/>
      <c r="R16" s="64"/>
      <c r="S16" s="68"/>
      <c r="T16" s="64"/>
      <c r="U16" s="69" t="str">
        <f t="shared" si="0"/>
        <v/>
      </c>
    </row>
    <row r="17" ht="24.95" customHeight="1" spans="1:21">
      <c r="A17" s="2"/>
      <c r="B17" s="51"/>
      <c r="C17" s="52"/>
      <c r="D17" s="20">
        <v>8</v>
      </c>
      <c r="E17" s="63"/>
      <c r="F17" s="63"/>
      <c r="G17" s="64"/>
      <c r="H17" s="31"/>
      <c r="I17" s="64"/>
      <c r="J17" s="65"/>
      <c r="K17" s="66" t="str">
        <f t="shared" si="1"/>
        <v/>
      </c>
      <c r="L17" s="51"/>
      <c r="M17" s="52"/>
      <c r="N17" s="20">
        <v>8</v>
      </c>
      <c r="O17" s="67"/>
      <c r="P17" s="63"/>
      <c r="Q17" s="64"/>
      <c r="R17" s="64"/>
      <c r="S17" s="68"/>
      <c r="T17" s="64"/>
      <c r="U17" s="69" t="str">
        <f t="shared" si="0"/>
        <v/>
      </c>
    </row>
    <row r="18" ht="24.95" customHeight="1" spans="1:21">
      <c r="A18" s="2"/>
      <c r="B18" s="51"/>
      <c r="C18" s="52"/>
      <c r="D18" s="20">
        <v>9</v>
      </c>
      <c r="E18" s="63"/>
      <c r="F18" s="63"/>
      <c r="G18" s="64"/>
      <c r="H18" s="64"/>
      <c r="I18" s="64"/>
      <c r="J18" s="65"/>
      <c r="K18" s="66" t="str">
        <f t="shared" si="1"/>
        <v/>
      </c>
      <c r="L18" s="51"/>
      <c r="M18" s="52"/>
      <c r="N18" s="20">
        <v>9</v>
      </c>
      <c r="O18" s="67"/>
      <c r="P18" s="63"/>
      <c r="Q18" s="64"/>
      <c r="R18" s="64"/>
      <c r="S18" s="68"/>
      <c r="T18" s="64"/>
      <c r="U18" s="69" t="str">
        <f t="shared" si="0"/>
        <v/>
      </c>
    </row>
    <row r="19" ht="24.95" customHeight="1" spans="1:21">
      <c r="A19" s="2"/>
      <c r="B19" s="51"/>
      <c r="C19" s="52"/>
      <c r="D19" s="20">
        <v>10</v>
      </c>
      <c r="E19" s="63"/>
      <c r="F19" s="63"/>
      <c r="G19" s="64"/>
      <c r="H19" s="64"/>
      <c r="I19" s="64"/>
      <c r="J19" s="65"/>
      <c r="K19" s="66" t="str">
        <f t="shared" si="1"/>
        <v/>
      </c>
      <c r="L19" s="51"/>
      <c r="M19" s="52"/>
      <c r="N19" s="20">
        <v>10</v>
      </c>
      <c r="O19" s="67"/>
      <c r="P19" s="63"/>
      <c r="Q19" s="64"/>
      <c r="R19" s="64"/>
      <c r="S19" s="68"/>
      <c r="T19" s="64"/>
      <c r="U19" s="69" t="str">
        <f t="shared" si="0"/>
        <v/>
      </c>
    </row>
    <row r="20" ht="24.95" customHeight="1" spans="1:21">
      <c r="A20" s="2"/>
      <c r="B20" s="51"/>
      <c r="C20" s="52"/>
      <c r="D20" s="20">
        <v>11</v>
      </c>
      <c r="E20" s="63"/>
      <c r="F20" s="63"/>
      <c r="G20" s="64"/>
      <c r="H20" s="64"/>
      <c r="I20" s="64"/>
      <c r="J20" s="65"/>
      <c r="K20" s="66" t="str">
        <f t="shared" si="1"/>
        <v/>
      </c>
      <c r="L20" s="51"/>
      <c r="M20" s="52"/>
      <c r="N20" s="20">
        <v>11</v>
      </c>
      <c r="O20" s="67"/>
      <c r="P20" s="70"/>
      <c r="Q20" s="71"/>
      <c r="R20" s="64"/>
      <c r="S20" s="68"/>
      <c r="T20" s="64"/>
      <c r="U20" s="69" t="str">
        <f t="shared" si="0"/>
        <v/>
      </c>
    </row>
    <row r="21" ht="24.95" customHeight="1" spans="1:21">
      <c r="A21" s="2"/>
      <c r="B21" s="51"/>
      <c r="C21" s="52"/>
      <c r="D21" s="20">
        <v>12</v>
      </c>
      <c r="E21" s="72"/>
      <c r="F21" s="72"/>
      <c r="G21" s="22"/>
      <c r="H21" s="64"/>
      <c r="I21" s="64"/>
      <c r="J21" s="65"/>
      <c r="K21" s="66" t="str">
        <f t="shared" si="1"/>
        <v/>
      </c>
      <c r="L21" s="51"/>
      <c r="M21" s="52"/>
      <c r="N21" s="20">
        <v>12</v>
      </c>
      <c r="O21" s="67"/>
      <c r="P21" s="70"/>
      <c r="Q21" s="71"/>
      <c r="R21" s="64"/>
      <c r="S21" s="68"/>
      <c r="T21" s="64"/>
      <c r="U21" s="69" t="str">
        <f t="shared" si="0"/>
        <v/>
      </c>
    </row>
    <row r="22" ht="24.95" customHeight="1" spans="1:21">
      <c r="A22" s="2"/>
      <c r="B22" s="51"/>
      <c r="C22" s="52"/>
      <c r="D22" s="20">
        <v>13</v>
      </c>
      <c r="E22" s="72"/>
      <c r="F22" s="72"/>
      <c r="G22" s="22"/>
      <c r="H22" s="64"/>
      <c r="I22" s="64"/>
      <c r="J22" s="65"/>
      <c r="K22" s="66" t="str">
        <f t="shared" si="1"/>
        <v/>
      </c>
      <c r="L22" s="51"/>
      <c r="M22" s="52"/>
      <c r="N22" s="20">
        <v>13</v>
      </c>
      <c r="O22" s="67"/>
      <c r="P22" s="70"/>
      <c r="Q22" s="71"/>
      <c r="R22" s="64"/>
      <c r="S22" s="68"/>
      <c r="T22" s="64"/>
      <c r="U22" s="69" t="str">
        <f t="shared" si="0"/>
        <v/>
      </c>
    </row>
    <row r="23" ht="24.95" customHeight="1" spans="1:21">
      <c r="A23" s="2"/>
      <c r="B23" s="51"/>
      <c r="C23" s="52"/>
      <c r="D23" s="20">
        <v>14</v>
      </c>
      <c r="E23" s="72"/>
      <c r="F23" s="72"/>
      <c r="G23" s="22"/>
      <c r="H23" s="64"/>
      <c r="I23" s="64"/>
      <c r="J23" s="65"/>
      <c r="K23" s="66" t="str">
        <f t="shared" si="1"/>
        <v/>
      </c>
      <c r="L23" s="51"/>
      <c r="M23" s="52"/>
      <c r="N23" s="20">
        <v>14</v>
      </c>
      <c r="O23" s="67"/>
      <c r="P23" s="72"/>
      <c r="Q23" s="22"/>
      <c r="R23" s="64"/>
      <c r="S23" s="68"/>
      <c r="T23" s="64"/>
      <c r="U23" s="69" t="str">
        <f t="shared" si="0"/>
        <v/>
      </c>
    </row>
    <row r="24" ht="24.95" customHeight="1" spans="1:21">
      <c r="A24" s="2"/>
      <c r="B24" s="51"/>
      <c r="C24" s="52"/>
      <c r="D24" s="20">
        <v>15</v>
      </c>
      <c r="E24" s="72"/>
      <c r="F24" s="73"/>
      <c r="G24" s="74"/>
      <c r="H24" s="64"/>
      <c r="I24" s="64"/>
      <c r="J24" s="65"/>
      <c r="K24" s="66" t="str">
        <f t="shared" si="1"/>
        <v/>
      </c>
      <c r="L24" s="51"/>
      <c r="M24" s="52"/>
      <c r="N24" s="20">
        <v>15</v>
      </c>
      <c r="O24" s="67"/>
      <c r="P24" s="72"/>
      <c r="Q24" s="22"/>
      <c r="R24" s="64"/>
      <c r="S24" s="68"/>
      <c r="T24" s="64"/>
      <c r="U24" s="69" t="str">
        <f t="shared" si="0"/>
        <v/>
      </c>
    </row>
    <row r="25" ht="24.95" customHeight="1" spans="1:21">
      <c r="A25" s="2"/>
      <c r="B25" s="51"/>
      <c r="C25" s="52"/>
      <c r="D25" s="20">
        <v>16</v>
      </c>
      <c r="E25" s="72"/>
      <c r="F25" s="72"/>
      <c r="G25" s="22"/>
      <c r="H25" s="64"/>
      <c r="I25" s="64"/>
      <c r="J25" s="65"/>
      <c r="K25" s="66" t="str">
        <f t="shared" si="1"/>
        <v/>
      </c>
      <c r="L25" s="51"/>
      <c r="M25" s="52"/>
      <c r="N25" s="20">
        <v>16</v>
      </c>
      <c r="O25" s="67"/>
      <c r="P25" s="72"/>
      <c r="Q25" s="22"/>
      <c r="R25" s="64"/>
      <c r="S25" s="68"/>
      <c r="T25" s="64"/>
      <c r="U25" s="69" t="str">
        <f t="shared" si="0"/>
        <v/>
      </c>
    </row>
    <row r="26" ht="24.95" customHeight="1" spans="1:21">
      <c r="A26" s="2"/>
      <c r="B26" s="51"/>
      <c r="C26" s="52"/>
      <c r="D26" s="20">
        <v>17</v>
      </c>
      <c r="E26" s="72"/>
      <c r="F26" s="72"/>
      <c r="G26" s="22"/>
      <c r="H26" s="64"/>
      <c r="I26" s="64"/>
      <c r="J26" s="65"/>
      <c r="K26" s="66" t="str">
        <f t="shared" si="1"/>
        <v/>
      </c>
      <c r="L26" s="51"/>
      <c r="M26" s="52"/>
      <c r="N26" s="20">
        <v>17</v>
      </c>
      <c r="O26" s="67"/>
      <c r="P26" s="72"/>
      <c r="Q26" s="22"/>
      <c r="R26" s="64"/>
      <c r="S26" s="68"/>
      <c r="T26" s="64"/>
      <c r="U26" s="69" t="str">
        <f t="shared" si="0"/>
        <v/>
      </c>
    </row>
    <row r="27" ht="24.95" customHeight="1" spans="1:21">
      <c r="A27" s="2"/>
      <c r="B27" s="75"/>
      <c r="C27" s="76"/>
      <c r="D27" s="34"/>
      <c r="E27" s="77"/>
      <c r="F27" s="77"/>
      <c r="G27" s="77"/>
      <c r="H27" s="38" t="s">
        <v>105</v>
      </c>
      <c r="I27" s="35"/>
      <c r="J27" s="78"/>
      <c r="K27" s="79">
        <f>SUM(K10:K26)</f>
        <v>4.05414</v>
      </c>
      <c r="L27" s="75"/>
      <c r="M27" s="76"/>
      <c r="N27" s="34"/>
      <c r="O27" s="80"/>
      <c r="P27" s="38"/>
      <c r="Q27" s="38"/>
      <c r="R27" s="38"/>
      <c r="S27" s="38" t="s">
        <v>106</v>
      </c>
      <c r="T27" s="35"/>
      <c r="U27" s="79">
        <f>SUM(U10:U26)</f>
        <v>0</v>
      </c>
    </row>
    <row r="28" ht="24.95" customHeight="1" spans="1:21">
      <c r="A28" s="2"/>
      <c r="B28" s="45" t="s">
        <v>107</v>
      </c>
      <c r="C28" s="46" t="s">
        <v>108</v>
      </c>
      <c r="D28" s="81" t="s">
        <v>109</v>
      </c>
      <c r="E28" s="82"/>
      <c r="F28" s="82"/>
      <c r="G28" s="82"/>
      <c r="H28" s="82"/>
      <c r="I28" s="82"/>
      <c r="J28" s="82"/>
      <c r="K28" s="83"/>
      <c r="L28" s="50" t="s">
        <v>110</v>
      </c>
      <c r="M28" s="46" t="s">
        <v>111</v>
      </c>
      <c r="N28" s="81" t="s">
        <v>112</v>
      </c>
      <c r="O28" s="82"/>
      <c r="P28" s="82"/>
      <c r="Q28" s="82"/>
      <c r="R28" s="82"/>
      <c r="S28" s="82"/>
      <c r="T28" s="82"/>
      <c r="U28" s="83"/>
    </row>
    <row r="29" ht="24.95" customHeight="1" spans="1:21">
      <c r="A29" s="2"/>
      <c r="B29" s="51"/>
      <c r="C29" s="52"/>
      <c r="D29" s="84" t="s">
        <v>92</v>
      </c>
      <c r="E29" s="85" t="s">
        <v>113</v>
      </c>
      <c r="F29" s="86" t="s">
        <v>114</v>
      </c>
      <c r="G29" s="85" t="s">
        <v>115</v>
      </c>
      <c r="H29" s="86" t="s">
        <v>116</v>
      </c>
      <c r="I29" s="86" t="s">
        <v>117</v>
      </c>
      <c r="J29" s="86" t="s">
        <v>118</v>
      </c>
      <c r="K29" s="87" t="s">
        <v>119</v>
      </c>
      <c r="L29" s="51"/>
      <c r="M29" s="52"/>
      <c r="N29" s="88" t="s">
        <v>120</v>
      </c>
      <c r="O29" s="85" t="s">
        <v>121</v>
      </c>
      <c r="P29" s="86" t="s">
        <v>122</v>
      </c>
      <c r="Q29" s="85" t="s">
        <v>123</v>
      </c>
      <c r="R29" s="86" t="s">
        <v>124</v>
      </c>
      <c r="S29" s="86" t="s">
        <v>125</v>
      </c>
      <c r="T29" s="86" t="s">
        <v>118</v>
      </c>
      <c r="U29" s="87" t="s">
        <v>126</v>
      </c>
    </row>
    <row r="30" ht="24.95" customHeight="1" spans="1:21">
      <c r="A30" s="2"/>
      <c r="B30" s="51"/>
      <c r="C30" s="52"/>
      <c r="D30" s="53">
        <v>1</v>
      </c>
      <c r="E30" s="89" t="s">
        <v>127</v>
      </c>
      <c r="F30" s="90">
        <v>29</v>
      </c>
      <c r="G30" s="90">
        <v>2</v>
      </c>
      <c r="H30" s="90">
        <v>50</v>
      </c>
      <c r="I30" s="90">
        <f>23*2</f>
        <v>46</v>
      </c>
      <c r="J30" s="91">
        <f>22.9566*2</f>
        <v>45.9132</v>
      </c>
      <c r="K30" s="92">
        <f t="shared" ref="K30:K39" si="2">IF(E30="","",IF(J30="",F30/I30,F30/J30))</f>
        <v>0.63162663460617</v>
      </c>
      <c r="L30" s="51"/>
      <c r="M30" s="52"/>
      <c r="N30" s="53">
        <v>1</v>
      </c>
      <c r="O30" s="93" t="s">
        <v>128</v>
      </c>
      <c r="P30" s="90">
        <v>0</v>
      </c>
      <c r="Q30" s="94"/>
      <c r="R30" s="95">
        <f>O6</f>
        <v>61.2178</v>
      </c>
      <c r="S30" s="90">
        <v>23</v>
      </c>
      <c r="T30" s="94"/>
      <c r="U30" s="62">
        <f t="shared" ref="U30:U39" si="3">IF(O30="","",IF(T30="",P30/S30,P30/T30))</f>
        <v>0</v>
      </c>
    </row>
    <row r="31" ht="24.95" customHeight="1" spans="1:21">
      <c r="A31" s="2"/>
      <c r="B31" s="51"/>
      <c r="C31" s="52"/>
      <c r="D31" s="20">
        <v>2</v>
      </c>
      <c r="E31" s="22"/>
      <c r="F31" s="22"/>
      <c r="G31" s="22"/>
      <c r="H31" s="22"/>
      <c r="I31" s="22"/>
      <c r="J31" s="96"/>
      <c r="K31" s="97" t="str">
        <f t="shared" si="2"/>
        <v/>
      </c>
      <c r="L31" s="51"/>
      <c r="M31" s="52"/>
      <c r="N31" s="20">
        <v>2</v>
      </c>
      <c r="O31" s="98"/>
      <c r="P31" s="22"/>
      <c r="Q31" s="22"/>
      <c r="R31" s="99" t="str">
        <f t="shared" ref="R31:R39" si="4">IF(O31="","",R30)</f>
        <v/>
      </c>
      <c r="S31" s="22"/>
      <c r="T31" s="22"/>
      <c r="U31" s="69" t="str">
        <f t="shared" si="3"/>
        <v/>
      </c>
    </row>
    <row r="32" ht="24.95" customHeight="1" spans="1:21">
      <c r="A32" s="2"/>
      <c r="B32" s="51"/>
      <c r="C32" s="52"/>
      <c r="D32" s="20">
        <v>3</v>
      </c>
      <c r="E32" s="22"/>
      <c r="F32" s="22"/>
      <c r="G32" s="22"/>
      <c r="H32" s="22"/>
      <c r="I32" s="22"/>
      <c r="J32" s="96"/>
      <c r="K32" s="97" t="str">
        <f t="shared" si="2"/>
        <v/>
      </c>
      <c r="L32" s="51"/>
      <c r="M32" s="52"/>
      <c r="N32" s="20">
        <v>3</v>
      </c>
      <c r="O32" s="98"/>
      <c r="P32" s="22"/>
      <c r="Q32" s="22"/>
      <c r="R32" s="99" t="str">
        <f t="shared" si="4"/>
        <v/>
      </c>
      <c r="S32" s="22"/>
      <c r="T32" s="22"/>
      <c r="U32" s="69" t="str">
        <f t="shared" si="3"/>
        <v/>
      </c>
    </row>
    <row r="33" ht="24.95" customHeight="1" spans="1:21">
      <c r="A33" s="2"/>
      <c r="B33" s="51"/>
      <c r="C33" s="52"/>
      <c r="D33" s="20">
        <v>5</v>
      </c>
      <c r="E33" s="22"/>
      <c r="F33" s="22"/>
      <c r="G33" s="22"/>
      <c r="H33" s="22"/>
      <c r="I33" s="22"/>
      <c r="J33" s="96"/>
      <c r="K33" s="97" t="str">
        <f t="shared" si="2"/>
        <v/>
      </c>
      <c r="L33" s="51"/>
      <c r="M33" s="52"/>
      <c r="N33" s="20">
        <v>4</v>
      </c>
      <c r="O33" s="98"/>
      <c r="P33" s="22"/>
      <c r="Q33" s="22"/>
      <c r="R33" s="99" t="str">
        <f t="shared" si="4"/>
        <v/>
      </c>
      <c r="S33" s="22"/>
      <c r="T33" s="22"/>
      <c r="U33" s="69" t="str">
        <f t="shared" si="3"/>
        <v/>
      </c>
    </row>
    <row r="34" ht="24.95" customHeight="1" spans="1:21">
      <c r="A34" s="2"/>
      <c r="B34" s="51"/>
      <c r="C34" s="52"/>
      <c r="D34" s="20">
        <v>6</v>
      </c>
      <c r="E34" s="22"/>
      <c r="F34" s="22"/>
      <c r="G34" s="22"/>
      <c r="H34" s="22"/>
      <c r="I34" s="22"/>
      <c r="J34" s="96"/>
      <c r="K34" s="97" t="str">
        <f t="shared" si="2"/>
        <v/>
      </c>
      <c r="L34" s="51"/>
      <c r="M34" s="52"/>
      <c r="N34" s="20">
        <v>5</v>
      </c>
      <c r="O34" s="98"/>
      <c r="P34" s="22"/>
      <c r="Q34" s="22"/>
      <c r="R34" s="99" t="str">
        <f t="shared" si="4"/>
        <v/>
      </c>
      <c r="S34" s="22"/>
      <c r="T34" s="22"/>
      <c r="U34" s="69" t="str">
        <f t="shared" si="3"/>
        <v/>
      </c>
    </row>
    <row r="35" ht="24.95" customHeight="1" spans="1:21">
      <c r="A35" s="2"/>
      <c r="B35" s="51"/>
      <c r="C35" s="52"/>
      <c r="D35" s="20">
        <v>7</v>
      </c>
      <c r="E35" s="22"/>
      <c r="F35" s="22"/>
      <c r="G35" s="22"/>
      <c r="H35" s="22"/>
      <c r="I35" s="22"/>
      <c r="J35" s="96"/>
      <c r="K35" s="97" t="str">
        <f t="shared" si="2"/>
        <v/>
      </c>
      <c r="L35" s="51"/>
      <c r="M35" s="52"/>
      <c r="N35" s="20">
        <v>6</v>
      </c>
      <c r="O35" s="98"/>
      <c r="P35" s="22"/>
      <c r="Q35" s="22"/>
      <c r="R35" s="99" t="str">
        <f t="shared" si="4"/>
        <v/>
      </c>
      <c r="S35" s="22"/>
      <c r="T35" s="22"/>
      <c r="U35" s="69" t="str">
        <f t="shared" si="3"/>
        <v/>
      </c>
    </row>
    <row r="36" ht="24.95" customHeight="1" spans="1:21">
      <c r="A36" s="2"/>
      <c r="B36" s="51"/>
      <c r="C36" s="52"/>
      <c r="D36" s="20">
        <v>8</v>
      </c>
      <c r="E36" s="22"/>
      <c r="F36" s="22"/>
      <c r="G36" s="22"/>
      <c r="H36" s="22"/>
      <c r="I36" s="22"/>
      <c r="J36" s="96"/>
      <c r="K36" s="97" t="str">
        <f t="shared" si="2"/>
        <v/>
      </c>
      <c r="L36" s="51"/>
      <c r="M36" s="52"/>
      <c r="N36" s="20">
        <v>7</v>
      </c>
      <c r="O36" s="98"/>
      <c r="P36" s="22"/>
      <c r="Q36" s="22"/>
      <c r="R36" s="99" t="str">
        <f t="shared" si="4"/>
        <v/>
      </c>
      <c r="S36" s="22"/>
      <c r="T36" s="22"/>
      <c r="U36" s="69" t="str">
        <f t="shared" si="3"/>
        <v/>
      </c>
    </row>
    <row r="37" ht="24.95" customHeight="1" spans="1:21">
      <c r="A37" s="2"/>
      <c r="B37" s="51"/>
      <c r="C37" s="52"/>
      <c r="D37" s="20">
        <v>9</v>
      </c>
      <c r="E37" s="22"/>
      <c r="F37" s="22"/>
      <c r="G37" s="22"/>
      <c r="H37" s="22"/>
      <c r="I37" s="22"/>
      <c r="J37" s="96"/>
      <c r="K37" s="97" t="str">
        <f t="shared" si="2"/>
        <v/>
      </c>
      <c r="L37" s="51"/>
      <c r="M37" s="52"/>
      <c r="N37" s="20">
        <v>8</v>
      </c>
      <c r="O37" s="98"/>
      <c r="P37" s="22"/>
      <c r="Q37" s="22"/>
      <c r="R37" s="99" t="str">
        <f t="shared" si="4"/>
        <v/>
      </c>
      <c r="S37" s="22"/>
      <c r="T37" s="22"/>
      <c r="U37" s="69" t="str">
        <f t="shared" si="3"/>
        <v/>
      </c>
    </row>
    <row r="38" ht="24.95" customHeight="1" spans="1:21">
      <c r="A38" s="2"/>
      <c r="B38" s="51"/>
      <c r="C38" s="52"/>
      <c r="D38" s="20">
        <v>10</v>
      </c>
      <c r="E38" s="22"/>
      <c r="F38" s="22"/>
      <c r="G38" s="22"/>
      <c r="H38" s="22"/>
      <c r="I38" s="22"/>
      <c r="J38" s="96"/>
      <c r="K38" s="97" t="str">
        <f t="shared" si="2"/>
        <v/>
      </c>
      <c r="L38" s="51"/>
      <c r="M38" s="52"/>
      <c r="N38" s="20">
        <v>9</v>
      </c>
      <c r="O38" s="98"/>
      <c r="P38" s="22"/>
      <c r="Q38" s="22"/>
      <c r="R38" s="99" t="str">
        <f t="shared" si="4"/>
        <v/>
      </c>
      <c r="S38" s="22"/>
      <c r="T38" s="22"/>
      <c r="U38" s="69" t="str">
        <f t="shared" si="3"/>
        <v/>
      </c>
    </row>
    <row r="39" ht="24.95" customHeight="1" spans="1:21">
      <c r="A39" s="2"/>
      <c r="B39" s="51"/>
      <c r="C39" s="52"/>
      <c r="D39" s="20">
        <v>11</v>
      </c>
      <c r="E39" s="22"/>
      <c r="F39" s="22"/>
      <c r="G39" s="22"/>
      <c r="H39" s="22"/>
      <c r="I39" s="22"/>
      <c r="J39" s="96"/>
      <c r="K39" s="97" t="str">
        <f t="shared" si="2"/>
        <v/>
      </c>
      <c r="L39" s="51"/>
      <c r="M39" s="52"/>
      <c r="N39" s="20">
        <v>10</v>
      </c>
      <c r="O39" s="98"/>
      <c r="P39" s="22"/>
      <c r="Q39" s="22"/>
      <c r="R39" s="99" t="str">
        <f t="shared" si="4"/>
        <v/>
      </c>
      <c r="S39" s="22"/>
      <c r="T39" s="22"/>
      <c r="U39" s="69" t="str">
        <f t="shared" si="3"/>
        <v/>
      </c>
    </row>
    <row r="40" ht="24.95" customHeight="1" spans="1:21">
      <c r="A40" s="2"/>
      <c r="B40" s="75"/>
      <c r="C40" s="76"/>
      <c r="D40" s="34"/>
      <c r="E40" s="38" t="s">
        <v>129</v>
      </c>
      <c r="F40" s="77">
        <f>SUM(F30:F39)</f>
        <v>29</v>
      </c>
      <c r="G40" s="77"/>
      <c r="H40" s="38" t="s">
        <v>130</v>
      </c>
      <c r="I40" s="35"/>
      <c r="J40" s="100"/>
      <c r="K40" s="101">
        <f>SUM(K30:K39)</f>
        <v>0.63162663460617</v>
      </c>
      <c r="L40" s="75"/>
      <c r="M40" s="76"/>
      <c r="N40" s="102"/>
      <c r="O40" s="38" t="s">
        <v>131</v>
      </c>
      <c r="P40" s="77">
        <f>SUM(P30:P39)</f>
        <v>0</v>
      </c>
      <c r="Q40" s="103"/>
      <c r="R40" s="77"/>
      <c r="S40" s="77"/>
      <c r="T40" s="77"/>
      <c r="U40" s="79">
        <f>SUM(U30:U39)</f>
        <v>0</v>
      </c>
    </row>
    <row r="41" ht="33.95" customHeight="1" spans="1:21">
      <c r="A41" s="2"/>
      <c r="B41" s="104" t="s">
        <v>132</v>
      </c>
      <c r="C41" s="46" t="s">
        <v>133</v>
      </c>
      <c r="D41" s="105" t="s">
        <v>134</v>
      </c>
      <c r="E41" s="106" t="s">
        <v>135</v>
      </c>
      <c r="F41" s="107" t="s">
        <v>136</v>
      </c>
      <c r="G41" s="107" t="s">
        <v>137</v>
      </c>
      <c r="H41" s="107" t="s">
        <v>138</v>
      </c>
      <c r="I41" s="106" t="s">
        <v>139</v>
      </c>
      <c r="J41" s="107" t="s">
        <v>140</v>
      </c>
      <c r="K41" s="106" t="s">
        <v>141</v>
      </c>
      <c r="L41" s="108" t="s">
        <v>142</v>
      </c>
      <c r="M41" s="109"/>
      <c r="N41" s="106" t="s">
        <v>143</v>
      </c>
      <c r="O41" s="109"/>
      <c r="P41" s="107" t="s">
        <v>144</v>
      </c>
      <c r="Q41" s="110" t="s">
        <v>145</v>
      </c>
      <c r="R41" s="106" t="s">
        <v>146</v>
      </c>
      <c r="S41" s="107" t="s">
        <v>147</v>
      </c>
      <c r="T41" s="107" t="s">
        <v>148</v>
      </c>
      <c r="U41" s="111" t="s">
        <v>149</v>
      </c>
    </row>
    <row r="42" ht="24.95" customHeight="1" spans="1:21">
      <c r="A42" s="2"/>
      <c r="B42" s="51"/>
      <c r="C42" s="52"/>
      <c r="D42" s="53">
        <v>1</v>
      </c>
      <c r="E42" s="90" t="s">
        <v>150</v>
      </c>
      <c r="F42" s="90">
        <v>50</v>
      </c>
      <c r="G42" s="112">
        <v>648</v>
      </c>
      <c r="H42" s="113">
        <v>0.0138888888888889</v>
      </c>
      <c r="I42" s="90">
        <v>1.5</v>
      </c>
      <c r="J42" s="114">
        <v>24</v>
      </c>
      <c r="K42" s="115">
        <v>0.0277777777777778</v>
      </c>
      <c r="L42" s="116">
        <v>0.75</v>
      </c>
      <c r="M42" s="117"/>
      <c r="N42" s="118">
        <v>0.666666666666667</v>
      </c>
      <c r="O42" s="119"/>
      <c r="P42" s="90">
        <v>70</v>
      </c>
      <c r="Q42" s="95" t="s">
        <v>195</v>
      </c>
      <c r="R42" s="115">
        <v>0.176767676767677</v>
      </c>
      <c r="S42" s="120">
        <v>90</v>
      </c>
      <c r="T42" s="167">
        <v>0.45</v>
      </c>
      <c r="U42" s="62">
        <v>0.605769230769231</v>
      </c>
    </row>
    <row r="43" ht="24.95" customHeight="1" spans="1:21">
      <c r="A43" s="2"/>
      <c r="B43" s="51"/>
      <c r="C43" s="52"/>
      <c r="D43" s="20">
        <v>2</v>
      </c>
      <c r="E43" s="22"/>
      <c r="F43" s="90"/>
      <c r="G43" s="112" t="str">
        <f t="shared" ref="G42:G57" si="5">IF(E43="","",12/H43*L43)</f>
        <v/>
      </c>
      <c r="H43" s="113" t="str">
        <f t="shared" ref="H42:H57" si="6">IF(E43="","",F43/3600)</f>
        <v/>
      </c>
      <c r="I43" s="22"/>
      <c r="J43" s="121"/>
      <c r="K43" s="115" t="str">
        <f t="shared" ref="K42:K57" si="7">IF(E43="","",H43*I43/L43)</f>
        <v/>
      </c>
      <c r="L43" s="68"/>
      <c r="M43" s="23"/>
      <c r="N43" s="118" t="str">
        <f t="shared" ref="N42:N57" si="8">IF(F43="","",IF(E43="","",J43*K43))</f>
        <v/>
      </c>
      <c r="O43" s="119"/>
      <c r="P43" s="22"/>
      <c r="Q43" s="99" t="str">
        <f t="shared" ref="Q42:Q57" si="9">IF(E43="","","10年2班折90%")</f>
        <v/>
      </c>
      <c r="R43" s="115" t="str">
        <f t="shared" ref="R42:R57" si="10">IF(E43="","",P43*0.9/10/$U$8/22*H43*10000/L43)</f>
        <v/>
      </c>
      <c r="S43" s="122"/>
      <c r="T43" s="65"/>
      <c r="U43" s="62" t="str">
        <f t="shared" ref="U42:U57" si="11">IF(S43="","",S43*T43*$U$7*H43/((L43+(1-L43)/1.4)))</f>
        <v/>
      </c>
    </row>
    <row r="44" ht="24.95" customHeight="1" spans="1:21">
      <c r="A44" s="2"/>
      <c r="B44" s="51"/>
      <c r="C44" s="52"/>
      <c r="D44" s="20">
        <v>3</v>
      </c>
      <c r="E44" s="22"/>
      <c r="F44" s="22"/>
      <c r="G44" s="112" t="str">
        <f t="shared" si="5"/>
        <v/>
      </c>
      <c r="H44" s="113" t="str">
        <f t="shared" si="6"/>
        <v/>
      </c>
      <c r="I44" s="22"/>
      <c r="J44" s="121"/>
      <c r="K44" s="115" t="str">
        <f t="shared" si="7"/>
        <v/>
      </c>
      <c r="L44" s="68"/>
      <c r="M44" s="23"/>
      <c r="N44" s="118" t="str">
        <f t="shared" si="8"/>
        <v/>
      </c>
      <c r="O44" s="119"/>
      <c r="P44" s="22"/>
      <c r="Q44" s="99" t="str">
        <f t="shared" si="9"/>
        <v/>
      </c>
      <c r="R44" s="115" t="str">
        <f t="shared" si="10"/>
        <v/>
      </c>
      <c r="S44" s="122"/>
      <c r="T44" s="65"/>
      <c r="U44" s="62" t="str">
        <f t="shared" si="11"/>
        <v/>
      </c>
    </row>
    <row r="45" ht="24.95" customHeight="1" spans="1:21">
      <c r="A45" s="2"/>
      <c r="B45" s="51"/>
      <c r="C45" s="52"/>
      <c r="D45" s="20">
        <v>4</v>
      </c>
      <c r="E45" s="22"/>
      <c r="F45" s="22"/>
      <c r="G45" s="112" t="str">
        <f t="shared" si="5"/>
        <v/>
      </c>
      <c r="H45" s="113" t="str">
        <f t="shared" si="6"/>
        <v/>
      </c>
      <c r="I45" s="22"/>
      <c r="J45" s="121"/>
      <c r="K45" s="115" t="str">
        <f t="shared" si="7"/>
        <v/>
      </c>
      <c r="L45" s="68"/>
      <c r="M45" s="23"/>
      <c r="N45" s="118" t="str">
        <f t="shared" si="8"/>
        <v/>
      </c>
      <c r="O45" s="119"/>
      <c r="P45" s="22"/>
      <c r="Q45" s="99" t="str">
        <f t="shared" si="9"/>
        <v/>
      </c>
      <c r="R45" s="115" t="str">
        <f t="shared" si="10"/>
        <v/>
      </c>
      <c r="S45" s="122"/>
      <c r="T45" s="65"/>
      <c r="U45" s="62" t="str">
        <f t="shared" si="11"/>
        <v/>
      </c>
    </row>
    <row r="46" ht="24.95" customHeight="1" spans="1:21">
      <c r="A46" s="2"/>
      <c r="B46" s="51"/>
      <c r="C46" s="52"/>
      <c r="D46" s="20">
        <v>5</v>
      </c>
      <c r="E46" s="22"/>
      <c r="F46" s="22"/>
      <c r="G46" s="112" t="str">
        <f t="shared" si="5"/>
        <v/>
      </c>
      <c r="H46" s="113" t="str">
        <f t="shared" si="6"/>
        <v/>
      </c>
      <c r="I46" s="22"/>
      <c r="J46" s="121"/>
      <c r="K46" s="115" t="str">
        <f t="shared" si="7"/>
        <v/>
      </c>
      <c r="L46" s="68"/>
      <c r="M46" s="23"/>
      <c r="N46" s="118" t="str">
        <f t="shared" si="8"/>
        <v/>
      </c>
      <c r="O46" s="119"/>
      <c r="P46" s="22"/>
      <c r="Q46" s="99" t="str">
        <f t="shared" si="9"/>
        <v/>
      </c>
      <c r="R46" s="115" t="str">
        <f t="shared" si="10"/>
        <v/>
      </c>
      <c r="S46" s="122"/>
      <c r="T46" s="65"/>
      <c r="U46" s="62" t="str">
        <f t="shared" si="11"/>
        <v/>
      </c>
    </row>
    <row r="47" ht="24.95" customHeight="1" spans="1:21">
      <c r="A47" s="2"/>
      <c r="B47" s="51"/>
      <c r="C47" s="52"/>
      <c r="D47" s="20">
        <v>6</v>
      </c>
      <c r="E47" s="22"/>
      <c r="F47" s="22"/>
      <c r="G47" s="112" t="str">
        <f t="shared" si="5"/>
        <v/>
      </c>
      <c r="H47" s="113" t="str">
        <f t="shared" si="6"/>
        <v/>
      </c>
      <c r="I47" s="22"/>
      <c r="J47" s="121"/>
      <c r="K47" s="115" t="str">
        <f t="shared" si="7"/>
        <v/>
      </c>
      <c r="L47" s="68"/>
      <c r="M47" s="23"/>
      <c r="N47" s="118" t="str">
        <f t="shared" si="8"/>
        <v/>
      </c>
      <c r="O47" s="119"/>
      <c r="P47" s="22"/>
      <c r="Q47" s="99" t="str">
        <f t="shared" si="9"/>
        <v/>
      </c>
      <c r="R47" s="115" t="str">
        <f t="shared" si="10"/>
        <v/>
      </c>
      <c r="S47" s="122"/>
      <c r="T47" s="65"/>
      <c r="U47" s="62" t="str">
        <f t="shared" si="11"/>
        <v/>
      </c>
    </row>
    <row r="48" ht="24.95" customHeight="1" spans="1:21">
      <c r="A48" s="2"/>
      <c r="B48" s="51"/>
      <c r="C48" s="52"/>
      <c r="D48" s="20">
        <v>7</v>
      </c>
      <c r="E48" s="22"/>
      <c r="F48" s="22"/>
      <c r="G48" s="112" t="str">
        <f t="shared" si="5"/>
        <v/>
      </c>
      <c r="H48" s="113" t="str">
        <f t="shared" si="6"/>
        <v/>
      </c>
      <c r="I48" s="22"/>
      <c r="J48" s="121"/>
      <c r="K48" s="115" t="str">
        <f t="shared" si="7"/>
        <v/>
      </c>
      <c r="L48" s="68"/>
      <c r="M48" s="23"/>
      <c r="N48" s="118" t="str">
        <f t="shared" si="8"/>
        <v/>
      </c>
      <c r="O48" s="119"/>
      <c r="P48" s="22"/>
      <c r="Q48" s="99" t="str">
        <f t="shared" si="9"/>
        <v/>
      </c>
      <c r="R48" s="115" t="str">
        <f t="shared" si="10"/>
        <v/>
      </c>
      <c r="S48" s="122"/>
      <c r="T48" s="65"/>
      <c r="U48" s="62" t="str">
        <f t="shared" si="11"/>
        <v/>
      </c>
    </row>
    <row r="49" ht="24.95" customHeight="1" spans="1:21">
      <c r="A49" s="2"/>
      <c r="B49" s="51"/>
      <c r="C49" s="52"/>
      <c r="D49" s="20">
        <v>8</v>
      </c>
      <c r="E49" s="22"/>
      <c r="F49" s="22"/>
      <c r="G49" s="112" t="str">
        <f t="shared" si="5"/>
        <v/>
      </c>
      <c r="H49" s="113" t="str">
        <f t="shared" si="6"/>
        <v/>
      </c>
      <c r="I49" s="22"/>
      <c r="J49" s="121"/>
      <c r="K49" s="115" t="str">
        <f t="shared" si="7"/>
        <v/>
      </c>
      <c r="L49" s="68"/>
      <c r="M49" s="23"/>
      <c r="N49" s="118" t="str">
        <f t="shared" si="8"/>
        <v/>
      </c>
      <c r="O49" s="119"/>
      <c r="P49" s="22"/>
      <c r="Q49" s="99" t="str">
        <f t="shared" si="9"/>
        <v/>
      </c>
      <c r="R49" s="115" t="str">
        <f t="shared" si="10"/>
        <v/>
      </c>
      <c r="S49" s="122"/>
      <c r="T49" s="65"/>
      <c r="U49" s="62" t="str">
        <f t="shared" si="11"/>
        <v/>
      </c>
    </row>
    <row r="50" ht="24.95" customHeight="1" spans="1:21">
      <c r="A50" s="2"/>
      <c r="B50" s="51"/>
      <c r="C50" s="52"/>
      <c r="D50" s="20">
        <v>9</v>
      </c>
      <c r="E50" s="22"/>
      <c r="F50" s="22"/>
      <c r="G50" s="112" t="str">
        <f t="shared" si="5"/>
        <v/>
      </c>
      <c r="H50" s="113" t="str">
        <f t="shared" si="6"/>
        <v/>
      </c>
      <c r="I50" s="22"/>
      <c r="J50" s="121"/>
      <c r="K50" s="115" t="str">
        <f t="shared" si="7"/>
        <v/>
      </c>
      <c r="L50" s="68"/>
      <c r="M50" s="23"/>
      <c r="N50" s="118" t="str">
        <f t="shared" si="8"/>
        <v/>
      </c>
      <c r="O50" s="119"/>
      <c r="P50" s="22"/>
      <c r="Q50" s="99" t="str">
        <f t="shared" si="9"/>
        <v/>
      </c>
      <c r="R50" s="115" t="str">
        <f t="shared" si="10"/>
        <v/>
      </c>
      <c r="S50" s="122"/>
      <c r="T50" s="65"/>
      <c r="U50" s="62" t="str">
        <f t="shared" si="11"/>
        <v/>
      </c>
    </row>
    <row r="51" ht="24.95" customHeight="1" spans="1:21">
      <c r="A51" s="2"/>
      <c r="B51" s="51"/>
      <c r="C51" s="52"/>
      <c r="D51" s="20">
        <v>10</v>
      </c>
      <c r="E51" s="22"/>
      <c r="F51" s="22"/>
      <c r="G51" s="112" t="str">
        <f t="shared" si="5"/>
        <v/>
      </c>
      <c r="H51" s="113" t="str">
        <f t="shared" si="6"/>
        <v/>
      </c>
      <c r="I51" s="22"/>
      <c r="J51" s="121"/>
      <c r="K51" s="115" t="str">
        <f t="shared" si="7"/>
        <v/>
      </c>
      <c r="L51" s="68"/>
      <c r="M51" s="23"/>
      <c r="N51" s="118" t="str">
        <f t="shared" si="8"/>
        <v/>
      </c>
      <c r="O51" s="119"/>
      <c r="P51" s="22"/>
      <c r="Q51" s="99" t="str">
        <f t="shared" si="9"/>
        <v/>
      </c>
      <c r="R51" s="115" t="str">
        <f t="shared" si="10"/>
        <v/>
      </c>
      <c r="S51" s="122"/>
      <c r="T51" s="65"/>
      <c r="U51" s="62" t="str">
        <f t="shared" si="11"/>
        <v/>
      </c>
    </row>
    <row r="52" ht="24.95" customHeight="1" spans="1:21">
      <c r="A52" s="2"/>
      <c r="B52" s="51"/>
      <c r="C52" s="52"/>
      <c r="D52" s="20">
        <v>11</v>
      </c>
      <c r="E52" s="22"/>
      <c r="F52" s="22"/>
      <c r="G52" s="112" t="str">
        <f t="shared" si="5"/>
        <v/>
      </c>
      <c r="H52" s="113" t="str">
        <f t="shared" si="6"/>
        <v/>
      </c>
      <c r="I52" s="22"/>
      <c r="J52" s="121"/>
      <c r="K52" s="115" t="str">
        <f t="shared" si="7"/>
        <v/>
      </c>
      <c r="L52" s="68"/>
      <c r="M52" s="23"/>
      <c r="N52" s="118" t="str">
        <f t="shared" si="8"/>
        <v/>
      </c>
      <c r="O52" s="119"/>
      <c r="P52" s="22"/>
      <c r="Q52" s="99" t="str">
        <f t="shared" si="9"/>
        <v/>
      </c>
      <c r="R52" s="115" t="str">
        <f t="shared" si="10"/>
        <v/>
      </c>
      <c r="S52" s="122"/>
      <c r="T52" s="65"/>
      <c r="U52" s="62" t="str">
        <f t="shared" si="11"/>
        <v/>
      </c>
    </row>
    <row r="53" ht="24.95" customHeight="1" spans="1:21">
      <c r="A53" s="2"/>
      <c r="B53" s="51"/>
      <c r="C53" s="52"/>
      <c r="D53" s="20">
        <v>12</v>
      </c>
      <c r="E53" s="22"/>
      <c r="F53" s="22"/>
      <c r="G53" s="112" t="str">
        <f t="shared" si="5"/>
        <v/>
      </c>
      <c r="H53" s="113" t="str">
        <f t="shared" si="6"/>
        <v/>
      </c>
      <c r="I53" s="22"/>
      <c r="J53" s="121"/>
      <c r="K53" s="115" t="str">
        <f t="shared" si="7"/>
        <v/>
      </c>
      <c r="L53" s="68"/>
      <c r="M53" s="23"/>
      <c r="N53" s="118" t="str">
        <f t="shared" si="8"/>
        <v/>
      </c>
      <c r="O53" s="119"/>
      <c r="P53" s="22"/>
      <c r="Q53" s="99" t="str">
        <f t="shared" si="9"/>
        <v/>
      </c>
      <c r="R53" s="115" t="str">
        <f t="shared" si="10"/>
        <v/>
      </c>
      <c r="S53" s="122"/>
      <c r="T53" s="65"/>
      <c r="U53" s="62" t="str">
        <f t="shared" si="11"/>
        <v/>
      </c>
    </row>
    <row r="54" ht="24.95" customHeight="1" spans="1:21">
      <c r="A54" s="2"/>
      <c r="B54" s="51"/>
      <c r="C54" s="52"/>
      <c r="D54" s="20">
        <v>13</v>
      </c>
      <c r="E54" s="22"/>
      <c r="F54" s="22"/>
      <c r="G54" s="112" t="str">
        <f t="shared" si="5"/>
        <v/>
      </c>
      <c r="H54" s="113" t="str">
        <f t="shared" si="6"/>
        <v/>
      </c>
      <c r="I54" s="22"/>
      <c r="J54" s="121"/>
      <c r="K54" s="115" t="str">
        <f t="shared" si="7"/>
        <v/>
      </c>
      <c r="L54" s="68"/>
      <c r="M54" s="23"/>
      <c r="N54" s="118" t="str">
        <f t="shared" si="8"/>
        <v/>
      </c>
      <c r="O54" s="119"/>
      <c r="P54" s="22"/>
      <c r="Q54" s="99" t="str">
        <f t="shared" si="9"/>
        <v/>
      </c>
      <c r="R54" s="115" t="str">
        <f t="shared" si="10"/>
        <v/>
      </c>
      <c r="S54" s="122"/>
      <c r="T54" s="65"/>
      <c r="U54" s="62" t="str">
        <f t="shared" si="11"/>
        <v/>
      </c>
    </row>
    <row r="55" ht="24.95" customHeight="1" spans="1:21">
      <c r="A55" s="2"/>
      <c r="B55" s="51"/>
      <c r="C55" s="52"/>
      <c r="D55" s="20">
        <v>14</v>
      </c>
      <c r="E55" s="22"/>
      <c r="F55" s="22"/>
      <c r="G55" s="112" t="str">
        <f t="shared" si="5"/>
        <v/>
      </c>
      <c r="H55" s="113" t="str">
        <f t="shared" si="6"/>
        <v/>
      </c>
      <c r="I55" s="22"/>
      <c r="J55" s="121"/>
      <c r="K55" s="115" t="str">
        <f t="shared" si="7"/>
        <v/>
      </c>
      <c r="L55" s="68"/>
      <c r="M55" s="23"/>
      <c r="N55" s="118" t="str">
        <f t="shared" si="8"/>
        <v/>
      </c>
      <c r="O55" s="119"/>
      <c r="P55" s="22"/>
      <c r="Q55" s="99" t="str">
        <f t="shared" si="9"/>
        <v/>
      </c>
      <c r="R55" s="115" t="str">
        <f t="shared" si="10"/>
        <v/>
      </c>
      <c r="S55" s="122"/>
      <c r="T55" s="65"/>
      <c r="U55" s="62" t="str">
        <f t="shared" si="11"/>
        <v/>
      </c>
    </row>
    <row r="56" ht="24.95" customHeight="1" spans="1:21">
      <c r="A56" s="2"/>
      <c r="B56" s="51"/>
      <c r="C56" s="52"/>
      <c r="D56" s="20">
        <v>15</v>
      </c>
      <c r="E56" s="22"/>
      <c r="F56" s="22"/>
      <c r="G56" s="112" t="str">
        <f t="shared" si="5"/>
        <v/>
      </c>
      <c r="H56" s="113" t="str">
        <f t="shared" si="6"/>
        <v/>
      </c>
      <c r="I56" s="22"/>
      <c r="J56" s="121"/>
      <c r="K56" s="115" t="str">
        <f t="shared" si="7"/>
        <v/>
      </c>
      <c r="L56" s="68"/>
      <c r="M56" s="23"/>
      <c r="N56" s="118" t="str">
        <f t="shared" si="8"/>
        <v/>
      </c>
      <c r="O56" s="119"/>
      <c r="P56" s="22"/>
      <c r="Q56" s="99" t="str">
        <f t="shared" si="9"/>
        <v/>
      </c>
      <c r="R56" s="115" t="str">
        <f t="shared" si="10"/>
        <v/>
      </c>
      <c r="S56" s="122"/>
      <c r="T56" s="65"/>
      <c r="U56" s="62" t="str">
        <f t="shared" si="11"/>
        <v/>
      </c>
    </row>
    <row r="57" ht="24.95" customHeight="1" spans="1:21">
      <c r="A57" s="2"/>
      <c r="B57" s="51"/>
      <c r="C57" s="52"/>
      <c r="D57" s="20">
        <v>16</v>
      </c>
      <c r="E57" s="22"/>
      <c r="F57" s="22"/>
      <c r="G57" s="112" t="str">
        <f t="shared" si="5"/>
        <v/>
      </c>
      <c r="H57" s="113" t="str">
        <f t="shared" si="6"/>
        <v/>
      </c>
      <c r="I57" s="22"/>
      <c r="J57" s="121"/>
      <c r="K57" s="115" t="str">
        <f t="shared" si="7"/>
        <v/>
      </c>
      <c r="L57" s="68"/>
      <c r="M57" s="23"/>
      <c r="N57" s="118" t="str">
        <f t="shared" si="8"/>
        <v/>
      </c>
      <c r="O57" s="119"/>
      <c r="P57" s="22"/>
      <c r="Q57" s="99" t="str">
        <f t="shared" si="9"/>
        <v/>
      </c>
      <c r="R57" s="115" t="str">
        <f t="shared" si="10"/>
        <v/>
      </c>
      <c r="S57" s="122"/>
      <c r="T57" s="65"/>
      <c r="U57" s="62" t="str">
        <f t="shared" si="11"/>
        <v/>
      </c>
    </row>
    <row r="58" ht="24.95" customHeight="1" spans="1:21">
      <c r="A58" s="2"/>
      <c r="B58" s="75"/>
      <c r="C58" s="76"/>
      <c r="D58" s="123">
        <v>17</v>
      </c>
      <c r="E58" s="124"/>
      <c r="F58" s="124"/>
      <c r="G58" s="124"/>
      <c r="H58" s="124"/>
      <c r="I58" s="124"/>
      <c r="J58" s="124" t="s">
        <v>151</v>
      </c>
      <c r="K58" s="38">
        <f>SUM(K42:K57)</f>
        <v>0.0277777777777778</v>
      </c>
      <c r="L58" s="38" t="s">
        <v>152</v>
      </c>
      <c r="M58" s="35"/>
      <c r="N58" s="125">
        <f>SUM(N42:O57)</f>
        <v>0.666666666666667</v>
      </c>
      <c r="O58" s="35"/>
      <c r="P58" s="126"/>
      <c r="Q58" s="127" t="s">
        <v>153</v>
      </c>
      <c r="R58" s="128">
        <f>SUM(R42:R57)</f>
        <v>0.176767676767677</v>
      </c>
      <c r="S58" s="129"/>
      <c r="T58" s="130" t="s">
        <v>154</v>
      </c>
      <c r="U58" s="131">
        <f>SUM(U42:U57)</f>
        <v>0.605769230769231</v>
      </c>
    </row>
    <row r="59" ht="24.95" customHeight="1" spans="1:21">
      <c r="A59" s="2"/>
      <c r="B59" s="53" t="s">
        <v>155</v>
      </c>
      <c r="C59" s="132" t="s">
        <v>156</v>
      </c>
      <c r="D59" s="119"/>
      <c r="E59" s="133">
        <f>IF(U6="",N58,U6*K58)</f>
        <v>0.666666666666667</v>
      </c>
      <c r="F59" s="134" t="s">
        <v>157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0"/>
      <c r="Q59" s="136" t="s">
        <v>158</v>
      </c>
      <c r="R59" s="137"/>
      <c r="S59" s="137"/>
      <c r="T59" s="137"/>
      <c r="U59" s="138"/>
    </row>
    <row r="60" ht="24.95" customHeight="1" spans="1:21">
      <c r="A60" s="2"/>
      <c r="B60" s="20" t="s">
        <v>159</v>
      </c>
      <c r="C60" s="27" t="s">
        <v>160</v>
      </c>
      <c r="D60" s="21"/>
      <c r="E60" s="139">
        <f>(K27+K40+U40+R58+U58+E59+U27)*O8</f>
        <v>0.122699404176195</v>
      </c>
      <c r="F60" s="140" t="s">
        <v>161</v>
      </c>
      <c r="G60" s="141"/>
      <c r="H60" s="141"/>
      <c r="I60" s="141"/>
      <c r="J60" s="141"/>
      <c r="K60" s="141"/>
      <c r="L60" s="141"/>
      <c r="M60" s="141"/>
      <c r="N60" s="141"/>
      <c r="O60" s="141"/>
      <c r="P60" s="21"/>
      <c r="Q60" s="142" t="s">
        <v>162</v>
      </c>
      <c r="R60" s="143"/>
      <c r="S60" s="144"/>
      <c r="T60" s="145"/>
      <c r="U60" s="146"/>
    </row>
    <row r="61" ht="24.95" customHeight="1" spans="1:21">
      <c r="A61" s="2"/>
      <c r="B61" s="20" t="s">
        <v>163</v>
      </c>
      <c r="C61" s="27" t="s">
        <v>164</v>
      </c>
      <c r="D61" s="21"/>
      <c r="E61" s="139">
        <f>(K27+U27)*0.03+(K40+U40+R58+U58+E59+E60)*0.05</f>
        <v>0.231800680649297</v>
      </c>
      <c r="F61" s="140" t="s">
        <v>165</v>
      </c>
      <c r="G61" s="141"/>
      <c r="H61" s="141"/>
      <c r="I61" s="141"/>
      <c r="J61" s="141"/>
      <c r="K61" s="141"/>
      <c r="L61" s="141"/>
      <c r="M61" s="141"/>
      <c r="N61" s="141"/>
      <c r="O61" s="141"/>
      <c r="P61" s="21"/>
      <c r="Q61" s="147" t="s">
        <v>166</v>
      </c>
      <c r="R61" s="141"/>
      <c r="S61" s="29"/>
      <c r="T61" s="25"/>
      <c r="U61" s="148"/>
    </row>
    <row r="62" ht="24.95" customHeight="1" spans="1:21">
      <c r="A62" s="2"/>
      <c r="B62" s="20" t="s">
        <v>167</v>
      </c>
      <c r="C62" s="27" t="s">
        <v>168</v>
      </c>
      <c r="D62" s="21"/>
      <c r="E62" s="149">
        <v>0.5</v>
      </c>
      <c r="F62" s="140" t="s">
        <v>169</v>
      </c>
      <c r="G62" s="141"/>
      <c r="H62" s="141"/>
      <c r="I62" s="141"/>
      <c r="J62" s="141"/>
      <c r="K62" s="141"/>
      <c r="L62" s="141"/>
      <c r="M62" s="141"/>
      <c r="N62" s="141"/>
      <c r="O62" s="141"/>
      <c r="P62" s="21"/>
      <c r="Q62" s="147" t="s">
        <v>170</v>
      </c>
      <c r="R62" s="141"/>
      <c r="S62" s="29"/>
      <c r="T62" s="25"/>
      <c r="U62" s="148"/>
    </row>
    <row r="63" ht="24.95" customHeight="1" spans="1:21">
      <c r="A63" s="2"/>
      <c r="B63" s="20" t="s">
        <v>171</v>
      </c>
      <c r="C63" s="27" t="s">
        <v>172</v>
      </c>
      <c r="D63" s="21"/>
      <c r="E63" s="150">
        <v>0.3</v>
      </c>
      <c r="F63" s="140" t="s">
        <v>173</v>
      </c>
      <c r="G63" s="141"/>
      <c r="H63" s="141"/>
      <c r="I63" s="141"/>
      <c r="J63" s="141"/>
      <c r="K63" s="141"/>
      <c r="L63" s="141"/>
      <c r="M63" s="141"/>
      <c r="N63" s="141"/>
      <c r="O63" s="141"/>
      <c r="P63" s="21"/>
      <c r="Q63" s="151"/>
      <c r="R63" s="152"/>
      <c r="S63" s="153"/>
      <c r="T63" s="154"/>
      <c r="U63" s="155"/>
    </row>
    <row r="64" ht="24.95" customHeight="1" spans="1:21">
      <c r="A64" s="2"/>
      <c r="B64" s="20" t="s">
        <v>174</v>
      </c>
      <c r="C64" s="27" t="s">
        <v>175</v>
      </c>
      <c r="D64" s="21"/>
      <c r="E64" s="156">
        <f>K27+U27+K40+R58+U58+E59+E60+E61+E62+E63+U40-S60</f>
        <v>7.28947029363524</v>
      </c>
      <c r="F64" s="140" t="s">
        <v>176</v>
      </c>
      <c r="G64" s="141"/>
      <c r="H64" s="141"/>
      <c r="I64" s="141"/>
      <c r="J64" s="141"/>
      <c r="K64" s="141"/>
      <c r="L64" s="141"/>
      <c r="M64" s="141"/>
      <c r="N64" s="141"/>
      <c r="O64" s="141"/>
      <c r="P64" s="21"/>
      <c r="Q64" s="157" t="s">
        <v>177</v>
      </c>
      <c r="R64" s="82"/>
      <c r="S64" s="82"/>
      <c r="T64" s="82"/>
      <c r="U64" s="83"/>
    </row>
    <row r="65" ht="24.95" customHeight="1" spans="1:21">
      <c r="A65" s="2"/>
      <c r="B65" s="20" t="s">
        <v>178</v>
      </c>
      <c r="C65" s="27" t="s">
        <v>179</v>
      </c>
      <c r="D65" s="21"/>
      <c r="E65" s="158">
        <v>0.05</v>
      </c>
      <c r="F65" s="140" t="s">
        <v>180</v>
      </c>
      <c r="G65" s="141"/>
      <c r="H65" s="141"/>
      <c r="I65" s="141"/>
      <c r="J65" s="141"/>
      <c r="K65" s="141"/>
      <c r="L65" s="141"/>
      <c r="M65" s="141"/>
      <c r="N65" s="141"/>
      <c r="O65" s="141"/>
      <c r="P65" s="21"/>
      <c r="Q65" s="159"/>
      <c r="R65" s="160"/>
      <c r="S65" s="160"/>
      <c r="T65" s="160"/>
      <c r="U65" s="161"/>
    </row>
    <row r="66" ht="24.95" customHeight="1" spans="1:21">
      <c r="A66" s="2"/>
      <c r="B66" s="20" t="s">
        <v>181</v>
      </c>
      <c r="C66" s="27" t="s">
        <v>182</v>
      </c>
      <c r="D66" s="21"/>
      <c r="E66" s="139">
        <f>E64*E65</f>
        <v>0.364473514681762</v>
      </c>
      <c r="F66" s="140" t="s">
        <v>183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21"/>
      <c r="Q66" s="160"/>
      <c r="R66" s="160"/>
      <c r="S66" s="160"/>
      <c r="T66" s="160"/>
      <c r="U66" s="161"/>
    </row>
    <row r="67" ht="24.95" customHeight="1" spans="1:21">
      <c r="A67" s="2"/>
      <c r="B67" s="20" t="s">
        <v>184</v>
      </c>
      <c r="C67" s="27" t="s">
        <v>185</v>
      </c>
      <c r="D67" s="21"/>
      <c r="E67" s="139">
        <f>E64+E66</f>
        <v>7.653943808317</v>
      </c>
      <c r="F67" s="140" t="s">
        <v>186</v>
      </c>
      <c r="G67" s="141"/>
      <c r="H67" s="141"/>
      <c r="I67" s="141"/>
      <c r="J67" s="141"/>
      <c r="K67" s="141"/>
      <c r="L67" s="141"/>
      <c r="M67" s="141"/>
      <c r="N67" s="141"/>
      <c r="O67" s="141"/>
      <c r="P67" s="21"/>
      <c r="Q67" s="160"/>
      <c r="R67" s="160"/>
      <c r="S67" s="160"/>
      <c r="T67" s="160"/>
      <c r="U67" s="161"/>
    </row>
    <row r="68" ht="24.95" customHeight="1" spans="1:21">
      <c r="A68" s="2"/>
      <c r="B68" s="20" t="s">
        <v>187</v>
      </c>
      <c r="C68" s="27" t="s">
        <v>188</v>
      </c>
      <c r="D68" s="21"/>
      <c r="E68" s="139">
        <f>E67*0.13</f>
        <v>0.99501269508121</v>
      </c>
      <c r="F68" s="140" t="s">
        <v>189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21"/>
      <c r="Q68" s="160"/>
      <c r="R68" s="160"/>
      <c r="S68" s="160"/>
      <c r="T68" s="160"/>
      <c r="U68" s="161"/>
    </row>
    <row r="69" ht="24.95" customHeight="1" spans="1:21">
      <c r="A69" s="2"/>
      <c r="B69" s="123" t="s">
        <v>190</v>
      </c>
      <c r="C69" s="130" t="s">
        <v>191</v>
      </c>
      <c r="D69" s="162"/>
      <c r="E69" s="163">
        <f>E67+E68</f>
        <v>8.64895650339821</v>
      </c>
      <c r="F69" s="164" t="s">
        <v>192</v>
      </c>
      <c r="G69" s="152"/>
      <c r="H69" s="152"/>
      <c r="I69" s="152"/>
      <c r="J69" s="152"/>
      <c r="K69" s="152"/>
      <c r="L69" s="152"/>
      <c r="M69" s="152"/>
      <c r="N69" s="152"/>
      <c r="O69" s="152"/>
      <c r="P69" s="162"/>
      <c r="Q69" s="165"/>
      <c r="R69" s="165"/>
      <c r="S69" s="165"/>
      <c r="T69" s="165"/>
      <c r="U69" s="166"/>
    </row>
    <row r="70" ht="13.5" spans="1:21">
      <c r="B70" t="s">
        <v>193</v>
      </c>
    </row>
  </sheetData>
  <mergeCells count="119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M9:M27"/>
    <mergeCell ref="M28:M40"/>
    <mergeCell ref="Q65:U69"/>
  </mergeCells>
  <pageMargins left="0.75" right="0.75" top="1" bottom="1" header="0.5" footer="0.5"/>
  <pageSetup paperSize="9" scale="4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0"/>
  <sheetViews>
    <sheetView topLeftCell="A34" workbookViewId="0">
      <selection activeCell="E42" sqref="E42:U42"/>
    </sheetView>
  </sheetViews>
  <sheetFormatPr defaultColWidth="9" defaultRowHeight="11.25"/>
  <cols>
    <col min="1" max="1" width="3.6283185840708" style="1" customWidth="1"/>
    <col min="2" max="2" width="4.87610619469027" style="1" customWidth="1"/>
    <col min="3" max="3" width="5.87610619469027" style="1" customWidth="1"/>
    <col min="4" max="4" width="5.6283185840708" style="1" customWidth="1"/>
    <col min="5" max="6" width="16.2477876106195" style="1" customWidth="1"/>
    <col min="7" max="7" width="11.3716814159292" style="1" customWidth="1"/>
    <col min="8" max="8" width="8.87610619469027" style="1" customWidth="1"/>
    <col min="9" max="9" width="9.12389380530973" style="1" customWidth="1"/>
    <col min="10" max="10" width="12.7522123893805" style="1" customWidth="1"/>
    <col min="11" max="11" width="8.75221238938053" style="1" customWidth="1"/>
    <col min="12" max="12" width="5.12389380530973" style="1" customWidth="1"/>
    <col min="13" max="13" width="5.87610619469027" style="1" customWidth="1"/>
    <col min="14" max="14" width="4.75221238938053" style="1" customWidth="1"/>
    <col min="15" max="15" width="14.5044247787611" style="1" customWidth="1"/>
    <col min="16" max="16" width="12.6283185840708" style="1" customWidth="1"/>
    <col min="17" max="18" width="11" style="1" customWidth="1"/>
    <col min="19" max="19" width="11.1238938053097" style="1" customWidth="1"/>
    <col min="20" max="20" width="13.5044247787611" style="1" customWidth="1"/>
    <col min="21" max="21" width="11.3716814159292" style="1" customWidth="1"/>
    <col min="22" max="16384" width="9" style="1" customWidth="1"/>
  </cols>
  <sheetData>
    <row r="1" ht="12"/>
    <row r="2" ht="39.95" customHeight="1" spans="1:21">
      <c r="A2" s="2"/>
      <c r="B2" s="3" t="s">
        <v>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0.95" customHeight="1" spans="1:21">
      <c r="A3" s="2"/>
      <c r="B3" s="6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7"/>
    </row>
    <row r="4" ht="27.95" customHeight="1" spans="1:21">
      <c r="A4" s="2"/>
      <c r="B4" s="8" t="s">
        <v>58</v>
      </c>
      <c r="C4" s="9" t="s">
        <v>59</v>
      </c>
      <c r="D4" s="10"/>
      <c r="E4" s="11" t="s">
        <v>60</v>
      </c>
      <c r="F4" s="12"/>
      <c r="G4" s="13" t="s">
        <v>61</v>
      </c>
      <c r="H4" s="11">
        <v>3000</v>
      </c>
      <c r="I4" s="14"/>
      <c r="J4" s="14"/>
      <c r="K4" s="12"/>
      <c r="L4" s="8" t="s">
        <v>62</v>
      </c>
      <c r="M4" s="9" t="s">
        <v>3</v>
      </c>
      <c r="N4" s="10"/>
      <c r="O4" s="15" t="s">
        <v>196</v>
      </c>
      <c r="P4" s="12"/>
      <c r="Q4" s="13" t="s">
        <v>64</v>
      </c>
      <c r="R4" s="16">
        <v>46192</v>
      </c>
      <c r="S4" s="12"/>
      <c r="T4" s="17" t="s">
        <v>65</v>
      </c>
      <c r="U4" s="18">
        <v>0.0775</v>
      </c>
    </row>
    <row r="5" ht="27.95" customHeight="1" spans="1:21">
      <c r="A5" s="2"/>
      <c r="B5" s="19"/>
      <c r="C5" s="20" t="s">
        <v>66</v>
      </c>
      <c r="D5" s="21"/>
      <c r="E5" s="22" t="s">
        <v>67</v>
      </c>
      <c r="F5" s="23"/>
      <c r="G5" s="24" t="s">
        <v>68</v>
      </c>
      <c r="H5" s="22">
        <v>120</v>
      </c>
      <c r="I5" s="25"/>
      <c r="J5" s="25"/>
      <c r="K5" s="23"/>
      <c r="L5" s="19"/>
      <c r="M5" s="20" t="s">
        <v>2</v>
      </c>
      <c r="N5" s="21"/>
      <c r="O5" s="26" t="s">
        <v>13</v>
      </c>
      <c r="P5" s="23"/>
      <c r="Q5" s="27" t="s">
        <v>69</v>
      </c>
      <c r="R5" s="28" t="s">
        <v>70</v>
      </c>
      <c r="S5" s="23"/>
      <c r="T5" s="27" t="s">
        <v>71</v>
      </c>
      <c r="U5" s="29">
        <v>0.0892</v>
      </c>
    </row>
    <row r="6" ht="27.95" customHeight="1" spans="1:21">
      <c r="A6" s="2"/>
      <c r="B6" s="19"/>
      <c r="C6" s="20" t="s">
        <v>72</v>
      </c>
      <c r="D6" s="21"/>
      <c r="E6" s="22" t="s">
        <v>73</v>
      </c>
      <c r="F6" s="23"/>
      <c r="G6" s="24" t="s">
        <v>74</v>
      </c>
      <c r="H6" s="22">
        <v>50</v>
      </c>
      <c r="I6" s="25"/>
      <c r="J6" s="25"/>
      <c r="K6" s="23"/>
      <c r="L6" s="19"/>
      <c r="M6" s="30" t="s">
        <v>75</v>
      </c>
      <c r="N6" s="21"/>
      <c r="O6" s="31">
        <v>61.2178</v>
      </c>
      <c r="P6" s="23"/>
      <c r="Q6" s="27" t="s">
        <v>69</v>
      </c>
      <c r="R6" s="28" t="s">
        <v>70</v>
      </c>
      <c r="S6" s="23"/>
      <c r="T6" s="24" t="s">
        <v>76</v>
      </c>
      <c r="U6" s="32"/>
    </row>
    <row r="7" ht="27.95" customHeight="1" spans="1:21">
      <c r="A7" s="2"/>
      <c r="B7" s="19"/>
      <c r="C7" s="20" t="s">
        <v>77</v>
      </c>
      <c r="D7" s="21"/>
      <c r="E7" s="22" t="s">
        <v>78</v>
      </c>
      <c r="F7" s="23"/>
      <c r="G7" s="27" t="s">
        <v>79</v>
      </c>
      <c r="H7" s="22" t="s">
        <v>80</v>
      </c>
      <c r="I7" s="25"/>
      <c r="J7" s="25"/>
      <c r="K7" s="23"/>
      <c r="L7" s="19"/>
      <c r="M7" s="20" t="s">
        <v>81</v>
      </c>
      <c r="N7" s="21"/>
      <c r="O7" s="31"/>
      <c r="P7" s="23"/>
      <c r="Q7" s="27" t="s">
        <v>82</v>
      </c>
      <c r="R7" s="28" t="s">
        <v>70</v>
      </c>
      <c r="S7" s="23"/>
      <c r="T7" s="24" t="s">
        <v>83</v>
      </c>
      <c r="U7" s="29">
        <v>1</v>
      </c>
    </row>
    <row r="8" ht="27.95" customHeight="1" spans="1:21">
      <c r="A8" s="2"/>
      <c r="B8" s="33"/>
      <c r="C8" s="34" t="s">
        <v>84</v>
      </c>
      <c r="D8" s="35"/>
      <c r="E8" s="36">
        <v>13735526664</v>
      </c>
      <c r="F8" s="37"/>
      <c r="G8" s="38" t="s">
        <v>85</v>
      </c>
      <c r="H8" s="36" t="s">
        <v>86</v>
      </c>
      <c r="I8" s="39"/>
      <c r="J8" s="39"/>
      <c r="K8" s="37"/>
      <c r="L8" s="33"/>
      <c r="M8" s="40" t="s">
        <v>87</v>
      </c>
      <c r="N8" s="35"/>
      <c r="O8" s="41">
        <v>0.02</v>
      </c>
      <c r="P8" s="37"/>
      <c r="Q8" s="38" t="s">
        <v>88</v>
      </c>
      <c r="R8" s="42" t="s">
        <v>70</v>
      </c>
      <c r="S8" s="37"/>
      <c r="T8" s="43" t="s">
        <v>89</v>
      </c>
      <c r="U8" s="44">
        <v>300</v>
      </c>
    </row>
    <row r="9" ht="24.95" customHeight="1" spans="1:21">
      <c r="A9" s="2"/>
      <c r="B9" s="45" t="s">
        <v>90</v>
      </c>
      <c r="C9" s="46" t="s">
        <v>91</v>
      </c>
      <c r="D9" s="47" t="s">
        <v>92</v>
      </c>
      <c r="E9" s="48" t="s">
        <v>93</v>
      </c>
      <c r="F9" s="48" t="s">
        <v>94</v>
      </c>
      <c r="G9" s="48" t="s">
        <v>95</v>
      </c>
      <c r="H9" s="48" t="s">
        <v>96</v>
      </c>
      <c r="I9" s="48" t="s">
        <v>97</v>
      </c>
      <c r="J9" s="48" t="s">
        <v>98</v>
      </c>
      <c r="K9" s="49" t="s">
        <v>99</v>
      </c>
      <c r="L9" s="50" t="s">
        <v>100</v>
      </c>
      <c r="M9" s="46" t="s">
        <v>101</v>
      </c>
      <c r="N9" s="47" t="s">
        <v>92</v>
      </c>
      <c r="O9" s="48" t="s">
        <v>93</v>
      </c>
      <c r="P9" s="48" t="s">
        <v>94</v>
      </c>
      <c r="Q9" s="48" t="s">
        <v>95</v>
      </c>
      <c r="R9" s="48" t="s">
        <v>96</v>
      </c>
      <c r="S9" s="48" t="s">
        <v>97</v>
      </c>
      <c r="T9" s="48" t="s">
        <v>98</v>
      </c>
      <c r="U9" s="49" t="s">
        <v>102</v>
      </c>
    </row>
    <row r="10" ht="24.95" customHeight="1" spans="1:21">
      <c r="A10" s="2"/>
      <c r="B10" s="51"/>
      <c r="C10" s="52"/>
      <c r="D10" s="53">
        <v>1</v>
      </c>
      <c r="E10" s="54" t="s">
        <v>103</v>
      </c>
      <c r="F10" s="55" t="s">
        <v>104</v>
      </c>
      <c r="G10" s="56"/>
      <c r="H10" s="56">
        <v>0.0892</v>
      </c>
      <c r="I10" s="57">
        <v>0.01</v>
      </c>
      <c r="J10" s="56">
        <v>45</v>
      </c>
      <c r="K10" s="58">
        <f>IF(J10="","",J10*H10*(1+I10))</f>
        <v>4.05414</v>
      </c>
      <c r="L10" s="51"/>
      <c r="M10" s="52"/>
      <c r="N10" s="53">
        <v>1</v>
      </c>
      <c r="O10" s="59"/>
      <c r="P10" s="60"/>
      <c r="Q10" s="56"/>
      <c r="R10" s="56"/>
      <c r="S10" s="61"/>
      <c r="T10" s="56"/>
      <c r="U10" s="62" t="str">
        <f t="shared" ref="U10:U26" si="0">IF(T10="","",T10*R10*(1+S10))</f>
        <v/>
      </c>
    </row>
    <row r="11" ht="24.95" customHeight="1" spans="1:21">
      <c r="A11" s="2"/>
      <c r="B11" s="51"/>
      <c r="C11" s="52"/>
      <c r="D11" s="20">
        <v>2</v>
      </c>
      <c r="E11" s="63"/>
      <c r="F11" s="63"/>
      <c r="G11" s="64"/>
      <c r="H11" s="64"/>
      <c r="I11" s="65"/>
      <c r="J11" s="64"/>
      <c r="K11" s="66" t="str">
        <f>IF(J11="","",J11*H11*(1+I11))</f>
        <v/>
      </c>
      <c r="L11" s="51"/>
      <c r="M11" s="52"/>
      <c r="N11" s="20">
        <v>2</v>
      </c>
      <c r="O11" s="67"/>
      <c r="P11" s="63"/>
      <c r="Q11" s="64"/>
      <c r="R11" s="64"/>
      <c r="S11" s="68"/>
      <c r="T11" s="64"/>
      <c r="U11" s="69" t="str">
        <f t="shared" si="0"/>
        <v/>
      </c>
    </row>
    <row r="12" ht="24.95" customHeight="1" spans="1:21">
      <c r="A12" s="2"/>
      <c r="B12" s="51"/>
      <c r="C12" s="52"/>
      <c r="D12" s="20">
        <v>3</v>
      </c>
      <c r="E12" s="63"/>
      <c r="F12" s="63"/>
      <c r="G12" s="64"/>
      <c r="H12" s="64"/>
      <c r="I12" s="65"/>
      <c r="J12" s="64"/>
      <c r="K12" s="66" t="str">
        <f>IF(J12="","",J12*H12*(1+I12))</f>
        <v/>
      </c>
      <c r="L12" s="51"/>
      <c r="M12" s="52"/>
      <c r="N12" s="20">
        <v>3</v>
      </c>
      <c r="O12" s="67"/>
      <c r="P12" s="63"/>
      <c r="Q12" s="64"/>
      <c r="R12" s="64"/>
      <c r="S12" s="68"/>
      <c r="T12" s="64"/>
      <c r="U12" s="69" t="str">
        <f t="shared" si="0"/>
        <v/>
      </c>
    </row>
    <row r="13" ht="24.95" customHeight="1" spans="1:21">
      <c r="A13" s="2"/>
      <c r="B13" s="51"/>
      <c r="C13" s="52"/>
      <c r="D13" s="20">
        <v>4</v>
      </c>
      <c r="E13" s="63"/>
      <c r="F13" s="63"/>
      <c r="G13" s="64"/>
      <c r="I13" s="65"/>
      <c r="J13" s="31"/>
      <c r="K13" s="66" t="str">
        <f>IF(J13="","",J13*G13*(1+I13))</f>
        <v/>
      </c>
      <c r="L13" s="51"/>
      <c r="M13" s="52"/>
      <c r="N13" s="20">
        <v>4</v>
      </c>
      <c r="O13" s="67"/>
      <c r="P13" s="63"/>
      <c r="Q13" s="64"/>
      <c r="R13" s="64"/>
      <c r="S13" s="68"/>
      <c r="T13" s="64"/>
      <c r="U13" s="69" t="str">
        <f t="shared" si="0"/>
        <v/>
      </c>
    </row>
    <row r="14" ht="24.95" customHeight="1" spans="1:21">
      <c r="A14" s="2"/>
      <c r="B14" s="51"/>
      <c r="C14" s="52"/>
      <c r="D14" s="20">
        <v>5</v>
      </c>
      <c r="E14" s="63"/>
      <c r="F14" s="63"/>
      <c r="G14" s="64"/>
      <c r="H14" s="31"/>
      <c r="I14" s="64"/>
      <c r="J14" s="65"/>
      <c r="K14" s="66" t="str">
        <f t="shared" ref="K14:K26" si="1">IF(J14="","",J14*H14*(1+I14))</f>
        <v/>
      </c>
      <c r="L14" s="51"/>
      <c r="M14" s="52"/>
      <c r="N14" s="20">
        <v>5</v>
      </c>
      <c r="O14" s="67"/>
      <c r="P14" s="63"/>
      <c r="Q14" s="64"/>
      <c r="R14" s="64"/>
      <c r="S14" s="68"/>
      <c r="T14" s="64"/>
      <c r="U14" s="69" t="str">
        <f t="shared" si="0"/>
        <v/>
      </c>
    </row>
    <row r="15" ht="24.95" customHeight="1" spans="1:21">
      <c r="A15" s="2"/>
      <c r="B15" s="51"/>
      <c r="C15" s="52"/>
      <c r="D15" s="20">
        <v>6</v>
      </c>
      <c r="E15" s="63"/>
      <c r="F15" s="63"/>
      <c r="G15" s="64"/>
      <c r="H15" s="31"/>
      <c r="I15" s="64"/>
      <c r="J15" s="65"/>
      <c r="K15" s="66" t="str">
        <f t="shared" si="1"/>
        <v/>
      </c>
      <c r="L15" s="51"/>
      <c r="M15" s="52"/>
      <c r="N15" s="20">
        <v>6</v>
      </c>
      <c r="O15" s="67"/>
      <c r="P15" s="63"/>
      <c r="Q15" s="64"/>
      <c r="R15" s="64"/>
      <c r="S15" s="68"/>
      <c r="T15" s="64"/>
      <c r="U15" s="69" t="str">
        <f t="shared" si="0"/>
        <v/>
      </c>
    </row>
    <row r="16" ht="24.95" customHeight="1" spans="1:21">
      <c r="A16" s="2"/>
      <c r="B16" s="51"/>
      <c r="C16" s="52"/>
      <c r="D16" s="20">
        <v>7</v>
      </c>
      <c r="E16" s="63"/>
      <c r="F16" s="63"/>
      <c r="G16" s="64"/>
      <c r="H16" s="31"/>
      <c r="I16" s="64"/>
      <c r="J16" s="65"/>
      <c r="K16" s="66" t="str">
        <f t="shared" si="1"/>
        <v/>
      </c>
      <c r="L16" s="51"/>
      <c r="M16" s="52"/>
      <c r="N16" s="20">
        <v>7</v>
      </c>
      <c r="O16" s="67"/>
      <c r="P16" s="63"/>
      <c r="Q16" s="64"/>
      <c r="R16" s="64"/>
      <c r="S16" s="68"/>
      <c r="T16" s="64"/>
      <c r="U16" s="69" t="str">
        <f t="shared" si="0"/>
        <v/>
      </c>
    </row>
    <row r="17" ht="24.95" customHeight="1" spans="1:21">
      <c r="A17" s="2"/>
      <c r="B17" s="51"/>
      <c r="C17" s="52"/>
      <c r="D17" s="20">
        <v>8</v>
      </c>
      <c r="E17" s="63"/>
      <c r="F17" s="63"/>
      <c r="G17" s="64"/>
      <c r="H17" s="31"/>
      <c r="I17" s="64"/>
      <c r="J17" s="65"/>
      <c r="K17" s="66" t="str">
        <f t="shared" si="1"/>
        <v/>
      </c>
      <c r="L17" s="51"/>
      <c r="M17" s="52"/>
      <c r="N17" s="20">
        <v>8</v>
      </c>
      <c r="O17" s="67"/>
      <c r="P17" s="63"/>
      <c r="Q17" s="64"/>
      <c r="R17" s="64"/>
      <c r="S17" s="68"/>
      <c r="T17" s="64"/>
      <c r="U17" s="69" t="str">
        <f t="shared" si="0"/>
        <v/>
      </c>
    </row>
    <row r="18" ht="24.95" customHeight="1" spans="1:21">
      <c r="A18" s="2"/>
      <c r="B18" s="51"/>
      <c r="C18" s="52"/>
      <c r="D18" s="20">
        <v>9</v>
      </c>
      <c r="E18" s="63"/>
      <c r="F18" s="63"/>
      <c r="G18" s="64"/>
      <c r="H18" s="64"/>
      <c r="I18" s="64"/>
      <c r="J18" s="65"/>
      <c r="K18" s="66" t="str">
        <f t="shared" si="1"/>
        <v/>
      </c>
      <c r="L18" s="51"/>
      <c r="M18" s="52"/>
      <c r="N18" s="20">
        <v>9</v>
      </c>
      <c r="O18" s="67"/>
      <c r="P18" s="63"/>
      <c r="Q18" s="64"/>
      <c r="R18" s="64"/>
      <c r="S18" s="68"/>
      <c r="T18" s="64"/>
      <c r="U18" s="69" t="str">
        <f t="shared" si="0"/>
        <v/>
      </c>
    </row>
    <row r="19" ht="24.95" customHeight="1" spans="1:21">
      <c r="A19" s="2"/>
      <c r="B19" s="51"/>
      <c r="C19" s="52"/>
      <c r="D19" s="20">
        <v>10</v>
      </c>
      <c r="E19" s="63"/>
      <c r="F19" s="63"/>
      <c r="G19" s="64"/>
      <c r="H19" s="64"/>
      <c r="I19" s="64"/>
      <c r="J19" s="65"/>
      <c r="K19" s="66" t="str">
        <f t="shared" si="1"/>
        <v/>
      </c>
      <c r="L19" s="51"/>
      <c r="M19" s="52"/>
      <c r="N19" s="20">
        <v>10</v>
      </c>
      <c r="O19" s="67"/>
      <c r="P19" s="63"/>
      <c r="Q19" s="64"/>
      <c r="R19" s="64"/>
      <c r="S19" s="68"/>
      <c r="T19" s="64"/>
      <c r="U19" s="69" t="str">
        <f t="shared" si="0"/>
        <v/>
      </c>
    </row>
    <row r="20" ht="24.95" customHeight="1" spans="1:21">
      <c r="A20" s="2"/>
      <c r="B20" s="51"/>
      <c r="C20" s="52"/>
      <c r="D20" s="20">
        <v>11</v>
      </c>
      <c r="E20" s="63"/>
      <c r="F20" s="63"/>
      <c r="G20" s="64"/>
      <c r="H20" s="64"/>
      <c r="I20" s="64"/>
      <c r="J20" s="65"/>
      <c r="K20" s="66" t="str">
        <f t="shared" si="1"/>
        <v/>
      </c>
      <c r="L20" s="51"/>
      <c r="M20" s="52"/>
      <c r="N20" s="20">
        <v>11</v>
      </c>
      <c r="O20" s="67"/>
      <c r="P20" s="70"/>
      <c r="Q20" s="71"/>
      <c r="R20" s="64"/>
      <c r="S20" s="68"/>
      <c r="T20" s="64"/>
      <c r="U20" s="69" t="str">
        <f t="shared" si="0"/>
        <v/>
      </c>
    </row>
    <row r="21" ht="24.95" customHeight="1" spans="1:21">
      <c r="A21" s="2"/>
      <c r="B21" s="51"/>
      <c r="C21" s="52"/>
      <c r="D21" s="20">
        <v>12</v>
      </c>
      <c r="E21" s="72"/>
      <c r="F21" s="72"/>
      <c r="G21" s="22"/>
      <c r="H21" s="64"/>
      <c r="I21" s="64"/>
      <c r="J21" s="65"/>
      <c r="K21" s="66" t="str">
        <f t="shared" si="1"/>
        <v/>
      </c>
      <c r="L21" s="51"/>
      <c r="M21" s="52"/>
      <c r="N21" s="20">
        <v>12</v>
      </c>
      <c r="O21" s="67"/>
      <c r="P21" s="70"/>
      <c r="Q21" s="71"/>
      <c r="R21" s="64"/>
      <c r="S21" s="68"/>
      <c r="T21" s="64"/>
      <c r="U21" s="69" t="str">
        <f t="shared" si="0"/>
        <v/>
      </c>
    </row>
    <row r="22" ht="24.95" customHeight="1" spans="1:21">
      <c r="A22" s="2"/>
      <c r="B22" s="51"/>
      <c r="C22" s="52"/>
      <c r="D22" s="20">
        <v>13</v>
      </c>
      <c r="E22" s="72"/>
      <c r="F22" s="72"/>
      <c r="G22" s="22"/>
      <c r="H22" s="64"/>
      <c r="I22" s="64"/>
      <c r="J22" s="65"/>
      <c r="K22" s="66" t="str">
        <f t="shared" si="1"/>
        <v/>
      </c>
      <c r="L22" s="51"/>
      <c r="M22" s="52"/>
      <c r="N22" s="20">
        <v>13</v>
      </c>
      <c r="O22" s="67"/>
      <c r="P22" s="70"/>
      <c r="Q22" s="71"/>
      <c r="R22" s="64"/>
      <c r="S22" s="68"/>
      <c r="T22" s="64"/>
      <c r="U22" s="69" t="str">
        <f t="shared" si="0"/>
        <v/>
      </c>
    </row>
    <row r="23" ht="24.95" customHeight="1" spans="1:21">
      <c r="A23" s="2"/>
      <c r="B23" s="51"/>
      <c r="C23" s="52"/>
      <c r="D23" s="20">
        <v>14</v>
      </c>
      <c r="E23" s="72"/>
      <c r="F23" s="72"/>
      <c r="G23" s="22"/>
      <c r="H23" s="64"/>
      <c r="I23" s="64"/>
      <c r="J23" s="65"/>
      <c r="K23" s="66" t="str">
        <f t="shared" si="1"/>
        <v/>
      </c>
      <c r="L23" s="51"/>
      <c r="M23" s="52"/>
      <c r="N23" s="20">
        <v>14</v>
      </c>
      <c r="O23" s="67"/>
      <c r="P23" s="72"/>
      <c r="Q23" s="22"/>
      <c r="R23" s="64"/>
      <c r="S23" s="68"/>
      <c r="T23" s="64"/>
      <c r="U23" s="69" t="str">
        <f t="shared" si="0"/>
        <v/>
      </c>
    </row>
    <row r="24" ht="24.95" customHeight="1" spans="1:21">
      <c r="A24" s="2"/>
      <c r="B24" s="51"/>
      <c r="C24" s="52"/>
      <c r="D24" s="20">
        <v>15</v>
      </c>
      <c r="E24" s="72"/>
      <c r="F24" s="73"/>
      <c r="G24" s="74"/>
      <c r="H24" s="64"/>
      <c r="I24" s="64"/>
      <c r="J24" s="65"/>
      <c r="K24" s="66" t="str">
        <f t="shared" si="1"/>
        <v/>
      </c>
      <c r="L24" s="51"/>
      <c r="M24" s="52"/>
      <c r="N24" s="20">
        <v>15</v>
      </c>
      <c r="O24" s="67"/>
      <c r="P24" s="72"/>
      <c r="Q24" s="22"/>
      <c r="R24" s="64"/>
      <c r="S24" s="68"/>
      <c r="T24" s="64"/>
      <c r="U24" s="69" t="str">
        <f t="shared" si="0"/>
        <v/>
      </c>
    </row>
    <row r="25" ht="24.95" customHeight="1" spans="1:21">
      <c r="A25" s="2"/>
      <c r="B25" s="51"/>
      <c r="C25" s="52"/>
      <c r="D25" s="20">
        <v>16</v>
      </c>
      <c r="E25" s="72"/>
      <c r="F25" s="72"/>
      <c r="G25" s="22"/>
      <c r="H25" s="64"/>
      <c r="I25" s="64"/>
      <c r="J25" s="65"/>
      <c r="K25" s="66" t="str">
        <f t="shared" si="1"/>
        <v/>
      </c>
      <c r="L25" s="51"/>
      <c r="M25" s="52"/>
      <c r="N25" s="20">
        <v>16</v>
      </c>
      <c r="O25" s="67"/>
      <c r="P25" s="72"/>
      <c r="Q25" s="22"/>
      <c r="R25" s="64"/>
      <c r="S25" s="68"/>
      <c r="T25" s="64"/>
      <c r="U25" s="69" t="str">
        <f t="shared" si="0"/>
        <v/>
      </c>
    </row>
    <row r="26" ht="24.95" customHeight="1" spans="1:21">
      <c r="A26" s="2"/>
      <c r="B26" s="51"/>
      <c r="C26" s="52"/>
      <c r="D26" s="20">
        <v>17</v>
      </c>
      <c r="E26" s="72"/>
      <c r="F26" s="72"/>
      <c r="G26" s="22"/>
      <c r="H26" s="64"/>
      <c r="I26" s="64"/>
      <c r="J26" s="65"/>
      <c r="K26" s="66" t="str">
        <f t="shared" si="1"/>
        <v/>
      </c>
      <c r="L26" s="51"/>
      <c r="M26" s="52"/>
      <c r="N26" s="20">
        <v>17</v>
      </c>
      <c r="O26" s="67"/>
      <c r="P26" s="72"/>
      <c r="Q26" s="22"/>
      <c r="R26" s="64"/>
      <c r="S26" s="68"/>
      <c r="T26" s="64"/>
      <c r="U26" s="69" t="str">
        <f t="shared" si="0"/>
        <v/>
      </c>
    </row>
    <row r="27" ht="24.95" customHeight="1" spans="1:21">
      <c r="A27" s="2"/>
      <c r="B27" s="75"/>
      <c r="C27" s="76"/>
      <c r="D27" s="34"/>
      <c r="E27" s="77"/>
      <c r="F27" s="77"/>
      <c r="G27" s="77"/>
      <c r="H27" s="38" t="s">
        <v>105</v>
      </c>
      <c r="I27" s="35"/>
      <c r="J27" s="78"/>
      <c r="K27" s="79">
        <f>SUM(K10:K26)</f>
        <v>4.05414</v>
      </c>
      <c r="L27" s="75"/>
      <c r="M27" s="76"/>
      <c r="N27" s="34"/>
      <c r="O27" s="80"/>
      <c r="P27" s="38"/>
      <c r="Q27" s="38"/>
      <c r="R27" s="38"/>
      <c r="S27" s="38" t="s">
        <v>106</v>
      </c>
      <c r="T27" s="35"/>
      <c r="U27" s="79">
        <f>SUM(U10:U26)</f>
        <v>0</v>
      </c>
    </row>
    <row r="28" ht="24.95" customHeight="1" spans="1:21">
      <c r="A28" s="2"/>
      <c r="B28" s="45" t="s">
        <v>107</v>
      </c>
      <c r="C28" s="46" t="s">
        <v>108</v>
      </c>
      <c r="D28" s="81" t="s">
        <v>109</v>
      </c>
      <c r="E28" s="82"/>
      <c r="F28" s="82"/>
      <c r="G28" s="82"/>
      <c r="H28" s="82"/>
      <c r="I28" s="82"/>
      <c r="J28" s="82"/>
      <c r="K28" s="83"/>
      <c r="L28" s="50" t="s">
        <v>110</v>
      </c>
      <c r="M28" s="46" t="s">
        <v>111</v>
      </c>
      <c r="N28" s="81" t="s">
        <v>112</v>
      </c>
      <c r="O28" s="82"/>
      <c r="P28" s="82"/>
      <c r="Q28" s="82"/>
      <c r="R28" s="82"/>
      <c r="S28" s="82"/>
      <c r="T28" s="82"/>
      <c r="U28" s="83"/>
    </row>
    <row r="29" ht="24.95" customHeight="1" spans="1:21">
      <c r="A29" s="2"/>
      <c r="B29" s="51"/>
      <c r="C29" s="52"/>
      <c r="D29" s="84" t="s">
        <v>92</v>
      </c>
      <c r="E29" s="85" t="s">
        <v>113</v>
      </c>
      <c r="F29" s="86" t="s">
        <v>114</v>
      </c>
      <c r="G29" s="85" t="s">
        <v>115</v>
      </c>
      <c r="H29" s="86" t="s">
        <v>116</v>
      </c>
      <c r="I29" s="86" t="s">
        <v>117</v>
      </c>
      <c r="J29" s="86" t="s">
        <v>118</v>
      </c>
      <c r="K29" s="87" t="s">
        <v>119</v>
      </c>
      <c r="L29" s="51"/>
      <c r="M29" s="52"/>
      <c r="N29" s="88" t="s">
        <v>120</v>
      </c>
      <c r="O29" s="85" t="s">
        <v>121</v>
      </c>
      <c r="P29" s="86" t="s">
        <v>122</v>
      </c>
      <c r="Q29" s="85" t="s">
        <v>123</v>
      </c>
      <c r="R29" s="86" t="s">
        <v>124</v>
      </c>
      <c r="S29" s="86" t="s">
        <v>125</v>
      </c>
      <c r="T29" s="86" t="s">
        <v>118</v>
      </c>
      <c r="U29" s="87" t="s">
        <v>126</v>
      </c>
    </row>
    <row r="30" ht="24.95" customHeight="1" spans="1:21">
      <c r="A30" s="2"/>
      <c r="B30" s="51"/>
      <c r="C30" s="52"/>
      <c r="D30" s="53">
        <v>1</v>
      </c>
      <c r="E30" s="89" t="s">
        <v>127</v>
      </c>
      <c r="F30" s="90">
        <v>29</v>
      </c>
      <c r="G30" s="90">
        <v>2</v>
      </c>
      <c r="H30" s="90">
        <v>50</v>
      </c>
      <c r="I30" s="90">
        <f>23*2</f>
        <v>46</v>
      </c>
      <c r="J30" s="91">
        <f>22.9566*2</f>
        <v>45.9132</v>
      </c>
      <c r="K30" s="92">
        <f t="shared" ref="K30:K39" si="2">IF(E30="","",IF(J30="",F30/I30,F30/J30))</f>
        <v>0.63162663460617</v>
      </c>
      <c r="L30" s="51"/>
      <c r="M30" s="52"/>
      <c r="N30" s="53">
        <v>1</v>
      </c>
      <c r="O30" s="93" t="s">
        <v>128</v>
      </c>
      <c r="P30" s="90">
        <v>0</v>
      </c>
      <c r="Q30" s="94"/>
      <c r="R30" s="95">
        <f>O6</f>
        <v>61.2178</v>
      </c>
      <c r="S30" s="90">
        <v>23</v>
      </c>
      <c r="T30" s="94"/>
      <c r="U30" s="62">
        <f t="shared" ref="U30:U39" si="3">IF(O30="","",IF(T30="",P30/S30,P30/T30))</f>
        <v>0</v>
      </c>
    </row>
    <row r="31" ht="24.95" customHeight="1" spans="1:21">
      <c r="A31" s="2"/>
      <c r="B31" s="51"/>
      <c r="C31" s="52"/>
      <c r="D31" s="20">
        <v>2</v>
      </c>
      <c r="E31" s="22"/>
      <c r="F31" s="22"/>
      <c r="G31" s="22"/>
      <c r="H31" s="22"/>
      <c r="I31" s="22"/>
      <c r="J31" s="96"/>
      <c r="K31" s="97" t="str">
        <f t="shared" si="2"/>
        <v/>
      </c>
      <c r="L31" s="51"/>
      <c r="M31" s="52"/>
      <c r="N31" s="20">
        <v>2</v>
      </c>
      <c r="O31" s="98"/>
      <c r="P31" s="22"/>
      <c r="Q31" s="22"/>
      <c r="R31" s="99" t="str">
        <f t="shared" ref="R31:R39" si="4">IF(O31="","",R30)</f>
        <v/>
      </c>
      <c r="S31" s="22"/>
      <c r="T31" s="22"/>
      <c r="U31" s="69" t="str">
        <f t="shared" si="3"/>
        <v/>
      </c>
    </row>
    <row r="32" ht="24.95" customHeight="1" spans="1:21">
      <c r="A32" s="2"/>
      <c r="B32" s="51"/>
      <c r="C32" s="52"/>
      <c r="D32" s="20">
        <v>3</v>
      </c>
      <c r="E32" s="22"/>
      <c r="F32" s="22"/>
      <c r="G32" s="22"/>
      <c r="H32" s="22"/>
      <c r="I32" s="22"/>
      <c r="J32" s="96"/>
      <c r="K32" s="97" t="str">
        <f t="shared" si="2"/>
        <v/>
      </c>
      <c r="L32" s="51"/>
      <c r="M32" s="52"/>
      <c r="N32" s="20">
        <v>3</v>
      </c>
      <c r="O32" s="98"/>
      <c r="P32" s="22"/>
      <c r="Q32" s="22"/>
      <c r="R32" s="99" t="str">
        <f t="shared" si="4"/>
        <v/>
      </c>
      <c r="S32" s="22"/>
      <c r="T32" s="22"/>
      <c r="U32" s="69" t="str">
        <f t="shared" si="3"/>
        <v/>
      </c>
    </row>
    <row r="33" ht="24.95" customHeight="1" spans="1:21">
      <c r="A33" s="2"/>
      <c r="B33" s="51"/>
      <c r="C33" s="52"/>
      <c r="D33" s="20">
        <v>5</v>
      </c>
      <c r="E33" s="22"/>
      <c r="F33" s="22"/>
      <c r="G33" s="22"/>
      <c r="H33" s="22"/>
      <c r="I33" s="22"/>
      <c r="J33" s="96"/>
      <c r="K33" s="97" t="str">
        <f t="shared" si="2"/>
        <v/>
      </c>
      <c r="L33" s="51"/>
      <c r="M33" s="52"/>
      <c r="N33" s="20">
        <v>4</v>
      </c>
      <c r="O33" s="98"/>
      <c r="P33" s="22"/>
      <c r="Q33" s="22"/>
      <c r="R33" s="99" t="str">
        <f t="shared" si="4"/>
        <v/>
      </c>
      <c r="S33" s="22"/>
      <c r="T33" s="22"/>
      <c r="U33" s="69" t="str">
        <f t="shared" si="3"/>
        <v/>
      </c>
    </row>
    <row r="34" ht="24.95" customHeight="1" spans="1:21">
      <c r="A34" s="2"/>
      <c r="B34" s="51"/>
      <c r="C34" s="52"/>
      <c r="D34" s="20">
        <v>6</v>
      </c>
      <c r="E34" s="22"/>
      <c r="F34" s="22"/>
      <c r="G34" s="22"/>
      <c r="H34" s="22"/>
      <c r="I34" s="22"/>
      <c r="J34" s="96"/>
      <c r="K34" s="97" t="str">
        <f t="shared" si="2"/>
        <v/>
      </c>
      <c r="L34" s="51"/>
      <c r="M34" s="52"/>
      <c r="N34" s="20">
        <v>5</v>
      </c>
      <c r="O34" s="98"/>
      <c r="P34" s="22"/>
      <c r="Q34" s="22"/>
      <c r="R34" s="99" t="str">
        <f t="shared" si="4"/>
        <v/>
      </c>
      <c r="S34" s="22"/>
      <c r="T34" s="22"/>
      <c r="U34" s="69" t="str">
        <f t="shared" si="3"/>
        <v/>
      </c>
    </row>
    <row r="35" ht="24.95" customHeight="1" spans="1:21">
      <c r="A35" s="2"/>
      <c r="B35" s="51"/>
      <c r="C35" s="52"/>
      <c r="D35" s="20">
        <v>7</v>
      </c>
      <c r="E35" s="22"/>
      <c r="F35" s="22"/>
      <c r="G35" s="22"/>
      <c r="H35" s="22"/>
      <c r="I35" s="22"/>
      <c r="J35" s="96"/>
      <c r="K35" s="97" t="str">
        <f t="shared" si="2"/>
        <v/>
      </c>
      <c r="L35" s="51"/>
      <c r="M35" s="52"/>
      <c r="N35" s="20">
        <v>6</v>
      </c>
      <c r="O35" s="98"/>
      <c r="P35" s="22"/>
      <c r="Q35" s="22"/>
      <c r="R35" s="99" t="str">
        <f t="shared" si="4"/>
        <v/>
      </c>
      <c r="S35" s="22"/>
      <c r="T35" s="22"/>
      <c r="U35" s="69" t="str">
        <f t="shared" si="3"/>
        <v/>
      </c>
    </row>
    <row r="36" ht="24.95" customHeight="1" spans="1:21">
      <c r="A36" s="2"/>
      <c r="B36" s="51"/>
      <c r="C36" s="52"/>
      <c r="D36" s="20">
        <v>8</v>
      </c>
      <c r="E36" s="22"/>
      <c r="F36" s="22"/>
      <c r="G36" s="22"/>
      <c r="H36" s="22"/>
      <c r="I36" s="22"/>
      <c r="J36" s="96"/>
      <c r="K36" s="97" t="str">
        <f t="shared" si="2"/>
        <v/>
      </c>
      <c r="L36" s="51"/>
      <c r="M36" s="52"/>
      <c r="N36" s="20">
        <v>7</v>
      </c>
      <c r="O36" s="98"/>
      <c r="P36" s="22"/>
      <c r="Q36" s="22"/>
      <c r="R36" s="99" t="str">
        <f t="shared" si="4"/>
        <v/>
      </c>
      <c r="S36" s="22"/>
      <c r="T36" s="22"/>
      <c r="U36" s="69" t="str">
        <f t="shared" si="3"/>
        <v/>
      </c>
    </row>
    <row r="37" ht="24.95" customHeight="1" spans="1:21">
      <c r="A37" s="2"/>
      <c r="B37" s="51"/>
      <c r="C37" s="52"/>
      <c r="D37" s="20">
        <v>9</v>
      </c>
      <c r="E37" s="22"/>
      <c r="F37" s="22"/>
      <c r="G37" s="22"/>
      <c r="H37" s="22"/>
      <c r="I37" s="22"/>
      <c r="J37" s="96"/>
      <c r="K37" s="97" t="str">
        <f t="shared" si="2"/>
        <v/>
      </c>
      <c r="L37" s="51"/>
      <c r="M37" s="52"/>
      <c r="N37" s="20">
        <v>8</v>
      </c>
      <c r="O37" s="98"/>
      <c r="P37" s="22"/>
      <c r="Q37" s="22"/>
      <c r="R37" s="99" t="str">
        <f t="shared" si="4"/>
        <v/>
      </c>
      <c r="S37" s="22"/>
      <c r="T37" s="22"/>
      <c r="U37" s="69" t="str">
        <f t="shared" si="3"/>
        <v/>
      </c>
    </row>
    <row r="38" ht="24.95" customHeight="1" spans="1:21">
      <c r="A38" s="2"/>
      <c r="B38" s="51"/>
      <c r="C38" s="52"/>
      <c r="D38" s="20">
        <v>10</v>
      </c>
      <c r="E38" s="22"/>
      <c r="F38" s="22"/>
      <c r="G38" s="22"/>
      <c r="H38" s="22"/>
      <c r="I38" s="22"/>
      <c r="J38" s="96"/>
      <c r="K38" s="97" t="str">
        <f t="shared" si="2"/>
        <v/>
      </c>
      <c r="L38" s="51"/>
      <c r="M38" s="52"/>
      <c r="N38" s="20">
        <v>9</v>
      </c>
      <c r="O38" s="98"/>
      <c r="P38" s="22"/>
      <c r="Q38" s="22"/>
      <c r="R38" s="99" t="str">
        <f t="shared" si="4"/>
        <v/>
      </c>
      <c r="S38" s="22"/>
      <c r="T38" s="22"/>
      <c r="U38" s="69" t="str">
        <f t="shared" si="3"/>
        <v/>
      </c>
    </row>
    <row r="39" ht="24.95" customHeight="1" spans="1:21">
      <c r="A39" s="2"/>
      <c r="B39" s="51"/>
      <c r="C39" s="52"/>
      <c r="D39" s="20">
        <v>11</v>
      </c>
      <c r="E39" s="22"/>
      <c r="F39" s="22"/>
      <c r="G39" s="22"/>
      <c r="H39" s="22"/>
      <c r="I39" s="22"/>
      <c r="J39" s="96"/>
      <c r="K39" s="97" t="str">
        <f t="shared" si="2"/>
        <v/>
      </c>
      <c r="L39" s="51"/>
      <c r="M39" s="52"/>
      <c r="N39" s="20">
        <v>10</v>
      </c>
      <c r="O39" s="98"/>
      <c r="P39" s="22"/>
      <c r="Q39" s="22"/>
      <c r="R39" s="99" t="str">
        <f t="shared" si="4"/>
        <v/>
      </c>
      <c r="S39" s="22"/>
      <c r="T39" s="22"/>
      <c r="U39" s="69" t="str">
        <f t="shared" si="3"/>
        <v/>
      </c>
    </row>
    <row r="40" ht="24.95" customHeight="1" spans="1:21">
      <c r="A40" s="2"/>
      <c r="B40" s="75"/>
      <c r="C40" s="76"/>
      <c r="D40" s="34"/>
      <c r="E40" s="38" t="s">
        <v>129</v>
      </c>
      <c r="F40" s="77">
        <f>SUM(F30:F39)</f>
        <v>29</v>
      </c>
      <c r="G40" s="77"/>
      <c r="H40" s="38" t="s">
        <v>130</v>
      </c>
      <c r="I40" s="35"/>
      <c r="J40" s="100"/>
      <c r="K40" s="101">
        <f>SUM(K30:K39)</f>
        <v>0.63162663460617</v>
      </c>
      <c r="L40" s="75"/>
      <c r="M40" s="76"/>
      <c r="N40" s="102"/>
      <c r="O40" s="38" t="s">
        <v>131</v>
      </c>
      <c r="P40" s="77">
        <f>SUM(P30:P39)</f>
        <v>0</v>
      </c>
      <c r="Q40" s="103"/>
      <c r="R40" s="77"/>
      <c r="S40" s="77"/>
      <c r="T40" s="77"/>
      <c r="U40" s="79">
        <f>SUM(U30:U39)</f>
        <v>0</v>
      </c>
    </row>
    <row r="41" ht="33.95" customHeight="1" spans="1:21">
      <c r="A41" s="2"/>
      <c r="B41" s="104" t="s">
        <v>132</v>
      </c>
      <c r="C41" s="46" t="s">
        <v>133</v>
      </c>
      <c r="D41" s="105" t="s">
        <v>134</v>
      </c>
      <c r="E41" s="106" t="s">
        <v>135</v>
      </c>
      <c r="F41" s="107" t="s">
        <v>136</v>
      </c>
      <c r="G41" s="107" t="s">
        <v>137</v>
      </c>
      <c r="H41" s="107" t="s">
        <v>138</v>
      </c>
      <c r="I41" s="106" t="s">
        <v>139</v>
      </c>
      <c r="J41" s="107" t="s">
        <v>140</v>
      </c>
      <c r="K41" s="106" t="s">
        <v>141</v>
      </c>
      <c r="L41" s="108" t="s">
        <v>142</v>
      </c>
      <c r="M41" s="109"/>
      <c r="N41" s="106" t="s">
        <v>143</v>
      </c>
      <c r="O41" s="109"/>
      <c r="P41" s="107" t="s">
        <v>144</v>
      </c>
      <c r="Q41" s="110" t="s">
        <v>145</v>
      </c>
      <c r="R41" s="106" t="s">
        <v>146</v>
      </c>
      <c r="S41" s="107" t="s">
        <v>147</v>
      </c>
      <c r="T41" s="107" t="s">
        <v>148</v>
      </c>
      <c r="U41" s="111" t="s">
        <v>149</v>
      </c>
    </row>
    <row r="42" ht="24.95" customHeight="1" spans="1:21">
      <c r="A42" s="2"/>
      <c r="B42" s="51"/>
      <c r="C42" s="52"/>
      <c r="D42" s="53">
        <v>1</v>
      </c>
      <c r="E42" s="90" t="s">
        <v>150</v>
      </c>
      <c r="F42" s="90">
        <v>50</v>
      </c>
      <c r="G42" s="112">
        <v>648</v>
      </c>
      <c r="H42" s="113">
        <v>0.0138888888888889</v>
      </c>
      <c r="I42" s="90">
        <v>1.5</v>
      </c>
      <c r="J42" s="114">
        <v>24</v>
      </c>
      <c r="K42" s="115">
        <v>0.0277777777777778</v>
      </c>
      <c r="L42" s="116">
        <v>0.75</v>
      </c>
      <c r="M42" s="117"/>
      <c r="N42" s="118">
        <v>0.666666666666667</v>
      </c>
      <c r="O42" s="119"/>
      <c r="P42" s="90">
        <v>70</v>
      </c>
      <c r="Q42" s="95" t="s">
        <v>195</v>
      </c>
      <c r="R42" s="115">
        <v>0.176767676767677</v>
      </c>
      <c r="S42" s="120">
        <v>90</v>
      </c>
      <c r="T42" s="167">
        <v>0.45</v>
      </c>
      <c r="U42" s="62">
        <v>0.605769230769231</v>
      </c>
    </row>
    <row r="43" ht="24.95" customHeight="1" spans="1:21">
      <c r="A43" s="2"/>
      <c r="B43" s="51"/>
      <c r="C43" s="52"/>
      <c r="D43" s="20">
        <v>2</v>
      </c>
      <c r="E43" s="22"/>
      <c r="F43" s="90"/>
      <c r="G43" s="112" t="str">
        <f t="shared" ref="G42:G57" si="5">IF(E43="","",12/H43*L43)</f>
        <v/>
      </c>
      <c r="H43" s="113" t="str">
        <f t="shared" ref="H42:H57" si="6">IF(E43="","",F43/3600)</f>
        <v/>
      </c>
      <c r="I43" s="22"/>
      <c r="J43" s="121"/>
      <c r="K43" s="115" t="str">
        <f t="shared" ref="K42:K57" si="7">IF(E43="","",H43*I43/L43)</f>
        <v/>
      </c>
      <c r="L43" s="68"/>
      <c r="M43" s="23"/>
      <c r="N43" s="118" t="str">
        <f t="shared" ref="N42:N57" si="8">IF(F43="","",IF(E43="","",J43*K43))</f>
        <v/>
      </c>
      <c r="O43" s="119"/>
      <c r="P43" s="22"/>
      <c r="Q43" s="99" t="str">
        <f t="shared" ref="Q42:Q57" si="9">IF(E43="","","10年2班折90%")</f>
        <v/>
      </c>
      <c r="R43" s="115" t="str">
        <f t="shared" ref="R42:R57" si="10">IF(E43="","",P43*0.9/10/$U$8/22*H43*10000/L43)</f>
        <v/>
      </c>
      <c r="S43" s="122"/>
      <c r="T43" s="65"/>
      <c r="U43" s="62" t="str">
        <f t="shared" ref="U42:U57" si="11">IF(S43="","",S43*T43*$U$7*H43/((L43+(1-L43)/1.4)))</f>
        <v/>
      </c>
    </row>
    <row r="44" ht="24.95" customHeight="1" spans="1:21">
      <c r="A44" s="2"/>
      <c r="B44" s="51"/>
      <c r="C44" s="52"/>
      <c r="D44" s="20">
        <v>3</v>
      </c>
      <c r="E44" s="22"/>
      <c r="F44" s="22"/>
      <c r="G44" s="112" t="str">
        <f t="shared" si="5"/>
        <v/>
      </c>
      <c r="H44" s="113" t="str">
        <f t="shared" si="6"/>
        <v/>
      </c>
      <c r="I44" s="22"/>
      <c r="J44" s="121"/>
      <c r="K44" s="115" t="str">
        <f t="shared" si="7"/>
        <v/>
      </c>
      <c r="L44" s="68"/>
      <c r="M44" s="23"/>
      <c r="N44" s="118" t="str">
        <f t="shared" si="8"/>
        <v/>
      </c>
      <c r="O44" s="119"/>
      <c r="P44" s="22"/>
      <c r="Q44" s="99" t="str">
        <f t="shared" si="9"/>
        <v/>
      </c>
      <c r="R44" s="115" t="str">
        <f t="shared" si="10"/>
        <v/>
      </c>
      <c r="S44" s="122"/>
      <c r="T44" s="65"/>
      <c r="U44" s="62" t="str">
        <f t="shared" si="11"/>
        <v/>
      </c>
    </row>
    <row r="45" ht="24.95" customHeight="1" spans="1:21">
      <c r="A45" s="2"/>
      <c r="B45" s="51"/>
      <c r="C45" s="52"/>
      <c r="D45" s="20">
        <v>4</v>
      </c>
      <c r="E45" s="22"/>
      <c r="F45" s="22"/>
      <c r="G45" s="112" t="str">
        <f t="shared" si="5"/>
        <v/>
      </c>
      <c r="H45" s="113" t="str">
        <f t="shared" si="6"/>
        <v/>
      </c>
      <c r="I45" s="22"/>
      <c r="J45" s="121"/>
      <c r="K45" s="115" t="str">
        <f t="shared" si="7"/>
        <v/>
      </c>
      <c r="L45" s="68"/>
      <c r="M45" s="23"/>
      <c r="N45" s="118" t="str">
        <f t="shared" si="8"/>
        <v/>
      </c>
      <c r="O45" s="119"/>
      <c r="P45" s="22"/>
      <c r="Q45" s="99" t="str">
        <f t="shared" si="9"/>
        <v/>
      </c>
      <c r="R45" s="115" t="str">
        <f t="shared" si="10"/>
        <v/>
      </c>
      <c r="S45" s="122"/>
      <c r="T45" s="65"/>
      <c r="U45" s="62" t="str">
        <f t="shared" si="11"/>
        <v/>
      </c>
    </row>
    <row r="46" ht="24.95" customHeight="1" spans="1:21">
      <c r="A46" s="2"/>
      <c r="B46" s="51"/>
      <c r="C46" s="52"/>
      <c r="D46" s="20">
        <v>5</v>
      </c>
      <c r="E46" s="22"/>
      <c r="F46" s="22"/>
      <c r="G46" s="112" t="str">
        <f t="shared" si="5"/>
        <v/>
      </c>
      <c r="H46" s="113" t="str">
        <f t="shared" si="6"/>
        <v/>
      </c>
      <c r="I46" s="22"/>
      <c r="J46" s="121"/>
      <c r="K46" s="115" t="str">
        <f t="shared" si="7"/>
        <v/>
      </c>
      <c r="L46" s="68"/>
      <c r="M46" s="23"/>
      <c r="N46" s="118" t="str">
        <f t="shared" si="8"/>
        <v/>
      </c>
      <c r="O46" s="119"/>
      <c r="P46" s="22"/>
      <c r="Q46" s="99" t="str">
        <f t="shared" si="9"/>
        <v/>
      </c>
      <c r="R46" s="115" t="str">
        <f t="shared" si="10"/>
        <v/>
      </c>
      <c r="S46" s="122"/>
      <c r="T46" s="65"/>
      <c r="U46" s="62" t="str">
        <f t="shared" si="11"/>
        <v/>
      </c>
    </row>
    <row r="47" ht="24.95" customHeight="1" spans="1:21">
      <c r="A47" s="2"/>
      <c r="B47" s="51"/>
      <c r="C47" s="52"/>
      <c r="D47" s="20">
        <v>6</v>
      </c>
      <c r="E47" s="22"/>
      <c r="F47" s="22"/>
      <c r="G47" s="112" t="str">
        <f t="shared" si="5"/>
        <v/>
      </c>
      <c r="H47" s="113" t="str">
        <f t="shared" si="6"/>
        <v/>
      </c>
      <c r="I47" s="22"/>
      <c r="J47" s="121"/>
      <c r="K47" s="115" t="str">
        <f t="shared" si="7"/>
        <v/>
      </c>
      <c r="L47" s="68"/>
      <c r="M47" s="23"/>
      <c r="N47" s="118" t="str">
        <f t="shared" si="8"/>
        <v/>
      </c>
      <c r="O47" s="119"/>
      <c r="P47" s="22"/>
      <c r="Q47" s="99" t="str">
        <f t="shared" si="9"/>
        <v/>
      </c>
      <c r="R47" s="115" t="str">
        <f t="shared" si="10"/>
        <v/>
      </c>
      <c r="S47" s="122"/>
      <c r="T47" s="65"/>
      <c r="U47" s="62" t="str">
        <f t="shared" si="11"/>
        <v/>
      </c>
    </row>
    <row r="48" ht="24.95" customHeight="1" spans="1:21">
      <c r="A48" s="2"/>
      <c r="B48" s="51"/>
      <c r="C48" s="52"/>
      <c r="D48" s="20">
        <v>7</v>
      </c>
      <c r="E48" s="22"/>
      <c r="F48" s="22"/>
      <c r="G48" s="112" t="str">
        <f t="shared" si="5"/>
        <v/>
      </c>
      <c r="H48" s="113" t="str">
        <f t="shared" si="6"/>
        <v/>
      </c>
      <c r="I48" s="22"/>
      <c r="J48" s="121"/>
      <c r="K48" s="115" t="str">
        <f t="shared" si="7"/>
        <v/>
      </c>
      <c r="L48" s="68"/>
      <c r="M48" s="23"/>
      <c r="N48" s="118" t="str">
        <f t="shared" si="8"/>
        <v/>
      </c>
      <c r="O48" s="119"/>
      <c r="P48" s="22"/>
      <c r="Q48" s="99" t="str">
        <f t="shared" si="9"/>
        <v/>
      </c>
      <c r="R48" s="115" t="str">
        <f t="shared" si="10"/>
        <v/>
      </c>
      <c r="S48" s="122"/>
      <c r="T48" s="65"/>
      <c r="U48" s="62" t="str">
        <f t="shared" si="11"/>
        <v/>
      </c>
    </row>
    <row r="49" ht="24.95" customHeight="1" spans="1:21">
      <c r="A49" s="2"/>
      <c r="B49" s="51"/>
      <c r="C49" s="52"/>
      <c r="D49" s="20">
        <v>8</v>
      </c>
      <c r="E49" s="22"/>
      <c r="F49" s="22"/>
      <c r="G49" s="112" t="str">
        <f t="shared" si="5"/>
        <v/>
      </c>
      <c r="H49" s="113" t="str">
        <f t="shared" si="6"/>
        <v/>
      </c>
      <c r="I49" s="22"/>
      <c r="J49" s="121"/>
      <c r="K49" s="115" t="str">
        <f t="shared" si="7"/>
        <v/>
      </c>
      <c r="L49" s="68"/>
      <c r="M49" s="23"/>
      <c r="N49" s="118" t="str">
        <f t="shared" si="8"/>
        <v/>
      </c>
      <c r="O49" s="119"/>
      <c r="P49" s="22"/>
      <c r="Q49" s="99" t="str">
        <f t="shared" si="9"/>
        <v/>
      </c>
      <c r="R49" s="115" t="str">
        <f t="shared" si="10"/>
        <v/>
      </c>
      <c r="S49" s="122"/>
      <c r="T49" s="65"/>
      <c r="U49" s="62" t="str">
        <f t="shared" si="11"/>
        <v/>
      </c>
    </row>
    <row r="50" ht="24.95" customHeight="1" spans="1:21">
      <c r="A50" s="2"/>
      <c r="B50" s="51"/>
      <c r="C50" s="52"/>
      <c r="D50" s="20">
        <v>9</v>
      </c>
      <c r="E50" s="22"/>
      <c r="F50" s="22"/>
      <c r="G50" s="112" t="str">
        <f t="shared" si="5"/>
        <v/>
      </c>
      <c r="H50" s="113" t="str">
        <f t="shared" si="6"/>
        <v/>
      </c>
      <c r="I50" s="22"/>
      <c r="J50" s="121"/>
      <c r="K50" s="115" t="str">
        <f t="shared" si="7"/>
        <v/>
      </c>
      <c r="L50" s="68"/>
      <c r="M50" s="23"/>
      <c r="N50" s="118" t="str">
        <f t="shared" si="8"/>
        <v/>
      </c>
      <c r="O50" s="119"/>
      <c r="P50" s="22"/>
      <c r="Q50" s="99" t="str">
        <f t="shared" si="9"/>
        <v/>
      </c>
      <c r="R50" s="115" t="str">
        <f t="shared" si="10"/>
        <v/>
      </c>
      <c r="S50" s="122"/>
      <c r="T50" s="65"/>
      <c r="U50" s="62" t="str">
        <f t="shared" si="11"/>
        <v/>
      </c>
    </row>
    <row r="51" ht="24.95" customHeight="1" spans="1:21">
      <c r="A51" s="2"/>
      <c r="B51" s="51"/>
      <c r="C51" s="52"/>
      <c r="D51" s="20">
        <v>10</v>
      </c>
      <c r="E51" s="22"/>
      <c r="F51" s="22"/>
      <c r="G51" s="112" t="str">
        <f t="shared" si="5"/>
        <v/>
      </c>
      <c r="H51" s="113" t="str">
        <f t="shared" si="6"/>
        <v/>
      </c>
      <c r="I51" s="22"/>
      <c r="J51" s="121"/>
      <c r="K51" s="115" t="str">
        <f t="shared" si="7"/>
        <v/>
      </c>
      <c r="L51" s="68"/>
      <c r="M51" s="23"/>
      <c r="N51" s="118" t="str">
        <f t="shared" si="8"/>
        <v/>
      </c>
      <c r="O51" s="119"/>
      <c r="P51" s="22"/>
      <c r="Q51" s="99" t="str">
        <f t="shared" si="9"/>
        <v/>
      </c>
      <c r="R51" s="115" t="str">
        <f t="shared" si="10"/>
        <v/>
      </c>
      <c r="S51" s="122"/>
      <c r="T51" s="65"/>
      <c r="U51" s="62" t="str">
        <f t="shared" si="11"/>
        <v/>
      </c>
    </row>
    <row r="52" ht="24.95" customHeight="1" spans="1:21">
      <c r="A52" s="2"/>
      <c r="B52" s="51"/>
      <c r="C52" s="52"/>
      <c r="D52" s="20">
        <v>11</v>
      </c>
      <c r="E52" s="22"/>
      <c r="F52" s="22"/>
      <c r="G52" s="112" t="str">
        <f t="shared" si="5"/>
        <v/>
      </c>
      <c r="H52" s="113" t="str">
        <f t="shared" si="6"/>
        <v/>
      </c>
      <c r="I52" s="22"/>
      <c r="J52" s="121"/>
      <c r="K52" s="115" t="str">
        <f t="shared" si="7"/>
        <v/>
      </c>
      <c r="L52" s="68"/>
      <c r="M52" s="23"/>
      <c r="N52" s="118" t="str">
        <f t="shared" si="8"/>
        <v/>
      </c>
      <c r="O52" s="119"/>
      <c r="P52" s="22"/>
      <c r="Q52" s="99" t="str">
        <f t="shared" si="9"/>
        <v/>
      </c>
      <c r="R52" s="115" t="str">
        <f t="shared" si="10"/>
        <v/>
      </c>
      <c r="S52" s="122"/>
      <c r="T52" s="65"/>
      <c r="U52" s="62" t="str">
        <f t="shared" si="11"/>
        <v/>
      </c>
    </row>
    <row r="53" ht="24.95" customHeight="1" spans="1:21">
      <c r="A53" s="2"/>
      <c r="B53" s="51"/>
      <c r="C53" s="52"/>
      <c r="D53" s="20">
        <v>12</v>
      </c>
      <c r="E53" s="22"/>
      <c r="F53" s="22"/>
      <c r="G53" s="112" t="str">
        <f t="shared" si="5"/>
        <v/>
      </c>
      <c r="H53" s="113" t="str">
        <f t="shared" si="6"/>
        <v/>
      </c>
      <c r="I53" s="22"/>
      <c r="J53" s="121"/>
      <c r="K53" s="115" t="str">
        <f t="shared" si="7"/>
        <v/>
      </c>
      <c r="L53" s="68"/>
      <c r="M53" s="23"/>
      <c r="N53" s="118" t="str">
        <f t="shared" si="8"/>
        <v/>
      </c>
      <c r="O53" s="119"/>
      <c r="P53" s="22"/>
      <c r="Q53" s="99" t="str">
        <f t="shared" si="9"/>
        <v/>
      </c>
      <c r="R53" s="115" t="str">
        <f t="shared" si="10"/>
        <v/>
      </c>
      <c r="S53" s="122"/>
      <c r="T53" s="65"/>
      <c r="U53" s="62" t="str">
        <f t="shared" si="11"/>
        <v/>
      </c>
    </row>
    <row r="54" ht="24.95" customHeight="1" spans="1:21">
      <c r="A54" s="2"/>
      <c r="B54" s="51"/>
      <c r="C54" s="52"/>
      <c r="D54" s="20">
        <v>13</v>
      </c>
      <c r="E54" s="22"/>
      <c r="F54" s="22"/>
      <c r="G54" s="112" t="str">
        <f t="shared" si="5"/>
        <v/>
      </c>
      <c r="H54" s="113" t="str">
        <f t="shared" si="6"/>
        <v/>
      </c>
      <c r="I54" s="22"/>
      <c r="J54" s="121"/>
      <c r="K54" s="115" t="str">
        <f t="shared" si="7"/>
        <v/>
      </c>
      <c r="L54" s="68"/>
      <c r="M54" s="23"/>
      <c r="N54" s="118" t="str">
        <f t="shared" si="8"/>
        <v/>
      </c>
      <c r="O54" s="119"/>
      <c r="P54" s="22"/>
      <c r="Q54" s="99" t="str">
        <f t="shared" si="9"/>
        <v/>
      </c>
      <c r="R54" s="115" t="str">
        <f t="shared" si="10"/>
        <v/>
      </c>
      <c r="S54" s="122"/>
      <c r="T54" s="65"/>
      <c r="U54" s="62" t="str">
        <f t="shared" si="11"/>
        <v/>
      </c>
    </row>
    <row r="55" ht="24.95" customHeight="1" spans="1:21">
      <c r="A55" s="2"/>
      <c r="B55" s="51"/>
      <c r="C55" s="52"/>
      <c r="D55" s="20">
        <v>14</v>
      </c>
      <c r="E55" s="22"/>
      <c r="F55" s="22"/>
      <c r="G55" s="112" t="str">
        <f t="shared" si="5"/>
        <v/>
      </c>
      <c r="H55" s="113" t="str">
        <f t="shared" si="6"/>
        <v/>
      </c>
      <c r="I55" s="22"/>
      <c r="J55" s="121"/>
      <c r="K55" s="115" t="str">
        <f t="shared" si="7"/>
        <v/>
      </c>
      <c r="L55" s="68"/>
      <c r="M55" s="23"/>
      <c r="N55" s="118" t="str">
        <f t="shared" si="8"/>
        <v/>
      </c>
      <c r="O55" s="119"/>
      <c r="P55" s="22"/>
      <c r="Q55" s="99" t="str">
        <f t="shared" si="9"/>
        <v/>
      </c>
      <c r="R55" s="115" t="str">
        <f t="shared" si="10"/>
        <v/>
      </c>
      <c r="S55" s="122"/>
      <c r="T55" s="65"/>
      <c r="U55" s="62" t="str">
        <f t="shared" si="11"/>
        <v/>
      </c>
    </row>
    <row r="56" ht="24.95" customHeight="1" spans="1:21">
      <c r="A56" s="2"/>
      <c r="B56" s="51"/>
      <c r="C56" s="52"/>
      <c r="D56" s="20">
        <v>15</v>
      </c>
      <c r="E56" s="22"/>
      <c r="F56" s="22"/>
      <c r="G56" s="112" t="str">
        <f t="shared" si="5"/>
        <v/>
      </c>
      <c r="H56" s="113" t="str">
        <f t="shared" si="6"/>
        <v/>
      </c>
      <c r="I56" s="22"/>
      <c r="J56" s="121"/>
      <c r="K56" s="115" t="str">
        <f t="shared" si="7"/>
        <v/>
      </c>
      <c r="L56" s="68"/>
      <c r="M56" s="23"/>
      <c r="N56" s="118" t="str">
        <f t="shared" si="8"/>
        <v/>
      </c>
      <c r="O56" s="119"/>
      <c r="P56" s="22"/>
      <c r="Q56" s="99" t="str">
        <f t="shared" si="9"/>
        <v/>
      </c>
      <c r="R56" s="115" t="str">
        <f t="shared" si="10"/>
        <v/>
      </c>
      <c r="S56" s="122"/>
      <c r="T56" s="65"/>
      <c r="U56" s="62" t="str">
        <f t="shared" si="11"/>
        <v/>
      </c>
    </row>
    <row r="57" ht="24.95" customHeight="1" spans="1:21">
      <c r="A57" s="2"/>
      <c r="B57" s="51"/>
      <c r="C57" s="52"/>
      <c r="D57" s="20">
        <v>16</v>
      </c>
      <c r="E57" s="22"/>
      <c r="F57" s="22"/>
      <c r="G57" s="112" t="str">
        <f t="shared" si="5"/>
        <v/>
      </c>
      <c r="H57" s="113" t="str">
        <f t="shared" si="6"/>
        <v/>
      </c>
      <c r="I57" s="22"/>
      <c r="J57" s="121"/>
      <c r="K57" s="115" t="str">
        <f t="shared" si="7"/>
        <v/>
      </c>
      <c r="L57" s="68"/>
      <c r="M57" s="23"/>
      <c r="N57" s="118" t="str">
        <f t="shared" si="8"/>
        <v/>
      </c>
      <c r="O57" s="119"/>
      <c r="P57" s="22"/>
      <c r="Q57" s="99" t="str">
        <f t="shared" si="9"/>
        <v/>
      </c>
      <c r="R57" s="115" t="str">
        <f t="shared" si="10"/>
        <v/>
      </c>
      <c r="S57" s="122"/>
      <c r="T57" s="65"/>
      <c r="U57" s="62" t="str">
        <f t="shared" si="11"/>
        <v/>
      </c>
    </row>
    <row r="58" ht="24.95" customHeight="1" spans="1:21">
      <c r="A58" s="2"/>
      <c r="B58" s="75"/>
      <c r="C58" s="76"/>
      <c r="D58" s="123">
        <v>17</v>
      </c>
      <c r="E58" s="124"/>
      <c r="F58" s="124"/>
      <c r="G58" s="124"/>
      <c r="H58" s="124"/>
      <c r="I58" s="124"/>
      <c r="J58" s="124" t="s">
        <v>151</v>
      </c>
      <c r="K58" s="38">
        <f>SUM(K42:K57)</f>
        <v>0.0277777777777778</v>
      </c>
      <c r="L58" s="38" t="s">
        <v>152</v>
      </c>
      <c r="M58" s="35"/>
      <c r="N58" s="125">
        <f>SUM(N42:O57)</f>
        <v>0.666666666666667</v>
      </c>
      <c r="O58" s="35"/>
      <c r="P58" s="126"/>
      <c r="Q58" s="127" t="s">
        <v>153</v>
      </c>
      <c r="R58" s="128">
        <f>SUM(R42:R57)</f>
        <v>0.176767676767677</v>
      </c>
      <c r="S58" s="129"/>
      <c r="T58" s="130" t="s">
        <v>154</v>
      </c>
      <c r="U58" s="131">
        <f>SUM(U42:U57)</f>
        <v>0.605769230769231</v>
      </c>
    </row>
    <row r="59" ht="24.95" customHeight="1" spans="1:21">
      <c r="A59" s="2"/>
      <c r="B59" s="53" t="s">
        <v>155</v>
      </c>
      <c r="C59" s="132" t="s">
        <v>156</v>
      </c>
      <c r="D59" s="119"/>
      <c r="E59" s="133">
        <f>IF(U6="",N58,U6*K58)</f>
        <v>0.666666666666667</v>
      </c>
      <c r="F59" s="134" t="s">
        <v>157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0"/>
      <c r="Q59" s="136" t="s">
        <v>158</v>
      </c>
      <c r="R59" s="137"/>
      <c r="S59" s="137"/>
      <c r="T59" s="137"/>
      <c r="U59" s="138"/>
    </row>
    <row r="60" ht="24.95" customHeight="1" spans="1:21">
      <c r="A60" s="2"/>
      <c r="B60" s="20" t="s">
        <v>159</v>
      </c>
      <c r="C60" s="27" t="s">
        <v>160</v>
      </c>
      <c r="D60" s="21"/>
      <c r="E60" s="139">
        <f>(K27+K40+U40+R58+U58+E59+U27)*O8</f>
        <v>0.122699404176195</v>
      </c>
      <c r="F60" s="140" t="s">
        <v>161</v>
      </c>
      <c r="G60" s="141"/>
      <c r="H60" s="141"/>
      <c r="I60" s="141"/>
      <c r="J60" s="141"/>
      <c r="K60" s="141"/>
      <c r="L60" s="141"/>
      <c r="M60" s="141"/>
      <c r="N60" s="141"/>
      <c r="O60" s="141"/>
      <c r="P60" s="21"/>
      <c r="Q60" s="142" t="s">
        <v>162</v>
      </c>
      <c r="R60" s="143"/>
      <c r="S60" s="144"/>
      <c r="T60" s="145"/>
      <c r="U60" s="146"/>
    </row>
    <row r="61" ht="24.95" customHeight="1" spans="1:21">
      <c r="A61" s="2"/>
      <c r="B61" s="20" t="s">
        <v>163</v>
      </c>
      <c r="C61" s="27" t="s">
        <v>164</v>
      </c>
      <c r="D61" s="21"/>
      <c r="E61" s="139">
        <f>(K27+U27)*0.03+(K40+U40+R58+U58+E59+E60)*0.05</f>
        <v>0.231800680649297</v>
      </c>
      <c r="F61" s="140" t="s">
        <v>165</v>
      </c>
      <c r="G61" s="141"/>
      <c r="H61" s="141"/>
      <c r="I61" s="141"/>
      <c r="J61" s="141"/>
      <c r="K61" s="141"/>
      <c r="L61" s="141"/>
      <c r="M61" s="141"/>
      <c r="N61" s="141"/>
      <c r="O61" s="141"/>
      <c r="P61" s="21"/>
      <c r="Q61" s="147" t="s">
        <v>166</v>
      </c>
      <c r="R61" s="141"/>
      <c r="S61" s="29"/>
      <c r="T61" s="25"/>
      <c r="U61" s="148"/>
    </row>
    <row r="62" ht="24.95" customHeight="1" spans="1:21">
      <c r="A62" s="2"/>
      <c r="B62" s="20" t="s">
        <v>167</v>
      </c>
      <c r="C62" s="27" t="s">
        <v>168</v>
      </c>
      <c r="D62" s="21"/>
      <c r="E62" s="149">
        <v>0.5</v>
      </c>
      <c r="F62" s="140" t="s">
        <v>169</v>
      </c>
      <c r="G62" s="141"/>
      <c r="H62" s="141"/>
      <c r="I62" s="141"/>
      <c r="J62" s="141"/>
      <c r="K62" s="141"/>
      <c r="L62" s="141"/>
      <c r="M62" s="141"/>
      <c r="N62" s="141"/>
      <c r="O62" s="141"/>
      <c r="P62" s="21"/>
      <c r="Q62" s="147" t="s">
        <v>170</v>
      </c>
      <c r="R62" s="141"/>
      <c r="S62" s="29"/>
      <c r="T62" s="25"/>
      <c r="U62" s="148"/>
    </row>
    <row r="63" ht="24.95" customHeight="1" spans="1:21">
      <c r="A63" s="2"/>
      <c r="B63" s="20" t="s">
        <v>171</v>
      </c>
      <c r="C63" s="27" t="s">
        <v>172</v>
      </c>
      <c r="D63" s="21"/>
      <c r="E63" s="150">
        <v>0.3</v>
      </c>
      <c r="F63" s="140" t="s">
        <v>173</v>
      </c>
      <c r="G63" s="141"/>
      <c r="H63" s="141"/>
      <c r="I63" s="141"/>
      <c r="J63" s="141"/>
      <c r="K63" s="141"/>
      <c r="L63" s="141"/>
      <c r="M63" s="141"/>
      <c r="N63" s="141"/>
      <c r="O63" s="141"/>
      <c r="P63" s="21"/>
      <c r="Q63" s="151"/>
      <c r="R63" s="152"/>
      <c r="S63" s="153"/>
      <c r="T63" s="154"/>
      <c r="U63" s="155"/>
    </row>
    <row r="64" ht="24.95" customHeight="1" spans="1:21">
      <c r="A64" s="2"/>
      <c r="B64" s="20" t="s">
        <v>174</v>
      </c>
      <c r="C64" s="27" t="s">
        <v>175</v>
      </c>
      <c r="D64" s="21"/>
      <c r="E64" s="156">
        <f>K27+U27+K40+R58+U58+E59+E60+E61+E62+E63+U40-S60</f>
        <v>7.28947029363524</v>
      </c>
      <c r="F64" s="140" t="s">
        <v>176</v>
      </c>
      <c r="G64" s="141"/>
      <c r="H64" s="141"/>
      <c r="I64" s="141"/>
      <c r="J64" s="141"/>
      <c r="K64" s="141"/>
      <c r="L64" s="141"/>
      <c r="M64" s="141"/>
      <c r="N64" s="141"/>
      <c r="O64" s="141"/>
      <c r="P64" s="21"/>
      <c r="Q64" s="157" t="s">
        <v>177</v>
      </c>
      <c r="R64" s="82"/>
      <c r="S64" s="82"/>
      <c r="T64" s="82"/>
      <c r="U64" s="83"/>
    </row>
    <row r="65" ht="24.95" customHeight="1" spans="1:21">
      <c r="A65" s="2"/>
      <c r="B65" s="20" t="s">
        <v>178</v>
      </c>
      <c r="C65" s="27" t="s">
        <v>179</v>
      </c>
      <c r="D65" s="21"/>
      <c r="E65" s="158">
        <v>0.05</v>
      </c>
      <c r="F65" s="140" t="s">
        <v>180</v>
      </c>
      <c r="G65" s="141"/>
      <c r="H65" s="141"/>
      <c r="I65" s="141"/>
      <c r="J65" s="141"/>
      <c r="K65" s="141"/>
      <c r="L65" s="141"/>
      <c r="M65" s="141"/>
      <c r="N65" s="141"/>
      <c r="O65" s="141"/>
      <c r="P65" s="21"/>
      <c r="Q65" s="159"/>
      <c r="R65" s="160"/>
      <c r="S65" s="160"/>
      <c r="T65" s="160"/>
      <c r="U65" s="161"/>
    </row>
    <row r="66" ht="24.95" customHeight="1" spans="1:21">
      <c r="A66" s="2"/>
      <c r="B66" s="20" t="s">
        <v>181</v>
      </c>
      <c r="C66" s="27" t="s">
        <v>182</v>
      </c>
      <c r="D66" s="21"/>
      <c r="E66" s="139">
        <f>E64*E65</f>
        <v>0.364473514681762</v>
      </c>
      <c r="F66" s="140" t="s">
        <v>183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21"/>
      <c r="Q66" s="160"/>
      <c r="R66" s="160"/>
      <c r="S66" s="160"/>
      <c r="T66" s="160"/>
      <c r="U66" s="161"/>
    </row>
    <row r="67" ht="24.95" customHeight="1" spans="1:21">
      <c r="A67" s="2"/>
      <c r="B67" s="20" t="s">
        <v>184</v>
      </c>
      <c r="C67" s="27" t="s">
        <v>185</v>
      </c>
      <c r="D67" s="21"/>
      <c r="E67" s="139">
        <f>E64+E66</f>
        <v>7.653943808317</v>
      </c>
      <c r="F67" s="140" t="s">
        <v>186</v>
      </c>
      <c r="G67" s="141"/>
      <c r="H67" s="141"/>
      <c r="I67" s="141"/>
      <c r="J67" s="141"/>
      <c r="K67" s="141"/>
      <c r="L67" s="141"/>
      <c r="M67" s="141"/>
      <c r="N67" s="141"/>
      <c r="O67" s="141"/>
      <c r="P67" s="21"/>
      <c r="Q67" s="160"/>
      <c r="R67" s="160"/>
      <c r="S67" s="160"/>
      <c r="T67" s="160"/>
      <c r="U67" s="161"/>
    </row>
    <row r="68" ht="24.95" customHeight="1" spans="1:21">
      <c r="A68" s="2"/>
      <c r="B68" s="20" t="s">
        <v>187</v>
      </c>
      <c r="C68" s="27" t="s">
        <v>188</v>
      </c>
      <c r="D68" s="21"/>
      <c r="E68" s="139">
        <f>E67*0.13</f>
        <v>0.99501269508121</v>
      </c>
      <c r="F68" s="140" t="s">
        <v>189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21"/>
      <c r="Q68" s="160"/>
      <c r="R68" s="160"/>
      <c r="S68" s="160"/>
      <c r="T68" s="160"/>
      <c r="U68" s="161"/>
    </row>
    <row r="69" ht="24.95" customHeight="1" spans="1:21">
      <c r="A69" s="2"/>
      <c r="B69" s="123" t="s">
        <v>190</v>
      </c>
      <c r="C69" s="130" t="s">
        <v>191</v>
      </c>
      <c r="D69" s="162"/>
      <c r="E69" s="163">
        <f>E67+E68</f>
        <v>8.64895650339821</v>
      </c>
      <c r="F69" s="164" t="s">
        <v>192</v>
      </c>
      <c r="G69" s="152"/>
      <c r="H69" s="152"/>
      <c r="I69" s="152"/>
      <c r="J69" s="152"/>
      <c r="K69" s="152"/>
      <c r="L69" s="152"/>
      <c r="M69" s="152"/>
      <c r="N69" s="152"/>
      <c r="O69" s="152"/>
      <c r="P69" s="162"/>
      <c r="Q69" s="165"/>
      <c r="R69" s="165"/>
      <c r="S69" s="165"/>
      <c r="T69" s="165"/>
      <c r="U69" s="166"/>
    </row>
    <row r="70" ht="13.5" spans="1:21">
      <c r="B70" t="s">
        <v>193</v>
      </c>
    </row>
  </sheetData>
  <mergeCells count="119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M9:M27"/>
    <mergeCell ref="M28:M40"/>
    <mergeCell ref="Q65:U69"/>
  </mergeCells>
  <pageMargins left="0.75" right="0.75" top="1" bottom="1" header="0.5" footer="0.5"/>
  <pageSetup paperSize="9" scale="40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0"/>
  <sheetViews>
    <sheetView topLeftCell="A32" workbookViewId="0">
      <selection activeCell="F42" sqref="F42"/>
    </sheetView>
  </sheetViews>
  <sheetFormatPr defaultColWidth="9" defaultRowHeight="11.25"/>
  <cols>
    <col min="1" max="1" width="3.6283185840708" style="1" customWidth="1"/>
    <col min="2" max="2" width="4.87610619469027" style="1" customWidth="1"/>
    <col min="3" max="3" width="5.87610619469027" style="1" customWidth="1"/>
    <col min="4" max="4" width="5.6283185840708" style="1" customWidth="1"/>
    <col min="5" max="6" width="16.2477876106195" style="1" customWidth="1"/>
    <col min="7" max="7" width="11.3716814159292" style="1" customWidth="1"/>
    <col min="8" max="8" width="8.87610619469027" style="1" customWidth="1"/>
    <col min="9" max="9" width="9.12389380530973" style="1" customWidth="1"/>
    <col min="10" max="10" width="12.7522123893805" style="1" customWidth="1"/>
    <col min="11" max="11" width="8.75221238938053" style="1" customWidth="1"/>
    <col min="12" max="12" width="5.12389380530973" style="1" customWidth="1"/>
    <col min="13" max="13" width="5.87610619469027" style="1" customWidth="1"/>
    <col min="14" max="14" width="4.75221238938053" style="1" customWidth="1"/>
    <col min="15" max="15" width="14.5044247787611" style="1" customWidth="1"/>
    <col min="16" max="16" width="12.6283185840708" style="1" customWidth="1"/>
    <col min="17" max="18" width="11" style="1" customWidth="1"/>
    <col min="19" max="19" width="11.1238938053097" style="1" customWidth="1"/>
    <col min="20" max="20" width="13.5044247787611" style="1" customWidth="1"/>
    <col min="21" max="21" width="11.3716814159292" style="1" customWidth="1"/>
    <col min="22" max="16384" width="9" style="1" customWidth="1"/>
  </cols>
  <sheetData>
    <row r="1" ht="12"/>
    <row r="2" ht="39.95" customHeight="1" spans="1:21">
      <c r="A2" s="2"/>
      <c r="B2" s="3" t="s">
        <v>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0.95" customHeight="1" spans="1:21">
      <c r="A3" s="2"/>
      <c r="B3" s="6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7"/>
    </row>
    <row r="4" ht="27.95" customHeight="1" spans="1:21">
      <c r="A4" s="2"/>
      <c r="B4" s="8" t="s">
        <v>58</v>
      </c>
      <c r="C4" s="9" t="s">
        <v>59</v>
      </c>
      <c r="D4" s="10"/>
      <c r="E4" s="11" t="s">
        <v>60</v>
      </c>
      <c r="F4" s="12"/>
      <c r="G4" s="13" t="s">
        <v>61</v>
      </c>
      <c r="H4" s="11">
        <v>3000</v>
      </c>
      <c r="I4" s="14"/>
      <c r="J4" s="14"/>
      <c r="K4" s="12"/>
      <c r="L4" s="8" t="s">
        <v>62</v>
      </c>
      <c r="M4" s="9" t="s">
        <v>3</v>
      </c>
      <c r="N4" s="10"/>
      <c r="O4" s="15" t="s">
        <v>197</v>
      </c>
      <c r="P4" s="12"/>
      <c r="Q4" s="13" t="s">
        <v>64</v>
      </c>
      <c r="R4" s="16">
        <v>46192</v>
      </c>
      <c r="S4" s="12"/>
      <c r="T4" s="17" t="s">
        <v>65</v>
      </c>
      <c r="U4" s="18">
        <v>0.0775</v>
      </c>
    </row>
    <row r="5" ht="27.95" customHeight="1" spans="1:21">
      <c r="A5" s="2"/>
      <c r="B5" s="19"/>
      <c r="C5" s="20" t="s">
        <v>66</v>
      </c>
      <c r="D5" s="21"/>
      <c r="E5" s="22" t="s">
        <v>67</v>
      </c>
      <c r="F5" s="23"/>
      <c r="G5" s="24" t="s">
        <v>68</v>
      </c>
      <c r="H5" s="22">
        <v>120</v>
      </c>
      <c r="I5" s="25"/>
      <c r="J5" s="25"/>
      <c r="K5" s="23"/>
      <c r="L5" s="19"/>
      <c r="M5" s="20" t="s">
        <v>2</v>
      </c>
      <c r="N5" s="21"/>
      <c r="O5" s="26" t="s">
        <v>15</v>
      </c>
      <c r="P5" s="23"/>
      <c r="Q5" s="27" t="s">
        <v>69</v>
      </c>
      <c r="R5" s="28" t="s">
        <v>70</v>
      </c>
      <c r="S5" s="23"/>
      <c r="T5" s="27" t="s">
        <v>71</v>
      </c>
      <c r="U5" s="29">
        <v>0.0892</v>
      </c>
    </row>
    <row r="6" ht="27.95" customHeight="1" spans="1:21">
      <c r="A6" s="2"/>
      <c r="B6" s="19"/>
      <c r="C6" s="20" t="s">
        <v>72</v>
      </c>
      <c r="D6" s="21"/>
      <c r="E6" s="22" t="s">
        <v>73</v>
      </c>
      <c r="F6" s="23"/>
      <c r="G6" s="24" t="s">
        <v>74</v>
      </c>
      <c r="H6" s="22">
        <v>50</v>
      </c>
      <c r="I6" s="25"/>
      <c r="J6" s="25"/>
      <c r="K6" s="23"/>
      <c r="L6" s="19"/>
      <c r="M6" s="30" t="s">
        <v>75</v>
      </c>
      <c r="N6" s="21"/>
      <c r="O6" s="31">
        <v>61.2178</v>
      </c>
      <c r="P6" s="23"/>
      <c r="Q6" s="27" t="s">
        <v>69</v>
      </c>
      <c r="R6" s="28" t="s">
        <v>70</v>
      </c>
      <c r="S6" s="23"/>
      <c r="T6" s="24" t="s">
        <v>76</v>
      </c>
      <c r="U6" s="32"/>
    </row>
    <row r="7" ht="27.95" customHeight="1" spans="1:21">
      <c r="A7" s="2"/>
      <c r="B7" s="19"/>
      <c r="C7" s="20" t="s">
        <v>77</v>
      </c>
      <c r="D7" s="21"/>
      <c r="E7" s="22" t="s">
        <v>78</v>
      </c>
      <c r="F7" s="23"/>
      <c r="G7" s="27" t="s">
        <v>79</v>
      </c>
      <c r="H7" s="22" t="s">
        <v>80</v>
      </c>
      <c r="I7" s="25"/>
      <c r="J7" s="25"/>
      <c r="K7" s="23"/>
      <c r="L7" s="19"/>
      <c r="M7" s="20" t="s">
        <v>81</v>
      </c>
      <c r="N7" s="21"/>
      <c r="O7" s="31"/>
      <c r="P7" s="23"/>
      <c r="Q7" s="27" t="s">
        <v>82</v>
      </c>
      <c r="R7" s="28" t="s">
        <v>70</v>
      </c>
      <c r="S7" s="23"/>
      <c r="T7" s="24" t="s">
        <v>83</v>
      </c>
      <c r="U7" s="29">
        <v>1</v>
      </c>
    </row>
    <row r="8" ht="27.95" customHeight="1" spans="1:21">
      <c r="A8" s="2"/>
      <c r="B8" s="33"/>
      <c r="C8" s="34" t="s">
        <v>84</v>
      </c>
      <c r="D8" s="35"/>
      <c r="E8" s="36">
        <v>13735526664</v>
      </c>
      <c r="F8" s="37"/>
      <c r="G8" s="38" t="s">
        <v>85</v>
      </c>
      <c r="H8" s="36" t="s">
        <v>86</v>
      </c>
      <c r="I8" s="39"/>
      <c r="J8" s="39"/>
      <c r="K8" s="37"/>
      <c r="L8" s="33"/>
      <c r="M8" s="40" t="s">
        <v>87</v>
      </c>
      <c r="N8" s="35"/>
      <c r="O8" s="41">
        <v>0.02</v>
      </c>
      <c r="P8" s="37"/>
      <c r="Q8" s="38" t="s">
        <v>88</v>
      </c>
      <c r="R8" s="42" t="s">
        <v>70</v>
      </c>
      <c r="S8" s="37"/>
      <c r="T8" s="43" t="s">
        <v>89</v>
      </c>
      <c r="U8" s="44">
        <v>300</v>
      </c>
    </row>
    <row r="9" ht="24.95" customHeight="1" spans="1:21">
      <c r="A9" s="2"/>
      <c r="B9" s="45" t="s">
        <v>90</v>
      </c>
      <c r="C9" s="46" t="s">
        <v>91</v>
      </c>
      <c r="D9" s="47" t="s">
        <v>92</v>
      </c>
      <c r="E9" s="48" t="s">
        <v>93</v>
      </c>
      <c r="F9" s="48" t="s">
        <v>94</v>
      </c>
      <c r="G9" s="48" t="s">
        <v>95</v>
      </c>
      <c r="H9" s="48" t="s">
        <v>96</v>
      </c>
      <c r="I9" s="48" t="s">
        <v>97</v>
      </c>
      <c r="J9" s="48" t="s">
        <v>98</v>
      </c>
      <c r="K9" s="49" t="s">
        <v>99</v>
      </c>
      <c r="L9" s="50" t="s">
        <v>100</v>
      </c>
      <c r="M9" s="46" t="s">
        <v>101</v>
      </c>
      <c r="N9" s="47" t="s">
        <v>92</v>
      </c>
      <c r="O9" s="48" t="s">
        <v>93</v>
      </c>
      <c r="P9" s="48" t="s">
        <v>94</v>
      </c>
      <c r="Q9" s="48" t="s">
        <v>95</v>
      </c>
      <c r="R9" s="48" t="s">
        <v>96</v>
      </c>
      <c r="S9" s="48" t="s">
        <v>97</v>
      </c>
      <c r="T9" s="48" t="s">
        <v>98</v>
      </c>
      <c r="U9" s="49" t="s">
        <v>102</v>
      </c>
    </row>
    <row r="10" ht="24.95" customHeight="1" spans="1:21">
      <c r="A10" s="2"/>
      <c r="B10" s="51"/>
      <c r="C10" s="52"/>
      <c r="D10" s="53">
        <v>1</v>
      </c>
      <c r="E10" s="54" t="s">
        <v>103</v>
      </c>
      <c r="F10" s="55" t="s">
        <v>104</v>
      </c>
      <c r="G10" s="56"/>
      <c r="H10" s="56">
        <v>0.0892</v>
      </c>
      <c r="I10" s="57">
        <v>0.01</v>
      </c>
      <c r="J10" s="56">
        <v>45</v>
      </c>
      <c r="K10" s="58">
        <f>IF(J10="","",J10*H10*(1+I10))</f>
        <v>4.05414</v>
      </c>
      <c r="L10" s="51"/>
      <c r="M10" s="52"/>
      <c r="N10" s="53">
        <v>1</v>
      </c>
      <c r="O10" s="59"/>
      <c r="P10" s="60"/>
      <c r="Q10" s="56"/>
      <c r="R10" s="56"/>
      <c r="S10" s="61"/>
      <c r="T10" s="56"/>
      <c r="U10" s="62" t="str">
        <f t="shared" ref="U10:U26" si="0">IF(T10="","",T10*R10*(1+S10))</f>
        <v/>
      </c>
    </row>
    <row r="11" ht="24.95" customHeight="1" spans="1:21">
      <c r="A11" s="2"/>
      <c r="B11" s="51"/>
      <c r="C11" s="52"/>
      <c r="D11" s="20">
        <v>2</v>
      </c>
      <c r="E11" s="63"/>
      <c r="F11" s="63"/>
      <c r="G11" s="64"/>
      <c r="H11" s="64"/>
      <c r="I11" s="65"/>
      <c r="J11" s="64"/>
      <c r="K11" s="66" t="str">
        <f>IF(J11="","",J11*H11*(1+I11))</f>
        <v/>
      </c>
      <c r="L11" s="51"/>
      <c r="M11" s="52"/>
      <c r="N11" s="20">
        <v>2</v>
      </c>
      <c r="O11" s="67"/>
      <c r="P11" s="63"/>
      <c r="Q11" s="64"/>
      <c r="R11" s="64"/>
      <c r="S11" s="68"/>
      <c r="T11" s="64"/>
      <c r="U11" s="69" t="str">
        <f t="shared" si="0"/>
        <v/>
      </c>
    </row>
    <row r="12" ht="24.95" customHeight="1" spans="1:21">
      <c r="A12" s="2"/>
      <c r="B12" s="51"/>
      <c r="C12" s="52"/>
      <c r="D12" s="20">
        <v>3</v>
      </c>
      <c r="E12" s="63"/>
      <c r="F12" s="63"/>
      <c r="G12" s="64"/>
      <c r="H12" s="64"/>
      <c r="I12" s="65"/>
      <c r="J12" s="64"/>
      <c r="K12" s="66" t="str">
        <f>IF(J12="","",J12*H12*(1+I12))</f>
        <v/>
      </c>
      <c r="L12" s="51"/>
      <c r="M12" s="52"/>
      <c r="N12" s="20">
        <v>3</v>
      </c>
      <c r="O12" s="67"/>
      <c r="P12" s="63"/>
      <c r="Q12" s="64"/>
      <c r="R12" s="64"/>
      <c r="S12" s="68"/>
      <c r="T12" s="64"/>
      <c r="U12" s="69" t="str">
        <f t="shared" si="0"/>
        <v/>
      </c>
    </row>
    <row r="13" ht="24.95" customHeight="1" spans="1:21">
      <c r="A13" s="2"/>
      <c r="B13" s="51"/>
      <c r="C13" s="52"/>
      <c r="D13" s="20">
        <v>4</v>
      </c>
      <c r="E13" s="63"/>
      <c r="F13" s="63"/>
      <c r="G13" s="64"/>
      <c r="I13" s="65"/>
      <c r="J13" s="31"/>
      <c r="K13" s="66" t="str">
        <f>IF(J13="","",J13*G13*(1+I13))</f>
        <v/>
      </c>
      <c r="L13" s="51"/>
      <c r="M13" s="52"/>
      <c r="N13" s="20">
        <v>4</v>
      </c>
      <c r="O13" s="67"/>
      <c r="P13" s="63"/>
      <c r="Q13" s="64"/>
      <c r="R13" s="64"/>
      <c r="S13" s="68"/>
      <c r="T13" s="64"/>
      <c r="U13" s="69" t="str">
        <f t="shared" si="0"/>
        <v/>
      </c>
    </row>
    <row r="14" ht="24.95" customHeight="1" spans="1:21">
      <c r="A14" s="2"/>
      <c r="B14" s="51"/>
      <c r="C14" s="52"/>
      <c r="D14" s="20">
        <v>5</v>
      </c>
      <c r="E14" s="63"/>
      <c r="F14" s="63"/>
      <c r="G14" s="64"/>
      <c r="H14" s="31"/>
      <c r="I14" s="64"/>
      <c r="J14" s="65"/>
      <c r="K14" s="66" t="str">
        <f t="shared" ref="K14:K26" si="1">IF(J14="","",J14*H14*(1+I14))</f>
        <v/>
      </c>
      <c r="L14" s="51"/>
      <c r="M14" s="52"/>
      <c r="N14" s="20">
        <v>5</v>
      </c>
      <c r="O14" s="67"/>
      <c r="P14" s="63"/>
      <c r="Q14" s="64"/>
      <c r="R14" s="64"/>
      <c r="S14" s="68"/>
      <c r="T14" s="64"/>
      <c r="U14" s="69" t="str">
        <f t="shared" si="0"/>
        <v/>
      </c>
    </row>
    <row r="15" ht="24.95" customHeight="1" spans="1:21">
      <c r="A15" s="2"/>
      <c r="B15" s="51"/>
      <c r="C15" s="52"/>
      <c r="D15" s="20">
        <v>6</v>
      </c>
      <c r="E15" s="63"/>
      <c r="F15" s="63"/>
      <c r="G15" s="64"/>
      <c r="H15" s="31"/>
      <c r="I15" s="64"/>
      <c r="J15" s="65"/>
      <c r="K15" s="66" t="str">
        <f t="shared" si="1"/>
        <v/>
      </c>
      <c r="L15" s="51"/>
      <c r="M15" s="52"/>
      <c r="N15" s="20">
        <v>6</v>
      </c>
      <c r="O15" s="67"/>
      <c r="P15" s="63"/>
      <c r="Q15" s="64"/>
      <c r="R15" s="64"/>
      <c r="S15" s="68"/>
      <c r="T15" s="64"/>
      <c r="U15" s="69" t="str">
        <f t="shared" si="0"/>
        <v/>
      </c>
    </row>
    <row r="16" ht="24.95" customHeight="1" spans="1:21">
      <c r="A16" s="2"/>
      <c r="B16" s="51"/>
      <c r="C16" s="52"/>
      <c r="D16" s="20">
        <v>7</v>
      </c>
      <c r="E16" s="63"/>
      <c r="F16" s="63"/>
      <c r="G16" s="64"/>
      <c r="H16" s="31"/>
      <c r="I16" s="64"/>
      <c r="J16" s="65"/>
      <c r="K16" s="66" t="str">
        <f t="shared" si="1"/>
        <v/>
      </c>
      <c r="L16" s="51"/>
      <c r="M16" s="52"/>
      <c r="N16" s="20">
        <v>7</v>
      </c>
      <c r="O16" s="67"/>
      <c r="P16" s="63"/>
      <c r="Q16" s="64"/>
      <c r="R16" s="64"/>
      <c r="S16" s="68"/>
      <c r="T16" s="64"/>
      <c r="U16" s="69" t="str">
        <f t="shared" si="0"/>
        <v/>
      </c>
    </row>
    <row r="17" ht="24.95" customHeight="1" spans="1:21">
      <c r="A17" s="2"/>
      <c r="B17" s="51"/>
      <c r="C17" s="52"/>
      <c r="D17" s="20">
        <v>8</v>
      </c>
      <c r="E17" s="63"/>
      <c r="F17" s="63"/>
      <c r="G17" s="64"/>
      <c r="H17" s="31"/>
      <c r="I17" s="64"/>
      <c r="J17" s="65"/>
      <c r="K17" s="66" t="str">
        <f t="shared" si="1"/>
        <v/>
      </c>
      <c r="L17" s="51"/>
      <c r="M17" s="52"/>
      <c r="N17" s="20">
        <v>8</v>
      </c>
      <c r="O17" s="67"/>
      <c r="P17" s="63"/>
      <c r="Q17" s="64"/>
      <c r="R17" s="64"/>
      <c r="S17" s="68"/>
      <c r="T17" s="64"/>
      <c r="U17" s="69" t="str">
        <f t="shared" si="0"/>
        <v/>
      </c>
    </row>
    <row r="18" ht="24.95" customHeight="1" spans="1:21">
      <c r="A18" s="2"/>
      <c r="B18" s="51"/>
      <c r="C18" s="52"/>
      <c r="D18" s="20">
        <v>9</v>
      </c>
      <c r="E18" s="63"/>
      <c r="F18" s="63"/>
      <c r="G18" s="64"/>
      <c r="H18" s="64"/>
      <c r="I18" s="64"/>
      <c r="J18" s="65"/>
      <c r="K18" s="66" t="str">
        <f t="shared" si="1"/>
        <v/>
      </c>
      <c r="L18" s="51"/>
      <c r="M18" s="52"/>
      <c r="N18" s="20">
        <v>9</v>
      </c>
      <c r="O18" s="67"/>
      <c r="P18" s="63"/>
      <c r="Q18" s="64"/>
      <c r="R18" s="64"/>
      <c r="S18" s="68"/>
      <c r="T18" s="64"/>
      <c r="U18" s="69" t="str">
        <f t="shared" si="0"/>
        <v/>
      </c>
    </row>
    <row r="19" ht="24.95" customHeight="1" spans="1:21">
      <c r="A19" s="2"/>
      <c r="B19" s="51"/>
      <c r="C19" s="52"/>
      <c r="D19" s="20">
        <v>10</v>
      </c>
      <c r="E19" s="63"/>
      <c r="F19" s="63"/>
      <c r="G19" s="64"/>
      <c r="H19" s="64"/>
      <c r="I19" s="64"/>
      <c r="J19" s="65"/>
      <c r="K19" s="66" t="str">
        <f t="shared" si="1"/>
        <v/>
      </c>
      <c r="L19" s="51"/>
      <c r="M19" s="52"/>
      <c r="N19" s="20">
        <v>10</v>
      </c>
      <c r="O19" s="67"/>
      <c r="P19" s="63"/>
      <c r="Q19" s="64"/>
      <c r="R19" s="64"/>
      <c r="S19" s="68"/>
      <c r="T19" s="64"/>
      <c r="U19" s="69" t="str">
        <f t="shared" si="0"/>
        <v/>
      </c>
    </row>
    <row r="20" ht="24.95" customHeight="1" spans="1:21">
      <c r="A20" s="2"/>
      <c r="B20" s="51"/>
      <c r="C20" s="52"/>
      <c r="D20" s="20">
        <v>11</v>
      </c>
      <c r="E20" s="63"/>
      <c r="F20" s="63"/>
      <c r="G20" s="64"/>
      <c r="H20" s="64"/>
      <c r="I20" s="64"/>
      <c r="J20" s="65"/>
      <c r="K20" s="66" t="str">
        <f t="shared" si="1"/>
        <v/>
      </c>
      <c r="L20" s="51"/>
      <c r="M20" s="52"/>
      <c r="N20" s="20">
        <v>11</v>
      </c>
      <c r="O20" s="67"/>
      <c r="P20" s="70"/>
      <c r="Q20" s="71"/>
      <c r="R20" s="64"/>
      <c r="S20" s="68"/>
      <c r="T20" s="64"/>
      <c r="U20" s="69" t="str">
        <f t="shared" si="0"/>
        <v/>
      </c>
    </row>
    <row r="21" ht="24.95" customHeight="1" spans="1:21">
      <c r="A21" s="2"/>
      <c r="B21" s="51"/>
      <c r="C21" s="52"/>
      <c r="D21" s="20">
        <v>12</v>
      </c>
      <c r="E21" s="72"/>
      <c r="F21" s="72"/>
      <c r="G21" s="22"/>
      <c r="H21" s="64"/>
      <c r="I21" s="64"/>
      <c r="J21" s="65"/>
      <c r="K21" s="66" t="str">
        <f t="shared" si="1"/>
        <v/>
      </c>
      <c r="L21" s="51"/>
      <c r="M21" s="52"/>
      <c r="N21" s="20">
        <v>12</v>
      </c>
      <c r="O21" s="67"/>
      <c r="P21" s="70"/>
      <c r="Q21" s="71"/>
      <c r="R21" s="64"/>
      <c r="S21" s="68"/>
      <c r="T21" s="64"/>
      <c r="U21" s="69" t="str">
        <f t="shared" si="0"/>
        <v/>
      </c>
    </row>
    <row r="22" ht="24.95" customHeight="1" spans="1:21">
      <c r="A22" s="2"/>
      <c r="B22" s="51"/>
      <c r="C22" s="52"/>
      <c r="D22" s="20">
        <v>13</v>
      </c>
      <c r="E22" s="72"/>
      <c r="F22" s="72"/>
      <c r="G22" s="22"/>
      <c r="H22" s="64"/>
      <c r="I22" s="64"/>
      <c r="J22" s="65"/>
      <c r="K22" s="66" t="str">
        <f t="shared" si="1"/>
        <v/>
      </c>
      <c r="L22" s="51"/>
      <c r="M22" s="52"/>
      <c r="N22" s="20">
        <v>13</v>
      </c>
      <c r="O22" s="67"/>
      <c r="P22" s="70"/>
      <c r="Q22" s="71"/>
      <c r="R22" s="64"/>
      <c r="S22" s="68"/>
      <c r="T22" s="64"/>
      <c r="U22" s="69" t="str">
        <f t="shared" si="0"/>
        <v/>
      </c>
    </row>
    <row r="23" ht="24.95" customHeight="1" spans="1:21">
      <c r="A23" s="2"/>
      <c r="B23" s="51"/>
      <c r="C23" s="52"/>
      <c r="D23" s="20">
        <v>14</v>
      </c>
      <c r="E23" s="72"/>
      <c r="F23" s="72"/>
      <c r="G23" s="22"/>
      <c r="H23" s="64"/>
      <c r="I23" s="64"/>
      <c r="J23" s="65"/>
      <c r="K23" s="66" t="str">
        <f t="shared" si="1"/>
        <v/>
      </c>
      <c r="L23" s="51"/>
      <c r="M23" s="52"/>
      <c r="N23" s="20">
        <v>14</v>
      </c>
      <c r="O23" s="67"/>
      <c r="P23" s="72"/>
      <c r="Q23" s="22"/>
      <c r="R23" s="64"/>
      <c r="S23" s="68"/>
      <c r="T23" s="64"/>
      <c r="U23" s="69" t="str">
        <f t="shared" si="0"/>
        <v/>
      </c>
    </row>
    <row r="24" ht="24.95" customHeight="1" spans="1:21">
      <c r="A24" s="2"/>
      <c r="B24" s="51"/>
      <c r="C24" s="52"/>
      <c r="D24" s="20">
        <v>15</v>
      </c>
      <c r="E24" s="72"/>
      <c r="F24" s="73"/>
      <c r="G24" s="74"/>
      <c r="H24" s="64"/>
      <c r="I24" s="64"/>
      <c r="J24" s="65"/>
      <c r="K24" s="66" t="str">
        <f t="shared" si="1"/>
        <v/>
      </c>
      <c r="L24" s="51"/>
      <c r="M24" s="52"/>
      <c r="N24" s="20">
        <v>15</v>
      </c>
      <c r="O24" s="67"/>
      <c r="P24" s="72"/>
      <c r="Q24" s="22"/>
      <c r="R24" s="64"/>
      <c r="S24" s="68"/>
      <c r="T24" s="64"/>
      <c r="U24" s="69" t="str">
        <f t="shared" si="0"/>
        <v/>
      </c>
    </row>
    <row r="25" ht="24.95" customHeight="1" spans="1:21">
      <c r="A25" s="2"/>
      <c r="B25" s="51"/>
      <c r="C25" s="52"/>
      <c r="D25" s="20">
        <v>16</v>
      </c>
      <c r="E25" s="72"/>
      <c r="F25" s="72"/>
      <c r="G25" s="22"/>
      <c r="H25" s="64"/>
      <c r="I25" s="64"/>
      <c r="J25" s="65"/>
      <c r="K25" s="66" t="str">
        <f t="shared" si="1"/>
        <v/>
      </c>
      <c r="L25" s="51"/>
      <c r="M25" s="52"/>
      <c r="N25" s="20">
        <v>16</v>
      </c>
      <c r="O25" s="67"/>
      <c r="P25" s="72"/>
      <c r="Q25" s="22"/>
      <c r="R25" s="64"/>
      <c r="S25" s="68"/>
      <c r="T25" s="64"/>
      <c r="U25" s="69" t="str">
        <f t="shared" si="0"/>
        <v/>
      </c>
    </row>
    <row r="26" ht="24.95" customHeight="1" spans="1:21">
      <c r="A26" s="2"/>
      <c r="B26" s="51"/>
      <c r="C26" s="52"/>
      <c r="D26" s="20">
        <v>17</v>
      </c>
      <c r="E26" s="72"/>
      <c r="F26" s="72"/>
      <c r="G26" s="22"/>
      <c r="H26" s="64"/>
      <c r="I26" s="64"/>
      <c r="J26" s="65"/>
      <c r="K26" s="66" t="str">
        <f t="shared" si="1"/>
        <v/>
      </c>
      <c r="L26" s="51"/>
      <c r="M26" s="52"/>
      <c r="N26" s="20">
        <v>17</v>
      </c>
      <c r="O26" s="67"/>
      <c r="P26" s="72"/>
      <c r="Q26" s="22"/>
      <c r="R26" s="64"/>
      <c r="S26" s="68"/>
      <c r="T26" s="64"/>
      <c r="U26" s="69" t="str">
        <f t="shared" si="0"/>
        <v/>
      </c>
    </row>
    <row r="27" ht="24.95" customHeight="1" spans="1:21">
      <c r="A27" s="2"/>
      <c r="B27" s="75"/>
      <c r="C27" s="76"/>
      <c r="D27" s="34"/>
      <c r="E27" s="77"/>
      <c r="F27" s="77"/>
      <c r="G27" s="77"/>
      <c r="H27" s="38" t="s">
        <v>105</v>
      </c>
      <c r="I27" s="35"/>
      <c r="J27" s="78"/>
      <c r="K27" s="79">
        <f>SUM(K10:K26)</f>
        <v>4.05414</v>
      </c>
      <c r="L27" s="75"/>
      <c r="M27" s="76"/>
      <c r="N27" s="34"/>
      <c r="O27" s="80"/>
      <c r="P27" s="38"/>
      <c r="Q27" s="38"/>
      <c r="R27" s="38"/>
      <c r="S27" s="38" t="s">
        <v>106</v>
      </c>
      <c r="T27" s="35"/>
      <c r="U27" s="79">
        <f>SUM(U10:U26)</f>
        <v>0</v>
      </c>
    </row>
    <row r="28" ht="24.95" customHeight="1" spans="1:21">
      <c r="A28" s="2"/>
      <c r="B28" s="45" t="s">
        <v>107</v>
      </c>
      <c r="C28" s="46" t="s">
        <v>108</v>
      </c>
      <c r="D28" s="81" t="s">
        <v>109</v>
      </c>
      <c r="E28" s="82"/>
      <c r="F28" s="82"/>
      <c r="G28" s="82"/>
      <c r="H28" s="82"/>
      <c r="I28" s="82"/>
      <c r="J28" s="82"/>
      <c r="K28" s="83"/>
      <c r="L28" s="50" t="s">
        <v>110</v>
      </c>
      <c r="M28" s="46" t="s">
        <v>111</v>
      </c>
      <c r="N28" s="81" t="s">
        <v>112</v>
      </c>
      <c r="O28" s="82"/>
      <c r="P28" s="82"/>
      <c r="Q28" s="82"/>
      <c r="R28" s="82"/>
      <c r="S28" s="82"/>
      <c r="T28" s="82"/>
      <c r="U28" s="83"/>
    </row>
    <row r="29" ht="24.95" customHeight="1" spans="1:21">
      <c r="A29" s="2"/>
      <c r="B29" s="51"/>
      <c r="C29" s="52"/>
      <c r="D29" s="84" t="s">
        <v>92</v>
      </c>
      <c r="E29" s="85" t="s">
        <v>113</v>
      </c>
      <c r="F29" s="86" t="s">
        <v>114</v>
      </c>
      <c r="G29" s="85" t="s">
        <v>115</v>
      </c>
      <c r="H29" s="86" t="s">
        <v>116</v>
      </c>
      <c r="I29" s="86" t="s">
        <v>117</v>
      </c>
      <c r="J29" s="86" t="s">
        <v>118</v>
      </c>
      <c r="K29" s="87" t="s">
        <v>119</v>
      </c>
      <c r="L29" s="51"/>
      <c r="M29" s="52"/>
      <c r="N29" s="88" t="s">
        <v>120</v>
      </c>
      <c r="O29" s="85" t="s">
        <v>121</v>
      </c>
      <c r="P29" s="86" t="s">
        <v>122</v>
      </c>
      <c r="Q29" s="85" t="s">
        <v>123</v>
      </c>
      <c r="R29" s="86" t="s">
        <v>124</v>
      </c>
      <c r="S29" s="86" t="s">
        <v>125</v>
      </c>
      <c r="T29" s="86" t="s">
        <v>118</v>
      </c>
      <c r="U29" s="87" t="s">
        <v>126</v>
      </c>
    </row>
    <row r="30" ht="24.95" customHeight="1" spans="1:21">
      <c r="A30" s="2"/>
      <c r="B30" s="51"/>
      <c r="C30" s="52"/>
      <c r="D30" s="53">
        <v>1</v>
      </c>
      <c r="E30" s="89" t="s">
        <v>127</v>
      </c>
      <c r="F30" s="90">
        <v>29</v>
      </c>
      <c r="G30" s="90">
        <v>2</v>
      </c>
      <c r="H30" s="90">
        <v>50</v>
      </c>
      <c r="I30" s="90">
        <f>23*2</f>
        <v>46</v>
      </c>
      <c r="J30" s="91">
        <f>22.9566*2</f>
        <v>45.9132</v>
      </c>
      <c r="K30" s="92">
        <f t="shared" ref="K30:K39" si="2">IF(E30="","",IF(J30="",F30/I30,F30/J30))</f>
        <v>0.63162663460617</v>
      </c>
      <c r="L30" s="51"/>
      <c r="M30" s="52"/>
      <c r="N30" s="53">
        <v>1</v>
      </c>
      <c r="O30" s="93" t="s">
        <v>128</v>
      </c>
      <c r="P30" s="90">
        <v>0</v>
      </c>
      <c r="Q30" s="94"/>
      <c r="R30" s="95">
        <f>O6</f>
        <v>61.2178</v>
      </c>
      <c r="S30" s="90">
        <v>23</v>
      </c>
      <c r="T30" s="94"/>
      <c r="U30" s="62">
        <f t="shared" ref="U30:U39" si="3">IF(O30="","",IF(T30="",P30/S30,P30/T30))</f>
        <v>0</v>
      </c>
    </row>
    <row r="31" ht="24.95" customHeight="1" spans="1:21">
      <c r="A31" s="2"/>
      <c r="B31" s="51"/>
      <c r="C31" s="52"/>
      <c r="D31" s="20">
        <v>2</v>
      </c>
      <c r="E31" s="22"/>
      <c r="F31" s="22"/>
      <c r="G31" s="22"/>
      <c r="H31" s="22"/>
      <c r="I31" s="22"/>
      <c r="J31" s="96"/>
      <c r="K31" s="97" t="str">
        <f t="shared" si="2"/>
        <v/>
      </c>
      <c r="L31" s="51"/>
      <c r="M31" s="52"/>
      <c r="N31" s="20">
        <v>2</v>
      </c>
      <c r="O31" s="98"/>
      <c r="P31" s="22"/>
      <c r="Q31" s="22"/>
      <c r="R31" s="99" t="str">
        <f t="shared" ref="R31:R39" si="4">IF(O31="","",R30)</f>
        <v/>
      </c>
      <c r="S31" s="22"/>
      <c r="T31" s="22"/>
      <c r="U31" s="69" t="str">
        <f t="shared" si="3"/>
        <v/>
      </c>
    </row>
    <row r="32" ht="24.95" customHeight="1" spans="1:21">
      <c r="A32" s="2"/>
      <c r="B32" s="51"/>
      <c r="C32" s="52"/>
      <c r="D32" s="20">
        <v>3</v>
      </c>
      <c r="E32" s="22"/>
      <c r="F32" s="22"/>
      <c r="G32" s="22"/>
      <c r="H32" s="22"/>
      <c r="I32" s="22"/>
      <c r="J32" s="96"/>
      <c r="K32" s="97" t="str">
        <f t="shared" si="2"/>
        <v/>
      </c>
      <c r="L32" s="51"/>
      <c r="M32" s="52"/>
      <c r="N32" s="20">
        <v>3</v>
      </c>
      <c r="O32" s="98"/>
      <c r="P32" s="22"/>
      <c r="Q32" s="22"/>
      <c r="R32" s="99" t="str">
        <f t="shared" si="4"/>
        <v/>
      </c>
      <c r="S32" s="22"/>
      <c r="T32" s="22"/>
      <c r="U32" s="69" t="str">
        <f t="shared" si="3"/>
        <v/>
      </c>
    </row>
    <row r="33" ht="24.95" customHeight="1" spans="1:21">
      <c r="A33" s="2"/>
      <c r="B33" s="51"/>
      <c r="C33" s="52"/>
      <c r="D33" s="20">
        <v>5</v>
      </c>
      <c r="E33" s="22"/>
      <c r="F33" s="22"/>
      <c r="G33" s="22"/>
      <c r="H33" s="22"/>
      <c r="I33" s="22"/>
      <c r="J33" s="96"/>
      <c r="K33" s="97" t="str">
        <f t="shared" si="2"/>
        <v/>
      </c>
      <c r="L33" s="51"/>
      <c r="M33" s="52"/>
      <c r="N33" s="20">
        <v>4</v>
      </c>
      <c r="O33" s="98"/>
      <c r="P33" s="22"/>
      <c r="Q33" s="22"/>
      <c r="R33" s="99" t="str">
        <f t="shared" si="4"/>
        <v/>
      </c>
      <c r="S33" s="22"/>
      <c r="T33" s="22"/>
      <c r="U33" s="69" t="str">
        <f t="shared" si="3"/>
        <v/>
      </c>
    </row>
    <row r="34" ht="24.95" customHeight="1" spans="1:21">
      <c r="A34" s="2"/>
      <c r="B34" s="51"/>
      <c r="C34" s="52"/>
      <c r="D34" s="20">
        <v>6</v>
      </c>
      <c r="E34" s="22"/>
      <c r="F34" s="22"/>
      <c r="G34" s="22"/>
      <c r="H34" s="22"/>
      <c r="I34" s="22"/>
      <c r="J34" s="96"/>
      <c r="K34" s="97" t="str">
        <f t="shared" si="2"/>
        <v/>
      </c>
      <c r="L34" s="51"/>
      <c r="M34" s="52"/>
      <c r="N34" s="20">
        <v>5</v>
      </c>
      <c r="O34" s="98"/>
      <c r="P34" s="22"/>
      <c r="Q34" s="22"/>
      <c r="R34" s="99" t="str">
        <f t="shared" si="4"/>
        <v/>
      </c>
      <c r="S34" s="22"/>
      <c r="T34" s="22"/>
      <c r="U34" s="69" t="str">
        <f t="shared" si="3"/>
        <v/>
      </c>
    </row>
    <row r="35" ht="24.95" customHeight="1" spans="1:21">
      <c r="A35" s="2"/>
      <c r="B35" s="51"/>
      <c r="C35" s="52"/>
      <c r="D35" s="20">
        <v>7</v>
      </c>
      <c r="E35" s="22"/>
      <c r="F35" s="22"/>
      <c r="G35" s="22"/>
      <c r="H35" s="22"/>
      <c r="I35" s="22"/>
      <c r="J35" s="96"/>
      <c r="K35" s="97" t="str">
        <f t="shared" si="2"/>
        <v/>
      </c>
      <c r="L35" s="51"/>
      <c r="M35" s="52"/>
      <c r="N35" s="20">
        <v>6</v>
      </c>
      <c r="O35" s="98"/>
      <c r="P35" s="22"/>
      <c r="Q35" s="22"/>
      <c r="R35" s="99" t="str">
        <f t="shared" si="4"/>
        <v/>
      </c>
      <c r="S35" s="22"/>
      <c r="T35" s="22"/>
      <c r="U35" s="69" t="str">
        <f t="shared" si="3"/>
        <v/>
      </c>
    </row>
    <row r="36" ht="24.95" customHeight="1" spans="1:21">
      <c r="A36" s="2"/>
      <c r="B36" s="51"/>
      <c r="C36" s="52"/>
      <c r="D36" s="20">
        <v>8</v>
      </c>
      <c r="E36" s="22"/>
      <c r="F36" s="22"/>
      <c r="G36" s="22"/>
      <c r="H36" s="22"/>
      <c r="I36" s="22"/>
      <c r="J36" s="96"/>
      <c r="K36" s="97" t="str">
        <f t="shared" si="2"/>
        <v/>
      </c>
      <c r="L36" s="51"/>
      <c r="M36" s="52"/>
      <c r="N36" s="20">
        <v>7</v>
      </c>
      <c r="O36" s="98"/>
      <c r="P36" s="22"/>
      <c r="Q36" s="22"/>
      <c r="R36" s="99" t="str">
        <f t="shared" si="4"/>
        <v/>
      </c>
      <c r="S36" s="22"/>
      <c r="T36" s="22"/>
      <c r="U36" s="69" t="str">
        <f t="shared" si="3"/>
        <v/>
      </c>
    </row>
    <row r="37" ht="24.95" customHeight="1" spans="1:21">
      <c r="A37" s="2"/>
      <c r="B37" s="51"/>
      <c r="C37" s="52"/>
      <c r="D37" s="20">
        <v>9</v>
      </c>
      <c r="E37" s="22"/>
      <c r="F37" s="22"/>
      <c r="G37" s="22"/>
      <c r="H37" s="22"/>
      <c r="I37" s="22"/>
      <c r="J37" s="96"/>
      <c r="K37" s="97" t="str">
        <f t="shared" si="2"/>
        <v/>
      </c>
      <c r="L37" s="51"/>
      <c r="M37" s="52"/>
      <c r="N37" s="20">
        <v>8</v>
      </c>
      <c r="O37" s="98"/>
      <c r="P37" s="22"/>
      <c r="Q37" s="22"/>
      <c r="R37" s="99" t="str">
        <f t="shared" si="4"/>
        <v/>
      </c>
      <c r="S37" s="22"/>
      <c r="T37" s="22"/>
      <c r="U37" s="69" t="str">
        <f t="shared" si="3"/>
        <v/>
      </c>
    </row>
    <row r="38" ht="24.95" customHeight="1" spans="1:21">
      <c r="A38" s="2"/>
      <c r="B38" s="51"/>
      <c r="C38" s="52"/>
      <c r="D38" s="20">
        <v>10</v>
      </c>
      <c r="E38" s="22"/>
      <c r="F38" s="22"/>
      <c r="G38" s="22"/>
      <c r="H38" s="22"/>
      <c r="I38" s="22"/>
      <c r="J38" s="96"/>
      <c r="K38" s="97" t="str">
        <f t="shared" si="2"/>
        <v/>
      </c>
      <c r="L38" s="51"/>
      <c r="M38" s="52"/>
      <c r="N38" s="20">
        <v>9</v>
      </c>
      <c r="O38" s="98"/>
      <c r="P38" s="22"/>
      <c r="Q38" s="22"/>
      <c r="R38" s="99" t="str">
        <f t="shared" si="4"/>
        <v/>
      </c>
      <c r="S38" s="22"/>
      <c r="T38" s="22"/>
      <c r="U38" s="69" t="str">
        <f t="shared" si="3"/>
        <v/>
      </c>
    </row>
    <row r="39" ht="24.95" customHeight="1" spans="1:21">
      <c r="A39" s="2"/>
      <c r="B39" s="51"/>
      <c r="C39" s="52"/>
      <c r="D39" s="20">
        <v>11</v>
      </c>
      <c r="E39" s="22"/>
      <c r="F39" s="22"/>
      <c r="G39" s="22"/>
      <c r="H39" s="22"/>
      <c r="I39" s="22"/>
      <c r="J39" s="96"/>
      <c r="K39" s="97" t="str">
        <f t="shared" si="2"/>
        <v/>
      </c>
      <c r="L39" s="51"/>
      <c r="M39" s="52"/>
      <c r="N39" s="20">
        <v>10</v>
      </c>
      <c r="O39" s="98"/>
      <c r="P39" s="22"/>
      <c r="Q39" s="22"/>
      <c r="R39" s="99" t="str">
        <f t="shared" si="4"/>
        <v/>
      </c>
      <c r="S39" s="22"/>
      <c r="T39" s="22"/>
      <c r="U39" s="69" t="str">
        <f t="shared" si="3"/>
        <v/>
      </c>
    </row>
    <row r="40" ht="24.95" customHeight="1" spans="1:21">
      <c r="A40" s="2"/>
      <c r="B40" s="75"/>
      <c r="C40" s="76"/>
      <c r="D40" s="34"/>
      <c r="E40" s="38" t="s">
        <v>129</v>
      </c>
      <c r="F40" s="77">
        <f>SUM(F30:F39)</f>
        <v>29</v>
      </c>
      <c r="G40" s="77"/>
      <c r="H40" s="38" t="s">
        <v>130</v>
      </c>
      <c r="I40" s="35"/>
      <c r="J40" s="100"/>
      <c r="K40" s="101">
        <f>SUM(K30:K39)</f>
        <v>0.63162663460617</v>
      </c>
      <c r="L40" s="75"/>
      <c r="M40" s="76"/>
      <c r="N40" s="102"/>
      <c r="O40" s="38" t="s">
        <v>131</v>
      </c>
      <c r="P40" s="77">
        <f>SUM(P30:P39)</f>
        <v>0</v>
      </c>
      <c r="Q40" s="103"/>
      <c r="R40" s="77"/>
      <c r="S40" s="77"/>
      <c r="T40" s="77"/>
      <c r="U40" s="79">
        <f>SUM(U30:U39)</f>
        <v>0</v>
      </c>
    </row>
    <row r="41" ht="33.95" customHeight="1" spans="1:21">
      <c r="A41" s="2"/>
      <c r="B41" s="104" t="s">
        <v>132</v>
      </c>
      <c r="C41" s="46" t="s">
        <v>133</v>
      </c>
      <c r="D41" s="105" t="s">
        <v>134</v>
      </c>
      <c r="E41" s="106" t="s">
        <v>135</v>
      </c>
      <c r="F41" s="107" t="s">
        <v>136</v>
      </c>
      <c r="G41" s="107" t="s">
        <v>137</v>
      </c>
      <c r="H41" s="107" t="s">
        <v>138</v>
      </c>
      <c r="I41" s="106" t="s">
        <v>139</v>
      </c>
      <c r="J41" s="107" t="s">
        <v>140</v>
      </c>
      <c r="K41" s="106" t="s">
        <v>141</v>
      </c>
      <c r="L41" s="108" t="s">
        <v>142</v>
      </c>
      <c r="M41" s="109"/>
      <c r="N41" s="106" t="s">
        <v>143</v>
      </c>
      <c r="O41" s="109"/>
      <c r="P41" s="107" t="s">
        <v>144</v>
      </c>
      <c r="Q41" s="110" t="s">
        <v>145</v>
      </c>
      <c r="R41" s="106" t="s">
        <v>146</v>
      </c>
      <c r="S41" s="107" t="s">
        <v>147</v>
      </c>
      <c r="T41" s="107" t="s">
        <v>148</v>
      </c>
      <c r="U41" s="111" t="s">
        <v>149</v>
      </c>
    </row>
    <row r="42" ht="24.95" customHeight="1" spans="1:21">
      <c r="A42" s="2"/>
      <c r="B42" s="51"/>
      <c r="C42" s="52"/>
      <c r="D42" s="53">
        <v>1</v>
      </c>
      <c r="E42" s="90" t="s">
        <v>150</v>
      </c>
      <c r="F42" s="90">
        <v>50</v>
      </c>
      <c r="G42" s="112">
        <v>648</v>
      </c>
      <c r="H42" s="113">
        <v>0.0138888888888889</v>
      </c>
      <c r="I42" s="90">
        <v>1.5</v>
      </c>
      <c r="J42" s="114">
        <v>24</v>
      </c>
      <c r="K42" s="115">
        <v>0.0277777777777778</v>
      </c>
      <c r="L42" s="116">
        <v>0.75</v>
      </c>
      <c r="M42" s="117"/>
      <c r="N42" s="118">
        <v>0.666666666666667</v>
      </c>
      <c r="O42" s="119"/>
      <c r="P42" s="90">
        <v>70</v>
      </c>
      <c r="Q42" s="95" t="s">
        <v>195</v>
      </c>
      <c r="R42" s="115">
        <v>0.176767676767677</v>
      </c>
      <c r="S42" s="120">
        <v>90</v>
      </c>
      <c r="T42" s="167">
        <v>0.45</v>
      </c>
      <c r="U42" s="62">
        <v>0.605769230769231</v>
      </c>
    </row>
    <row r="43" ht="24.95" customHeight="1" spans="1:21">
      <c r="A43" s="2"/>
      <c r="B43" s="51"/>
      <c r="C43" s="52"/>
      <c r="D43" s="20">
        <v>2</v>
      </c>
      <c r="E43" s="22"/>
      <c r="F43" s="90"/>
      <c r="G43" s="112" t="str">
        <f t="shared" ref="G42:G57" si="5">IF(E43="","",12/H43*L43)</f>
        <v/>
      </c>
      <c r="H43" s="113" t="str">
        <f t="shared" ref="H42:H57" si="6">IF(E43="","",F43/3600)</f>
        <v/>
      </c>
      <c r="I43" s="22"/>
      <c r="J43" s="121"/>
      <c r="K43" s="115" t="str">
        <f t="shared" ref="K42:K57" si="7">IF(E43="","",H43*I43/L43)</f>
        <v/>
      </c>
      <c r="L43" s="68"/>
      <c r="M43" s="23"/>
      <c r="N43" s="118" t="str">
        <f t="shared" ref="N42:N57" si="8">IF(F43="","",IF(E43="","",J43*K43))</f>
        <v/>
      </c>
      <c r="O43" s="119"/>
      <c r="P43" s="22"/>
      <c r="Q43" s="99" t="str">
        <f t="shared" ref="Q42:Q57" si="9">IF(E43="","","10年2班折90%")</f>
        <v/>
      </c>
      <c r="R43" s="115" t="str">
        <f t="shared" ref="R42:R57" si="10">IF(E43="","",P43*0.9/10/$U$8/22*H43*10000/L43)</f>
        <v/>
      </c>
      <c r="S43" s="122"/>
      <c r="T43" s="65"/>
      <c r="U43" s="62" t="str">
        <f t="shared" ref="U42:U57" si="11">IF(S43="","",S43*T43*$U$7*H43/((L43+(1-L43)/1.4)))</f>
        <v/>
      </c>
    </row>
    <row r="44" ht="24.95" customHeight="1" spans="1:21">
      <c r="A44" s="2"/>
      <c r="B44" s="51"/>
      <c r="C44" s="52"/>
      <c r="D44" s="20">
        <v>3</v>
      </c>
      <c r="E44" s="22"/>
      <c r="F44" s="22"/>
      <c r="G44" s="112" t="str">
        <f t="shared" si="5"/>
        <v/>
      </c>
      <c r="H44" s="113" t="str">
        <f t="shared" si="6"/>
        <v/>
      </c>
      <c r="I44" s="22"/>
      <c r="J44" s="121"/>
      <c r="K44" s="115" t="str">
        <f t="shared" si="7"/>
        <v/>
      </c>
      <c r="L44" s="68"/>
      <c r="M44" s="23"/>
      <c r="N44" s="118" t="str">
        <f t="shared" si="8"/>
        <v/>
      </c>
      <c r="O44" s="119"/>
      <c r="P44" s="22"/>
      <c r="Q44" s="99" t="str">
        <f t="shared" si="9"/>
        <v/>
      </c>
      <c r="R44" s="115" t="str">
        <f t="shared" si="10"/>
        <v/>
      </c>
      <c r="S44" s="122"/>
      <c r="T44" s="65"/>
      <c r="U44" s="62" t="str">
        <f t="shared" si="11"/>
        <v/>
      </c>
    </row>
    <row r="45" ht="24.95" customHeight="1" spans="1:21">
      <c r="A45" s="2"/>
      <c r="B45" s="51"/>
      <c r="C45" s="52"/>
      <c r="D45" s="20">
        <v>4</v>
      </c>
      <c r="E45" s="22"/>
      <c r="F45" s="22"/>
      <c r="G45" s="112" t="str">
        <f t="shared" si="5"/>
        <v/>
      </c>
      <c r="H45" s="113" t="str">
        <f t="shared" si="6"/>
        <v/>
      </c>
      <c r="I45" s="22"/>
      <c r="J45" s="121"/>
      <c r="K45" s="115" t="str">
        <f t="shared" si="7"/>
        <v/>
      </c>
      <c r="L45" s="68"/>
      <c r="M45" s="23"/>
      <c r="N45" s="118" t="str">
        <f t="shared" si="8"/>
        <v/>
      </c>
      <c r="O45" s="119"/>
      <c r="P45" s="22"/>
      <c r="Q45" s="99" t="str">
        <f t="shared" si="9"/>
        <v/>
      </c>
      <c r="R45" s="115" t="str">
        <f t="shared" si="10"/>
        <v/>
      </c>
      <c r="S45" s="122"/>
      <c r="T45" s="65"/>
      <c r="U45" s="62" t="str">
        <f t="shared" si="11"/>
        <v/>
      </c>
    </row>
    <row r="46" ht="24.95" customHeight="1" spans="1:21">
      <c r="A46" s="2"/>
      <c r="B46" s="51"/>
      <c r="C46" s="52"/>
      <c r="D46" s="20">
        <v>5</v>
      </c>
      <c r="E46" s="22"/>
      <c r="F46" s="22"/>
      <c r="G46" s="112" t="str">
        <f t="shared" si="5"/>
        <v/>
      </c>
      <c r="H46" s="113" t="str">
        <f t="shared" si="6"/>
        <v/>
      </c>
      <c r="I46" s="22"/>
      <c r="J46" s="121"/>
      <c r="K46" s="115" t="str">
        <f t="shared" si="7"/>
        <v/>
      </c>
      <c r="L46" s="68"/>
      <c r="M46" s="23"/>
      <c r="N46" s="118" t="str">
        <f t="shared" si="8"/>
        <v/>
      </c>
      <c r="O46" s="119"/>
      <c r="P46" s="22"/>
      <c r="Q46" s="99" t="str">
        <f t="shared" si="9"/>
        <v/>
      </c>
      <c r="R46" s="115" t="str">
        <f t="shared" si="10"/>
        <v/>
      </c>
      <c r="S46" s="122"/>
      <c r="T46" s="65"/>
      <c r="U46" s="62" t="str">
        <f t="shared" si="11"/>
        <v/>
      </c>
    </row>
    <row r="47" ht="24.95" customHeight="1" spans="1:21">
      <c r="A47" s="2"/>
      <c r="B47" s="51"/>
      <c r="C47" s="52"/>
      <c r="D47" s="20">
        <v>6</v>
      </c>
      <c r="E47" s="22"/>
      <c r="F47" s="22"/>
      <c r="G47" s="112" t="str">
        <f t="shared" si="5"/>
        <v/>
      </c>
      <c r="H47" s="113" t="str">
        <f t="shared" si="6"/>
        <v/>
      </c>
      <c r="I47" s="22"/>
      <c r="J47" s="121"/>
      <c r="K47" s="115" t="str">
        <f t="shared" si="7"/>
        <v/>
      </c>
      <c r="L47" s="68"/>
      <c r="M47" s="23"/>
      <c r="N47" s="118" t="str">
        <f t="shared" si="8"/>
        <v/>
      </c>
      <c r="O47" s="119"/>
      <c r="P47" s="22"/>
      <c r="Q47" s="99" t="str">
        <f t="shared" si="9"/>
        <v/>
      </c>
      <c r="R47" s="115" t="str">
        <f t="shared" si="10"/>
        <v/>
      </c>
      <c r="S47" s="122"/>
      <c r="T47" s="65"/>
      <c r="U47" s="62" t="str">
        <f t="shared" si="11"/>
        <v/>
      </c>
    </row>
    <row r="48" ht="24.95" customHeight="1" spans="1:21">
      <c r="A48" s="2"/>
      <c r="B48" s="51"/>
      <c r="C48" s="52"/>
      <c r="D48" s="20">
        <v>7</v>
      </c>
      <c r="E48" s="22"/>
      <c r="F48" s="22"/>
      <c r="G48" s="112" t="str">
        <f t="shared" si="5"/>
        <v/>
      </c>
      <c r="H48" s="113" t="str">
        <f t="shared" si="6"/>
        <v/>
      </c>
      <c r="I48" s="22"/>
      <c r="J48" s="121"/>
      <c r="K48" s="115" t="str">
        <f t="shared" si="7"/>
        <v/>
      </c>
      <c r="L48" s="68"/>
      <c r="M48" s="23"/>
      <c r="N48" s="118" t="str">
        <f t="shared" si="8"/>
        <v/>
      </c>
      <c r="O48" s="119"/>
      <c r="P48" s="22"/>
      <c r="Q48" s="99" t="str">
        <f t="shared" si="9"/>
        <v/>
      </c>
      <c r="R48" s="115" t="str">
        <f t="shared" si="10"/>
        <v/>
      </c>
      <c r="S48" s="122"/>
      <c r="T48" s="65"/>
      <c r="U48" s="62" t="str">
        <f t="shared" si="11"/>
        <v/>
      </c>
    </row>
    <row r="49" ht="24.95" customHeight="1" spans="1:21">
      <c r="A49" s="2"/>
      <c r="B49" s="51"/>
      <c r="C49" s="52"/>
      <c r="D49" s="20">
        <v>8</v>
      </c>
      <c r="E49" s="22"/>
      <c r="F49" s="22"/>
      <c r="G49" s="112" t="str">
        <f t="shared" si="5"/>
        <v/>
      </c>
      <c r="H49" s="113" t="str">
        <f t="shared" si="6"/>
        <v/>
      </c>
      <c r="I49" s="22"/>
      <c r="J49" s="121"/>
      <c r="K49" s="115" t="str">
        <f t="shared" si="7"/>
        <v/>
      </c>
      <c r="L49" s="68"/>
      <c r="M49" s="23"/>
      <c r="N49" s="118" t="str">
        <f t="shared" si="8"/>
        <v/>
      </c>
      <c r="O49" s="119"/>
      <c r="P49" s="22"/>
      <c r="Q49" s="99" t="str">
        <f t="shared" si="9"/>
        <v/>
      </c>
      <c r="R49" s="115" t="str">
        <f t="shared" si="10"/>
        <v/>
      </c>
      <c r="S49" s="122"/>
      <c r="T49" s="65"/>
      <c r="U49" s="62" t="str">
        <f t="shared" si="11"/>
        <v/>
      </c>
    </row>
    <row r="50" ht="24.95" customHeight="1" spans="1:21">
      <c r="A50" s="2"/>
      <c r="B50" s="51"/>
      <c r="C50" s="52"/>
      <c r="D50" s="20">
        <v>9</v>
      </c>
      <c r="E50" s="22"/>
      <c r="F50" s="22"/>
      <c r="G50" s="112" t="str">
        <f t="shared" si="5"/>
        <v/>
      </c>
      <c r="H50" s="113" t="str">
        <f t="shared" si="6"/>
        <v/>
      </c>
      <c r="I50" s="22"/>
      <c r="J50" s="121"/>
      <c r="K50" s="115" t="str">
        <f t="shared" si="7"/>
        <v/>
      </c>
      <c r="L50" s="68"/>
      <c r="M50" s="23"/>
      <c r="N50" s="118" t="str">
        <f t="shared" si="8"/>
        <v/>
      </c>
      <c r="O50" s="119"/>
      <c r="P50" s="22"/>
      <c r="Q50" s="99" t="str">
        <f t="shared" si="9"/>
        <v/>
      </c>
      <c r="R50" s="115" t="str">
        <f t="shared" si="10"/>
        <v/>
      </c>
      <c r="S50" s="122"/>
      <c r="T50" s="65"/>
      <c r="U50" s="62" t="str">
        <f t="shared" si="11"/>
        <v/>
      </c>
    </row>
    <row r="51" ht="24.95" customHeight="1" spans="1:21">
      <c r="A51" s="2"/>
      <c r="B51" s="51"/>
      <c r="C51" s="52"/>
      <c r="D51" s="20">
        <v>10</v>
      </c>
      <c r="E51" s="22"/>
      <c r="F51" s="22"/>
      <c r="G51" s="112" t="str">
        <f t="shared" si="5"/>
        <v/>
      </c>
      <c r="H51" s="113" t="str">
        <f t="shared" si="6"/>
        <v/>
      </c>
      <c r="I51" s="22"/>
      <c r="J51" s="121"/>
      <c r="K51" s="115" t="str">
        <f t="shared" si="7"/>
        <v/>
      </c>
      <c r="L51" s="68"/>
      <c r="M51" s="23"/>
      <c r="N51" s="118" t="str">
        <f t="shared" si="8"/>
        <v/>
      </c>
      <c r="O51" s="119"/>
      <c r="P51" s="22"/>
      <c r="Q51" s="99" t="str">
        <f t="shared" si="9"/>
        <v/>
      </c>
      <c r="R51" s="115" t="str">
        <f t="shared" si="10"/>
        <v/>
      </c>
      <c r="S51" s="122"/>
      <c r="T51" s="65"/>
      <c r="U51" s="62" t="str">
        <f t="shared" si="11"/>
        <v/>
      </c>
    </row>
    <row r="52" ht="24.95" customHeight="1" spans="1:21">
      <c r="A52" s="2"/>
      <c r="B52" s="51"/>
      <c r="C52" s="52"/>
      <c r="D52" s="20">
        <v>11</v>
      </c>
      <c r="E52" s="22"/>
      <c r="F52" s="22"/>
      <c r="G52" s="112" t="str">
        <f t="shared" si="5"/>
        <v/>
      </c>
      <c r="H52" s="113" t="str">
        <f t="shared" si="6"/>
        <v/>
      </c>
      <c r="I52" s="22"/>
      <c r="J52" s="121"/>
      <c r="K52" s="115" t="str">
        <f t="shared" si="7"/>
        <v/>
      </c>
      <c r="L52" s="68"/>
      <c r="M52" s="23"/>
      <c r="N52" s="118" t="str">
        <f t="shared" si="8"/>
        <v/>
      </c>
      <c r="O52" s="119"/>
      <c r="P52" s="22"/>
      <c r="Q52" s="99" t="str">
        <f t="shared" si="9"/>
        <v/>
      </c>
      <c r="R52" s="115" t="str">
        <f t="shared" si="10"/>
        <v/>
      </c>
      <c r="S52" s="122"/>
      <c r="T52" s="65"/>
      <c r="U52" s="62" t="str">
        <f t="shared" si="11"/>
        <v/>
      </c>
    </row>
    <row r="53" ht="24.95" customHeight="1" spans="1:21">
      <c r="A53" s="2"/>
      <c r="B53" s="51"/>
      <c r="C53" s="52"/>
      <c r="D53" s="20">
        <v>12</v>
      </c>
      <c r="E53" s="22"/>
      <c r="F53" s="22"/>
      <c r="G53" s="112" t="str">
        <f t="shared" si="5"/>
        <v/>
      </c>
      <c r="H53" s="113" t="str">
        <f t="shared" si="6"/>
        <v/>
      </c>
      <c r="I53" s="22"/>
      <c r="J53" s="121"/>
      <c r="K53" s="115" t="str">
        <f t="shared" si="7"/>
        <v/>
      </c>
      <c r="L53" s="68"/>
      <c r="M53" s="23"/>
      <c r="N53" s="118" t="str">
        <f t="shared" si="8"/>
        <v/>
      </c>
      <c r="O53" s="119"/>
      <c r="P53" s="22"/>
      <c r="Q53" s="99" t="str">
        <f t="shared" si="9"/>
        <v/>
      </c>
      <c r="R53" s="115" t="str">
        <f t="shared" si="10"/>
        <v/>
      </c>
      <c r="S53" s="122"/>
      <c r="T53" s="65"/>
      <c r="U53" s="62" t="str">
        <f t="shared" si="11"/>
        <v/>
      </c>
    </row>
    <row r="54" ht="24.95" customHeight="1" spans="1:21">
      <c r="A54" s="2"/>
      <c r="B54" s="51"/>
      <c r="C54" s="52"/>
      <c r="D54" s="20">
        <v>13</v>
      </c>
      <c r="E54" s="22"/>
      <c r="F54" s="22"/>
      <c r="G54" s="112" t="str">
        <f t="shared" si="5"/>
        <v/>
      </c>
      <c r="H54" s="113" t="str">
        <f t="shared" si="6"/>
        <v/>
      </c>
      <c r="I54" s="22"/>
      <c r="J54" s="121"/>
      <c r="K54" s="115" t="str">
        <f t="shared" si="7"/>
        <v/>
      </c>
      <c r="L54" s="68"/>
      <c r="M54" s="23"/>
      <c r="N54" s="118" t="str">
        <f t="shared" si="8"/>
        <v/>
      </c>
      <c r="O54" s="119"/>
      <c r="P54" s="22"/>
      <c r="Q54" s="99" t="str">
        <f t="shared" si="9"/>
        <v/>
      </c>
      <c r="R54" s="115" t="str">
        <f t="shared" si="10"/>
        <v/>
      </c>
      <c r="S54" s="122"/>
      <c r="T54" s="65"/>
      <c r="U54" s="62" t="str">
        <f t="shared" si="11"/>
        <v/>
      </c>
    </row>
    <row r="55" ht="24.95" customHeight="1" spans="1:21">
      <c r="A55" s="2"/>
      <c r="B55" s="51"/>
      <c r="C55" s="52"/>
      <c r="D55" s="20">
        <v>14</v>
      </c>
      <c r="E55" s="22"/>
      <c r="F55" s="22"/>
      <c r="G55" s="112" t="str">
        <f t="shared" si="5"/>
        <v/>
      </c>
      <c r="H55" s="113" t="str">
        <f t="shared" si="6"/>
        <v/>
      </c>
      <c r="I55" s="22"/>
      <c r="J55" s="121"/>
      <c r="K55" s="115" t="str">
        <f t="shared" si="7"/>
        <v/>
      </c>
      <c r="L55" s="68"/>
      <c r="M55" s="23"/>
      <c r="N55" s="118" t="str">
        <f t="shared" si="8"/>
        <v/>
      </c>
      <c r="O55" s="119"/>
      <c r="P55" s="22"/>
      <c r="Q55" s="99" t="str">
        <f t="shared" si="9"/>
        <v/>
      </c>
      <c r="R55" s="115" t="str">
        <f t="shared" si="10"/>
        <v/>
      </c>
      <c r="S55" s="122"/>
      <c r="T55" s="65"/>
      <c r="U55" s="62" t="str">
        <f t="shared" si="11"/>
        <v/>
      </c>
    </row>
    <row r="56" ht="24.95" customHeight="1" spans="1:21">
      <c r="A56" s="2"/>
      <c r="B56" s="51"/>
      <c r="C56" s="52"/>
      <c r="D56" s="20">
        <v>15</v>
      </c>
      <c r="E56" s="22"/>
      <c r="F56" s="22"/>
      <c r="G56" s="112" t="str">
        <f t="shared" si="5"/>
        <v/>
      </c>
      <c r="H56" s="113" t="str">
        <f t="shared" si="6"/>
        <v/>
      </c>
      <c r="I56" s="22"/>
      <c r="J56" s="121"/>
      <c r="K56" s="115" t="str">
        <f t="shared" si="7"/>
        <v/>
      </c>
      <c r="L56" s="68"/>
      <c r="M56" s="23"/>
      <c r="N56" s="118" t="str">
        <f t="shared" si="8"/>
        <v/>
      </c>
      <c r="O56" s="119"/>
      <c r="P56" s="22"/>
      <c r="Q56" s="99" t="str">
        <f t="shared" si="9"/>
        <v/>
      </c>
      <c r="R56" s="115" t="str">
        <f t="shared" si="10"/>
        <v/>
      </c>
      <c r="S56" s="122"/>
      <c r="T56" s="65"/>
      <c r="U56" s="62" t="str">
        <f t="shared" si="11"/>
        <v/>
      </c>
    </row>
    <row r="57" ht="24.95" customHeight="1" spans="1:21">
      <c r="A57" s="2"/>
      <c r="B57" s="51"/>
      <c r="C57" s="52"/>
      <c r="D57" s="20">
        <v>16</v>
      </c>
      <c r="E57" s="22"/>
      <c r="F57" s="22"/>
      <c r="G57" s="112" t="str">
        <f t="shared" si="5"/>
        <v/>
      </c>
      <c r="H57" s="113" t="str">
        <f t="shared" si="6"/>
        <v/>
      </c>
      <c r="I57" s="22"/>
      <c r="J57" s="121"/>
      <c r="K57" s="115" t="str">
        <f t="shared" si="7"/>
        <v/>
      </c>
      <c r="L57" s="68"/>
      <c r="M57" s="23"/>
      <c r="N57" s="118" t="str">
        <f t="shared" si="8"/>
        <v/>
      </c>
      <c r="O57" s="119"/>
      <c r="P57" s="22"/>
      <c r="Q57" s="99" t="str">
        <f t="shared" si="9"/>
        <v/>
      </c>
      <c r="R57" s="115" t="str">
        <f t="shared" si="10"/>
        <v/>
      </c>
      <c r="S57" s="122"/>
      <c r="T57" s="65"/>
      <c r="U57" s="62" t="str">
        <f t="shared" si="11"/>
        <v/>
      </c>
    </row>
    <row r="58" ht="24.95" customHeight="1" spans="1:21">
      <c r="A58" s="2"/>
      <c r="B58" s="75"/>
      <c r="C58" s="76"/>
      <c r="D58" s="123">
        <v>17</v>
      </c>
      <c r="E58" s="124"/>
      <c r="F58" s="124"/>
      <c r="G58" s="124"/>
      <c r="H58" s="124"/>
      <c r="I58" s="124"/>
      <c r="J58" s="124" t="s">
        <v>151</v>
      </c>
      <c r="K58" s="38">
        <f>SUM(K42:K57)</f>
        <v>0.0277777777777778</v>
      </c>
      <c r="L58" s="38" t="s">
        <v>152</v>
      </c>
      <c r="M58" s="35"/>
      <c r="N58" s="125">
        <f>SUM(N42:O57)</f>
        <v>0.666666666666667</v>
      </c>
      <c r="O58" s="35"/>
      <c r="P58" s="126"/>
      <c r="Q58" s="127" t="s">
        <v>153</v>
      </c>
      <c r="R58" s="128">
        <f>SUM(R42:R57)</f>
        <v>0.176767676767677</v>
      </c>
      <c r="S58" s="129"/>
      <c r="T58" s="130" t="s">
        <v>154</v>
      </c>
      <c r="U58" s="131">
        <f>SUM(U42:U57)</f>
        <v>0.605769230769231</v>
      </c>
    </row>
    <row r="59" ht="24.95" customHeight="1" spans="1:21">
      <c r="A59" s="2"/>
      <c r="B59" s="53" t="s">
        <v>155</v>
      </c>
      <c r="C59" s="132" t="s">
        <v>156</v>
      </c>
      <c r="D59" s="119"/>
      <c r="E59" s="133">
        <f>IF(U6="",N58,U6*K58)</f>
        <v>0.666666666666667</v>
      </c>
      <c r="F59" s="134" t="s">
        <v>157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0"/>
      <c r="Q59" s="136" t="s">
        <v>158</v>
      </c>
      <c r="R59" s="137"/>
      <c r="S59" s="137"/>
      <c r="T59" s="137"/>
      <c r="U59" s="138"/>
    </row>
    <row r="60" ht="24.95" customHeight="1" spans="1:21">
      <c r="A60" s="2"/>
      <c r="B60" s="20" t="s">
        <v>159</v>
      </c>
      <c r="C60" s="27" t="s">
        <v>160</v>
      </c>
      <c r="D60" s="21"/>
      <c r="E60" s="139">
        <f>(K27+K40+U40+R58+U58+E59+U27)*O8</f>
        <v>0.122699404176195</v>
      </c>
      <c r="F60" s="140" t="s">
        <v>161</v>
      </c>
      <c r="G60" s="141"/>
      <c r="H60" s="141"/>
      <c r="I60" s="141"/>
      <c r="J60" s="141"/>
      <c r="K60" s="141"/>
      <c r="L60" s="141"/>
      <c r="M60" s="141"/>
      <c r="N60" s="141"/>
      <c r="O60" s="141"/>
      <c r="P60" s="21"/>
      <c r="Q60" s="142" t="s">
        <v>162</v>
      </c>
      <c r="R60" s="143"/>
      <c r="S60" s="144"/>
      <c r="T60" s="145"/>
      <c r="U60" s="146"/>
    </row>
    <row r="61" ht="24.95" customHeight="1" spans="1:21">
      <c r="A61" s="2"/>
      <c r="B61" s="20" t="s">
        <v>163</v>
      </c>
      <c r="C61" s="27" t="s">
        <v>164</v>
      </c>
      <c r="D61" s="21"/>
      <c r="E61" s="139">
        <f>(K27+U27)*0.03+(K40+U40+R58+U58+E59+E60)*0.05</f>
        <v>0.231800680649297</v>
      </c>
      <c r="F61" s="140" t="s">
        <v>165</v>
      </c>
      <c r="G61" s="141"/>
      <c r="H61" s="141"/>
      <c r="I61" s="141"/>
      <c r="J61" s="141"/>
      <c r="K61" s="141"/>
      <c r="L61" s="141"/>
      <c r="M61" s="141"/>
      <c r="N61" s="141"/>
      <c r="O61" s="141"/>
      <c r="P61" s="21"/>
      <c r="Q61" s="147" t="s">
        <v>166</v>
      </c>
      <c r="R61" s="141"/>
      <c r="S61" s="29"/>
      <c r="T61" s="25"/>
      <c r="U61" s="148"/>
    </row>
    <row r="62" ht="24.95" customHeight="1" spans="1:21">
      <c r="A62" s="2"/>
      <c r="B62" s="20" t="s">
        <v>167</v>
      </c>
      <c r="C62" s="27" t="s">
        <v>168</v>
      </c>
      <c r="D62" s="21"/>
      <c r="E62" s="149">
        <v>0.5</v>
      </c>
      <c r="F62" s="140" t="s">
        <v>169</v>
      </c>
      <c r="G62" s="141"/>
      <c r="H62" s="141"/>
      <c r="I62" s="141"/>
      <c r="J62" s="141"/>
      <c r="K62" s="141"/>
      <c r="L62" s="141"/>
      <c r="M62" s="141"/>
      <c r="N62" s="141"/>
      <c r="O62" s="141"/>
      <c r="P62" s="21"/>
      <c r="Q62" s="147" t="s">
        <v>170</v>
      </c>
      <c r="R62" s="141"/>
      <c r="S62" s="29"/>
      <c r="T62" s="25"/>
      <c r="U62" s="148"/>
    </row>
    <row r="63" ht="24.95" customHeight="1" spans="1:21">
      <c r="A63" s="2"/>
      <c r="B63" s="20" t="s">
        <v>171</v>
      </c>
      <c r="C63" s="27" t="s">
        <v>172</v>
      </c>
      <c r="D63" s="21"/>
      <c r="E63" s="150">
        <v>0.3</v>
      </c>
      <c r="F63" s="140" t="s">
        <v>173</v>
      </c>
      <c r="G63" s="141"/>
      <c r="H63" s="141"/>
      <c r="I63" s="141"/>
      <c r="J63" s="141"/>
      <c r="K63" s="141"/>
      <c r="L63" s="141"/>
      <c r="M63" s="141"/>
      <c r="N63" s="141"/>
      <c r="O63" s="141"/>
      <c r="P63" s="21"/>
      <c r="Q63" s="151"/>
      <c r="R63" s="152"/>
      <c r="S63" s="153"/>
      <c r="T63" s="154"/>
      <c r="U63" s="155"/>
    </row>
    <row r="64" ht="24.95" customHeight="1" spans="1:21">
      <c r="A64" s="2"/>
      <c r="B64" s="20" t="s">
        <v>174</v>
      </c>
      <c r="C64" s="27" t="s">
        <v>175</v>
      </c>
      <c r="D64" s="21"/>
      <c r="E64" s="156">
        <f>K27+U27+K40+R58+U58+E59+E60+E61+E62+E63+U40-S60</f>
        <v>7.28947029363524</v>
      </c>
      <c r="F64" s="140" t="s">
        <v>176</v>
      </c>
      <c r="G64" s="141"/>
      <c r="H64" s="141"/>
      <c r="I64" s="141"/>
      <c r="J64" s="141"/>
      <c r="K64" s="141"/>
      <c r="L64" s="141"/>
      <c r="M64" s="141"/>
      <c r="N64" s="141"/>
      <c r="O64" s="141"/>
      <c r="P64" s="21"/>
      <c r="Q64" s="157" t="s">
        <v>177</v>
      </c>
      <c r="R64" s="82"/>
      <c r="S64" s="82"/>
      <c r="T64" s="82"/>
      <c r="U64" s="83"/>
    </row>
    <row r="65" ht="24.95" customHeight="1" spans="1:21">
      <c r="A65" s="2"/>
      <c r="B65" s="20" t="s">
        <v>178</v>
      </c>
      <c r="C65" s="27" t="s">
        <v>179</v>
      </c>
      <c r="D65" s="21"/>
      <c r="E65" s="158">
        <v>0.05</v>
      </c>
      <c r="F65" s="140" t="s">
        <v>180</v>
      </c>
      <c r="G65" s="141"/>
      <c r="H65" s="141"/>
      <c r="I65" s="141"/>
      <c r="J65" s="141"/>
      <c r="K65" s="141"/>
      <c r="L65" s="141"/>
      <c r="M65" s="141"/>
      <c r="N65" s="141"/>
      <c r="O65" s="141"/>
      <c r="P65" s="21"/>
      <c r="Q65" s="159"/>
      <c r="R65" s="160"/>
      <c r="S65" s="160"/>
      <c r="T65" s="160"/>
      <c r="U65" s="161"/>
    </row>
    <row r="66" ht="24.95" customHeight="1" spans="1:21">
      <c r="A66" s="2"/>
      <c r="B66" s="20" t="s">
        <v>181</v>
      </c>
      <c r="C66" s="27" t="s">
        <v>182</v>
      </c>
      <c r="D66" s="21"/>
      <c r="E66" s="139">
        <f>E64*E65</f>
        <v>0.364473514681762</v>
      </c>
      <c r="F66" s="140" t="s">
        <v>183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21"/>
      <c r="Q66" s="160"/>
      <c r="R66" s="160"/>
      <c r="S66" s="160"/>
      <c r="T66" s="160"/>
      <c r="U66" s="161"/>
    </row>
    <row r="67" ht="24.95" customHeight="1" spans="1:21">
      <c r="A67" s="2"/>
      <c r="B67" s="20" t="s">
        <v>184</v>
      </c>
      <c r="C67" s="27" t="s">
        <v>185</v>
      </c>
      <c r="D67" s="21"/>
      <c r="E67" s="139">
        <f>E64+E66</f>
        <v>7.653943808317</v>
      </c>
      <c r="F67" s="140" t="s">
        <v>186</v>
      </c>
      <c r="G67" s="141"/>
      <c r="H67" s="141"/>
      <c r="I67" s="141"/>
      <c r="J67" s="141"/>
      <c r="K67" s="141"/>
      <c r="L67" s="141"/>
      <c r="M67" s="141"/>
      <c r="N67" s="141"/>
      <c r="O67" s="141"/>
      <c r="P67" s="21"/>
      <c r="Q67" s="160"/>
      <c r="R67" s="160"/>
      <c r="S67" s="160"/>
      <c r="T67" s="160"/>
      <c r="U67" s="161"/>
    </row>
    <row r="68" ht="24.95" customHeight="1" spans="1:21">
      <c r="A68" s="2"/>
      <c r="B68" s="20" t="s">
        <v>187</v>
      </c>
      <c r="C68" s="27" t="s">
        <v>188</v>
      </c>
      <c r="D68" s="21"/>
      <c r="E68" s="139">
        <f>E67*0.13</f>
        <v>0.99501269508121</v>
      </c>
      <c r="F68" s="140" t="s">
        <v>189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21"/>
      <c r="Q68" s="160"/>
      <c r="R68" s="160"/>
      <c r="S68" s="160"/>
      <c r="T68" s="160"/>
      <c r="U68" s="161"/>
    </row>
    <row r="69" ht="24.95" customHeight="1" spans="1:21">
      <c r="A69" s="2"/>
      <c r="B69" s="123" t="s">
        <v>190</v>
      </c>
      <c r="C69" s="130" t="s">
        <v>191</v>
      </c>
      <c r="D69" s="162"/>
      <c r="E69" s="163">
        <f>E67+E68</f>
        <v>8.64895650339821</v>
      </c>
      <c r="F69" s="164" t="s">
        <v>192</v>
      </c>
      <c r="G69" s="152"/>
      <c r="H69" s="152"/>
      <c r="I69" s="152"/>
      <c r="J69" s="152"/>
      <c r="K69" s="152"/>
      <c r="L69" s="152"/>
      <c r="M69" s="152"/>
      <c r="N69" s="152"/>
      <c r="O69" s="152"/>
      <c r="P69" s="162"/>
      <c r="Q69" s="165"/>
      <c r="R69" s="165"/>
      <c r="S69" s="165"/>
      <c r="T69" s="165"/>
      <c r="U69" s="166"/>
    </row>
    <row r="70" ht="13.5" spans="1:21">
      <c r="B70" t="s">
        <v>193</v>
      </c>
    </row>
  </sheetData>
  <mergeCells count="119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M9:M27"/>
    <mergeCell ref="M28:M40"/>
    <mergeCell ref="Q65:U69"/>
  </mergeCells>
  <pageMargins left="0.75" right="0.75" top="1" bottom="1" header="0.5" footer="0.5"/>
  <pageSetup paperSize="9" scale="40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0"/>
  <sheetViews>
    <sheetView topLeftCell="A48" workbookViewId="0">
      <selection activeCell="I36" sqref="I36"/>
    </sheetView>
  </sheetViews>
  <sheetFormatPr defaultColWidth="9" defaultRowHeight="11.25"/>
  <cols>
    <col min="1" max="1" width="3.6283185840708" style="1" customWidth="1"/>
    <col min="2" max="2" width="4.87610619469027" style="1" customWidth="1"/>
    <col min="3" max="3" width="5.87610619469027" style="1" customWidth="1"/>
    <col min="4" max="4" width="5.6283185840708" style="1" customWidth="1"/>
    <col min="5" max="6" width="16.2477876106195" style="1" customWidth="1"/>
    <col min="7" max="7" width="11.3716814159292" style="1" customWidth="1"/>
    <col min="8" max="8" width="8.87610619469027" style="1" customWidth="1"/>
    <col min="9" max="9" width="9.12389380530973" style="1" customWidth="1"/>
    <col min="10" max="10" width="12.7522123893805" style="1" customWidth="1"/>
    <col min="11" max="11" width="8.75221238938053" style="1" customWidth="1"/>
    <col min="12" max="12" width="5.12389380530973" style="1" customWidth="1"/>
    <col min="13" max="13" width="5.87610619469027" style="1" customWidth="1"/>
    <col min="14" max="14" width="4.75221238938053" style="1" customWidth="1"/>
    <col min="15" max="15" width="14.5044247787611" style="1" customWidth="1"/>
    <col min="16" max="16" width="12.6283185840708" style="1" customWidth="1"/>
    <col min="17" max="18" width="11" style="1" customWidth="1"/>
    <col min="19" max="19" width="11.1238938053097" style="1" customWidth="1"/>
    <col min="20" max="20" width="13.5044247787611" style="1" customWidth="1"/>
    <col min="21" max="21" width="11.3716814159292" style="1" customWidth="1"/>
    <col min="22" max="16384" width="9" style="1" customWidth="1"/>
  </cols>
  <sheetData>
    <row r="1" ht="12"/>
    <row r="2" ht="39.95" customHeight="1" spans="1:21">
      <c r="A2" s="2"/>
      <c r="B2" s="3" t="s">
        <v>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0.95" customHeight="1" spans="1:21">
      <c r="A3" s="2"/>
      <c r="B3" s="6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7"/>
    </row>
    <row r="4" ht="27.95" customHeight="1" spans="1:21">
      <c r="A4" s="2"/>
      <c r="B4" s="8" t="s">
        <v>58</v>
      </c>
      <c r="C4" s="9" t="s">
        <v>59</v>
      </c>
      <c r="D4" s="10"/>
      <c r="E4" s="11" t="s">
        <v>60</v>
      </c>
      <c r="F4" s="12"/>
      <c r="G4" s="13" t="s">
        <v>61</v>
      </c>
      <c r="H4" s="11">
        <v>3000</v>
      </c>
      <c r="I4" s="14"/>
      <c r="J4" s="14"/>
      <c r="K4" s="12"/>
      <c r="L4" s="8" t="s">
        <v>62</v>
      </c>
      <c r="M4" s="9" t="s">
        <v>3</v>
      </c>
      <c r="N4" s="10"/>
      <c r="O4" s="15" t="s">
        <v>198</v>
      </c>
      <c r="P4" s="12"/>
      <c r="Q4" s="13" t="s">
        <v>64</v>
      </c>
      <c r="R4" s="16">
        <v>46192</v>
      </c>
      <c r="S4" s="12"/>
      <c r="T4" s="17" t="s">
        <v>65</v>
      </c>
      <c r="U4" s="18">
        <v>0.0269</v>
      </c>
    </row>
    <row r="5" ht="27.95" customHeight="1" spans="1:21">
      <c r="A5" s="2"/>
      <c r="B5" s="19"/>
      <c r="C5" s="20" t="s">
        <v>66</v>
      </c>
      <c r="D5" s="21"/>
      <c r="E5" s="22" t="s">
        <v>67</v>
      </c>
      <c r="F5" s="23"/>
      <c r="G5" s="24" t="s">
        <v>68</v>
      </c>
      <c r="H5" s="22">
        <v>120</v>
      </c>
      <c r="I5" s="25"/>
      <c r="J5" s="25"/>
      <c r="K5" s="23"/>
      <c r="L5" s="19"/>
      <c r="M5" s="20" t="s">
        <v>2</v>
      </c>
      <c r="N5" s="21"/>
      <c r="O5" s="26" t="s">
        <v>17</v>
      </c>
      <c r="P5" s="23"/>
      <c r="Q5" s="27" t="s">
        <v>69</v>
      </c>
      <c r="R5" s="28" t="s">
        <v>70</v>
      </c>
      <c r="S5" s="23"/>
      <c r="T5" s="27" t="s">
        <v>71</v>
      </c>
      <c r="U5" s="29">
        <v>0.0318</v>
      </c>
    </row>
    <row r="6" ht="27.95" customHeight="1" spans="1:21">
      <c r="A6" s="2"/>
      <c r="B6" s="19"/>
      <c r="C6" s="20" t="s">
        <v>72</v>
      </c>
      <c r="D6" s="21"/>
      <c r="E6" s="22" t="s">
        <v>73</v>
      </c>
      <c r="F6" s="23"/>
      <c r="G6" s="24" t="s">
        <v>74</v>
      </c>
      <c r="H6" s="22">
        <v>50</v>
      </c>
      <c r="I6" s="25"/>
      <c r="J6" s="25"/>
      <c r="K6" s="23"/>
      <c r="L6" s="19"/>
      <c r="M6" s="30" t="s">
        <v>75</v>
      </c>
      <c r="N6" s="21"/>
      <c r="O6" s="31">
        <v>61.2178</v>
      </c>
      <c r="P6" s="23"/>
      <c r="Q6" s="27" t="s">
        <v>69</v>
      </c>
      <c r="R6" s="28" t="s">
        <v>70</v>
      </c>
      <c r="S6" s="23"/>
      <c r="T6" s="24" t="s">
        <v>76</v>
      </c>
      <c r="U6" s="32"/>
    </row>
    <row r="7" ht="27.95" customHeight="1" spans="1:21">
      <c r="A7" s="2"/>
      <c r="B7" s="19"/>
      <c r="C7" s="20" t="s">
        <v>77</v>
      </c>
      <c r="D7" s="21"/>
      <c r="E7" s="22" t="s">
        <v>78</v>
      </c>
      <c r="F7" s="23"/>
      <c r="G7" s="27" t="s">
        <v>79</v>
      </c>
      <c r="H7" s="22" t="s">
        <v>80</v>
      </c>
      <c r="I7" s="25"/>
      <c r="J7" s="25"/>
      <c r="K7" s="23"/>
      <c r="L7" s="19"/>
      <c r="M7" s="20" t="s">
        <v>81</v>
      </c>
      <c r="N7" s="21"/>
      <c r="O7" s="31"/>
      <c r="P7" s="23"/>
      <c r="Q7" s="27" t="s">
        <v>82</v>
      </c>
      <c r="R7" s="28" t="s">
        <v>70</v>
      </c>
      <c r="S7" s="23"/>
      <c r="T7" s="24" t="s">
        <v>83</v>
      </c>
      <c r="U7" s="29">
        <v>1</v>
      </c>
    </row>
    <row r="8" ht="27.95" customHeight="1" spans="1:21">
      <c r="A8" s="2"/>
      <c r="B8" s="33"/>
      <c r="C8" s="34" t="s">
        <v>84</v>
      </c>
      <c r="D8" s="35"/>
      <c r="E8" s="36">
        <v>13735526664</v>
      </c>
      <c r="F8" s="37"/>
      <c r="G8" s="38" t="s">
        <v>85</v>
      </c>
      <c r="H8" s="36" t="s">
        <v>86</v>
      </c>
      <c r="I8" s="39"/>
      <c r="J8" s="39"/>
      <c r="K8" s="37"/>
      <c r="L8" s="33"/>
      <c r="M8" s="40" t="s">
        <v>87</v>
      </c>
      <c r="N8" s="35"/>
      <c r="O8" s="41">
        <v>0.02</v>
      </c>
      <c r="P8" s="37"/>
      <c r="Q8" s="38" t="s">
        <v>88</v>
      </c>
      <c r="R8" s="42" t="s">
        <v>70</v>
      </c>
      <c r="S8" s="37"/>
      <c r="T8" s="43" t="s">
        <v>89</v>
      </c>
      <c r="U8" s="44">
        <v>300</v>
      </c>
    </row>
    <row r="9" ht="24.95" customHeight="1" spans="1:21">
      <c r="A9" s="2"/>
      <c r="B9" s="45" t="s">
        <v>90</v>
      </c>
      <c r="C9" s="46" t="s">
        <v>91</v>
      </c>
      <c r="D9" s="47" t="s">
        <v>92</v>
      </c>
      <c r="E9" s="48" t="s">
        <v>93</v>
      </c>
      <c r="F9" s="48" t="s">
        <v>94</v>
      </c>
      <c r="G9" s="48" t="s">
        <v>95</v>
      </c>
      <c r="H9" s="48" t="s">
        <v>96</v>
      </c>
      <c r="I9" s="48" t="s">
        <v>97</v>
      </c>
      <c r="J9" s="48" t="s">
        <v>98</v>
      </c>
      <c r="K9" s="49" t="s">
        <v>99</v>
      </c>
      <c r="L9" s="50" t="s">
        <v>100</v>
      </c>
      <c r="M9" s="46" t="s">
        <v>101</v>
      </c>
      <c r="N9" s="47" t="s">
        <v>92</v>
      </c>
      <c r="O9" s="48" t="s">
        <v>93</v>
      </c>
      <c r="P9" s="48" t="s">
        <v>94</v>
      </c>
      <c r="Q9" s="48" t="s">
        <v>95</v>
      </c>
      <c r="R9" s="48" t="s">
        <v>96</v>
      </c>
      <c r="S9" s="48" t="s">
        <v>97</v>
      </c>
      <c r="T9" s="48" t="s">
        <v>98</v>
      </c>
      <c r="U9" s="49" t="s">
        <v>102</v>
      </c>
    </row>
    <row r="10" ht="24.95" customHeight="1" spans="1:21">
      <c r="A10" s="2"/>
      <c r="B10" s="51"/>
      <c r="C10" s="52"/>
      <c r="D10" s="53">
        <v>1</v>
      </c>
      <c r="E10" s="54" t="s">
        <v>103</v>
      </c>
      <c r="F10" s="55" t="s">
        <v>199</v>
      </c>
      <c r="G10" s="56"/>
      <c r="H10" s="56">
        <v>0.0318</v>
      </c>
      <c r="I10" s="57">
        <v>0.01</v>
      </c>
      <c r="J10" s="56">
        <v>45</v>
      </c>
      <c r="K10" s="58">
        <f>IF(J10="","",J10*H10*(1+I10))</f>
        <v>1.44531</v>
      </c>
      <c r="L10" s="51"/>
      <c r="M10" s="52"/>
      <c r="N10" s="53">
        <v>1</v>
      </c>
      <c r="O10" s="59"/>
      <c r="P10" s="60"/>
      <c r="Q10" s="56"/>
      <c r="R10" s="56"/>
      <c r="S10" s="61"/>
      <c r="T10" s="56"/>
      <c r="U10" s="62" t="str">
        <f t="shared" ref="U10:U26" si="0">IF(T10="","",T10*R10*(1+S10))</f>
        <v/>
      </c>
    </row>
    <row r="11" ht="24.95" customHeight="1" spans="1:21">
      <c r="A11" s="2"/>
      <c r="B11" s="51"/>
      <c r="C11" s="52"/>
      <c r="D11" s="20">
        <v>2</v>
      </c>
      <c r="E11" s="63"/>
      <c r="F11" s="63"/>
      <c r="G11" s="64"/>
      <c r="H11" s="64"/>
      <c r="I11" s="65"/>
      <c r="J11" s="64"/>
      <c r="K11" s="66" t="str">
        <f>IF(J11="","",J11*H11*(1+I11))</f>
        <v/>
      </c>
      <c r="L11" s="51"/>
      <c r="M11" s="52"/>
      <c r="N11" s="20">
        <v>2</v>
      </c>
      <c r="O11" s="67"/>
      <c r="P11" s="63"/>
      <c r="Q11" s="64"/>
      <c r="R11" s="64"/>
      <c r="S11" s="68"/>
      <c r="T11" s="64"/>
      <c r="U11" s="69" t="str">
        <f t="shared" si="0"/>
        <v/>
      </c>
    </row>
    <row r="12" ht="24.95" customHeight="1" spans="1:21">
      <c r="A12" s="2"/>
      <c r="B12" s="51"/>
      <c r="C12" s="52"/>
      <c r="D12" s="20">
        <v>3</v>
      </c>
      <c r="E12" s="63"/>
      <c r="F12" s="63"/>
      <c r="G12" s="64"/>
      <c r="H12" s="64"/>
      <c r="I12" s="65"/>
      <c r="J12" s="64"/>
      <c r="K12" s="66" t="str">
        <f>IF(J12="","",J12*H12*(1+I12))</f>
        <v/>
      </c>
      <c r="L12" s="51"/>
      <c r="M12" s="52"/>
      <c r="N12" s="20">
        <v>3</v>
      </c>
      <c r="O12" s="67"/>
      <c r="P12" s="63"/>
      <c r="Q12" s="64"/>
      <c r="R12" s="64"/>
      <c r="S12" s="68"/>
      <c r="T12" s="64"/>
      <c r="U12" s="69" t="str">
        <f t="shared" si="0"/>
        <v/>
      </c>
    </row>
    <row r="13" ht="24.95" customHeight="1" spans="1:21">
      <c r="A13" s="2"/>
      <c r="B13" s="51"/>
      <c r="C13" s="52"/>
      <c r="D13" s="20">
        <v>4</v>
      </c>
      <c r="E13" s="63"/>
      <c r="F13" s="63"/>
      <c r="G13" s="64"/>
      <c r="I13" s="65"/>
      <c r="J13" s="31"/>
      <c r="K13" s="66" t="str">
        <f>IF(J13="","",J13*G13*(1+I13))</f>
        <v/>
      </c>
      <c r="L13" s="51"/>
      <c r="M13" s="52"/>
      <c r="N13" s="20">
        <v>4</v>
      </c>
      <c r="O13" s="67"/>
      <c r="P13" s="63"/>
      <c r="Q13" s="64"/>
      <c r="R13" s="64"/>
      <c r="S13" s="68"/>
      <c r="T13" s="64"/>
      <c r="U13" s="69" t="str">
        <f t="shared" si="0"/>
        <v/>
      </c>
    </row>
    <row r="14" ht="24.95" customHeight="1" spans="1:21">
      <c r="A14" s="2"/>
      <c r="B14" s="51"/>
      <c r="C14" s="52"/>
      <c r="D14" s="20">
        <v>5</v>
      </c>
      <c r="E14" s="63"/>
      <c r="F14" s="63"/>
      <c r="G14" s="64"/>
      <c r="H14" s="31"/>
      <c r="I14" s="64"/>
      <c r="J14" s="65"/>
      <c r="K14" s="66" t="str">
        <f t="shared" ref="K14:K26" si="1">IF(J14="","",J14*H14*(1+I14))</f>
        <v/>
      </c>
      <c r="L14" s="51"/>
      <c r="M14" s="52"/>
      <c r="N14" s="20">
        <v>5</v>
      </c>
      <c r="O14" s="67"/>
      <c r="P14" s="63"/>
      <c r="Q14" s="64"/>
      <c r="R14" s="64"/>
      <c r="S14" s="68"/>
      <c r="T14" s="64"/>
      <c r="U14" s="69" t="str">
        <f t="shared" si="0"/>
        <v/>
      </c>
    </row>
    <row r="15" ht="24.95" customHeight="1" spans="1:21">
      <c r="A15" s="2"/>
      <c r="B15" s="51"/>
      <c r="C15" s="52"/>
      <c r="D15" s="20">
        <v>6</v>
      </c>
      <c r="E15" s="63"/>
      <c r="F15" s="63"/>
      <c r="G15" s="64"/>
      <c r="H15" s="31"/>
      <c r="I15" s="64"/>
      <c r="J15" s="65"/>
      <c r="K15" s="66" t="str">
        <f t="shared" si="1"/>
        <v/>
      </c>
      <c r="L15" s="51"/>
      <c r="M15" s="52"/>
      <c r="N15" s="20">
        <v>6</v>
      </c>
      <c r="O15" s="67"/>
      <c r="P15" s="63"/>
      <c r="Q15" s="64"/>
      <c r="R15" s="64"/>
      <c r="S15" s="68"/>
      <c r="T15" s="64"/>
      <c r="U15" s="69" t="str">
        <f t="shared" si="0"/>
        <v/>
      </c>
    </row>
    <row r="16" ht="24.95" customHeight="1" spans="1:21">
      <c r="A16" s="2"/>
      <c r="B16" s="51"/>
      <c r="C16" s="52"/>
      <c r="D16" s="20">
        <v>7</v>
      </c>
      <c r="E16" s="63"/>
      <c r="F16" s="63"/>
      <c r="G16" s="64"/>
      <c r="H16" s="31"/>
      <c r="I16" s="64"/>
      <c r="J16" s="65"/>
      <c r="K16" s="66" t="str">
        <f t="shared" si="1"/>
        <v/>
      </c>
      <c r="L16" s="51"/>
      <c r="M16" s="52"/>
      <c r="N16" s="20">
        <v>7</v>
      </c>
      <c r="O16" s="67"/>
      <c r="P16" s="63"/>
      <c r="Q16" s="64"/>
      <c r="R16" s="64"/>
      <c r="S16" s="68"/>
      <c r="T16" s="64"/>
      <c r="U16" s="69" t="str">
        <f t="shared" si="0"/>
        <v/>
      </c>
    </row>
    <row r="17" ht="24.95" customHeight="1" spans="1:21">
      <c r="A17" s="2"/>
      <c r="B17" s="51"/>
      <c r="C17" s="52"/>
      <c r="D17" s="20">
        <v>8</v>
      </c>
      <c r="E17" s="63"/>
      <c r="F17" s="63"/>
      <c r="G17" s="64"/>
      <c r="H17" s="31"/>
      <c r="I17" s="64"/>
      <c r="J17" s="65"/>
      <c r="K17" s="66" t="str">
        <f t="shared" si="1"/>
        <v/>
      </c>
      <c r="L17" s="51"/>
      <c r="M17" s="52"/>
      <c r="N17" s="20">
        <v>8</v>
      </c>
      <c r="O17" s="67"/>
      <c r="P17" s="63"/>
      <c r="Q17" s="64"/>
      <c r="R17" s="64"/>
      <c r="S17" s="68"/>
      <c r="T17" s="64"/>
      <c r="U17" s="69" t="str">
        <f t="shared" si="0"/>
        <v/>
      </c>
    </row>
    <row r="18" ht="24.95" customHeight="1" spans="1:21">
      <c r="A18" s="2"/>
      <c r="B18" s="51"/>
      <c r="C18" s="52"/>
      <c r="D18" s="20">
        <v>9</v>
      </c>
      <c r="E18" s="63"/>
      <c r="F18" s="63"/>
      <c r="G18" s="64"/>
      <c r="H18" s="64"/>
      <c r="I18" s="64"/>
      <c r="J18" s="65"/>
      <c r="K18" s="66" t="str">
        <f t="shared" si="1"/>
        <v/>
      </c>
      <c r="L18" s="51"/>
      <c r="M18" s="52"/>
      <c r="N18" s="20">
        <v>9</v>
      </c>
      <c r="O18" s="67"/>
      <c r="P18" s="63"/>
      <c r="Q18" s="64"/>
      <c r="R18" s="64"/>
      <c r="S18" s="68"/>
      <c r="T18" s="64"/>
      <c r="U18" s="69" t="str">
        <f t="shared" si="0"/>
        <v/>
      </c>
    </row>
    <row r="19" ht="24.95" customHeight="1" spans="1:21">
      <c r="A19" s="2"/>
      <c r="B19" s="51"/>
      <c r="C19" s="52"/>
      <c r="D19" s="20">
        <v>10</v>
      </c>
      <c r="E19" s="63"/>
      <c r="F19" s="63"/>
      <c r="G19" s="64"/>
      <c r="H19" s="64"/>
      <c r="I19" s="64"/>
      <c r="J19" s="65"/>
      <c r="K19" s="66" t="str">
        <f t="shared" si="1"/>
        <v/>
      </c>
      <c r="L19" s="51"/>
      <c r="M19" s="52"/>
      <c r="N19" s="20">
        <v>10</v>
      </c>
      <c r="O19" s="67"/>
      <c r="P19" s="63"/>
      <c r="Q19" s="64"/>
      <c r="R19" s="64"/>
      <c r="S19" s="68"/>
      <c r="T19" s="64"/>
      <c r="U19" s="69" t="str">
        <f t="shared" si="0"/>
        <v/>
      </c>
    </row>
    <row r="20" ht="24.95" customHeight="1" spans="1:21">
      <c r="A20" s="2"/>
      <c r="B20" s="51"/>
      <c r="C20" s="52"/>
      <c r="D20" s="20">
        <v>11</v>
      </c>
      <c r="E20" s="63"/>
      <c r="F20" s="63"/>
      <c r="G20" s="64"/>
      <c r="H20" s="64"/>
      <c r="I20" s="64"/>
      <c r="J20" s="65"/>
      <c r="K20" s="66" t="str">
        <f t="shared" si="1"/>
        <v/>
      </c>
      <c r="L20" s="51"/>
      <c r="M20" s="52"/>
      <c r="N20" s="20">
        <v>11</v>
      </c>
      <c r="O20" s="67"/>
      <c r="P20" s="70"/>
      <c r="Q20" s="71"/>
      <c r="R20" s="64"/>
      <c r="S20" s="68"/>
      <c r="T20" s="64"/>
      <c r="U20" s="69" t="str">
        <f t="shared" si="0"/>
        <v/>
      </c>
    </row>
    <row r="21" ht="24.95" customHeight="1" spans="1:21">
      <c r="A21" s="2"/>
      <c r="B21" s="51"/>
      <c r="C21" s="52"/>
      <c r="D21" s="20">
        <v>12</v>
      </c>
      <c r="E21" s="72"/>
      <c r="F21" s="72"/>
      <c r="G21" s="22"/>
      <c r="H21" s="64"/>
      <c r="I21" s="64"/>
      <c r="J21" s="65"/>
      <c r="K21" s="66" t="str">
        <f t="shared" si="1"/>
        <v/>
      </c>
      <c r="L21" s="51"/>
      <c r="M21" s="52"/>
      <c r="N21" s="20">
        <v>12</v>
      </c>
      <c r="O21" s="67"/>
      <c r="P21" s="70"/>
      <c r="Q21" s="71"/>
      <c r="R21" s="64"/>
      <c r="S21" s="68"/>
      <c r="T21" s="64"/>
      <c r="U21" s="69" t="str">
        <f t="shared" si="0"/>
        <v/>
      </c>
    </row>
    <row r="22" ht="24.95" customHeight="1" spans="1:21">
      <c r="A22" s="2"/>
      <c r="B22" s="51"/>
      <c r="C22" s="52"/>
      <c r="D22" s="20">
        <v>13</v>
      </c>
      <c r="E22" s="72"/>
      <c r="F22" s="72"/>
      <c r="G22" s="22"/>
      <c r="H22" s="64"/>
      <c r="I22" s="64"/>
      <c r="J22" s="65"/>
      <c r="K22" s="66" t="str">
        <f t="shared" si="1"/>
        <v/>
      </c>
      <c r="L22" s="51"/>
      <c r="M22" s="52"/>
      <c r="N22" s="20">
        <v>13</v>
      </c>
      <c r="O22" s="67"/>
      <c r="P22" s="70"/>
      <c r="Q22" s="71"/>
      <c r="R22" s="64"/>
      <c r="S22" s="68"/>
      <c r="T22" s="64"/>
      <c r="U22" s="69" t="str">
        <f t="shared" si="0"/>
        <v/>
      </c>
    </row>
    <row r="23" ht="24.95" customHeight="1" spans="1:21">
      <c r="A23" s="2"/>
      <c r="B23" s="51"/>
      <c r="C23" s="52"/>
      <c r="D23" s="20">
        <v>14</v>
      </c>
      <c r="E23" s="72"/>
      <c r="F23" s="72"/>
      <c r="G23" s="22"/>
      <c r="H23" s="64"/>
      <c r="I23" s="64"/>
      <c r="J23" s="65"/>
      <c r="K23" s="66" t="str">
        <f t="shared" si="1"/>
        <v/>
      </c>
      <c r="L23" s="51"/>
      <c r="M23" s="52"/>
      <c r="N23" s="20">
        <v>14</v>
      </c>
      <c r="O23" s="67"/>
      <c r="P23" s="72"/>
      <c r="Q23" s="22"/>
      <c r="R23" s="64"/>
      <c r="S23" s="68"/>
      <c r="T23" s="64"/>
      <c r="U23" s="69" t="str">
        <f t="shared" si="0"/>
        <v/>
      </c>
    </row>
    <row r="24" ht="24.95" customHeight="1" spans="1:21">
      <c r="A24" s="2"/>
      <c r="B24" s="51"/>
      <c r="C24" s="52"/>
      <c r="D24" s="20">
        <v>15</v>
      </c>
      <c r="E24" s="72"/>
      <c r="F24" s="73"/>
      <c r="G24" s="74"/>
      <c r="H24" s="64"/>
      <c r="I24" s="64"/>
      <c r="J24" s="65"/>
      <c r="K24" s="66" t="str">
        <f t="shared" si="1"/>
        <v/>
      </c>
      <c r="L24" s="51"/>
      <c r="M24" s="52"/>
      <c r="N24" s="20">
        <v>15</v>
      </c>
      <c r="O24" s="67"/>
      <c r="P24" s="72"/>
      <c r="Q24" s="22"/>
      <c r="R24" s="64"/>
      <c r="S24" s="68"/>
      <c r="T24" s="64"/>
      <c r="U24" s="69" t="str">
        <f t="shared" si="0"/>
        <v/>
      </c>
    </row>
    <row r="25" ht="24.95" customHeight="1" spans="1:21">
      <c r="A25" s="2"/>
      <c r="B25" s="51"/>
      <c r="C25" s="52"/>
      <c r="D25" s="20">
        <v>16</v>
      </c>
      <c r="E25" s="72"/>
      <c r="F25" s="72"/>
      <c r="G25" s="22"/>
      <c r="H25" s="64"/>
      <c r="I25" s="64"/>
      <c r="J25" s="65"/>
      <c r="K25" s="66" t="str">
        <f t="shared" si="1"/>
        <v/>
      </c>
      <c r="L25" s="51"/>
      <c r="M25" s="52"/>
      <c r="N25" s="20">
        <v>16</v>
      </c>
      <c r="O25" s="67"/>
      <c r="P25" s="72"/>
      <c r="Q25" s="22"/>
      <c r="R25" s="64"/>
      <c r="S25" s="68"/>
      <c r="T25" s="64"/>
      <c r="U25" s="69" t="str">
        <f t="shared" si="0"/>
        <v/>
      </c>
    </row>
    <row r="26" ht="24.95" customHeight="1" spans="1:21">
      <c r="A26" s="2"/>
      <c r="B26" s="51"/>
      <c r="C26" s="52"/>
      <c r="D26" s="20">
        <v>17</v>
      </c>
      <c r="E26" s="72"/>
      <c r="F26" s="72"/>
      <c r="G26" s="22"/>
      <c r="H26" s="64"/>
      <c r="I26" s="64"/>
      <c r="J26" s="65"/>
      <c r="K26" s="66" t="str">
        <f t="shared" si="1"/>
        <v/>
      </c>
      <c r="L26" s="51"/>
      <c r="M26" s="52"/>
      <c r="N26" s="20">
        <v>17</v>
      </c>
      <c r="O26" s="67"/>
      <c r="P26" s="72"/>
      <c r="Q26" s="22"/>
      <c r="R26" s="64"/>
      <c r="S26" s="68"/>
      <c r="T26" s="64"/>
      <c r="U26" s="69" t="str">
        <f t="shared" si="0"/>
        <v/>
      </c>
    </row>
    <row r="27" ht="24.95" customHeight="1" spans="1:21">
      <c r="A27" s="2"/>
      <c r="B27" s="75"/>
      <c r="C27" s="76"/>
      <c r="D27" s="34"/>
      <c r="E27" s="77"/>
      <c r="F27" s="77"/>
      <c r="G27" s="77"/>
      <c r="H27" s="38" t="s">
        <v>105</v>
      </c>
      <c r="I27" s="35"/>
      <c r="J27" s="78"/>
      <c r="K27" s="79">
        <f>SUM(K10:K26)</f>
        <v>1.44531</v>
      </c>
      <c r="L27" s="75"/>
      <c r="M27" s="76"/>
      <c r="N27" s="34"/>
      <c r="O27" s="80"/>
      <c r="P27" s="38"/>
      <c r="Q27" s="38"/>
      <c r="R27" s="38"/>
      <c r="S27" s="38" t="s">
        <v>106</v>
      </c>
      <c r="T27" s="35"/>
      <c r="U27" s="79">
        <f>SUM(U10:U26)</f>
        <v>0</v>
      </c>
    </row>
    <row r="28" ht="24.95" customHeight="1" spans="1:21">
      <c r="A28" s="2"/>
      <c r="B28" s="45" t="s">
        <v>107</v>
      </c>
      <c r="C28" s="46" t="s">
        <v>108</v>
      </c>
      <c r="D28" s="81" t="s">
        <v>109</v>
      </c>
      <c r="E28" s="82"/>
      <c r="F28" s="82"/>
      <c r="G28" s="82"/>
      <c r="H28" s="82"/>
      <c r="I28" s="82"/>
      <c r="J28" s="82"/>
      <c r="K28" s="83"/>
      <c r="L28" s="50" t="s">
        <v>110</v>
      </c>
      <c r="M28" s="46" t="s">
        <v>111</v>
      </c>
      <c r="N28" s="81" t="s">
        <v>112</v>
      </c>
      <c r="O28" s="82"/>
      <c r="P28" s="82"/>
      <c r="Q28" s="82"/>
      <c r="R28" s="82"/>
      <c r="S28" s="82"/>
      <c r="T28" s="82"/>
      <c r="U28" s="83"/>
    </row>
    <row r="29" ht="24.95" customHeight="1" spans="1:21">
      <c r="A29" s="2"/>
      <c r="B29" s="51"/>
      <c r="C29" s="52"/>
      <c r="D29" s="84" t="s">
        <v>92</v>
      </c>
      <c r="E29" s="85" t="s">
        <v>113</v>
      </c>
      <c r="F29" s="86" t="s">
        <v>114</v>
      </c>
      <c r="G29" s="85" t="s">
        <v>115</v>
      </c>
      <c r="H29" s="86" t="s">
        <v>116</v>
      </c>
      <c r="I29" s="86" t="s">
        <v>117</v>
      </c>
      <c r="J29" s="86" t="s">
        <v>118</v>
      </c>
      <c r="K29" s="87" t="s">
        <v>119</v>
      </c>
      <c r="L29" s="51"/>
      <c r="M29" s="52"/>
      <c r="N29" s="88" t="s">
        <v>120</v>
      </c>
      <c r="O29" s="85" t="s">
        <v>121</v>
      </c>
      <c r="P29" s="86" t="s">
        <v>122</v>
      </c>
      <c r="Q29" s="85" t="s">
        <v>123</v>
      </c>
      <c r="R29" s="86" t="s">
        <v>124</v>
      </c>
      <c r="S29" s="86" t="s">
        <v>125</v>
      </c>
      <c r="T29" s="86" t="s">
        <v>118</v>
      </c>
      <c r="U29" s="87" t="s">
        <v>126</v>
      </c>
    </row>
    <row r="30" ht="24.95" customHeight="1" spans="1:21">
      <c r="A30" s="2"/>
      <c r="B30" s="51"/>
      <c r="C30" s="52"/>
      <c r="D30" s="53">
        <v>1</v>
      </c>
      <c r="E30" s="89" t="s">
        <v>200</v>
      </c>
      <c r="F30" s="90">
        <v>14</v>
      </c>
      <c r="G30" s="90">
        <v>2</v>
      </c>
      <c r="H30" s="90">
        <v>50</v>
      </c>
      <c r="I30" s="90">
        <f>23*2</f>
        <v>46</v>
      </c>
      <c r="J30" s="91">
        <f>22.9566*2</f>
        <v>45.9132</v>
      </c>
      <c r="K30" s="92">
        <f t="shared" ref="K30:K39" si="2">IF(E30="","",IF(J30="",F30/I30,F30/J30))</f>
        <v>0.304923202913323</v>
      </c>
      <c r="L30" s="51"/>
      <c r="M30" s="52"/>
      <c r="N30" s="53">
        <v>1</v>
      </c>
      <c r="O30" s="93" t="s">
        <v>128</v>
      </c>
      <c r="P30" s="90">
        <v>0</v>
      </c>
      <c r="Q30" s="94"/>
      <c r="R30" s="95">
        <f>O6</f>
        <v>61.2178</v>
      </c>
      <c r="S30" s="90">
        <v>23</v>
      </c>
      <c r="T30" s="94"/>
      <c r="U30" s="62">
        <f t="shared" ref="U30:U39" si="3">IF(O30="","",IF(T30="",P30/S30,P30/T30))</f>
        <v>0</v>
      </c>
    </row>
    <row r="31" ht="24.95" customHeight="1" spans="1:21">
      <c r="A31" s="2"/>
      <c r="B31" s="51"/>
      <c r="C31" s="52"/>
      <c r="D31" s="20">
        <v>2</v>
      </c>
      <c r="E31" s="22"/>
      <c r="F31" s="22"/>
      <c r="G31" s="22"/>
      <c r="H31" s="22"/>
      <c r="I31" s="22"/>
      <c r="J31" s="96"/>
      <c r="K31" s="97" t="str">
        <f t="shared" si="2"/>
        <v/>
      </c>
      <c r="L31" s="51"/>
      <c r="M31" s="52"/>
      <c r="N31" s="20">
        <v>2</v>
      </c>
      <c r="O31" s="98"/>
      <c r="P31" s="22"/>
      <c r="Q31" s="22"/>
      <c r="R31" s="99" t="str">
        <f t="shared" ref="R31:R39" si="4">IF(O31="","",R30)</f>
        <v/>
      </c>
      <c r="S31" s="22"/>
      <c r="T31" s="22"/>
      <c r="U31" s="69" t="str">
        <f t="shared" si="3"/>
        <v/>
      </c>
    </row>
    <row r="32" ht="24.95" customHeight="1" spans="1:21">
      <c r="A32" s="2"/>
      <c r="B32" s="51"/>
      <c r="C32" s="52"/>
      <c r="D32" s="20">
        <v>3</v>
      </c>
      <c r="E32" s="22"/>
      <c r="F32" s="22"/>
      <c r="G32" s="22"/>
      <c r="H32" s="22"/>
      <c r="I32" s="22"/>
      <c r="J32" s="96"/>
      <c r="K32" s="97" t="str">
        <f t="shared" si="2"/>
        <v/>
      </c>
      <c r="L32" s="51"/>
      <c r="M32" s="52"/>
      <c r="N32" s="20">
        <v>3</v>
      </c>
      <c r="O32" s="98"/>
      <c r="P32" s="22"/>
      <c r="Q32" s="22"/>
      <c r="R32" s="99" t="str">
        <f t="shared" si="4"/>
        <v/>
      </c>
      <c r="S32" s="22"/>
      <c r="T32" s="22"/>
      <c r="U32" s="69" t="str">
        <f t="shared" si="3"/>
        <v/>
      </c>
    </row>
    <row r="33" ht="24.95" customHeight="1" spans="1:21">
      <c r="A33" s="2"/>
      <c r="B33" s="51"/>
      <c r="C33" s="52"/>
      <c r="D33" s="20">
        <v>5</v>
      </c>
      <c r="E33" s="22"/>
      <c r="F33" s="22"/>
      <c r="G33" s="22"/>
      <c r="H33" s="22"/>
      <c r="I33" s="22"/>
      <c r="J33" s="96"/>
      <c r="K33" s="97" t="str">
        <f t="shared" si="2"/>
        <v/>
      </c>
      <c r="L33" s="51"/>
      <c r="M33" s="52"/>
      <c r="N33" s="20">
        <v>4</v>
      </c>
      <c r="O33" s="98"/>
      <c r="P33" s="22"/>
      <c r="Q33" s="22"/>
      <c r="R33" s="99" t="str">
        <f t="shared" si="4"/>
        <v/>
      </c>
      <c r="S33" s="22"/>
      <c r="T33" s="22"/>
      <c r="U33" s="69" t="str">
        <f t="shared" si="3"/>
        <v/>
      </c>
    </row>
    <row r="34" ht="24.95" customHeight="1" spans="1:21">
      <c r="A34" s="2"/>
      <c r="B34" s="51"/>
      <c r="C34" s="52"/>
      <c r="D34" s="20">
        <v>6</v>
      </c>
      <c r="E34" s="22"/>
      <c r="F34" s="22"/>
      <c r="G34" s="22"/>
      <c r="H34" s="22"/>
      <c r="I34" s="22"/>
      <c r="J34" s="96"/>
      <c r="K34" s="97" t="str">
        <f t="shared" si="2"/>
        <v/>
      </c>
      <c r="L34" s="51"/>
      <c r="M34" s="52"/>
      <c r="N34" s="20">
        <v>5</v>
      </c>
      <c r="O34" s="98"/>
      <c r="P34" s="22"/>
      <c r="Q34" s="22"/>
      <c r="R34" s="99" t="str">
        <f t="shared" si="4"/>
        <v/>
      </c>
      <c r="S34" s="22"/>
      <c r="T34" s="22"/>
      <c r="U34" s="69" t="str">
        <f t="shared" si="3"/>
        <v/>
      </c>
    </row>
    <row r="35" ht="24.95" customHeight="1" spans="1:21">
      <c r="A35" s="2"/>
      <c r="B35" s="51"/>
      <c r="C35" s="52"/>
      <c r="D35" s="20">
        <v>7</v>
      </c>
      <c r="E35" s="22"/>
      <c r="F35" s="22"/>
      <c r="G35" s="22"/>
      <c r="H35" s="22"/>
      <c r="I35" s="22"/>
      <c r="J35" s="96"/>
      <c r="K35" s="97" t="str">
        <f t="shared" si="2"/>
        <v/>
      </c>
      <c r="L35" s="51"/>
      <c r="M35" s="52"/>
      <c r="N35" s="20">
        <v>6</v>
      </c>
      <c r="O35" s="98"/>
      <c r="P35" s="22"/>
      <c r="Q35" s="22"/>
      <c r="R35" s="99" t="str">
        <f t="shared" si="4"/>
        <v/>
      </c>
      <c r="S35" s="22"/>
      <c r="T35" s="22"/>
      <c r="U35" s="69" t="str">
        <f t="shared" si="3"/>
        <v/>
      </c>
    </row>
    <row r="36" ht="24.95" customHeight="1" spans="1:21">
      <c r="A36" s="2"/>
      <c r="B36" s="51"/>
      <c r="C36" s="52"/>
      <c r="D36" s="20">
        <v>8</v>
      </c>
      <c r="E36" s="22"/>
      <c r="F36" s="22"/>
      <c r="G36" s="22"/>
      <c r="H36" s="22"/>
      <c r="I36" s="22"/>
      <c r="J36" s="96"/>
      <c r="K36" s="97" t="str">
        <f t="shared" si="2"/>
        <v/>
      </c>
      <c r="L36" s="51"/>
      <c r="M36" s="52"/>
      <c r="N36" s="20">
        <v>7</v>
      </c>
      <c r="O36" s="98"/>
      <c r="P36" s="22"/>
      <c r="Q36" s="22"/>
      <c r="R36" s="99" t="str">
        <f t="shared" si="4"/>
        <v/>
      </c>
      <c r="S36" s="22"/>
      <c r="T36" s="22"/>
      <c r="U36" s="69" t="str">
        <f t="shared" si="3"/>
        <v/>
      </c>
    </row>
    <row r="37" ht="24.95" customHeight="1" spans="1:21">
      <c r="A37" s="2"/>
      <c r="B37" s="51"/>
      <c r="C37" s="52"/>
      <c r="D37" s="20">
        <v>9</v>
      </c>
      <c r="E37" s="22"/>
      <c r="F37" s="22"/>
      <c r="G37" s="22"/>
      <c r="H37" s="22"/>
      <c r="I37" s="22"/>
      <c r="J37" s="96"/>
      <c r="K37" s="97" t="str">
        <f t="shared" si="2"/>
        <v/>
      </c>
      <c r="L37" s="51"/>
      <c r="M37" s="52"/>
      <c r="N37" s="20">
        <v>8</v>
      </c>
      <c r="O37" s="98"/>
      <c r="P37" s="22"/>
      <c r="Q37" s="22"/>
      <c r="R37" s="99" t="str">
        <f t="shared" si="4"/>
        <v/>
      </c>
      <c r="S37" s="22"/>
      <c r="T37" s="22"/>
      <c r="U37" s="69" t="str">
        <f t="shared" si="3"/>
        <v/>
      </c>
    </row>
    <row r="38" ht="24.95" customHeight="1" spans="1:21">
      <c r="A38" s="2"/>
      <c r="B38" s="51"/>
      <c r="C38" s="52"/>
      <c r="D38" s="20">
        <v>10</v>
      </c>
      <c r="E38" s="22"/>
      <c r="F38" s="22"/>
      <c r="G38" s="22"/>
      <c r="H38" s="22"/>
      <c r="I38" s="22"/>
      <c r="J38" s="96"/>
      <c r="K38" s="97" t="str">
        <f t="shared" si="2"/>
        <v/>
      </c>
      <c r="L38" s="51"/>
      <c r="M38" s="52"/>
      <c r="N38" s="20">
        <v>9</v>
      </c>
      <c r="O38" s="98"/>
      <c r="P38" s="22"/>
      <c r="Q38" s="22"/>
      <c r="R38" s="99" t="str">
        <f t="shared" si="4"/>
        <v/>
      </c>
      <c r="S38" s="22"/>
      <c r="T38" s="22"/>
      <c r="U38" s="69" t="str">
        <f t="shared" si="3"/>
        <v/>
      </c>
    </row>
    <row r="39" ht="24.95" customHeight="1" spans="1:21">
      <c r="A39" s="2"/>
      <c r="B39" s="51"/>
      <c r="C39" s="52"/>
      <c r="D39" s="20">
        <v>11</v>
      </c>
      <c r="E39" s="22"/>
      <c r="F39" s="22"/>
      <c r="G39" s="22"/>
      <c r="H39" s="22"/>
      <c r="I39" s="22"/>
      <c r="J39" s="96"/>
      <c r="K39" s="97" t="str">
        <f t="shared" si="2"/>
        <v/>
      </c>
      <c r="L39" s="51"/>
      <c r="M39" s="52"/>
      <c r="N39" s="20">
        <v>10</v>
      </c>
      <c r="O39" s="98"/>
      <c r="P39" s="22"/>
      <c r="Q39" s="22"/>
      <c r="R39" s="99" t="str">
        <f t="shared" si="4"/>
        <v/>
      </c>
      <c r="S39" s="22"/>
      <c r="T39" s="22"/>
      <c r="U39" s="69" t="str">
        <f t="shared" si="3"/>
        <v/>
      </c>
    </row>
    <row r="40" ht="24.95" customHeight="1" spans="1:21">
      <c r="A40" s="2"/>
      <c r="B40" s="75"/>
      <c r="C40" s="76"/>
      <c r="D40" s="34"/>
      <c r="E40" s="38" t="s">
        <v>129</v>
      </c>
      <c r="F40" s="77">
        <f>SUM(F30:F39)</f>
        <v>14</v>
      </c>
      <c r="G40" s="77"/>
      <c r="H40" s="38" t="s">
        <v>130</v>
      </c>
      <c r="I40" s="35"/>
      <c r="J40" s="100"/>
      <c r="K40" s="101">
        <f>SUM(K30:K39)</f>
        <v>0.304923202913323</v>
      </c>
      <c r="L40" s="75"/>
      <c r="M40" s="76"/>
      <c r="N40" s="102"/>
      <c r="O40" s="38" t="s">
        <v>131</v>
      </c>
      <c r="P40" s="77">
        <f>SUM(P30:P39)</f>
        <v>0</v>
      </c>
      <c r="Q40" s="103"/>
      <c r="R40" s="77"/>
      <c r="S40" s="77"/>
      <c r="T40" s="77"/>
      <c r="U40" s="79">
        <f>SUM(U30:U39)</f>
        <v>0</v>
      </c>
    </row>
    <row r="41" ht="33.95" customHeight="1" spans="1:21">
      <c r="A41" s="2"/>
      <c r="B41" s="104" t="s">
        <v>132</v>
      </c>
      <c r="C41" s="46" t="s">
        <v>133</v>
      </c>
      <c r="D41" s="105" t="s">
        <v>134</v>
      </c>
      <c r="E41" s="106" t="s">
        <v>135</v>
      </c>
      <c r="F41" s="107" t="s">
        <v>136</v>
      </c>
      <c r="G41" s="107" t="s">
        <v>137</v>
      </c>
      <c r="H41" s="107" t="s">
        <v>138</v>
      </c>
      <c r="I41" s="106" t="s">
        <v>139</v>
      </c>
      <c r="J41" s="107" t="s">
        <v>140</v>
      </c>
      <c r="K41" s="106" t="s">
        <v>141</v>
      </c>
      <c r="L41" s="108" t="s">
        <v>142</v>
      </c>
      <c r="M41" s="109"/>
      <c r="N41" s="106" t="s">
        <v>143</v>
      </c>
      <c r="O41" s="109"/>
      <c r="P41" s="107" t="s">
        <v>144</v>
      </c>
      <c r="Q41" s="110" t="s">
        <v>145</v>
      </c>
      <c r="R41" s="106" t="s">
        <v>146</v>
      </c>
      <c r="S41" s="107" t="s">
        <v>147</v>
      </c>
      <c r="T41" s="107" t="s">
        <v>148</v>
      </c>
      <c r="U41" s="111" t="s">
        <v>149</v>
      </c>
    </row>
    <row r="42" ht="24.95" customHeight="1" spans="1:21">
      <c r="A42" s="2"/>
      <c r="B42" s="51"/>
      <c r="C42" s="52"/>
      <c r="D42" s="53">
        <v>1</v>
      </c>
      <c r="E42" s="90" t="s">
        <v>201</v>
      </c>
      <c r="F42" s="90">
        <v>22.5</v>
      </c>
      <c r="G42" s="112">
        <f>IF(E42="","",12/H42*L42)</f>
        <v>1440</v>
      </c>
      <c r="H42" s="113">
        <f>IF(E42="","",F42/3600)</f>
        <v>0.00625</v>
      </c>
      <c r="I42" s="90">
        <v>1.5</v>
      </c>
      <c r="J42" s="114">
        <v>24</v>
      </c>
      <c r="K42" s="115">
        <f>IF(E42="","",H42*I42/L42)</f>
        <v>0.0125</v>
      </c>
      <c r="L42" s="116">
        <v>0.75</v>
      </c>
      <c r="M42" s="117"/>
      <c r="N42" s="118">
        <f>IF(F42="","",IF(E42="","",J42*K42))</f>
        <v>0.3</v>
      </c>
      <c r="O42" s="119"/>
      <c r="P42" s="90">
        <v>12</v>
      </c>
      <c r="Q42" s="95" t="str">
        <f>IF(E42="","","10年2班折90%")</f>
        <v>10年2班折90%</v>
      </c>
      <c r="R42" s="115">
        <f>IF(E42="","",P42*0.9/10/$U$8/22*H42*10000/L42)</f>
        <v>0.0136363636363636</v>
      </c>
      <c r="S42" s="120">
        <v>22</v>
      </c>
      <c r="T42" s="57">
        <v>0.45</v>
      </c>
      <c r="U42" s="62">
        <f>IF(S42="","",S42*T42*$U$7*H42/((L42+(1-L42)/1.4)))</f>
        <v>0.0666346153846154</v>
      </c>
    </row>
    <row r="43" ht="24.95" customHeight="1" spans="1:21">
      <c r="A43" s="2"/>
      <c r="B43" s="51"/>
      <c r="C43" s="52"/>
      <c r="D43" s="20">
        <v>2</v>
      </c>
      <c r="E43" s="22"/>
      <c r="F43" s="90"/>
      <c r="G43" s="112" t="str">
        <f t="shared" ref="G42:G57" si="5">IF(E43="","",12/H43*L43)</f>
        <v/>
      </c>
      <c r="H43" s="113" t="str">
        <f t="shared" ref="H42:H57" si="6">IF(E43="","",F43/3600)</f>
        <v/>
      </c>
      <c r="I43" s="22"/>
      <c r="J43" s="121"/>
      <c r="K43" s="115" t="str">
        <f t="shared" ref="K42:K57" si="7">IF(E43="","",H43*I43/L43)</f>
        <v/>
      </c>
      <c r="L43" s="68"/>
      <c r="M43" s="23"/>
      <c r="N43" s="118" t="str">
        <f t="shared" ref="N42:N57" si="8">IF(F43="","",IF(E43="","",J43*K43))</f>
        <v/>
      </c>
      <c r="O43" s="119"/>
      <c r="P43" s="22"/>
      <c r="Q43" s="99" t="str">
        <f t="shared" ref="Q42:Q57" si="9">IF(E43="","","10年2班折90%")</f>
        <v/>
      </c>
      <c r="R43" s="115" t="str">
        <f t="shared" ref="R42:R57" si="10">IF(E43="","",P43*0.9/10/$U$8/22*H43*10000/L43)</f>
        <v/>
      </c>
      <c r="S43" s="122"/>
      <c r="T43" s="65"/>
      <c r="U43" s="62" t="str">
        <f t="shared" ref="U42:U57" si="11">IF(S43="","",S43*T43*$U$7*H43/((L43+(1-L43)/1.4)))</f>
        <v/>
      </c>
    </row>
    <row r="44" ht="24.95" customHeight="1" spans="1:21">
      <c r="A44" s="2"/>
      <c r="B44" s="51"/>
      <c r="C44" s="52"/>
      <c r="D44" s="20">
        <v>3</v>
      </c>
      <c r="E44" s="22"/>
      <c r="F44" s="22"/>
      <c r="G44" s="112" t="str">
        <f t="shared" si="5"/>
        <v/>
      </c>
      <c r="H44" s="113" t="str">
        <f t="shared" si="6"/>
        <v/>
      </c>
      <c r="I44" s="22"/>
      <c r="J44" s="121"/>
      <c r="K44" s="115" t="str">
        <f t="shared" si="7"/>
        <v/>
      </c>
      <c r="L44" s="68"/>
      <c r="M44" s="23"/>
      <c r="N44" s="118" t="str">
        <f t="shared" si="8"/>
        <v/>
      </c>
      <c r="O44" s="119"/>
      <c r="P44" s="22"/>
      <c r="Q44" s="99" t="str">
        <f t="shared" si="9"/>
        <v/>
      </c>
      <c r="R44" s="115" t="str">
        <f t="shared" si="10"/>
        <v/>
      </c>
      <c r="S44" s="122"/>
      <c r="T44" s="65"/>
      <c r="U44" s="62" t="str">
        <f t="shared" si="11"/>
        <v/>
      </c>
    </row>
    <row r="45" ht="24.95" customHeight="1" spans="1:21">
      <c r="A45" s="2"/>
      <c r="B45" s="51"/>
      <c r="C45" s="52"/>
      <c r="D45" s="20">
        <v>4</v>
      </c>
      <c r="E45" s="22"/>
      <c r="F45" s="22"/>
      <c r="G45" s="112" t="str">
        <f t="shared" si="5"/>
        <v/>
      </c>
      <c r="H45" s="113" t="str">
        <f t="shared" si="6"/>
        <v/>
      </c>
      <c r="I45" s="22"/>
      <c r="J45" s="121"/>
      <c r="K45" s="115" t="str">
        <f t="shared" si="7"/>
        <v/>
      </c>
      <c r="L45" s="68"/>
      <c r="M45" s="23"/>
      <c r="N45" s="118" t="str">
        <f t="shared" si="8"/>
        <v/>
      </c>
      <c r="O45" s="119"/>
      <c r="P45" s="22"/>
      <c r="Q45" s="99" t="str">
        <f t="shared" si="9"/>
        <v/>
      </c>
      <c r="R45" s="115" t="str">
        <f t="shared" si="10"/>
        <v/>
      </c>
      <c r="S45" s="122"/>
      <c r="T45" s="65"/>
      <c r="U45" s="62" t="str">
        <f t="shared" si="11"/>
        <v/>
      </c>
    </row>
    <row r="46" ht="24.95" customHeight="1" spans="1:21">
      <c r="A46" s="2"/>
      <c r="B46" s="51"/>
      <c r="C46" s="52"/>
      <c r="D46" s="20">
        <v>5</v>
      </c>
      <c r="E46" s="22"/>
      <c r="F46" s="22"/>
      <c r="G46" s="112" t="str">
        <f t="shared" si="5"/>
        <v/>
      </c>
      <c r="H46" s="113" t="str">
        <f t="shared" si="6"/>
        <v/>
      </c>
      <c r="I46" s="22"/>
      <c r="J46" s="121"/>
      <c r="K46" s="115" t="str">
        <f t="shared" si="7"/>
        <v/>
      </c>
      <c r="L46" s="68"/>
      <c r="M46" s="23"/>
      <c r="N46" s="118" t="str">
        <f t="shared" si="8"/>
        <v/>
      </c>
      <c r="O46" s="119"/>
      <c r="P46" s="22"/>
      <c r="Q46" s="99" t="str">
        <f t="shared" si="9"/>
        <v/>
      </c>
      <c r="R46" s="115" t="str">
        <f t="shared" si="10"/>
        <v/>
      </c>
      <c r="S46" s="122"/>
      <c r="T46" s="65"/>
      <c r="U46" s="62" t="str">
        <f t="shared" si="11"/>
        <v/>
      </c>
    </row>
    <row r="47" ht="24.95" customHeight="1" spans="1:21">
      <c r="A47" s="2"/>
      <c r="B47" s="51"/>
      <c r="C47" s="52"/>
      <c r="D47" s="20">
        <v>6</v>
      </c>
      <c r="E47" s="22"/>
      <c r="F47" s="22"/>
      <c r="G47" s="112" t="str">
        <f t="shared" si="5"/>
        <v/>
      </c>
      <c r="H47" s="113" t="str">
        <f t="shared" si="6"/>
        <v/>
      </c>
      <c r="I47" s="22"/>
      <c r="J47" s="121"/>
      <c r="K47" s="115" t="str">
        <f t="shared" si="7"/>
        <v/>
      </c>
      <c r="L47" s="68"/>
      <c r="M47" s="23"/>
      <c r="N47" s="118" t="str">
        <f t="shared" si="8"/>
        <v/>
      </c>
      <c r="O47" s="119"/>
      <c r="P47" s="22"/>
      <c r="Q47" s="99" t="str">
        <f t="shared" si="9"/>
        <v/>
      </c>
      <c r="R47" s="115" t="str">
        <f t="shared" si="10"/>
        <v/>
      </c>
      <c r="S47" s="122"/>
      <c r="T47" s="65"/>
      <c r="U47" s="62" t="str">
        <f t="shared" si="11"/>
        <v/>
      </c>
    </row>
    <row r="48" ht="24.95" customHeight="1" spans="1:21">
      <c r="A48" s="2"/>
      <c r="B48" s="51"/>
      <c r="C48" s="52"/>
      <c r="D48" s="20">
        <v>7</v>
      </c>
      <c r="E48" s="22"/>
      <c r="F48" s="22"/>
      <c r="G48" s="112" t="str">
        <f t="shared" si="5"/>
        <v/>
      </c>
      <c r="H48" s="113" t="str">
        <f t="shared" si="6"/>
        <v/>
      </c>
      <c r="I48" s="22"/>
      <c r="J48" s="121"/>
      <c r="K48" s="115" t="str">
        <f t="shared" si="7"/>
        <v/>
      </c>
      <c r="L48" s="68"/>
      <c r="M48" s="23"/>
      <c r="N48" s="118" t="str">
        <f t="shared" si="8"/>
        <v/>
      </c>
      <c r="O48" s="119"/>
      <c r="P48" s="22"/>
      <c r="Q48" s="99" t="str">
        <f t="shared" si="9"/>
        <v/>
      </c>
      <c r="R48" s="115" t="str">
        <f t="shared" si="10"/>
        <v/>
      </c>
      <c r="S48" s="122"/>
      <c r="T48" s="65"/>
      <c r="U48" s="62" t="str">
        <f t="shared" si="11"/>
        <v/>
      </c>
    </row>
    <row r="49" ht="24.95" customHeight="1" spans="1:21">
      <c r="A49" s="2"/>
      <c r="B49" s="51"/>
      <c r="C49" s="52"/>
      <c r="D49" s="20">
        <v>8</v>
      </c>
      <c r="E49" s="22"/>
      <c r="F49" s="22"/>
      <c r="G49" s="112" t="str">
        <f t="shared" si="5"/>
        <v/>
      </c>
      <c r="H49" s="113" t="str">
        <f t="shared" si="6"/>
        <v/>
      </c>
      <c r="I49" s="22"/>
      <c r="J49" s="121"/>
      <c r="K49" s="115" t="str">
        <f t="shared" si="7"/>
        <v/>
      </c>
      <c r="L49" s="68"/>
      <c r="M49" s="23"/>
      <c r="N49" s="118" t="str">
        <f t="shared" si="8"/>
        <v/>
      </c>
      <c r="O49" s="119"/>
      <c r="P49" s="22"/>
      <c r="Q49" s="99" t="str">
        <f t="shared" si="9"/>
        <v/>
      </c>
      <c r="R49" s="115" t="str">
        <f t="shared" si="10"/>
        <v/>
      </c>
      <c r="S49" s="122"/>
      <c r="T49" s="65"/>
      <c r="U49" s="62" t="str">
        <f t="shared" si="11"/>
        <v/>
      </c>
    </row>
    <row r="50" ht="24.95" customHeight="1" spans="1:21">
      <c r="A50" s="2"/>
      <c r="B50" s="51"/>
      <c r="C50" s="52"/>
      <c r="D50" s="20">
        <v>9</v>
      </c>
      <c r="E50" s="22"/>
      <c r="F50" s="22"/>
      <c r="G50" s="112" t="str">
        <f t="shared" si="5"/>
        <v/>
      </c>
      <c r="H50" s="113" t="str">
        <f t="shared" si="6"/>
        <v/>
      </c>
      <c r="I50" s="22"/>
      <c r="J50" s="121"/>
      <c r="K50" s="115" t="str">
        <f t="shared" si="7"/>
        <v/>
      </c>
      <c r="L50" s="68"/>
      <c r="M50" s="23"/>
      <c r="N50" s="118" t="str">
        <f t="shared" si="8"/>
        <v/>
      </c>
      <c r="O50" s="119"/>
      <c r="P50" s="22"/>
      <c r="Q50" s="99" t="str">
        <f t="shared" si="9"/>
        <v/>
      </c>
      <c r="R50" s="115" t="str">
        <f t="shared" si="10"/>
        <v/>
      </c>
      <c r="S50" s="122"/>
      <c r="T50" s="65"/>
      <c r="U50" s="62" t="str">
        <f t="shared" si="11"/>
        <v/>
      </c>
    </row>
    <row r="51" ht="24.95" customHeight="1" spans="1:21">
      <c r="A51" s="2"/>
      <c r="B51" s="51"/>
      <c r="C51" s="52"/>
      <c r="D51" s="20">
        <v>10</v>
      </c>
      <c r="E51" s="22"/>
      <c r="F51" s="22"/>
      <c r="G51" s="112" t="str">
        <f t="shared" si="5"/>
        <v/>
      </c>
      <c r="H51" s="113" t="str">
        <f t="shared" si="6"/>
        <v/>
      </c>
      <c r="I51" s="22"/>
      <c r="J51" s="121"/>
      <c r="K51" s="115" t="str">
        <f t="shared" si="7"/>
        <v/>
      </c>
      <c r="L51" s="68"/>
      <c r="M51" s="23"/>
      <c r="N51" s="118" t="str">
        <f t="shared" si="8"/>
        <v/>
      </c>
      <c r="O51" s="119"/>
      <c r="P51" s="22"/>
      <c r="Q51" s="99" t="str">
        <f t="shared" si="9"/>
        <v/>
      </c>
      <c r="R51" s="115" t="str">
        <f t="shared" si="10"/>
        <v/>
      </c>
      <c r="S51" s="122"/>
      <c r="T51" s="65"/>
      <c r="U51" s="62" t="str">
        <f t="shared" si="11"/>
        <v/>
      </c>
    </row>
    <row r="52" ht="24.95" customHeight="1" spans="1:21">
      <c r="A52" s="2"/>
      <c r="B52" s="51"/>
      <c r="C52" s="52"/>
      <c r="D52" s="20">
        <v>11</v>
      </c>
      <c r="E52" s="22"/>
      <c r="F52" s="22"/>
      <c r="G52" s="112" t="str">
        <f t="shared" si="5"/>
        <v/>
      </c>
      <c r="H52" s="113" t="str">
        <f t="shared" si="6"/>
        <v/>
      </c>
      <c r="I52" s="22"/>
      <c r="J52" s="121"/>
      <c r="K52" s="115" t="str">
        <f t="shared" si="7"/>
        <v/>
      </c>
      <c r="L52" s="68"/>
      <c r="M52" s="23"/>
      <c r="N52" s="118" t="str">
        <f t="shared" si="8"/>
        <v/>
      </c>
      <c r="O52" s="119"/>
      <c r="P52" s="22"/>
      <c r="Q52" s="99" t="str">
        <f t="shared" si="9"/>
        <v/>
      </c>
      <c r="R52" s="115" t="str">
        <f t="shared" si="10"/>
        <v/>
      </c>
      <c r="S52" s="122"/>
      <c r="T52" s="65"/>
      <c r="U52" s="62" t="str">
        <f t="shared" si="11"/>
        <v/>
      </c>
    </row>
    <row r="53" ht="24.95" customHeight="1" spans="1:21">
      <c r="A53" s="2"/>
      <c r="B53" s="51"/>
      <c r="C53" s="52"/>
      <c r="D53" s="20">
        <v>12</v>
      </c>
      <c r="E53" s="22"/>
      <c r="F53" s="22"/>
      <c r="G53" s="112" t="str">
        <f t="shared" si="5"/>
        <v/>
      </c>
      <c r="H53" s="113" t="str">
        <f t="shared" si="6"/>
        <v/>
      </c>
      <c r="I53" s="22"/>
      <c r="J53" s="121"/>
      <c r="K53" s="115" t="str">
        <f t="shared" si="7"/>
        <v/>
      </c>
      <c r="L53" s="68"/>
      <c r="M53" s="23"/>
      <c r="N53" s="118" t="str">
        <f t="shared" si="8"/>
        <v/>
      </c>
      <c r="O53" s="119"/>
      <c r="P53" s="22"/>
      <c r="Q53" s="99" t="str">
        <f t="shared" si="9"/>
        <v/>
      </c>
      <c r="R53" s="115" t="str">
        <f t="shared" si="10"/>
        <v/>
      </c>
      <c r="S53" s="122"/>
      <c r="T53" s="65"/>
      <c r="U53" s="62" t="str">
        <f t="shared" si="11"/>
        <v/>
      </c>
    </row>
    <row r="54" ht="24.95" customHeight="1" spans="1:21">
      <c r="A54" s="2"/>
      <c r="B54" s="51"/>
      <c r="C54" s="52"/>
      <c r="D54" s="20">
        <v>13</v>
      </c>
      <c r="E54" s="22"/>
      <c r="F54" s="22"/>
      <c r="G54" s="112" t="str">
        <f t="shared" si="5"/>
        <v/>
      </c>
      <c r="H54" s="113" t="str">
        <f t="shared" si="6"/>
        <v/>
      </c>
      <c r="I54" s="22"/>
      <c r="J54" s="121"/>
      <c r="K54" s="115" t="str">
        <f t="shared" si="7"/>
        <v/>
      </c>
      <c r="L54" s="68"/>
      <c r="M54" s="23"/>
      <c r="N54" s="118" t="str">
        <f t="shared" si="8"/>
        <v/>
      </c>
      <c r="O54" s="119"/>
      <c r="P54" s="22"/>
      <c r="Q54" s="99" t="str">
        <f t="shared" si="9"/>
        <v/>
      </c>
      <c r="R54" s="115" t="str">
        <f t="shared" si="10"/>
        <v/>
      </c>
      <c r="S54" s="122"/>
      <c r="T54" s="65"/>
      <c r="U54" s="62" t="str">
        <f t="shared" si="11"/>
        <v/>
      </c>
    </row>
    <row r="55" ht="24.95" customHeight="1" spans="1:21">
      <c r="A55" s="2"/>
      <c r="B55" s="51"/>
      <c r="C55" s="52"/>
      <c r="D55" s="20">
        <v>14</v>
      </c>
      <c r="E55" s="22"/>
      <c r="F55" s="22"/>
      <c r="G55" s="112" t="str">
        <f t="shared" si="5"/>
        <v/>
      </c>
      <c r="H55" s="113" t="str">
        <f t="shared" si="6"/>
        <v/>
      </c>
      <c r="I55" s="22"/>
      <c r="J55" s="121"/>
      <c r="K55" s="115" t="str">
        <f t="shared" si="7"/>
        <v/>
      </c>
      <c r="L55" s="68"/>
      <c r="M55" s="23"/>
      <c r="N55" s="118" t="str">
        <f t="shared" si="8"/>
        <v/>
      </c>
      <c r="O55" s="119"/>
      <c r="P55" s="22"/>
      <c r="Q55" s="99" t="str">
        <f t="shared" si="9"/>
        <v/>
      </c>
      <c r="R55" s="115" t="str">
        <f t="shared" si="10"/>
        <v/>
      </c>
      <c r="S55" s="122"/>
      <c r="T55" s="65"/>
      <c r="U55" s="62" t="str">
        <f t="shared" si="11"/>
        <v/>
      </c>
    </row>
    <row r="56" ht="24.95" customHeight="1" spans="1:21">
      <c r="A56" s="2"/>
      <c r="B56" s="51"/>
      <c r="C56" s="52"/>
      <c r="D56" s="20">
        <v>15</v>
      </c>
      <c r="E56" s="22"/>
      <c r="F56" s="22"/>
      <c r="G56" s="112" t="str">
        <f t="shared" si="5"/>
        <v/>
      </c>
      <c r="H56" s="113" t="str">
        <f t="shared" si="6"/>
        <v/>
      </c>
      <c r="I56" s="22"/>
      <c r="J56" s="121"/>
      <c r="K56" s="115" t="str">
        <f t="shared" si="7"/>
        <v/>
      </c>
      <c r="L56" s="68"/>
      <c r="M56" s="23"/>
      <c r="N56" s="118" t="str">
        <f t="shared" si="8"/>
        <v/>
      </c>
      <c r="O56" s="119"/>
      <c r="P56" s="22"/>
      <c r="Q56" s="99" t="str">
        <f t="shared" si="9"/>
        <v/>
      </c>
      <c r="R56" s="115" t="str">
        <f t="shared" si="10"/>
        <v/>
      </c>
      <c r="S56" s="122"/>
      <c r="T56" s="65"/>
      <c r="U56" s="62" t="str">
        <f t="shared" si="11"/>
        <v/>
      </c>
    </row>
    <row r="57" ht="24.95" customHeight="1" spans="1:21">
      <c r="A57" s="2"/>
      <c r="B57" s="51"/>
      <c r="C57" s="52"/>
      <c r="D57" s="20">
        <v>16</v>
      </c>
      <c r="E57" s="22"/>
      <c r="F57" s="22"/>
      <c r="G57" s="112" t="str">
        <f t="shared" si="5"/>
        <v/>
      </c>
      <c r="H57" s="113" t="str">
        <f t="shared" si="6"/>
        <v/>
      </c>
      <c r="I57" s="22"/>
      <c r="J57" s="121"/>
      <c r="K57" s="115" t="str">
        <f t="shared" si="7"/>
        <v/>
      </c>
      <c r="L57" s="68"/>
      <c r="M57" s="23"/>
      <c r="N57" s="118" t="str">
        <f t="shared" si="8"/>
        <v/>
      </c>
      <c r="O57" s="119"/>
      <c r="P57" s="22"/>
      <c r="Q57" s="99" t="str">
        <f t="shared" si="9"/>
        <v/>
      </c>
      <c r="R57" s="115" t="str">
        <f t="shared" si="10"/>
        <v/>
      </c>
      <c r="S57" s="122"/>
      <c r="T57" s="65"/>
      <c r="U57" s="62" t="str">
        <f t="shared" si="11"/>
        <v/>
      </c>
    </row>
    <row r="58" ht="24.95" customHeight="1" spans="1:21">
      <c r="A58" s="2"/>
      <c r="B58" s="75"/>
      <c r="C58" s="76"/>
      <c r="D58" s="123">
        <v>17</v>
      </c>
      <c r="E58" s="124"/>
      <c r="F58" s="124"/>
      <c r="G58" s="124"/>
      <c r="H58" s="124"/>
      <c r="I58" s="124"/>
      <c r="J58" s="124" t="s">
        <v>151</v>
      </c>
      <c r="K58" s="38">
        <f>SUM(K42:K57)</f>
        <v>0.0125</v>
      </c>
      <c r="L58" s="38" t="s">
        <v>152</v>
      </c>
      <c r="M58" s="35"/>
      <c r="N58" s="125">
        <f>SUM(N42:O57)</f>
        <v>0.3</v>
      </c>
      <c r="O58" s="35"/>
      <c r="P58" s="126"/>
      <c r="Q58" s="127" t="s">
        <v>153</v>
      </c>
      <c r="R58" s="128">
        <f>SUM(R42:R57)</f>
        <v>0.0136363636363636</v>
      </c>
      <c r="S58" s="129"/>
      <c r="T58" s="130" t="s">
        <v>154</v>
      </c>
      <c r="U58" s="131">
        <f>SUM(U42:U57)</f>
        <v>0.0666346153846154</v>
      </c>
    </row>
    <row r="59" ht="24.95" customHeight="1" spans="1:21">
      <c r="A59" s="2"/>
      <c r="B59" s="53" t="s">
        <v>155</v>
      </c>
      <c r="C59" s="132" t="s">
        <v>156</v>
      </c>
      <c r="D59" s="119"/>
      <c r="E59" s="133">
        <f>IF(U6="",N58,U6*K58)</f>
        <v>0.3</v>
      </c>
      <c r="F59" s="134" t="s">
        <v>157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0"/>
      <c r="Q59" s="136" t="s">
        <v>158</v>
      </c>
      <c r="R59" s="137"/>
      <c r="S59" s="137"/>
      <c r="T59" s="137"/>
      <c r="U59" s="138"/>
    </row>
    <row r="60" ht="24.95" customHeight="1" spans="1:21">
      <c r="A60" s="2"/>
      <c r="B60" s="20" t="s">
        <v>159</v>
      </c>
      <c r="C60" s="27" t="s">
        <v>160</v>
      </c>
      <c r="D60" s="21"/>
      <c r="E60" s="139">
        <f>(K27+K40+U40+R58+U58+E59+U27)*O8</f>
        <v>0.042610083638686</v>
      </c>
      <c r="F60" s="140" t="s">
        <v>161</v>
      </c>
      <c r="G60" s="141"/>
      <c r="H60" s="141"/>
      <c r="I60" s="141"/>
      <c r="J60" s="141"/>
      <c r="K60" s="141"/>
      <c r="L60" s="141"/>
      <c r="M60" s="141"/>
      <c r="N60" s="141"/>
      <c r="O60" s="141"/>
      <c r="P60" s="21"/>
      <c r="Q60" s="142" t="s">
        <v>162</v>
      </c>
      <c r="R60" s="143"/>
      <c r="S60" s="144"/>
      <c r="T60" s="145"/>
      <c r="U60" s="146"/>
    </row>
    <row r="61" ht="24.95" customHeight="1" spans="1:21">
      <c r="A61" s="2"/>
      <c r="B61" s="20" t="s">
        <v>163</v>
      </c>
      <c r="C61" s="27" t="s">
        <v>164</v>
      </c>
      <c r="D61" s="21"/>
      <c r="E61" s="139">
        <f>(K27+U27)*0.03+(K40+U40+R58+U58+E59+E60)*0.05</f>
        <v>0.0797495132786494</v>
      </c>
      <c r="F61" s="140" t="s">
        <v>165</v>
      </c>
      <c r="G61" s="141"/>
      <c r="H61" s="141"/>
      <c r="I61" s="141"/>
      <c r="J61" s="141"/>
      <c r="K61" s="141"/>
      <c r="L61" s="141"/>
      <c r="M61" s="141"/>
      <c r="N61" s="141"/>
      <c r="O61" s="141"/>
      <c r="P61" s="21"/>
      <c r="Q61" s="147" t="s">
        <v>166</v>
      </c>
      <c r="R61" s="141"/>
      <c r="S61" s="29"/>
      <c r="T61" s="25"/>
      <c r="U61" s="148"/>
    </row>
    <row r="62" ht="24.95" customHeight="1" spans="1:21">
      <c r="A62" s="2"/>
      <c r="B62" s="20" t="s">
        <v>167</v>
      </c>
      <c r="C62" s="27" t="s">
        <v>168</v>
      </c>
      <c r="D62" s="21"/>
      <c r="E62" s="149">
        <v>0.5</v>
      </c>
      <c r="F62" s="140" t="s">
        <v>169</v>
      </c>
      <c r="G62" s="141"/>
      <c r="H62" s="141"/>
      <c r="I62" s="141"/>
      <c r="J62" s="141"/>
      <c r="K62" s="141"/>
      <c r="L62" s="141"/>
      <c r="M62" s="141"/>
      <c r="N62" s="141"/>
      <c r="O62" s="141"/>
      <c r="P62" s="21"/>
      <c r="Q62" s="147" t="s">
        <v>170</v>
      </c>
      <c r="R62" s="141"/>
      <c r="S62" s="29"/>
      <c r="T62" s="25"/>
      <c r="U62" s="148"/>
    </row>
    <row r="63" ht="24.95" customHeight="1" spans="1:21">
      <c r="A63" s="2"/>
      <c r="B63" s="20" t="s">
        <v>171</v>
      </c>
      <c r="C63" s="27" t="s">
        <v>172</v>
      </c>
      <c r="D63" s="21"/>
      <c r="E63" s="150">
        <v>0.3</v>
      </c>
      <c r="F63" s="140" t="s">
        <v>173</v>
      </c>
      <c r="G63" s="141"/>
      <c r="H63" s="141"/>
      <c r="I63" s="141"/>
      <c r="J63" s="141"/>
      <c r="K63" s="141"/>
      <c r="L63" s="141"/>
      <c r="M63" s="141"/>
      <c r="N63" s="141"/>
      <c r="O63" s="141"/>
      <c r="P63" s="21"/>
      <c r="Q63" s="151"/>
      <c r="R63" s="152"/>
      <c r="S63" s="153"/>
      <c r="T63" s="154"/>
      <c r="U63" s="155"/>
    </row>
    <row r="64" ht="24.95" customHeight="1" spans="1:21">
      <c r="A64" s="2"/>
      <c r="B64" s="20" t="s">
        <v>174</v>
      </c>
      <c r="C64" s="27" t="s">
        <v>175</v>
      </c>
      <c r="D64" s="21"/>
      <c r="E64" s="156">
        <f>K27+U27+K40+R58+U58+E59+E60+E61+E62+E63+U40-S60</f>
        <v>3.05286377885164</v>
      </c>
      <c r="F64" s="140" t="s">
        <v>176</v>
      </c>
      <c r="G64" s="141"/>
      <c r="H64" s="141"/>
      <c r="I64" s="141"/>
      <c r="J64" s="141"/>
      <c r="K64" s="141"/>
      <c r="L64" s="141"/>
      <c r="M64" s="141"/>
      <c r="N64" s="141"/>
      <c r="O64" s="141"/>
      <c r="P64" s="21"/>
      <c r="Q64" s="157" t="s">
        <v>177</v>
      </c>
      <c r="R64" s="82"/>
      <c r="S64" s="82"/>
      <c r="T64" s="82"/>
      <c r="U64" s="83"/>
    </row>
    <row r="65" ht="24.95" customHeight="1" spans="1:21">
      <c r="A65" s="2"/>
      <c r="B65" s="20" t="s">
        <v>178</v>
      </c>
      <c r="C65" s="27" t="s">
        <v>179</v>
      </c>
      <c r="D65" s="21"/>
      <c r="E65" s="158">
        <v>0.05</v>
      </c>
      <c r="F65" s="140" t="s">
        <v>180</v>
      </c>
      <c r="G65" s="141"/>
      <c r="H65" s="141"/>
      <c r="I65" s="141"/>
      <c r="J65" s="141"/>
      <c r="K65" s="141"/>
      <c r="L65" s="141"/>
      <c r="M65" s="141"/>
      <c r="N65" s="141"/>
      <c r="O65" s="141"/>
      <c r="P65" s="21"/>
      <c r="Q65" s="159"/>
      <c r="R65" s="160"/>
      <c r="S65" s="160"/>
      <c r="T65" s="160"/>
      <c r="U65" s="161"/>
    </row>
    <row r="66" ht="24.95" customHeight="1" spans="1:21">
      <c r="A66" s="2"/>
      <c r="B66" s="20" t="s">
        <v>181</v>
      </c>
      <c r="C66" s="27" t="s">
        <v>182</v>
      </c>
      <c r="D66" s="21"/>
      <c r="E66" s="139">
        <f>E64*E65</f>
        <v>0.152643188942582</v>
      </c>
      <c r="F66" s="140" t="s">
        <v>183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21"/>
      <c r="Q66" s="160"/>
      <c r="R66" s="160"/>
      <c r="S66" s="160"/>
      <c r="T66" s="160"/>
      <c r="U66" s="161"/>
    </row>
    <row r="67" ht="24.95" customHeight="1" spans="1:21">
      <c r="A67" s="2"/>
      <c r="B67" s="20" t="s">
        <v>184</v>
      </c>
      <c r="C67" s="27" t="s">
        <v>185</v>
      </c>
      <c r="D67" s="21"/>
      <c r="E67" s="139">
        <f>E64+E66</f>
        <v>3.20550696779422</v>
      </c>
      <c r="F67" s="140" t="s">
        <v>186</v>
      </c>
      <c r="G67" s="141"/>
      <c r="H67" s="141"/>
      <c r="I67" s="141"/>
      <c r="J67" s="141"/>
      <c r="K67" s="141"/>
      <c r="L67" s="141"/>
      <c r="M67" s="141"/>
      <c r="N67" s="141"/>
      <c r="O67" s="141"/>
      <c r="P67" s="21"/>
      <c r="Q67" s="160"/>
      <c r="R67" s="160"/>
      <c r="S67" s="160"/>
      <c r="T67" s="160"/>
      <c r="U67" s="161"/>
    </row>
    <row r="68" ht="24.95" customHeight="1" spans="1:21">
      <c r="A68" s="2"/>
      <c r="B68" s="20" t="s">
        <v>187</v>
      </c>
      <c r="C68" s="27" t="s">
        <v>188</v>
      </c>
      <c r="D68" s="21"/>
      <c r="E68" s="139">
        <f>E67*0.13</f>
        <v>0.416715905813249</v>
      </c>
      <c r="F68" s="140" t="s">
        <v>189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21"/>
      <c r="Q68" s="160"/>
      <c r="R68" s="160"/>
      <c r="S68" s="160"/>
      <c r="T68" s="160"/>
      <c r="U68" s="161"/>
    </row>
    <row r="69" ht="24.95" customHeight="1" spans="1:21">
      <c r="A69" s="2"/>
      <c r="B69" s="123" t="s">
        <v>190</v>
      </c>
      <c r="C69" s="130" t="s">
        <v>191</v>
      </c>
      <c r="D69" s="162"/>
      <c r="E69" s="163">
        <f>E67+E68</f>
        <v>3.62222287360747</v>
      </c>
      <c r="F69" s="164" t="s">
        <v>192</v>
      </c>
      <c r="G69" s="152"/>
      <c r="H69" s="152"/>
      <c r="I69" s="152"/>
      <c r="J69" s="152"/>
      <c r="K69" s="152"/>
      <c r="L69" s="152"/>
      <c r="M69" s="152"/>
      <c r="N69" s="152"/>
      <c r="O69" s="152"/>
      <c r="P69" s="162"/>
      <c r="Q69" s="165"/>
      <c r="R69" s="165"/>
      <c r="S69" s="165"/>
      <c r="T69" s="165"/>
      <c r="U69" s="166"/>
    </row>
    <row r="70" ht="13.5" spans="1:21">
      <c r="B70" t="s">
        <v>193</v>
      </c>
    </row>
  </sheetData>
  <mergeCells count="119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M9:M27"/>
    <mergeCell ref="M28:M40"/>
    <mergeCell ref="Q65:U69"/>
  </mergeCells>
  <pageMargins left="0.75" right="0.75" top="1" bottom="1" header="0.5" footer="0.5"/>
  <pageSetup paperSize="9" scale="40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0"/>
  <sheetViews>
    <sheetView tabSelected="1" topLeftCell="A22" workbookViewId="0">
      <selection activeCell="N42" sqref="N42:O42"/>
    </sheetView>
  </sheetViews>
  <sheetFormatPr defaultColWidth="9" defaultRowHeight="11.25"/>
  <cols>
    <col min="1" max="1" width="3.6283185840708" style="1" customWidth="1"/>
    <col min="2" max="2" width="4.87610619469027" style="1" customWidth="1"/>
    <col min="3" max="3" width="5.87610619469027" style="1" customWidth="1"/>
    <col min="4" max="4" width="5.6283185840708" style="1" customWidth="1"/>
    <col min="5" max="6" width="16.2477876106195" style="1" customWidth="1"/>
    <col min="7" max="7" width="11.3716814159292" style="1" customWidth="1"/>
    <col min="8" max="8" width="8.87610619469027" style="1" customWidth="1"/>
    <col min="9" max="9" width="9.12389380530973" style="1" customWidth="1"/>
    <col min="10" max="10" width="12.7522123893805" style="1" customWidth="1"/>
    <col min="11" max="11" width="8.75221238938053" style="1" customWidth="1"/>
    <col min="12" max="12" width="5.12389380530973" style="1" customWidth="1"/>
    <col min="13" max="13" width="5.87610619469027" style="1" customWidth="1"/>
    <col min="14" max="14" width="4.75221238938053" style="1" customWidth="1"/>
    <col min="15" max="15" width="14.5044247787611" style="1" customWidth="1"/>
    <col min="16" max="16" width="12.6283185840708" style="1" customWidth="1"/>
    <col min="17" max="18" width="11" style="1" customWidth="1"/>
    <col min="19" max="19" width="11.1238938053097" style="1" customWidth="1"/>
    <col min="20" max="20" width="13.5044247787611" style="1" customWidth="1"/>
    <col min="21" max="21" width="11.3716814159292" style="1" customWidth="1"/>
    <col min="22" max="16384" width="9" style="1" customWidth="1"/>
  </cols>
  <sheetData>
    <row r="1" ht="12"/>
    <row r="2" ht="39.95" customHeight="1" spans="1:21">
      <c r="A2" s="2"/>
      <c r="B2" s="3" t="s">
        <v>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0.95" customHeight="1" spans="1:21">
      <c r="A3" s="2"/>
      <c r="B3" s="6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7"/>
    </row>
    <row r="4" ht="27.95" customHeight="1" spans="1:21">
      <c r="A4" s="2"/>
      <c r="B4" s="8" t="s">
        <v>58</v>
      </c>
      <c r="C4" s="9" t="s">
        <v>59</v>
      </c>
      <c r="D4" s="10"/>
      <c r="E4" s="11" t="s">
        <v>60</v>
      </c>
      <c r="F4" s="12"/>
      <c r="G4" s="13" t="s">
        <v>61</v>
      </c>
      <c r="H4" s="11">
        <v>3000</v>
      </c>
      <c r="I4" s="14"/>
      <c r="J4" s="14"/>
      <c r="K4" s="12"/>
      <c r="L4" s="8" t="s">
        <v>62</v>
      </c>
      <c r="M4" s="9" t="s">
        <v>3</v>
      </c>
      <c r="N4" s="10"/>
      <c r="O4" s="15" t="s">
        <v>202</v>
      </c>
      <c r="P4" s="12"/>
      <c r="Q4" s="13" t="s">
        <v>64</v>
      </c>
      <c r="R4" s="16">
        <v>46192</v>
      </c>
      <c r="S4" s="12"/>
      <c r="T4" s="17" t="s">
        <v>65</v>
      </c>
      <c r="U4" s="18">
        <v>0.0269</v>
      </c>
    </row>
    <row r="5" ht="27.95" customHeight="1" spans="1:21">
      <c r="A5" s="2"/>
      <c r="B5" s="19"/>
      <c r="C5" s="20" t="s">
        <v>66</v>
      </c>
      <c r="D5" s="21"/>
      <c r="E5" s="22" t="s">
        <v>67</v>
      </c>
      <c r="F5" s="23"/>
      <c r="G5" s="24" t="s">
        <v>68</v>
      </c>
      <c r="H5" s="22">
        <v>120</v>
      </c>
      <c r="I5" s="25"/>
      <c r="J5" s="25"/>
      <c r="K5" s="23"/>
      <c r="L5" s="19"/>
      <c r="M5" s="20" t="s">
        <v>2</v>
      </c>
      <c r="N5" s="21"/>
      <c r="O5" s="26" t="s">
        <v>19</v>
      </c>
      <c r="P5" s="23"/>
      <c r="Q5" s="27" t="s">
        <v>69</v>
      </c>
      <c r="R5" s="28" t="s">
        <v>70</v>
      </c>
      <c r="S5" s="23"/>
      <c r="T5" s="27" t="s">
        <v>71</v>
      </c>
      <c r="U5" s="29">
        <v>0.0318</v>
      </c>
    </row>
    <row r="6" ht="27.95" customHeight="1" spans="1:21">
      <c r="A6" s="2"/>
      <c r="B6" s="19"/>
      <c r="C6" s="20" t="s">
        <v>72</v>
      </c>
      <c r="D6" s="21"/>
      <c r="E6" s="22" t="s">
        <v>73</v>
      </c>
      <c r="F6" s="23"/>
      <c r="G6" s="24" t="s">
        <v>74</v>
      </c>
      <c r="H6" s="22">
        <v>50</v>
      </c>
      <c r="I6" s="25"/>
      <c r="J6" s="25"/>
      <c r="K6" s="23"/>
      <c r="L6" s="19"/>
      <c r="M6" s="30" t="s">
        <v>75</v>
      </c>
      <c r="N6" s="21"/>
      <c r="O6" s="31">
        <v>61.2178</v>
      </c>
      <c r="P6" s="23"/>
      <c r="Q6" s="27" t="s">
        <v>69</v>
      </c>
      <c r="R6" s="28" t="s">
        <v>70</v>
      </c>
      <c r="S6" s="23"/>
      <c r="T6" s="24" t="s">
        <v>76</v>
      </c>
      <c r="U6" s="32"/>
    </row>
    <row r="7" ht="27.95" customHeight="1" spans="1:21">
      <c r="A7" s="2"/>
      <c r="B7" s="19"/>
      <c r="C7" s="20" t="s">
        <v>77</v>
      </c>
      <c r="D7" s="21"/>
      <c r="E7" s="22" t="s">
        <v>78</v>
      </c>
      <c r="F7" s="23"/>
      <c r="G7" s="27" t="s">
        <v>79</v>
      </c>
      <c r="H7" s="22" t="s">
        <v>80</v>
      </c>
      <c r="I7" s="25"/>
      <c r="J7" s="25"/>
      <c r="K7" s="23"/>
      <c r="L7" s="19"/>
      <c r="M7" s="20" t="s">
        <v>81</v>
      </c>
      <c r="N7" s="21"/>
      <c r="O7" s="31"/>
      <c r="P7" s="23"/>
      <c r="Q7" s="27" t="s">
        <v>82</v>
      </c>
      <c r="R7" s="28" t="s">
        <v>70</v>
      </c>
      <c r="S7" s="23"/>
      <c r="T7" s="24" t="s">
        <v>83</v>
      </c>
      <c r="U7" s="29">
        <v>1</v>
      </c>
    </row>
    <row r="8" ht="27.95" customHeight="1" spans="1:21">
      <c r="A8" s="2"/>
      <c r="B8" s="33"/>
      <c r="C8" s="34" t="s">
        <v>84</v>
      </c>
      <c r="D8" s="35"/>
      <c r="E8" s="36">
        <v>13735526664</v>
      </c>
      <c r="F8" s="37"/>
      <c r="G8" s="38" t="s">
        <v>85</v>
      </c>
      <c r="H8" s="36" t="s">
        <v>86</v>
      </c>
      <c r="I8" s="39"/>
      <c r="J8" s="39"/>
      <c r="K8" s="37"/>
      <c r="L8" s="33"/>
      <c r="M8" s="40" t="s">
        <v>87</v>
      </c>
      <c r="N8" s="35"/>
      <c r="O8" s="41">
        <v>0.02</v>
      </c>
      <c r="P8" s="37"/>
      <c r="Q8" s="38" t="s">
        <v>88</v>
      </c>
      <c r="R8" s="42" t="s">
        <v>70</v>
      </c>
      <c r="S8" s="37"/>
      <c r="T8" s="43" t="s">
        <v>89</v>
      </c>
      <c r="U8" s="44">
        <v>300</v>
      </c>
    </row>
    <row r="9" ht="24.95" customHeight="1" spans="1:21">
      <c r="A9" s="2"/>
      <c r="B9" s="45" t="s">
        <v>90</v>
      </c>
      <c r="C9" s="46" t="s">
        <v>91</v>
      </c>
      <c r="D9" s="47" t="s">
        <v>92</v>
      </c>
      <c r="E9" s="48" t="s">
        <v>93</v>
      </c>
      <c r="F9" s="48" t="s">
        <v>94</v>
      </c>
      <c r="G9" s="48" t="s">
        <v>95</v>
      </c>
      <c r="H9" s="48" t="s">
        <v>96</v>
      </c>
      <c r="I9" s="48" t="s">
        <v>97</v>
      </c>
      <c r="J9" s="48" t="s">
        <v>98</v>
      </c>
      <c r="K9" s="49" t="s">
        <v>99</v>
      </c>
      <c r="L9" s="50" t="s">
        <v>100</v>
      </c>
      <c r="M9" s="46" t="s">
        <v>101</v>
      </c>
      <c r="N9" s="47" t="s">
        <v>92</v>
      </c>
      <c r="O9" s="48" t="s">
        <v>93</v>
      </c>
      <c r="P9" s="48" t="s">
        <v>94</v>
      </c>
      <c r="Q9" s="48" t="s">
        <v>95</v>
      </c>
      <c r="R9" s="48" t="s">
        <v>96</v>
      </c>
      <c r="S9" s="48" t="s">
        <v>97</v>
      </c>
      <c r="T9" s="48" t="s">
        <v>98</v>
      </c>
      <c r="U9" s="49" t="s">
        <v>102</v>
      </c>
    </row>
    <row r="10" ht="24.95" customHeight="1" spans="1:21">
      <c r="A10" s="2"/>
      <c r="B10" s="51"/>
      <c r="C10" s="52"/>
      <c r="D10" s="53">
        <v>1</v>
      </c>
      <c r="E10" s="54" t="s">
        <v>103</v>
      </c>
      <c r="F10" s="55" t="s">
        <v>199</v>
      </c>
      <c r="G10" s="56"/>
      <c r="H10" s="56">
        <v>0.0318</v>
      </c>
      <c r="I10" s="57">
        <v>0.01</v>
      </c>
      <c r="J10" s="56">
        <v>45</v>
      </c>
      <c r="K10" s="58">
        <f>IF(J10="","",J10*H10*(1+I10))</f>
        <v>1.44531</v>
      </c>
      <c r="L10" s="51"/>
      <c r="M10" s="52"/>
      <c r="N10" s="53">
        <v>1</v>
      </c>
      <c r="O10" s="59"/>
      <c r="P10" s="60"/>
      <c r="Q10" s="56"/>
      <c r="R10" s="56"/>
      <c r="S10" s="61"/>
      <c r="T10" s="56"/>
      <c r="U10" s="62" t="str">
        <f t="shared" ref="U10:U26" si="0">IF(T10="","",T10*R10*(1+S10))</f>
        <v/>
      </c>
    </row>
    <row r="11" ht="24.95" customHeight="1" spans="1:21">
      <c r="A11" s="2"/>
      <c r="B11" s="51"/>
      <c r="C11" s="52"/>
      <c r="D11" s="20">
        <v>2</v>
      </c>
      <c r="E11" s="63"/>
      <c r="F11" s="63"/>
      <c r="G11" s="64"/>
      <c r="H11" s="64"/>
      <c r="I11" s="65"/>
      <c r="J11" s="64"/>
      <c r="K11" s="66" t="str">
        <f>IF(J11="","",J11*H11*(1+I11))</f>
        <v/>
      </c>
      <c r="L11" s="51"/>
      <c r="M11" s="52"/>
      <c r="N11" s="20">
        <v>2</v>
      </c>
      <c r="O11" s="67"/>
      <c r="P11" s="63"/>
      <c r="Q11" s="64"/>
      <c r="R11" s="64"/>
      <c r="S11" s="68"/>
      <c r="T11" s="64"/>
      <c r="U11" s="69" t="str">
        <f t="shared" si="0"/>
        <v/>
      </c>
    </row>
    <row r="12" ht="24.95" customHeight="1" spans="1:21">
      <c r="A12" s="2"/>
      <c r="B12" s="51"/>
      <c r="C12" s="52"/>
      <c r="D12" s="20">
        <v>3</v>
      </c>
      <c r="E12" s="63"/>
      <c r="F12" s="63"/>
      <c r="G12" s="64"/>
      <c r="H12" s="64"/>
      <c r="I12" s="65"/>
      <c r="J12" s="64"/>
      <c r="K12" s="66" t="str">
        <f>IF(J12="","",J12*H12*(1+I12))</f>
        <v/>
      </c>
      <c r="L12" s="51"/>
      <c r="M12" s="52"/>
      <c r="N12" s="20">
        <v>3</v>
      </c>
      <c r="O12" s="67"/>
      <c r="P12" s="63"/>
      <c r="Q12" s="64"/>
      <c r="R12" s="64"/>
      <c r="S12" s="68"/>
      <c r="T12" s="64"/>
      <c r="U12" s="69" t="str">
        <f t="shared" si="0"/>
        <v/>
      </c>
    </row>
    <row r="13" ht="24.95" customHeight="1" spans="1:21">
      <c r="A13" s="2"/>
      <c r="B13" s="51"/>
      <c r="C13" s="52"/>
      <c r="D13" s="20">
        <v>4</v>
      </c>
      <c r="E13" s="63"/>
      <c r="F13" s="63"/>
      <c r="G13" s="64"/>
      <c r="I13" s="65"/>
      <c r="J13" s="31"/>
      <c r="K13" s="66" t="str">
        <f>IF(J13="","",J13*G13*(1+I13))</f>
        <v/>
      </c>
      <c r="L13" s="51"/>
      <c r="M13" s="52"/>
      <c r="N13" s="20">
        <v>4</v>
      </c>
      <c r="O13" s="67"/>
      <c r="P13" s="63"/>
      <c r="Q13" s="64"/>
      <c r="R13" s="64"/>
      <c r="S13" s="68"/>
      <c r="T13" s="64"/>
      <c r="U13" s="69" t="str">
        <f t="shared" si="0"/>
        <v/>
      </c>
    </row>
    <row r="14" ht="24.95" customHeight="1" spans="1:21">
      <c r="A14" s="2"/>
      <c r="B14" s="51"/>
      <c r="C14" s="52"/>
      <c r="D14" s="20">
        <v>5</v>
      </c>
      <c r="E14" s="63"/>
      <c r="F14" s="63"/>
      <c r="G14" s="64"/>
      <c r="H14" s="31"/>
      <c r="I14" s="64"/>
      <c r="J14" s="65"/>
      <c r="K14" s="66" t="str">
        <f t="shared" ref="K14:K26" si="1">IF(J14="","",J14*H14*(1+I14))</f>
        <v/>
      </c>
      <c r="L14" s="51"/>
      <c r="M14" s="52"/>
      <c r="N14" s="20">
        <v>5</v>
      </c>
      <c r="O14" s="67"/>
      <c r="P14" s="63"/>
      <c r="Q14" s="64"/>
      <c r="R14" s="64"/>
      <c r="S14" s="68"/>
      <c r="T14" s="64"/>
      <c r="U14" s="69" t="str">
        <f t="shared" si="0"/>
        <v/>
      </c>
    </row>
    <row r="15" ht="24.95" customHeight="1" spans="1:21">
      <c r="A15" s="2"/>
      <c r="B15" s="51"/>
      <c r="C15" s="52"/>
      <c r="D15" s="20">
        <v>6</v>
      </c>
      <c r="E15" s="63"/>
      <c r="F15" s="63"/>
      <c r="G15" s="64"/>
      <c r="H15" s="31"/>
      <c r="I15" s="64"/>
      <c r="J15" s="65"/>
      <c r="K15" s="66" t="str">
        <f t="shared" si="1"/>
        <v/>
      </c>
      <c r="L15" s="51"/>
      <c r="M15" s="52"/>
      <c r="N15" s="20">
        <v>6</v>
      </c>
      <c r="O15" s="67"/>
      <c r="P15" s="63"/>
      <c r="Q15" s="64"/>
      <c r="R15" s="64"/>
      <c r="S15" s="68"/>
      <c r="T15" s="64"/>
      <c r="U15" s="69" t="str">
        <f t="shared" si="0"/>
        <v/>
      </c>
    </row>
    <row r="16" ht="24.95" customHeight="1" spans="1:21">
      <c r="A16" s="2"/>
      <c r="B16" s="51"/>
      <c r="C16" s="52"/>
      <c r="D16" s="20">
        <v>7</v>
      </c>
      <c r="E16" s="63"/>
      <c r="F16" s="63"/>
      <c r="G16" s="64"/>
      <c r="H16" s="31"/>
      <c r="I16" s="64"/>
      <c r="J16" s="65"/>
      <c r="K16" s="66" t="str">
        <f t="shared" si="1"/>
        <v/>
      </c>
      <c r="L16" s="51"/>
      <c r="M16" s="52"/>
      <c r="N16" s="20">
        <v>7</v>
      </c>
      <c r="O16" s="67"/>
      <c r="P16" s="63"/>
      <c r="Q16" s="64"/>
      <c r="R16" s="64"/>
      <c r="S16" s="68"/>
      <c r="T16" s="64"/>
      <c r="U16" s="69" t="str">
        <f t="shared" si="0"/>
        <v/>
      </c>
    </row>
    <row r="17" ht="24.95" customHeight="1" spans="1:21">
      <c r="A17" s="2"/>
      <c r="B17" s="51"/>
      <c r="C17" s="52"/>
      <c r="D17" s="20">
        <v>8</v>
      </c>
      <c r="E17" s="63"/>
      <c r="F17" s="63"/>
      <c r="G17" s="64"/>
      <c r="H17" s="31"/>
      <c r="I17" s="64"/>
      <c r="J17" s="65"/>
      <c r="K17" s="66" t="str">
        <f t="shared" si="1"/>
        <v/>
      </c>
      <c r="L17" s="51"/>
      <c r="M17" s="52"/>
      <c r="N17" s="20">
        <v>8</v>
      </c>
      <c r="O17" s="67"/>
      <c r="P17" s="63"/>
      <c r="Q17" s="64"/>
      <c r="R17" s="64"/>
      <c r="S17" s="68"/>
      <c r="T17" s="64"/>
      <c r="U17" s="69" t="str">
        <f t="shared" si="0"/>
        <v/>
      </c>
    </row>
    <row r="18" ht="24.95" customHeight="1" spans="1:21">
      <c r="A18" s="2"/>
      <c r="B18" s="51"/>
      <c r="C18" s="52"/>
      <c r="D18" s="20">
        <v>9</v>
      </c>
      <c r="E18" s="63"/>
      <c r="F18" s="63"/>
      <c r="G18" s="64"/>
      <c r="H18" s="64"/>
      <c r="I18" s="64"/>
      <c r="J18" s="65"/>
      <c r="K18" s="66" t="str">
        <f t="shared" si="1"/>
        <v/>
      </c>
      <c r="L18" s="51"/>
      <c r="M18" s="52"/>
      <c r="N18" s="20">
        <v>9</v>
      </c>
      <c r="O18" s="67"/>
      <c r="P18" s="63"/>
      <c r="Q18" s="64"/>
      <c r="R18" s="64"/>
      <c r="S18" s="68"/>
      <c r="T18" s="64"/>
      <c r="U18" s="69" t="str">
        <f t="shared" si="0"/>
        <v/>
      </c>
    </row>
    <row r="19" ht="24.95" customHeight="1" spans="1:21">
      <c r="A19" s="2"/>
      <c r="B19" s="51"/>
      <c r="C19" s="52"/>
      <c r="D19" s="20">
        <v>10</v>
      </c>
      <c r="E19" s="63"/>
      <c r="F19" s="63"/>
      <c r="G19" s="64"/>
      <c r="H19" s="64"/>
      <c r="I19" s="64"/>
      <c r="J19" s="65"/>
      <c r="K19" s="66" t="str">
        <f t="shared" si="1"/>
        <v/>
      </c>
      <c r="L19" s="51"/>
      <c r="M19" s="52"/>
      <c r="N19" s="20">
        <v>10</v>
      </c>
      <c r="O19" s="67"/>
      <c r="P19" s="63"/>
      <c r="Q19" s="64"/>
      <c r="R19" s="64"/>
      <c r="S19" s="68"/>
      <c r="T19" s="64"/>
      <c r="U19" s="69" t="str">
        <f t="shared" si="0"/>
        <v/>
      </c>
    </row>
    <row r="20" ht="24.95" customHeight="1" spans="1:21">
      <c r="A20" s="2"/>
      <c r="B20" s="51"/>
      <c r="C20" s="52"/>
      <c r="D20" s="20">
        <v>11</v>
      </c>
      <c r="E20" s="63"/>
      <c r="F20" s="63"/>
      <c r="G20" s="64"/>
      <c r="H20" s="64"/>
      <c r="I20" s="64"/>
      <c r="J20" s="65"/>
      <c r="K20" s="66" t="str">
        <f t="shared" si="1"/>
        <v/>
      </c>
      <c r="L20" s="51"/>
      <c r="M20" s="52"/>
      <c r="N20" s="20">
        <v>11</v>
      </c>
      <c r="O20" s="67"/>
      <c r="P20" s="70"/>
      <c r="Q20" s="71"/>
      <c r="R20" s="64"/>
      <c r="S20" s="68"/>
      <c r="T20" s="64"/>
      <c r="U20" s="69" t="str">
        <f t="shared" si="0"/>
        <v/>
      </c>
    </row>
    <row r="21" ht="24.95" customHeight="1" spans="1:21">
      <c r="A21" s="2"/>
      <c r="B21" s="51"/>
      <c r="C21" s="52"/>
      <c r="D21" s="20">
        <v>12</v>
      </c>
      <c r="E21" s="72"/>
      <c r="F21" s="72"/>
      <c r="G21" s="22"/>
      <c r="H21" s="64"/>
      <c r="I21" s="64"/>
      <c r="J21" s="65"/>
      <c r="K21" s="66" t="str">
        <f t="shared" si="1"/>
        <v/>
      </c>
      <c r="L21" s="51"/>
      <c r="M21" s="52"/>
      <c r="N21" s="20">
        <v>12</v>
      </c>
      <c r="O21" s="67"/>
      <c r="P21" s="70"/>
      <c r="Q21" s="71"/>
      <c r="R21" s="64"/>
      <c r="S21" s="68"/>
      <c r="T21" s="64"/>
      <c r="U21" s="69" t="str">
        <f t="shared" si="0"/>
        <v/>
      </c>
    </row>
    <row r="22" ht="24.95" customHeight="1" spans="1:21">
      <c r="A22" s="2"/>
      <c r="B22" s="51"/>
      <c r="C22" s="52"/>
      <c r="D22" s="20">
        <v>13</v>
      </c>
      <c r="E22" s="72"/>
      <c r="F22" s="72"/>
      <c r="G22" s="22"/>
      <c r="H22" s="64"/>
      <c r="I22" s="64"/>
      <c r="J22" s="65"/>
      <c r="K22" s="66" t="str">
        <f t="shared" si="1"/>
        <v/>
      </c>
      <c r="L22" s="51"/>
      <c r="M22" s="52"/>
      <c r="N22" s="20">
        <v>13</v>
      </c>
      <c r="O22" s="67"/>
      <c r="P22" s="70"/>
      <c r="Q22" s="71"/>
      <c r="R22" s="64"/>
      <c r="S22" s="68"/>
      <c r="T22" s="64"/>
      <c r="U22" s="69" t="str">
        <f t="shared" si="0"/>
        <v/>
      </c>
    </row>
    <row r="23" ht="24.95" customHeight="1" spans="1:21">
      <c r="A23" s="2"/>
      <c r="B23" s="51"/>
      <c r="C23" s="52"/>
      <c r="D23" s="20">
        <v>14</v>
      </c>
      <c r="E23" s="72"/>
      <c r="F23" s="72"/>
      <c r="G23" s="22"/>
      <c r="H23" s="64"/>
      <c r="I23" s="64"/>
      <c r="J23" s="65"/>
      <c r="K23" s="66" t="str">
        <f t="shared" si="1"/>
        <v/>
      </c>
      <c r="L23" s="51"/>
      <c r="M23" s="52"/>
      <c r="N23" s="20">
        <v>14</v>
      </c>
      <c r="O23" s="67"/>
      <c r="P23" s="72"/>
      <c r="Q23" s="22"/>
      <c r="R23" s="64"/>
      <c r="S23" s="68"/>
      <c r="T23" s="64"/>
      <c r="U23" s="69" t="str">
        <f t="shared" si="0"/>
        <v/>
      </c>
    </row>
    <row r="24" ht="24.95" customHeight="1" spans="1:21">
      <c r="A24" s="2"/>
      <c r="B24" s="51"/>
      <c r="C24" s="52"/>
      <c r="D24" s="20">
        <v>15</v>
      </c>
      <c r="E24" s="72"/>
      <c r="F24" s="73"/>
      <c r="G24" s="74"/>
      <c r="H24" s="64"/>
      <c r="I24" s="64"/>
      <c r="J24" s="65"/>
      <c r="K24" s="66" t="str">
        <f t="shared" si="1"/>
        <v/>
      </c>
      <c r="L24" s="51"/>
      <c r="M24" s="52"/>
      <c r="N24" s="20">
        <v>15</v>
      </c>
      <c r="O24" s="67"/>
      <c r="P24" s="72"/>
      <c r="Q24" s="22"/>
      <c r="R24" s="64"/>
      <c r="S24" s="68"/>
      <c r="T24" s="64"/>
      <c r="U24" s="69" t="str">
        <f t="shared" si="0"/>
        <v/>
      </c>
    </row>
    <row r="25" ht="24.95" customHeight="1" spans="1:21">
      <c r="A25" s="2"/>
      <c r="B25" s="51"/>
      <c r="C25" s="52"/>
      <c r="D25" s="20">
        <v>16</v>
      </c>
      <c r="E25" s="72"/>
      <c r="F25" s="72"/>
      <c r="G25" s="22"/>
      <c r="H25" s="64"/>
      <c r="I25" s="64"/>
      <c r="J25" s="65"/>
      <c r="K25" s="66" t="str">
        <f t="shared" si="1"/>
        <v/>
      </c>
      <c r="L25" s="51"/>
      <c r="M25" s="52"/>
      <c r="N25" s="20">
        <v>16</v>
      </c>
      <c r="O25" s="67"/>
      <c r="P25" s="72"/>
      <c r="Q25" s="22"/>
      <c r="R25" s="64"/>
      <c r="S25" s="68"/>
      <c r="T25" s="64"/>
      <c r="U25" s="69" t="str">
        <f t="shared" si="0"/>
        <v/>
      </c>
    </row>
    <row r="26" ht="24.95" customHeight="1" spans="1:21">
      <c r="A26" s="2"/>
      <c r="B26" s="51"/>
      <c r="C26" s="52"/>
      <c r="D26" s="20">
        <v>17</v>
      </c>
      <c r="E26" s="72"/>
      <c r="F26" s="72"/>
      <c r="G26" s="22"/>
      <c r="H26" s="64"/>
      <c r="I26" s="64"/>
      <c r="J26" s="65"/>
      <c r="K26" s="66" t="str">
        <f t="shared" si="1"/>
        <v/>
      </c>
      <c r="L26" s="51"/>
      <c r="M26" s="52"/>
      <c r="N26" s="20">
        <v>17</v>
      </c>
      <c r="O26" s="67"/>
      <c r="P26" s="72"/>
      <c r="Q26" s="22"/>
      <c r="R26" s="64"/>
      <c r="S26" s="68"/>
      <c r="T26" s="64"/>
      <c r="U26" s="69" t="str">
        <f t="shared" si="0"/>
        <v/>
      </c>
    </row>
    <row r="27" ht="24.95" customHeight="1" spans="1:21">
      <c r="A27" s="2"/>
      <c r="B27" s="75"/>
      <c r="C27" s="76"/>
      <c r="D27" s="34"/>
      <c r="E27" s="77"/>
      <c r="F27" s="77"/>
      <c r="G27" s="77"/>
      <c r="H27" s="38" t="s">
        <v>105</v>
      </c>
      <c r="I27" s="35"/>
      <c r="J27" s="78"/>
      <c r="K27" s="79">
        <f>SUM(K10:K26)</f>
        <v>1.44531</v>
      </c>
      <c r="L27" s="75"/>
      <c r="M27" s="76"/>
      <c r="N27" s="34"/>
      <c r="O27" s="80"/>
      <c r="P27" s="38"/>
      <c r="Q27" s="38"/>
      <c r="R27" s="38"/>
      <c r="S27" s="38" t="s">
        <v>106</v>
      </c>
      <c r="T27" s="35"/>
      <c r="U27" s="79">
        <f>SUM(U10:U26)</f>
        <v>0</v>
      </c>
    </row>
    <row r="28" ht="24.95" customHeight="1" spans="1:21">
      <c r="A28" s="2"/>
      <c r="B28" s="45" t="s">
        <v>107</v>
      </c>
      <c r="C28" s="46" t="s">
        <v>108</v>
      </c>
      <c r="D28" s="81" t="s">
        <v>109</v>
      </c>
      <c r="E28" s="82"/>
      <c r="F28" s="82"/>
      <c r="G28" s="82"/>
      <c r="H28" s="82"/>
      <c r="I28" s="82"/>
      <c r="J28" s="82"/>
      <c r="K28" s="83"/>
      <c r="L28" s="50" t="s">
        <v>110</v>
      </c>
      <c r="M28" s="46" t="s">
        <v>111</v>
      </c>
      <c r="N28" s="81" t="s">
        <v>112</v>
      </c>
      <c r="O28" s="82"/>
      <c r="P28" s="82"/>
      <c r="Q28" s="82"/>
      <c r="R28" s="82"/>
      <c r="S28" s="82"/>
      <c r="T28" s="82"/>
      <c r="U28" s="83"/>
    </row>
    <row r="29" ht="24.95" customHeight="1" spans="1:21">
      <c r="A29" s="2"/>
      <c r="B29" s="51"/>
      <c r="C29" s="52"/>
      <c r="D29" s="84" t="s">
        <v>92</v>
      </c>
      <c r="E29" s="85" t="s">
        <v>113</v>
      </c>
      <c r="F29" s="86" t="s">
        <v>114</v>
      </c>
      <c r="G29" s="85" t="s">
        <v>115</v>
      </c>
      <c r="H29" s="86" t="s">
        <v>116</v>
      </c>
      <c r="I29" s="86" t="s">
        <v>117</v>
      </c>
      <c r="J29" s="86" t="s">
        <v>118</v>
      </c>
      <c r="K29" s="87" t="s">
        <v>119</v>
      </c>
      <c r="L29" s="51"/>
      <c r="M29" s="52"/>
      <c r="N29" s="88" t="s">
        <v>120</v>
      </c>
      <c r="O29" s="85" t="s">
        <v>121</v>
      </c>
      <c r="P29" s="86" t="s">
        <v>122</v>
      </c>
      <c r="Q29" s="85" t="s">
        <v>123</v>
      </c>
      <c r="R29" s="86" t="s">
        <v>124</v>
      </c>
      <c r="S29" s="86" t="s">
        <v>125</v>
      </c>
      <c r="T29" s="86" t="s">
        <v>118</v>
      </c>
      <c r="U29" s="87" t="s">
        <v>126</v>
      </c>
    </row>
    <row r="30" ht="24.95" customHeight="1" spans="1:21">
      <c r="A30" s="2"/>
      <c r="B30" s="51"/>
      <c r="C30" s="52"/>
      <c r="D30" s="53">
        <v>1</v>
      </c>
      <c r="E30" s="89" t="s">
        <v>200</v>
      </c>
      <c r="F30" s="90">
        <v>14</v>
      </c>
      <c r="G30" s="90">
        <v>2</v>
      </c>
      <c r="H30" s="90">
        <v>50</v>
      </c>
      <c r="I30" s="90">
        <f>23*2</f>
        <v>46</v>
      </c>
      <c r="J30" s="91">
        <f>22.9566*2</f>
        <v>45.9132</v>
      </c>
      <c r="K30" s="92">
        <f t="shared" ref="K30:K39" si="2">IF(E30="","",IF(J30="",F30/I30,F30/J30))</f>
        <v>0.304923202913323</v>
      </c>
      <c r="L30" s="51"/>
      <c r="M30" s="52"/>
      <c r="N30" s="53">
        <v>1</v>
      </c>
      <c r="O30" s="93" t="s">
        <v>128</v>
      </c>
      <c r="P30" s="90">
        <v>0</v>
      </c>
      <c r="Q30" s="94"/>
      <c r="R30" s="95">
        <f>O6</f>
        <v>61.2178</v>
      </c>
      <c r="S30" s="90">
        <v>23</v>
      </c>
      <c r="T30" s="94"/>
      <c r="U30" s="62">
        <f t="shared" ref="U30:U39" si="3">IF(O30="","",IF(T30="",P30/S30,P30/T30))</f>
        <v>0</v>
      </c>
    </row>
    <row r="31" ht="24.95" customHeight="1" spans="1:21">
      <c r="A31" s="2"/>
      <c r="B31" s="51"/>
      <c r="C31" s="52"/>
      <c r="D31" s="20">
        <v>2</v>
      </c>
      <c r="E31" s="22"/>
      <c r="F31" s="22"/>
      <c r="G31" s="22"/>
      <c r="H31" s="22"/>
      <c r="I31" s="22"/>
      <c r="J31" s="96"/>
      <c r="K31" s="97" t="str">
        <f t="shared" si="2"/>
        <v/>
      </c>
      <c r="L31" s="51"/>
      <c r="M31" s="52"/>
      <c r="N31" s="20">
        <v>2</v>
      </c>
      <c r="O31" s="98"/>
      <c r="P31" s="22"/>
      <c r="Q31" s="22"/>
      <c r="R31" s="99" t="str">
        <f t="shared" ref="R31:R39" si="4">IF(O31="","",R30)</f>
        <v/>
      </c>
      <c r="S31" s="22"/>
      <c r="T31" s="22"/>
      <c r="U31" s="69" t="str">
        <f t="shared" si="3"/>
        <v/>
      </c>
    </row>
    <row r="32" ht="24.95" customHeight="1" spans="1:21">
      <c r="A32" s="2"/>
      <c r="B32" s="51"/>
      <c r="C32" s="52"/>
      <c r="D32" s="20">
        <v>3</v>
      </c>
      <c r="E32" s="22"/>
      <c r="F32" s="22"/>
      <c r="G32" s="22"/>
      <c r="H32" s="22"/>
      <c r="I32" s="22"/>
      <c r="J32" s="96"/>
      <c r="K32" s="97" t="str">
        <f t="shared" si="2"/>
        <v/>
      </c>
      <c r="L32" s="51"/>
      <c r="M32" s="52"/>
      <c r="N32" s="20">
        <v>3</v>
      </c>
      <c r="O32" s="98"/>
      <c r="P32" s="22"/>
      <c r="Q32" s="22"/>
      <c r="R32" s="99" t="str">
        <f t="shared" si="4"/>
        <v/>
      </c>
      <c r="S32" s="22"/>
      <c r="T32" s="22"/>
      <c r="U32" s="69" t="str">
        <f t="shared" si="3"/>
        <v/>
      </c>
    </row>
    <row r="33" ht="24.95" customHeight="1" spans="1:21">
      <c r="A33" s="2"/>
      <c r="B33" s="51"/>
      <c r="C33" s="52"/>
      <c r="D33" s="20">
        <v>5</v>
      </c>
      <c r="E33" s="22"/>
      <c r="F33" s="22"/>
      <c r="G33" s="22"/>
      <c r="H33" s="22"/>
      <c r="I33" s="22"/>
      <c r="J33" s="96"/>
      <c r="K33" s="97" t="str">
        <f t="shared" si="2"/>
        <v/>
      </c>
      <c r="L33" s="51"/>
      <c r="M33" s="52"/>
      <c r="N33" s="20">
        <v>4</v>
      </c>
      <c r="O33" s="98"/>
      <c r="P33" s="22"/>
      <c r="Q33" s="22"/>
      <c r="R33" s="99" t="str">
        <f t="shared" si="4"/>
        <v/>
      </c>
      <c r="S33" s="22"/>
      <c r="T33" s="22"/>
      <c r="U33" s="69" t="str">
        <f t="shared" si="3"/>
        <v/>
      </c>
    </row>
    <row r="34" ht="24.95" customHeight="1" spans="1:21">
      <c r="A34" s="2"/>
      <c r="B34" s="51"/>
      <c r="C34" s="52"/>
      <c r="D34" s="20">
        <v>6</v>
      </c>
      <c r="E34" s="22"/>
      <c r="F34" s="22"/>
      <c r="G34" s="22"/>
      <c r="H34" s="22"/>
      <c r="I34" s="22"/>
      <c r="J34" s="96"/>
      <c r="K34" s="97" t="str">
        <f t="shared" si="2"/>
        <v/>
      </c>
      <c r="L34" s="51"/>
      <c r="M34" s="52"/>
      <c r="N34" s="20">
        <v>5</v>
      </c>
      <c r="O34" s="98"/>
      <c r="P34" s="22"/>
      <c r="Q34" s="22"/>
      <c r="R34" s="99" t="str">
        <f t="shared" si="4"/>
        <v/>
      </c>
      <c r="S34" s="22"/>
      <c r="T34" s="22"/>
      <c r="U34" s="69" t="str">
        <f t="shared" si="3"/>
        <v/>
      </c>
    </row>
    <row r="35" ht="24.95" customHeight="1" spans="1:21">
      <c r="A35" s="2"/>
      <c r="B35" s="51"/>
      <c r="C35" s="52"/>
      <c r="D35" s="20">
        <v>7</v>
      </c>
      <c r="E35" s="22"/>
      <c r="F35" s="22"/>
      <c r="G35" s="22"/>
      <c r="H35" s="22"/>
      <c r="I35" s="22"/>
      <c r="J35" s="96"/>
      <c r="K35" s="97" t="str">
        <f t="shared" si="2"/>
        <v/>
      </c>
      <c r="L35" s="51"/>
      <c r="M35" s="52"/>
      <c r="N35" s="20">
        <v>6</v>
      </c>
      <c r="O35" s="98"/>
      <c r="P35" s="22"/>
      <c r="Q35" s="22"/>
      <c r="R35" s="99" t="str">
        <f t="shared" si="4"/>
        <v/>
      </c>
      <c r="S35" s="22"/>
      <c r="T35" s="22"/>
      <c r="U35" s="69" t="str">
        <f t="shared" si="3"/>
        <v/>
      </c>
    </row>
    <row r="36" ht="24.95" customHeight="1" spans="1:21">
      <c r="A36" s="2"/>
      <c r="B36" s="51"/>
      <c r="C36" s="52"/>
      <c r="D36" s="20">
        <v>8</v>
      </c>
      <c r="E36" s="22"/>
      <c r="F36" s="22"/>
      <c r="G36" s="22"/>
      <c r="H36" s="22"/>
      <c r="I36" s="22"/>
      <c r="J36" s="96"/>
      <c r="K36" s="97" t="str">
        <f t="shared" si="2"/>
        <v/>
      </c>
      <c r="L36" s="51"/>
      <c r="M36" s="52"/>
      <c r="N36" s="20">
        <v>7</v>
      </c>
      <c r="O36" s="98"/>
      <c r="P36" s="22"/>
      <c r="Q36" s="22"/>
      <c r="R36" s="99" t="str">
        <f t="shared" si="4"/>
        <v/>
      </c>
      <c r="S36" s="22"/>
      <c r="T36" s="22"/>
      <c r="U36" s="69" t="str">
        <f t="shared" si="3"/>
        <v/>
      </c>
    </row>
    <row r="37" ht="24.95" customHeight="1" spans="1:21">
      <c r="A37" s="2"/>
      <c r="B37" s="51"/>
      <c r="C37" s="52"/>
      <c r="D37" s="20">
        <v>9</v>
      </c>
      <c r="E37" s="22"/>
      <c r="F37" s="22"/>
      <c r="G37" s="22"/>
      <c r="H37" s="22"/>
      <c r="I37" s="22"/>
      <c r="J37" s="96"/>
      <c r="K37" s="97" t="str">
        <f t="shared" si="2"/>
        <v/>
      </c>
      <c r="L37" s="51"/>
      <c r="M37" s="52"/>
      <c r="N37" s="20">
        <v>8</v>
      </c>
      <c r="O37" s="98"/>
      <c r="P37" s="22"/>
      <c r="Q37" s="22"/>
      <c r="R37" s="99" t="str">
        <f t="shared" si="4"/>
        <v/>
      </c>
      <c r="S37" s="22"/>
      <c r="T37" s="22"/>
      <c r="U37" s="69" t="str">
        <f t="shared" si="3"/>
        <v/>
      </c>
    </row>
    <row r="38" ht="24.95" customHeight="1" spans="1:21">
      <c r="A38" s="2"/>
      <c r="B38" s="51"/>
      <c r="C38" s="52"/>
      <c r="D38" s="20">
        <v>10</v>
      </c>
      <c r="E38" s="22"/>
      <c r="F38" s="22"/>
      <c r="G38" s="22"/>
      <c r="H38" s="22"/>
      <c r="I38" s="22"/>
      <c r="J38" s="96"/>
      <c r="K38" s="97" t="str">
        <f t="shared" si="2"/>
        <v/>
      </c>
      <c r="L38" s="51"/>
      <c r="M38" s="52"/>
      <c r="N38" s="20">
        <v>9</v>
      </c>
      <c r="O38" s="98"/>
      <c r="P38" s="22"/>
      <c r="Q38" s="22"/>
      <c r="R38" s="99" t="str">
        <f t="shared" si="4"/>
        <v/>
      </c>
      <c r="S38" s="22"/>
      <c r="T38" s="22"/>
      <c r="U38" s="69" t="str">
        <f t="shared" si="3"/>
        <v/>
      </c>
    </row>
    <row r="39" ht="24.95" customHeight="1" spans="1:21">
      <c r="A39" s="2"/>
      <c r="B39" s="51"/>
      <c r="C39" s="52"/>
      <c r="D39" s="20">
        <v>11</v>
      </c>
      <c r="E39" s="22"/>
      <c r="F39" s="22"/>
      <c r="G39" s="22"/>
      <c r="H39" s="22"/>
      <c r="I39" s="22"/>
      <c r="J39" s="96"/>
      <c r="K39" s="97" t="str">
        <f t="shared" si="2"/>
        <v/>
      </c>
      <c r="L39" s="51"/>
      <c r="M39" s="52"/>
      <c r="N39" s="20">
        <v>10</v>
      </c>
      <c r="O39" s="98"/>
      <c r="P39" s="22"/>
      <c r="Q39" s="22"/>
      <c r="R39" s="99" t="str">
        <f t="shared" si="4"/>
        <v/>
      </c>
      <c r="S39" s="22"/>
      <c r="T39" s="22"/>
      <c r="U39" s="69" t="str">
        <f t="shared" si="3"/>
        <v/>
      </c>
    </row>
    <row r="40" ht="24.95" customHeight="1" spans="1:21">
      <c r="A40" s="2"/>
      <c r="B40" s="75"/>
      <c r="C40" s="76"/>
      <c r="D40" s="34"/>
      <c r="E40" s="38" t="s">
        <v>129</v>
      </c>
      <c r="F40" s="77">
        <f>SUM(F30:F39)</f>
        <v>14</v>
      </c>
      <c r="G40" s="77"/>
      <c r="H40" s="38" t="s">
        <v>130</v>
      </c>
      <c r="I40" s="35"/>
      <c r="J40" s="100"/>
      <c r="K40" s="101">
        <f>SUM(K30:K39)</f>
        <v>0.304923202913323</v>
      </c>
      <c r="L40" s="75"/>
      <c r="M40" s="76"/>
      <c r="N40" s="102"/>
      <c r="O40" s="38" t="s">
        <v>131</v>
      </c>
      <c r="P40" s="77">
        <f>SUM(P30:P39)</f>
        <v>0</v>
      </c>
      <c r="Q40" s="103"/>
      <c r="R40" s="77"/>
      <c r="S40" s="77"/>
      <c r="T40" s="77"/>
      <c r="U40" s="79">
        <f>SUM(U30:U39)</f>
        <v>0</v>
      </c>
    </row>
    <row r="41" ht="33.95" customHeight="1" spans="1:21">
      <c r="A41" s="2"/>
      <c r="B41" s="104" t="s">
        <v>132</v>
      </c>
      <c r="C41" s="46" t="s">
        <v>133</v>
      </c>
      <c r="D41" s="105" t="s">
        <v>134</v>
      </c>
      <c r="E41" s="106" t="s">
        <v>135</v>
      </c>
      <c r="F41" s="107" t="s">
        <v>136</v>
      </c>
      <c r="G41" s="107" t="s">
        <v>137</v>
      </c>
      <c r="H41" s="107" t="s">
        <v>138</v>
      </c>
      <c r="I41" s="106" t="s">
        <v>139</v>
      </c>
      <c r="J41" s="107" t="s">
        <v>140</v>
      </c>
      <c r="K41" s="106" t="s">
        <v>141</v>
      </c>
      <c r="L41" s="108" t="s">
        <v>142</v>
      </c>
      <c r="M41" s="109"/>
      <c r="N41" s="106" t="s">
        <v>143</v>
      </c>
      <c r="O41" s="109"/>
      <c r="P41" s="107" t="s">
        <v>144</v>
      </c>
      <c r="Q41" s="110" t="s">
        <v>145</v>
      </c>
      <c r="R41" s="106" t="s">
        <v>146</v>
      </c>
      <c r="S41" s="107" t="s">
        <v>147</v>
      </c>
      <c r="T41" s="107" t="s">
        <v>148</v>
      </c>
      <c r="U41" s="111" t="s">
        <v>149</v>
      </c>
    </row>
    <row r="42" ht="24.95" customHeight="1" spans="1:21">
      <c r="A42" s="2"/>
      <c r="B42" s="51"/>
      <c r="C42" s="52"/>
      <c r="D42" s="53">
        <v>1</v>
      </c>
      <c r="E42" s="90" t="s">
        <v>201</v>
      </c>
      <c r="F42" s="90">
        <v>22.5</v>
      </c>
      <c r="G42" s="112">
        <f t="shared" ref="G42:G57" si="5">IF(E42="","",12/H42*L42)</f>
        <v>1440</v>
      </c>
      <c r="H42" s="113">
        <f t="shared" ref="H42:H57" si="6">IF(E42="","",F42/3600)</f>
        <v>0.00625</v>
      </c>
      <c r="I42" s="90">
        <v>1.5</v>
      </c>
      <c r="J42" s="114">
        <v>24</v>
      </c>
      <c r="K42" s="115">
        <f t="shared" ref="K42:K57" si="7">IF(E42="","",H42*I42/L42)</f>
        <v>0.0125</v>
      </c>
      <c r="L42" s="116">
        <v>0.75</v>
      </c>
      <c r="M42" s="117"/>
      <c r="N42" s="118">
        <f t="shared" ref="N42:N57" si="8">IF(F42="","",IF(E42="","",J42*K42))</f>
        <v>0.3</v>
      </c>
      <c r="O42" s="119"/>
      <c r="P42" s="90">
        <v>12</v>
      </c>
      <c r="Q42" s="95" t="str">
        <f t="shared" ref="Q42:Q57" si="9">IF(E42="","","10年2班折90%")</f>
        <v>10年2班折90%</v>
      </c>
      <c r="R42" s="115">
        <f t="shared" ref="R42:R57" si="10">IF(E42="","",P42*0.9/10/$U$8/22*H42*10000/L42)</f>
        <v>0.0136363636363636</v>
      </c>
      <c r="S42" s="120">
        <v>22</v>
      </c>
      <c r="T42" s="57">
        <v>0.45</v>
      </c>
      <c r="U42" s="62">
        <f t="shared" ref="U42:U57" si="11">IF(S42="","",S42*T42*$U$7*H42/((L42+(1-L42)/1.4)))</f>
        <v>0.0666346153846154</v>
      </c>
    </row>
    <row r="43" ht="24.95" customHeight="1" spans="1:21">
      <c r="A43" s="2"/>
      <c r="B43" s="51"/>
      <c r="C43" s="52"/>
      <c r="D43" s="20">
        <v>2</v>
      </c>
      <c r="E43" s="22"/>
      <c r="F43" s="90"/>
      <c r="G43" s="112" t="str">
        <f t="shared" si="5"/>
        <v/>
      </c>
      <c r="H43" s="113" t="str">
        <f t="shared" si="6"/>
        <v/>
      </c>
      <c r="I43" s="22"/>
      <c r="J43" s="121"/>
      <c r="K43" s="115" t="str">
        <f t="shared" si="7"/>
        <v/>
      </c>
      <c r="L43" s="68"/>
      <c r="M43" s="23"/>
      <c r="N43" s="118" t="str">
        <f t="shared" si="8"/>
        <v/>
      </c>
      <c r="O43" s="119"/>
      <c r="P43" s="22"/>
      <c r="Q43" s="99" t="str">
        <f t="shared" si="9"/>
        <v/>
      </c>
      <c r="R43" s="115" t="str">
        <f t="shared" si="10"/>
        <v/>
      </c>
      <c r="S43" s="122"/>
      <c r="T43" s="65"/>
      <c r="U43" s="62" t="str">
        <f t="shared" si="11"/>
        <v/>
      </c>
    </row>
    <row r="44" ht="24.95" customHeight="1" spans="1:21">
      <c r="A44" s="2"/>
      <c r="B44" s="51"/>
      <c r="C44" s="52"/>
      <c r="D44" s="20">
        <v>3</v>
      </c>
      <c r="E44" s="22"/>
      <c r="F44" s="22"/>
      <c r="G44" s="112" t="str">
        <f t="shared" si="5"/>
        <v/>
      </c>
      <c r="H44" s="113" t="str">
        <f t="shared" si="6"/>
        <v/>
      </c>
      <c r="I44" s="22"/>
      <c r="J44" s="121"/>
      <c r="K44" s="115" t="str">
        <f t="shared" si="7"/>
        <v/>
      </c>
      <c r="L44" s="68"/>
      <c r="M44" s="23"/>
      <c r="N44" s="118" t="str">
        <f t="shared" si="8"/>
        <v/>
      </c>
      <c r="O44" s="119"/>
      <c r="P44" s="22"/>
      <c r="Q44" s="99" t="str">
        <f t="shared" si="9"/>
        <v/>
      </c>
      <c r="R44" s="115" t="str">
        <f t="shared" si="10"/>
        <v/>
      </c>
      <c r="S44" s="122"/>
      <c r="T44" s="65"/>
      <c r="U44" s="62" t="str">
        <f t="shared" si="11"/>
        <v/>
      </c>
    </row>
    <row r="45" ht="24.95" customHeight="1" spans="1:21">
      <c r="A45" s="2"/>
      <c r="B45" s="51"/>
      <c r="C45" s="52"/>
      <c r="D45" s="20">
        <v>4</v>
      </c>
      <c r="E45" s="22"/>
      <c r="F45" s="22"/>
      <c r="G45" s="112" t="str">
        <f t="shared" si="5"/>
        <v/>
      </c>
      <c r="H45" s="113" t="str">
        <f t="shared" si="6"/>
        <v/>
      </c>
      <c r="I45" s="22"/>
      <c r="J45" s="121"/>
      <c r="K45" s="115" t="str">
        <f t="shared" si="7"/>
        <v/>
      </c>
      <c r="L45" s="68"/>
      <c r="M45" s="23"/>
      <c r="N45" s="118" t="str">
        <f t="shared" si="8"/>
        <v/>
      </c>
      <c r="O45" s="119"/>
      <c r="P45" s="22"/>
      <c r="Q45" s="99" t="str">
        <f t="shared" si="9"/>
        <v/>
      </c>
      <c r="R45" s="115" t="str">
        <f t="shared" si="10"/>
        <v/>
      </c>
      <c r="S45" s="122"/>
      <c r="T45" s="65"/>
      <c r="U45" s="62" t="str">
        <f t="shared" si="11"/>
        <v/>
      </c>
    </row>
    <row r="46" ht="24.95" customHeight="1" spans="1:21">
      <c r="A46" s="2"/>
      <c r="B46" s="51"/>
      <c r="C46" s="52"/>
      <c r="D46" s="20">
        <v>5</v>
      </c>
      <c r="E46" s="22"/>
      <c r="F46" s="22"/>
      <c r="G46" s="112" t="str">
        <f t="shared" si="5"/>
        <v/>
      </c>
      <c r="H46" s="113" t="str">
        <f t="shared" si="6"/>
        <v/>
      </c>
      <c r="I46" s="22"/>
      <c r="J46" s="121"/>
      <c r="K46" s="115" t="str">
        <f t="shared" si="7"/>
        <v/>
      </c>
      <c r="L46" s="68"/>
      <c r="M46" s="23"/>
      <c r="N46" s="118" t="str">
        <f t="shared" si="8"/>
        <v/>
      </c>
      <c r="O46" s="119"/>
      <c r="P46" s="22"/>
      <c r="Q46" s="99" t="str">
        <f t="shared" si="9"/>
        <v/>
      </c>
      <c r="R46" s="115" t="str">
        <f t="shared" si="10"/>
        <v/>
      </c>
      <c r="S46" s="122"/>
      <c r="T46" s="65"/>
      <c r="U46" s="62" t="str">
        <f t="shared" si="11"/>
        <v/>
      </c>
    </row>
    <row r="47" ht="24.95" customHeight="1" spans="1:21">
      <c r="A47" s="2"/>
      <c r="B47" s="51"/>
      <c r="C47" s="52"/>
      <c r="D47" s="20">
        <v>6</v>
      </c>
      <c r="E47" s="22"/>
      <c r="F47" s="22"/>
      <c r="G47" s="112" t="str">
        <f t="shared" si="5"/>
        <v/>
      </c>
      <c r="H47" s="113" t="str">
        <f t="shared" si="6"/>
        <v/>
      </c>
      <c r="I47" s="22"/>
      <c r="J47" s="121"/>
      <c r="K47" s="115" t="str">
        <f t="shared" si="7"/>
        <v/>
      </c>
      <c r="L47" s="68"/>
      <c r="M47" s="23"/>
      <c r="N47" s="118" t="str">
        <f t="shared" si="8"/>
        <v/>
      </c>
      <c r="O47" s="119"/>
      <c r="P47" s="22"/>
      <c r="Q47" s="99" t="str">
        <f t="shared" si="9"/>
        <v/>
      </c>
      <c r="R47" s="115" t="str">
        <f t="shared" si="10"/>
        <v/>
      </c>
      <c r="S47" s="122"/>
      <c r="T47" s="65"/>
      <c r="U47" s="62" t="str">
        <f t="shared" si="11"/>
        <v/>
      </c>
    </row>
    <row r="48" ht="24.95" customHeight="1" spans="1:21">
      <c r="A48" s="2"/>
      <c r="B48" s="51"/>
      <c r="C48" s="52"/>
      <c r="D48" s="20">
        <v>7</v>
      </c>
      <c r="E48" s="22"/>
      <c r="F48" s="22"/>
      <c r="G48" s="112" t="str">
        <f t="shared" si="5"/>
        <v/>
      </c>
      <c r="H48" s="113" t="str">
        <f t="shared" si="6"/>
        <v/>
      </c>
      <c r="I48" s="22"/>
      <c r="J48" s="121"/>
      <c r="K48" s="115" t="str">
        <f t="shared" si="7"/>
        <v/>
      </c>
      <c r="L48" s="68"/>
      <c r="M48" s="23"/>
      <c r="N48" s="118" t="str">
        <f t="shared" si="8"/>
        <v/>
      </c>
      <c r="O48" s="119"/>
      <c r="P48" s="22"/>
      <c r="Q48" s="99" t="str">
        <f t="shared" si="9"/>
        <v/>
      </c>
      <c r="R48" s="115" t="str">
        <f t="shared" si="10"/>
        <v/>
      </c>
      <c r="S48" s="122"/>
      <c r="T48" s="65"/>
      <c r="U48" s="62" t="str">
        <f t="shared" si="11"/>
        <v/>
      </c>
    </row>
    <row r="49" ht="24.95" customHeight="1" spans="1:21">
      <c r="A49" s="2"/>
      <c r="B49" s="51"/>
      <c r="C49" s="52"/>
      <c r="D49" s="20">
        <v>8</v>
      </c>
      <c r="E49" s="22"/>
      <c r="F49" s="22"/>
      <c r="G49" s="112" t="str">
        <f t="shared" si="5"/>
        <v/>
      </c>
      <c r="H49" s="113" t="str">
        <f t="shared" si="6"/>
        <v/>
      </c>
      <c r="I49" s="22"/>
      <c r="J49" s="121"/>
      <c r="K49" s="115" t="str">
        <f t="shared" si="7"/>
        <v/>
      </c>
      <c r="L49" s="68"/>
      <c r="M49" s="23"/>
      <c r="N49" s="118" t="str">
        <f t="shared" si="8"/>
        <v/>
      </c>
      <c r="O49" s="119"/>
      <c r="P49" s="22"/>
      <c r="Q49" s="99" t="str">
        <f t="shared" si="9"/>
        <v/>
      </c>
      <c r="R49" s="115" t="str">
        <f t="shared" si="10"/>
        <v/>
      </c>
      <c r="S49" s="122"/>
      <c r="T49" s="65"/>
      <c r="U49" s="62" t="str">
        <f t="shared" si="11"/>
        <v/>
      </c>
    </row>
    <row r="50" ht="24.95" customHeight="1" spans="1:21">
      <c r="A50" s="2"/>
      <c r="B50" s="51"/>
      <c r="C50" s="52"/>
      <c r="D50" s="20">
        <v>9</v>
      </c>
      <c r="E50" s="22"/>
      <c r="F50" s="22"/>
      <c r="G50" s="112" t="str">
        <f t="shared" si="5"/>
        <v/>
      </c>
      <c r="H50" s="113" t="str">
        <f t="shared" si="6"/>
        <v/>
      </c>
      <c r="I50" s="22"/>
      <c r="J50" s="121"/>
      <c r="K50" s="115" t="str">
        <f t="shared" si="7"/>
        <v/>
      </c>
      <c r="L50" s="68"/>
      <c r="M50" s="23"/>
      <c r="N50" s="118" t="str">
        <f t="shared" si="8"/>
        <v/>
      </c>
      <c r="O50" s="119"/>
      <c r="P50" s="22"/>
      <c r="Q50" s="99" t="str">
        <f t="shared" si="9"/>
        <v/>
      </c>
      <c r="R50" s="115" t="str">
        <f t="shared" si="10"/>
        <v/>
      </c>
      <c r="S50" s="122"/>
      <c r="T50" s="65"/>
      <c r="U50" s="62" t="str">
        <f t="shared" si="11"/>
        <v/>
      </c>
    </row>
    <row r="51" ht="24.95" customHeight="1" spans="1:21">
      <c r="A51" s="2"/>
      <c r="B51" s="51"/>
      <c r="C51" s="52"/>
      <c r="D51" s="20">
        <v>10</v>
      </c>
      <c r="E51" s="22"/>
      <c r="F51" s="22"/>
      <c r="G51" s="112" t="str">
        <f t="shared" si="5"/>
        <v/>
      </c>
      <c r="H51" s="113" t="str">
        <f t="shared" si="6"/>
        <v/>
      </c>
      <c r="I51" s="22"/>
      <c r="J51" s="121"/>
      <c r="K51" s="115" t="str">
        <f t="shared" si="7"/>
        <v/>
      </c>
      <c r="L51" s="68"/>
      <c r="M51" s="23"/>
      <c r="N51" s="118" t="str">
        <f t="shared" si="8"/>
        <v/>
      </c>
      <c r="O51" s="119"/>
      <c r="P51" s="22"/>
      <c r="Q51" s="99" t="str">
        <f t="shared" si="9"/>
        <v/>
      </c>
      <c r="R51" s="115" t="str">
        <f t="shared" si="10"/>
        <v/>
      </c>
      <c r="S51" s="122"/>
      <c r="T51" s="65"/>
      <c r="U51" s="62" t="str">
        <f t="shared" si="11"/>
        <v/>
      </c>
    </row>
    <row r="52" ht="24.95" customHeight="1" spans="1:21">
      <c r="A52" s="2"/>
      <c r="B52" s="51"/>
      <c r="C52" s="52"/>
      <c r="D52" s="20">
        <v>11</v>
      </c>
      <c r="E52" s="22"/>
      <c r="F52" s="22"/>
      <c r="G52" s="112" t="str">
        <f t="shared" si="5"/>
        <v/>
      </c>
      <c r="H52" s="113" t="str">
        <f t="shared" si="6"/>
        <v/>
      </c>
      <c r="I52" s="22"/>
      <c r="J52" s="121"/>
      <c r="K52" s="115" t="str">
        <f t="shared" si="7"/>
        <v/>
      </c>
      <c r="L52" s="68"/>
      <c r="M52" s="23"/>
      <c r="N52" s="118" t="str">
        <f t="shared" si="8"/>
        <v/>
      </c>
      <c r="O52" s="119"/>
      <c r="P52" s="22"/>
      <c r="Q52" s="99" t="str">
        <f t="shared" si="9"/>
        <v/>
      </c>
      <c r="R52" s="115" t="str">
        <f t="shared" si="10"/>
        <v/>
      </c>
      <c r="S52" s="122"/>
      <c r="T52" s="65"/>
      <c r="U52" s="62" t="str">
        <f t="shared" si="11"/>
        <v/>
      </c>
    </row>
    <row r="53" ht="24.95" customHeight="1" spans="1:21">
      <c r="A53" s="2"/>
      <c r="B53" s="51"/>
      <c r="C53" s="52"/>
      <c r="D53" s="20">
        <v>12</v>
      </c>
      <c r="E53" s="22"/>
      <c r="F53" s="22"/>
      <c r="G53" s="112" t="str">
        <f t="shared" si="5"/>
        <v/>
      </c>
      <c r="H53" s="113" t="str">
        <f t="shared" si="6"/>
        <v/>
      </c>
      <c r="I53" s="22"/>
      <c r="J53" s="121"/>
      <c r="K53" s="115" t="str">
        <f t="shared" si="7"/>
        <v/>
      </c>
      <c r="L53" s="68"/>
      <c r="M53" s="23"/>
      <c r="N53" s="118" t="str">
        <f t="shared" si="8"/>
        <v/>
      </c>
      <c r="O53" s="119"/>
      <c r="P53" s="22"/>
      <c r="Q53" s="99" t="str">
        <f t="shared" si="9"/>
        <v/>
      </c>
      <c r="R53" s="115" t="str">
        <f t="shared" si="10"/>
        <v/>
      </c>
      <c r="S53" s="122"/>
      <c r="T53" s="65"/>
      <c r="U53" s="62" t="str">
        <f t="shared" si="11"/>
        <v/>
      </c>
    </row>
    <row r="54" ht="24.95" customHeight="1" spans="1:21">
      <c r="A54" s="2"/>
      <c r="B54" s="51"/>
      <c r="C54" s="52"/>
      <c r="D54" s="20">
        <v>13</v>
      </c>
      <c r="E54" s="22"/>
      <c r="F54" s="22"/>
      <c r="G54" s="112" t="str">
        <f t="shared" si="5"/>
        <v/>
      </c>
      <c r="H54" s="113" t="str">
        <f t="shared" si="6"/>
        <v/>
      </c>
      <c r="I54" s="22"/>
      <c r="J54" s="121"/>
      <c r="K54" s="115" t="str">
        <f t="shared" si="7"/>
        <v/>
      </c>
      <c r="L54" s="68"/>
      <c r="M54" s="23"/>
      <c r="N54" s="118" t="str">
        <f t="shared" si="8"/>
        <v/>
      </c>
      <c r="O54" s="119"/>
      <c r="P54" s="22"/>
      <c r="Q54" s="99" t="str">
        <f t="shared" si="9"/>
        <v/>
      </c>
      <c r="R54" s="115" t="str">
        <f t="shared" si="10"/>
        <v/>
      </c>
      <c r="S54" s="122"/>
      <c r="T54" s="65"/>
      <c r="U54" s="62" t="str">
        <f t="shared" si="11"/>
        <v/>
      </c>
    </row>
    <row r="55" ht="24.95" customHeight="1" spans="1:21">
      <c r="A55" s="2"/>
      <c r="B55" s="51"/>
      <c r="C55" s="52"/>
      <c r="D55" s="20">
        <v>14</v>
      </c>
      <c r="E55" s="22"/>
      <c r="F55" s="22"/>
      <c r="G55" s="112" t="str">
        <f t="shared" si="5"/>
        <v/>
      </c>
      <c r="H55" s="113" t="str">
        <f t="shared" si="6"/>
        <v/>
      </c>
      <c r="I55" s="22"/>
      <c r="J55" s="121"/>
      <c r="K55" s="115" t="str">
        <f t="shared" si="7"/>
        <v/>
      </c>
      <c r="L55" s="68"/>
      <c r="M55" s="23"/>
      <c r="N55" s="118" t="str">
        <f t="shared" si="8"/>
        <v/>
      </c>
      <c r="O55" s="119"/>
      <c r="P55" s="22"/>
      <c r="Q55" s="99" t="str">
        <f t="shared" si="9"/>
        <v/>
      </c>
      <c r="R55" s="115" t="str">
        <f t="shared" si="10"/>
        <v/>
      </c>
      <c r="S55" s="122"/>
      <c r="T55" s="65"/>
      <c r="U55" s="62" t="str">
        <f t="shared" si="11"/>
        <v/>
      </c>
    </row>
    <row r="56" ht="24.95" customHeight="1" spans="1:21">
      <c r="A56" s="2"/>
      <c r="B56" s="51"/>
      <c r="C56" s="52"/>
      <c r="D56" s="20">
        <v>15</v>
      </c>
      <c r="E56" s="22"/>
      <c r="F56" s="22"/>
      <c r="G56" s="112" t="str">
        <f t="shared" si="5"/>
        <v/>
      </c>
      <c r="H56" s="113" t="str">
        <f t="shared" si="6"/>
        <v/>
      </c>
      <c r="I56" s="22"/>
      <c r="J56" s="121"/>
      <c r="K56" s="115" t="str">
        <f t="shared" si="7"/>
        <v/>
      </c>
      <c r="L56" s="68"/>
      <c r="M56" s="23"/>
      <c r="N56" s="118" t="str">
        <f t="shared" si="8"/>
        <v/>
      </c>
      <c r="O56" s="119"/>
      <c r="P56" s="22"/>
      <c r="Q56" s="99" t="str">
        <f t="shared" si="9"/>
        <v/>
      </c>
      <c r="R56" s="115" t="str">
        <f t="shared" si="10"/>
        <v/>
      </c>
      <c r="S56" s="122"/>
      <c r="T56" s="65"/>
      <c r="U56" s="62" t="str">
        <f t="shared" si="11"/>
        <v/>
      </c>
    </row>
    <row r="57" ht="24.95" customHeight="1" spans="1:21">
      <c r="A57" s="2"/>
      <c r="B57" s="51"/>
      <c r="C57" s="52"/>
      <c r="D57" s="20">
        <v>16</v>
      </c>
      <c r="E57" s="22"/>
      <c r="F57" s="22"/>
      <c r="G57" s="112" t="str">
        <f t="shared" si="5"/>
        <v/>
      </c>
      <c r="H57" s="113" t="str">
        <f t="shared" si="6"/>
        <v/>
      </c>
      <c r="I57" s="22"/>
      <c r="J57" s="121"/>
      <c r="K57" s="115" t="str">
        <f t="shared" si="7"/>
        <v/>
      </c>
      <c r="L57" s="68"/>
      <c r="M57" s="23"/>
      <c r="N57" s="118" t="str">
        <f t="shared" si="8"/>
        <v/>
      </c>
      <c r="O57" s="119"/>
      <c r="P57" s="22"/>
      <c r="Q57" s="99" t="str">
        <f t="shared" si="9"/>
        <v/>
      </c>
      <c r="R57" s="115" t="str">
        <f t="shared" si="10"/>
        <v/>
      </c>
      <c r="S57" s="122"/>
      <c r="T57" s="65"/>
      <c r="U57" s="62" t="str">
        <f t="shared" si="11"/>
        <v/>
      </c>
    </row>
    <row r="58" ht="24.95" customHeight="1" spans="1:21">
      <c r="A58" s="2"/>
      <c r="B58" s="75"/>
      <c r="C58" s="76"/>
      <c r="D58" s="123">
        <v>17</v>
      </c>
      <c r="E58" s="124"/>
      <c r="F58" s="124"/>
      <c r="G58" s="124"/>
      <c r="H58" s="124"/>
      <c r="I58" s="124"/>
      <c r="J58" s="124" t="s">
        <v>151</v>
      </c>
      <c r="K58" s="38">
        <f>SUM(K42:K57)</f>
        <v>0.0125</v>
      </c>
      <c r="L58" s="38" t="s">
        <v>152</v>
      </c>
      <c r="M58" s="35"/>
      <c r="N58" s="125">
        <f>SUM(N42:O57)</f>
        <v>0.3</v>
      </c>
      <c r="O58" s="35"/>
      <c r="P58" s="126"/>
      <c r="Q58" s="127" t="s">
        <v>153</v>
      </c>
      <c r="R58" s="128">
        <f>SUM(R42:R57)</f>
        <v>0.0136363636363636</v>
      </c>
      <c r="S58" s="129"/>
      <c r="T58" s="130" t="s">
        <v>154</v>
      </c>
      <c r="U58" s="131">
        <f>SUM(U42:U57)</f>
        <v>0.0666346153846154</v>
      </c>
    </row>
    <row r="59" ht="24.95" customHeight="1" spans="1:21">
      <c r="A59" s="2"/>
      <c r="B59" s="53" t="s">
        <v>155</v>
      </c>
      <c r="C59" s="132" t="s">
        <v>156</v>
      </c>
      <c r="D59" s="119"/>
      <c r="E59" s="133">
        <f>IF(U6="",N58,U6*K58)</f>
        <v>0.3</v>
      </c>
      <c r="F59" s="134" t="s">
        <v>157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0"/>
      <c r="Q59" s="136" t="s">
        <v>158</v>
      </c>
      <c r="R59" s="137"/>
      <c r="S59" s="137"/>
      <c r="T59" s="137"/>
      <c r="U59" s="138"/>
    </row>
    <row r="60" ht="24.95" customHeight="1" spans="1:21">
      <c r="A60" s="2"/>
      <c r="B60" s="20" t="s">
        <v>159</v>
      </c>
      <c r="C60" s="27" t="s">
        <v>160</v>
      </c>
      <c r="D60" s="21"/>
      <c r="E60" s="139">
        <f>(K27+K40+U40+R58+U58+E59+U27)*O8</f>
        <v>0.042610083638686</v>
      </c>
      <c r="F60" s="140" t="s">
        <v>161</v>
      </c>
      <c r="G60" s="141"/>
      <c r="H60" s="141"/>
      <c r="I60" s="141"/>
      <c r="J60" s="141"/>
      <c r="K60" s="141"/>
      <c r="L60" s="141"/>
      <c r="M60" s="141"/>
      <c r="N60" s="141"/>
      <c r="O60" s="141"/>
      <c r="P60" s="21"/>
      <c r="Q60" s="142" t="s">
        <v>162</v>
      </c>
      <c r="R60" s="143"/>
      <c r="S60" s="144"/>
      <c r="T60" s="145"/>
      <c r="U60" s="146"/>
    </row>
    <row r="61" ht="24.95" customHeight="1" spans="1:21">
      <c r="A61" s="2"/>
      <c r="B61" s="20" t="s">
        <v>163</v>
      </c>
      <c r="C61" s="27" t="s">
        <v>164</v>
      </c>
      <c r="D61" s="21"/>
      <c r="E61" s="139">
        <f>(K27+U27)*0.03+(K40+U40+R58+U58+E59+E60)*0.05</f>
        <v>0.0797495132786494</v>
      </c>
      <c r="F61" s="140" t="s">
        <v>165</v>
      </c>
      <c r="G61" s="141"/>
      <c r="H61" s="141"/>
      <c r="I61" s="141"/>
      <c r="J61" s="141"/>
      <c r="K61" s="141"/>
      <c r="L61" s="141"/>
      <c r="M61" s="141"/>
      <c r="N61" s="141"/>
      <c r="O61" s="141"/>
      <c r="P61" s="21"/>
      <c r="Q61" s="147" t="s">
        <v>166</v>
      </c>
      <c r="R61" s="141"/>
      <c r="S61" s="29"/>
      <c r="T61" s="25"/>
      <c r="U61" s="148"/>
    </row>
    <row r="62" ht="24.95" customHeight="1" spans="1:21">
      <c r="A62" s="2"/>
      <c r="B62" s="20" t="s">
        <v>167</v>
      </c>
      <c r="C62" s="27" t="s">
        <v>168</v>
      </c>
      <c r="D62" s="21"/>
      <c r="E62" s="149">
        <v>0.5</v>
      </c>
      <c r="F62" s="140" t="s">
        <v>169</v>
      </c>
      <c r="G62" s="141"/>
      <c r="H62" s="141"/>
      <c r="I62" s="141"/>
      <c r="J62" s="141"/>
      <c r="K62" s="141"/>
      <c r="L62" s="141"/>
      <c r="M62" s="141"/>
      <c r="N62" s="141"/>
      <c r="O62" s="141"/>
      <c r="P62" s="21"/>
      <c r="Q62" s="147" t="s">
        <v>170</v>
      </c>
      <c r="R62" s="141"/>
      <c r="S62" s="29"/>
      <c r="T62" s="25"/>
      <c r="U62" s="148"/>
    </row>
    <row r="63" ht="24.95" customHeight="1" spans="1:21">
      <c r="A63" s="2"/>
      <c r="B63" s="20" t="s">
        <v>171</v>
      </c>
      <c r="C63" s="27" t="s">
        <v>172</v>
      </c>
      <c r="D63" s="21"/>
      <c r="E63" s="150">
        <v>0.3</v>
      </c>
      <c r="F63" s="140" t="s">
        <v>173</v>
      </c>
      <c r="G63" s="141"/>
      <c r="H63" s="141"/>
      <c r="I63" s="141"/>
      <c r="J63" s="141"/>
      <c r="K63" s="141"/>
      <c r="L63" s="141"/>
      <c r="M63" s="141"/>
      <c r="N63" s="141"/>
      <c r="O63" s="141"/>
      <c r="P63" s="21"/>
      <c r="Q63" s="151"/>
      <c r="R63" s="152"/>
      <c r="S63" s="153"/>
      <c r="T63" s="154"/>
      <c r="U63" s="155"/>
    </row>
    <row r="64" ht="24.95" customHeight="1" spans="1:21">
      <c r="A64" s="2"/>
      <c r="B64" s="20" t="s">
        <v>174</v>
      </c>
      <c r="C64" s="27" t="s">
        <v>175</v>
      </c>
      <c r="D64" s="21"/>
      <c r="E64" s="156">
        <f>K27+U27+K40+R58+U58+E59+E60+E61+E62+E63+U40-S60</f>
        <v>3.05286377885164</v>
      </c>
      <c r="F64" s="140" t="s">
        <v>176</v>
      </c>
      <c r="G64" s="141"/>
      <c r="H64" s="141"/>
      <c r="I64" s="141"/>
      <c r="J64" s="141"/>
      <c r="K64" s="141"/>
      <c r="L64" s="141"/>
      <c r="M64" s="141"/>
      <c r="N64" s="141"/>
      <c r="O64" s="141"/>
      <c r="P64" s="21"/>
      <c r="Q64" s="157" t="s">
        <v>177</v>
      </c>
      <c r="R64" s="82"/>
      <c r="S64" s="82"/>
      <c r="T64" s="82"/>
      <c r="U64" s="83"/>
    </row>
    <row r="65" ht="24.95" customHeight="1" spans="1:21">
      <c r="A65" s="2"/>
      <c r="B65" s="20" t="s">
        <v>178</v>
      </c>
      <c r="C65" s="27" t="s">
        <v>179</v>
      </c>
      <c r="D65" s="21"/>
      <c r="E65" s="158">
        <v>0.05</v>
      </c>
      <c r="F65" s="140" t="s">
        <v>180</v>
      </c>
      <c r="G65" s="141"/>
      <c r="H65" s="141"/>
      <c r="I65" s="141"/>
      <c r="J65" s="141"/>
      <c r="K65" s="141"/>
      <c r="L65" s="141"/>
      <c r="M65" s="141"/>
      <c r="N65" s="141"/>
      <c r="O65" s="141"/>
      <c r="P65" s="21"/>
      <c r="Q65" s="159"/>
      <c r="R65" s="160"/>
      <c r="S65" s="160"/>
      <c r="T65" s="160"/>
      <c r="U65" s="161"/>
    </row>
    <row r="66" ht="24.95" customHeight="1" spans="1:21">
      <c r="A66" s="2"/>
      <c r="B66" s="20" t="s">
        <v>181</v>
      </c>
      <c r="C66" s="27" t="s">
        <v>182</v>
      </c>
      <c r="D66" s="21"/>
      <c r="E66" s="139">
        <f>E64*E65</f>
        <v>0.152643188942582</v>
      </c>
      <c r="F66" s="140" t="s">
        <v>183</v>
      </c>
      <c r="G66" s="141"/>
      <c r="H66" s="141"/>
      <c r="I66" s="141"/>
      <c r="J66" s="141"/>
      <c r="K66" s="141"/>
      <c r="L66" s="141"/>
      <c r="M66" s="141"/>
      <c r="N66" s="141"/>
      <c r="O66" s="141"/>
      <c r="P66" s="21"/>
      <c r="Q66" s="160"/>
      <c r="R66" s="160"/>
      <c r="S66" s="160"/>
      <c r="T66" s="160"/>
      <c r="U66" s="161"/>
    </row>
    <row r="67" ht="24.95" customHeight="1" spans="1:21">
      <c r="A67" s="2"/>
      <c r="B67" s="20" t="s">
        <v>184</v>
      </c>
      <c r="C67" s="27" t="s">
        <v>185</v>
      </c>
      <c r="D67" s="21"/>
      <c r="E67" s="139">
        <f>E64+E66</f>
        <v>3.20550696779422</v>
      </c>
      <c r="F67" s="140" t="s">
        <v>186</v>
      </c>
      <c r="G67" s="141"/>
      <c r="H67" s="141"/>
      <c r="I67" s="141"/>
      <c r="J67" s="141"/>
      <c r="K67" s="141"/>
      <c r="L67" s="141"/>
      <c r="M67" s="141"/>
      <c r="N67" s="141"/>
      <c r="O67" s="141"/>
      <c r="P67" s="21"/>
      <c r="Q67" s="160"/>
      <c r="R67" s="160"/>
      <c r="S67" s="160"/>
      <c r="T67" s="160"/>
      <c r="U67" s="161"/>
    </row>
    <row r="68" ht="24.95" customHeight="1" spans="1:21">
      <c r="A68" s="2"/>
      <c r="B68" s="20" t="s">
        <v>187</v>
      </c>
      <c r="C68" s="27" t="s">
        <v>188</v>
      </c>
      <c r="D68" s="21"/>
      <c r="E68" s="139">
        <f>E67*0.13</f>
        <v>0.416715905813249</v>
      </c>
      <c r="F68" s="140" t="s">
        <v>189</v>
      </c>
      <c r="G68" s="141"/>
      <c r="H68" s="141"/>
      <c r="I68" s="141"/>
      <c r="J68" s="141"/>
      <c r="K68" s="141"/>
      <c r="L68" s="141"/>
      <c r="M68" s="141"/>
      <c r="N68" s="141"/>
      <c r="O68" s="141"/>
      <c r="P68" s="21"/>
      <c r="Q68" s="160"/>
      <c r="R68" s="160"/>
      <c r="S68" s="160"/>
      <c r="T68" s="160"/>
      <c r="U68" s="161"/>
    </row>
    <row r="69" ht="24.95" customHeight="1" spans="1:21">
      <c r="A69" s="2"/>
      <c r="B69" s="123" t="s">
        <v>190</v>
      </c>
      <c r="C69" s="130" t="s">
        <v>191</v>
      </c>
      <c r="D69" s="162"/>
      <c r="E69" s="163">
        <f>E67+E68</f>
        <v>3.62222287360747</v>
      </c>
      <c r="F69" s="164" t="s">
        <v>192</v>
      </c>
      <c r="G69" s="152"/>
      <c r="H69" s="152"/>
      <c r="I69" s="152"/>
      <c r="J69" s="152"/>
      <c r="K69" s="152"/>
      <c r="L69" s="152"/>
      <c r="M69" s="152"/>
      <c r="N69" s="152"/>
      <c r="O69" s="152"/>
      <c r="P69" s="162"/>
      <c r="Q69" s="165"/>
      <c r="R69" s="165"/>
      <c r="S69" s="165"/>
      <c r="T69" s="165"/>
      <c r="U69" s="166"/>
    </row>
    <row r="70" ht="13.5" spans="1:21">
      <c r="B70" t="s">
        <v>193</v>
      </c>
    </row>
  </sheetData>
  <mergeCells count="119"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M9:M27"/>
    <mergeCell ref="M28:M40"/>
    <mergeCell ref="Q65:U69"/>
  </mergeCells>
  <pageMargins left="0.75" right="0.75" top="1" bottom="1" header="0.5" footer="0.5"/>
  <pageSetup paperSize="9" scale="40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FR-LH-PHEV</vt:lpstr>
      <vt:lpstr>FR-RH-PHEV</vt:lpstr>
      <vt:lpstr>FR-LH-BEV</vt:lpstr>
      <vt:lpstr>FR-RH-BEV</vt:lpstr>
      <vt:lpstr>RR-LH</vt:lpstr>
      <vt:lpstr>RR-RH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WPS_1609215740</cp:lastModifiedBy>
  <dcterms:created xsi:type="dcterms:W3CDTF">2025-11-10T15:53:00Z</dcterms:created>
  <dcterms:modified xsi:type="dcterms:W3CDTF">2026-06-22T11:30:45Z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767655C5C58A486FACD1DBA5DAC88AC2_13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