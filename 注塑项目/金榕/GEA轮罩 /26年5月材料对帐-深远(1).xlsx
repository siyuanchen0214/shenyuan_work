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505"/>
  </bookViews>
  <sheets>
    <sheet name="开票" sheetId="80" r:id="rId1"/>
    <sheet name="Sheet2" sheetId="119" r:id="rId2"/>
    <sheet name="Sheet1" sheetId="118" r:id="rId3"/>
    <sheet name="2023年10月材料用              " sheetId="77" state="hidden" r:id="rId4"/>
    <sheet name="2023年9月材料领用             " sheetId="76" state="hidden" r:id="rId5"/>
    <sheet name="2023年8月材料L领用            " sheetId="75" state="hidden" r:id="rId6"/>
    <sheet name="2023年7月材料领用            )" sheetId="74" state="hidden" r:id="rId7"/>
    <sheet name="2023年6月材料领用           " sheetId="73" state="hidden" r:id="rId8"/>
    <sheet name="2023年5月材料领用          " sheetId="71" state="hidden" r:id="rId9"/>
    <sheet name="2023年4月材料领用          (" sheetId="70" state="hidden" r:id="rId10"/>
    <sheet name="2023年2月材料领用         " sheetId="69" state="hidden" r:id="rId11"/>
    <sheet name="2023年2月材料领用        " sheetId="68" state="hidden" r:id="rId12"/>
    <sheet name="2023年1月材料领用       " sheetId="67" state="hidden" r:id="rId13"/>
    <sheet name="2022年12月材料领用      " sheetId="66" state="hidden" r:id="rId14"/>
    <sheet name="2022年11月材料领用     " sheetId="65" state="hidden" r:id="rId15"/>
    <sheet name="2022年10月材料领用    " sheetId="64" state="hidden" r:id="rId16"/>
    <sheet name="2022年9月材料领用    " sheetId="63" state="hidden" r:id="rId17"/>
    <sheet name="2022年8月材料领用   " sheetId="62" state="hidden" r:id="rId18"/>
    <sheet name="2022年7月材料领用  " sheetId="61" state="hidden" r:id="rId19"/>
    <sheet name="2022年6月材料领用 " sheetId="60" state="hidden" r:id="rId20"/>
    <sheet name="2022年5月材料领用" sheetId="59" state="hidden" r:id="rId21"/>
    <sheet name="2022年4月材料领用  " sheetId="58" state="hidden" r:id="rId22"/>
    <sheet name="2022年3月材料领用 " sheetId="57" state="hidden" r:id="rId23"/>
    <sheet name="2022年2月材料领用" sheetId="56" state="hidden" r:id="rId24"/>
    <sheet name="2022年1月材料领用              " sheetId="55" state="hidden" r:id="rId25"/>
    <sheet name="2021年11月材料领用             " sheetId="54" state="hidden" r:id="rId26"/>
  </sheets>
  <externalReferences>
    <externalReference r:id="rId28"/>
    <externalReference r:id="rId29"/>
    <externalReference r:id="rId30"/>
    <externalReference r:id="rId31"/>
  </externalReferences>
  <definedNames>
    <definedName name="_xlnm._FilterDatabase" localSheetId="0" hidden="1">开票!$A$3:$G$119</definedName>
    <definedName name="_xlnm._FilterDatabase" localSheetId="2" hidden="1">Sheet1!$A$1:$AD$48</definedName>
    <definedName name="_xlnm.Print_Area" localSheetId="25">'2021年11月材料领用             '!$A$1:$BN$121</definedName>
    <definedName name="_xlnm.Print_Area" localSheetId="15">'2022年10月材料领用    '!$A$1:$BN$82</definedName>
    <definedName name="_xlnm.Print_Area" localSheetId="14">'2022年11月材料领用     '!$A$1:$BN$88</definedName>
    <definedName name="_xlnm.Print_Area" localSheetId="13">'2022年12月材料领用      '!$A$1:$BN$88</definedName>
    <definedName name="_xlnm.Print_Area" localSheetId="24">'2022年1月材料领用              '!$A$1:$BN$124</definedName>
    <definedName name="_xlnm.Print_Area" localSheetId="23">'2022年2月材料领用'!$A$1:$BN$127</definedName>
    <definedName name="_xlnm.Print_Area" localSheetId="22">'2022年3月材料领用 '!$A$1:$BN$128</definedName>
    <definedName name="_xlnm.Print_Area" localSheetId="21">'2022年4月材料领用  '!$A$1:$BN$130</definedName>
    <definedName name="_xlnm.Print_Area" localSheetId="20">'2022年5月材料领用'!$A$1:$BN$131</definedName>
    <definedName name="_xlnm.Print_Area" localSheetId="19">'2022年6月材料领用 '!$A$1:$BN$49</definedName>
    <definedName name="_xlnm.Print_Area" localSheetId="18">'2022年7月材料领用  '!$A$1:$BN$58</definedName>
    <definedName name="_xlnm.Print_Area" localSheetId="17">'2022年8月材料领用   '!$A$1:$BN$62</definedName>
    <definedName name="_xlnm.Print_Area" localSheetId="16">'2022年9月材料领用    '!$A$1:$BN$76</definedName>
    <definedName name="_xlnm.Print_Area" localSheetId="3">'2023年10月材料用              '!$A$1:$BN$125</definedName>
    <definedName name="_xlnm.Print_Area" localSheetId="12">'2023年1月材料领用       '!$A$1:$BN$92</definedName>
    <definedName name="_xlnm.Print_Area" localSheetId="11">'2023年2月材料领用        '!$A$1:$BN$99</definedName>
    <definedName name="_xlnm.Print_Area" localSheetId="10">'2023年2月材料领用         '!$A$1:$BN$109</definedName>
    <definedName name="_xlnm.Print_Area" localSheetId="9">'2023年4月材料领用          ('!$A$1:$BN$112</definedName>
    <definedName name="_xlnm.Print_Area" localSheetId="8">'2023年5月材料领用          '!$A$1:$BN$114</definedName>
    <definedName name="_xlnm.Print_Area" localSheetId="7">'2023年6月材料领用           '!$A$1:$BN$114</definedName>
    <definedName name="_xlnm.Print_Area" localSheetId="6">'2023年7月材料领用            )'!$A$1:$BN$114</definedName>
    <definedName name="_xlnm.Print_Area" localSheetId="5">'2023年8月材料L领用            '!$A$1:$BN$122</definedName>
    <definedName name="_xlnm.Print_Area" localSheetId="4">'2023年9月材料领用             '!$A$1:$BN$122</definedName>
    <definedName name="_xlnm.Print_Area" localSheetId="0">开票!$A$1:$G$118</definedName>
  </definedNames>
  <calcPr calcId="191029"/>
  <pivotCaches>
    <pivotCache cacheId="0" r:id="rId2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微软用户</author>
  </authors>
  <commentList>
    <comment ref="A38" authorId="0">
      <text>
        <r>
          <rPr>
            <b/>
            <sz val="9"/>
            <color rgb="FF000000"/>
            <rFont val="宋体"/>
            <charset val="134"/>
          </rPr>
          <t>微软用户:日本</t>
        </r>
        <r>
          <rPr>
            <sz val="9"/>
            <color rgb="FF000000"/>
            <rFont val="宋体"/>
            <charset val="134"/>
          </rPr>
          <t xml:space="preserve">
</t>
        </r>
      </text>
    </comment>
    <comment ref="A39" authorId="0">
      <text>
        <r>
          <rPr>
            <b/>
            <sz val="9"/>
            <color rgb="FF000000"/>
            <rFont val="宋体"/>
            <charset val="134"/>
          </rPr>
          <t>微软用户:国产</t>
        </r>
        <r>
          <rPr>
            <sz val="9"/>
            <color rgb="FF000000"/>
            <rFont val="宋体"/>
            <charset val="13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微软用户</author>
  </authors>
  <commentList>
    <comment ref="A37" authorId="0">
      <text>
        <r>
          <rPr>
            <b/>
            <sz val="9"/>
            <color rgb="FF000000"/>
            <rFont val="宋体"/>
            <charset val="134"/>
          </rPr>
          <t>微软用户:日本</t>
        </r>
        <r>
          <rPr>
            <sz val="9"/>
            <color rgb="FF000000"/>
            <rFont val="宋体"/>
            <charset val="134"/>
          </rPr>
          <t xml:space="preserve">
</t>
        </r>
      </text>
    </comment>
    <comment ref="A38" authorId="0">
      <text>
        <r>
          <rPr>
            <b/>
            <sz val="9"/>
            <color rgb="FF000000"/>
            <rFont val="宋体"/>
            <charset val="134"/>
          </rPr>
          <t>微软用户:国产</t>
        </r>
        <r>
          <rPr>
            <sz val="9"/>
            <color rgb="FF000000"/>
            <rFont val="宋体"/>
            <charset val="134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微软用户</author>
  </authors>
  <commentList>
    <comment ref="A38" authorId="0">
      <text>
        <r>
          <rPr>
            <b/>
            <sz val="9"/>
            <color rgb="FF000000"/>
            <rFont val="宋体"/>
            <charset val="134"/>
          </rPr>
          <t>微软用户:日本</t>
        </r>
        <r>
          <rPr>
            <sz val="9"/>
            <color rgb="FF000000"/>
            <rFont val="宋体"/>
            <charset val="134"/>
          </rPr>
          <t xml:space="preserve">
</t>
        </r>
      </text>
    </comment>
    <comment ref="A39" authorId="0">
      <text>
        <r>
          <rPr>
            <b/>
            <sz val="9"/>
            <color rgb="FF000000"/>
            <rFont val="宋体"/>
            <charset val="134"/>
          </rPr>
          <t>微软用户:国产</t>
        </r>
        <r>
          <rPr>
            <sz val="9"/>
            <color rgb="FF000000"/>
            <rFont val="宋体"/>
            <charset val="134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>
  <authors>
    <author>微软用户</author>
  </authors>
  <commentList>
    <comment ref="A38" authorId="0">
      <text>
        <r>
          <rPr>
            <b/>
            <sz val="9"/>
            <color rgb="FF000000"/>
            <rFont val="宋体"/>
            <charset val="134"/>
          </rPr>
          <t>微软用户:日本</t>
        </r>
        <r>
          <rPr>
            <sz val="9"/>
            <color rgb="FF000000"/>
            <rFont val="宋体"/>
            <charset val="134"/>
          </rPr>
          <t xml:space="preserve">
</t>
        </r>
      </text>
    </comment>
    <comment ref="A39" authorId="0">
      <text>
        <r>
          <rPr>
            <b/>
            <sz val="9"/>
            <color rgb="FF000000"/>
            <rFont val="宋体"/>
            <charset val="134"/>
          </rPr>
          <t>微软用户:国产</t>
        </r>
        <r>
          <rPr>
            <sz val="9"/>
            <color rgb="FF000000"/>
            <rFont val="宋体"/>
            <charset val="134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>
  <authors>
    <author>微软用户</author>
  </authors>
  <commentList>
    <comment ref="A38" authorId="0">
      <text>
        <r>
          <rPr>
            <b/>
            <sz val="9"/>
            <color rgb="FF000000"/>
            <rFont val="宋体"/>
            <charset val="134"/>
          </rPr>
          <t>微软用户:日本</t>
        </r>
        <r>
          <rPr>
            <sz val="9"/>
            <color rgb="FF000000"/>
            <rFont val="宋体"/>
            <charset val="134"/>
          </rPr>
          <t xml:space="preserve">
</t>
        </r>
      </text>
    </comment>
    <comment ref="A39" authorId="0">
      <text>
        <r>
          <rPr>
            <b/>
            <sz val="9"/>
            <color rgb="FF000000"/>
            <rFont val="宋体"/>
            <charset val="134"/>
          </rPr>
          <t>微软用户:国产</t>
        </r>
        <r>
          <rPr>
            <sz val="9"/>
            <color rgb="FF000000"/>
            <rFont val="宋体"/>
            <charset val="134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>
  <authors>
    <author>微软用户</author>
  </authors>
  <commentList>
    <comment ref="A38" authorId="0">
      <text>
        <r>
          <rPr>
            <b/>
            <sz val="9"/>
            <color rgb="FF000000"/>
            <rFont val="宋体"/>
            <charset val="134"/>
          </rPr>
          <t>微软用户:日本</t>
        </r>
        <r>
          <rPr>
            <sz val="9"/>
            <color rgb="FF000000"/>
            <rFont val="宋体"/>
            <charset val="134"/>
          </rPr>
          <t xml:space="preserve">
</t>
        </r>
      </text>
    </comment>
    <comment ref="A39" authorId="0">
      <text>
        <r>
          <rPr>
            <b/>
            <sz val="9"/>
            <color rgb="FF000000"/>
            <rFont val="宋体"/>
            <charset val="134"/>
          </rPr>
          <t>微软用户:国产</t>
        </r>
        <r>
          <rPr>
            <sz val="9"/>
            <color rgb="FF000000"/>
            <rFont val="宋体"/>
            <charset val="134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>
  <authors>
    <author>微软用户</author>
  </authors>
  <commentList>
    <comment ref="A38" authorId="0">
      <text>
        <r>
          <rPr>
            <b/>
            <sz val="9"/>
            <color rgb="FF000000"/>
            <rFont val="宋体"/>
            <charset val="134"/>
          </rPr>
          <t>微软用户:日本</t>
        </r>
        <r>
          <rPr>
            <sz val="9"/>
            <color rgb="FF000000"/>
            <rFont val="宋体"/>
            <charset val="134"/>
          </rPr>
          <t xml:space="preserve">
</t>
        </r>
      </text>
    </comment>
    <comment ref="A39" authorId="0">
      <text>
        <r>
          <rPr>
            <b/>
            <sz val="9"/>
            <color rgb="FF000000"/>
            <rFont val="宋体"/>
            <charset val="134"/>
          </rPr>
          <t>微软用户:国产</t>
        </r>
        <r>
          <rPr>
            <sz val="9"/>
            <color rgb="FF000000"/>
            <rFont val="宋体"/>
            <charset val="134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>
  <authors>
    <author>微软用户</author>
  </authors>
  <commentList>
    <comment ref="A37" authorId="0">
      <text>
        <r>
          <rPr>
            <b/>
            <sz val="9"/>
            <color rgb="FF000000"/>
            <rFont val="宋体"/>
            <charset val="134"/>
          </rPr>
          <t>微软用户:日本</t>
        </r>
        <r>
          <rPr>
            <sz val="9"/>
            <color rgb="FF000000"/>
            <rFont val="宋体"/>
            <charset val="134"/>
          </rPr>
          <t xml:space="preserve">
</t>
        </r>
      </text>
    </comment>
    <comment ref="A38" authorId="0">
      <text>
        <r>
          <rPr>
            <b/>
            <sz val="9"/>
            <color rgb="FF000000"/>
            <rFont val="宋体"/>
            <charset val="134"/>
          </rPr>
          <t>微软用户:国产</t>
        </r>
        <r>
          <rPr>
            <sz val="9"/>
            <color rgb="FF000000"/>
            <rFont val="宋体"/>
            <charset val="134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>
  <authors>
    <author>微软用户</author>
  </authors>
  <commentList>
    <comment ref="A34" authorId="0">
      <text>
        <r>
          <rPr>
            <b/>
            <sz val="9"/>
            <color rgb="FF000000"/>
            <rFont val="宋体"/>
            <charset val="134"/>
          </rPr>
          <t>微软用户:日本</t>
        </r>
        <r>
          <rPr>
            <sz val="9"/>
            <color rgb="FF000000"/>
            <rFont val="宋体"/>
            <charset val="134"/>
          </rPr>
          <t xml:space="preserve">
</t>
        </r>
      </text>
    </comment>
    <comment ref="A35" authorId="0">
      <text>
        <r>
          <rPr>
            <b/>
            <sz val="9"/>
            <color rgb="FF000000"/>
            <rFont val="宋体"/>
            <charset val="134"/>
          </rPr>
          <t>微软用户:国产</t>
        </r>
        <r>
          <rPr>
            <sz val="9"/>
            <color rgb="FF000000"/>
            <rFont val="宋体"/>
            <charset val="134"/>
          </rPr>
          <t xml:space="preserve">
</t>
        </r>
      </text>
    </comment>
  </commentList>
</comments>
</file>

<file path=xl/comments10.xml><?xml version="1.0" encoding="utf-8"?>
<comments xmlns="http://schemas.openxmlformats.org/spreadsheetml/2006/main">
  <authors>
    <author>微软用户</author>
  </authors>
  <commentList>
    <comment ref="A32" authorId="0">
      <text>
        <r>
          <rPr>
            <b/>
            <sz val="9"/>
            <color rgb="FF000000"/>
            <rFont val="宋体"/>
            <charset val="134"/>
          </rPr>
          <t>微软用户:日本</t>
        </r>
        <r>
          <rPr>
            <sz val="9"/>
            <color rgb="FF000000"/>
            <rFont val="宋体"/>
            <charset val="134"/>
          </rPr>
          <t xml:space="preserve">
</t>
        </r>
      </text>
    </comment>
    <comment ref="A33" authorId="0">
      <text>
        <r>
          <rPr>
            <b/>
            <sz val="9"/>
            <color rgb="FF000000"/>
            <rFont val="宋体"/>
            <charset val="134"/>
          </rPr>
          <t>微软用户:国产</t>
        </r>
        <r>
          <rPr>
            <sz val="9"/>
            <color rgb="FF000000"/>
            <rFont val="宋体"/>
            <charset val="134"/>
          </rPr>
          <t xml:space="preserve">
</t>
        </r>
      </text>
    </comment>
  </commentList>
</comments>
</file>

<file path=xl/comments11.xml><?xml version="1.0" encoding="utf-8"?>
<comments xmlns="http://schemas.openxmlformats.org/spreadsheetml/2006/main">
  <authors>
    <author>微软用户</author>
  </authors>
  <commentList>
    <comment ref="A29" authorId="0">
      <text>
        <r>
          <rPr>
            <b/>
            <sz val="9"/>
            <color rgb="FF000000"/>
            <rFont val="宋体"/>
            <charset val="134"/>
          </rPr>
          <t>微软用户:日本</t>
        </r>
        <r>
          <rPr>
            <sz val="9"/>
            <color rgb="FF000000"/>
            <rFont val="宋体"/>
            <charset val="134"/>
          </rPr>
          <t xml:space="preserve">
</t>
        </r>
      </text>
    </comment>
    <comment ref="A30" authorId="0">
      <text>
        <r>
          <rPr>
            <b/>
            <sz val="9"/>
            <color rgb="FF000000"/>
            <rFont val="宋体"/>
            <charset val="134"/>
          </rPr>
          <t>微软用户:国产</t>
        </r>
        <r>
          <rPr>
            <sz val="9"/>
            <color rgb="FF000000"/>
            <rFont val="宋体"/>
            <charset val="134"/>
          </rPr>
          <t xml:space="preserve">
</t>
        </r>
      </text>
    </comment>
  </commentList>
</comments>
</file>

<file path=xl/comments12.xml><?xml version="1.0" encoding="utf-8"?>
<comments xmlns="http://schemas.openxmlformats.org/spreadsheetml/2006/main">
  <authors>
    <author>微软用户</author>
  </authors>
  <commentList>
    <comment ref="A29" authorId="0">
      <text>
        <r>
          <rPr>
            <b/>
            <sz val="9"/>
            <color rgb="FF000000"/>
            <rFont val="宋体"/>
            <charset val="134"/>
          </rPr>
          <t>微软用户:日本</t>
        </r>
        <r>
          <rPr>
            <sz val="9"/>
            <color rgb="FF000000"/>
            <rFont val="宋体"/>
            <charset val="134"/>
          </rPr>
          <t xml:space="preserve">
</t>
        </r>
      </text>
    </comment>
    <comment ref="A30" authorId="0">
      <text>
        <r>
          <rPr>
            <b/>
            <sz val="9"/>
            <color rgb="FF000000"/>
            <rFont val="宋体"/>
            <charset val="134"/>
          </rPr>
          <t>微软用户:国产</t>
        </r>
        <r>
          <rPr>
            <sz val="9"/>
            <color rgb="FF000000"/>
            <rFont val="宋体"/>
            <charset val="134"/>
          </rPr>
          <t xml:space="preserve">
</t>
        </r>
      </text>
    </comment>
  </commentList>
</comments>
</file>

<file path=xl/comments13.xml><?xml version="1.0" encoding="utf-8"?>
<comments xmlns="http://schemas.openxmlformats.org/spreadsheetml/2006/main">
  <authors>
    <author>微软用户</author>
  </authors>
  <commentList>
    <comment ref="A24" authorId="0">
      <text>
        <r>
          <rPr>
            <b/>
            <sz val="9"/>
            <color rgb="FF000000"/>
            <rFont val="宋体"/>
            <charset val="134"/>
          </rPr>
          <t>微软用户:日本</t>
        </r>
        <r>
          <rPr>
            <sz val="9"/>
            <color rgb="FF000000"/>
            <rFont val="宋体"/>
            <charset val="134"/>
          </rPr>
          <t xml:space="preserve">
</t>
        </r>
      </text>
    </comment>
    <comment ref="A25" authorId="0">
      <text>
        <r>
          <rPr>
            <b/>
            <sz val="9"/>
            <color rgb="FF000000"/>
            <rFont val="宋体"/>
            <charset val="134"/>
          </rPr>
          <t>微软用户:国产</t>
        </r>
        <r>
          <rPr>
            <sz val="9"/>
            <color rgb="FF000000"/>
            <rFont val="宋体"/>
            <charset val="134"/>
          </rPr>
          <t xml:space="preserve">
</t>
        </r>
      </text>
    </comment>
  </commentList>
</comments>
</file>

<file path=xl/comments14.xml><?xml version="1.0" encoding="utf-8"?>
<comments xmlns="http://schemas.openxmlformats.org/spreadsheetml/2006/main">
  <authors>
    <author>微软用户</author>
  </authors>
  <commentList>
    <comment ref="A22" authorId="0">
      <text>
        <r>
          <rPr>
            <b/>
            <sz val="9"/>
            <color rgb="FF000000"/>
            <rFont val="宋体"/>
            <charset val="134"/>
          </rPr>
          <t>微软用户:日本</t>
        </r>
        <r>
          <rPr>
            <sz val="9"/>
            <color rgb="FF000000"/>
            <rFont val="宋体"/>
            <charset val="134"/>
          </rPr>
          <t xml:space="preserve">
</t>
        </r>
      </text>
    </comment>
    <comment ref="A23" authorId="0">
      <text>
        <r>
          <rPr>
            <b/>
            <sz val="9"/>
            <color rgb="FF000000"/>
            <rFont val="宋体"/>
            <charset val="134"/>
          </rPr>
          <t>微软用户:国产</t>
        </r>
        <r>
          <rPr>
            <sz val="9"/>
            <color rgb="FF000000"/>
            <rFont val="宋体"/>
            <charset val="134"/>
          </rPr>
          <t xml:space="preserve">
</t>
        </r>
      </text>
    </comment>
  </commentList>
</comments>
</file>

<file path=xl/comments15.xml><?xml version="1.0" encoding="utf-8"?>
<comments xmlns="http://schemas.openxmlformats.org/spreadsheetml/2006/main">
  <authors>
    <author>微软用户</author>
  </authors>
  <commentList>
    <comment ref="A20" authorId="0">
      <text>
        <r>
          <rPr>
            <b/>
            <sz val="9"/>
            <color rgb="FF000000"/>
            <rFont val="宋体"/>
            <charset val="134"/>
          </rPr>
          <t>微软用户:日本</t>
        </r>
        <r>
          <rPr>
            <sz val="9"/>
            <color rgb="FF000000"/>
            <rFont val="宋体"/>
            <charset val="134"/>
          </rPr>
          <t xml:space="preserve">
</t>
        </r>
      </text>
    </comment>
    <comment ref="A21" authorId="0">
      <text>
        <r>
          <rPr>
            <b/>
            <sz val="9"/>
            <color rgb="FF000000"/>
            <rFont val="宋体"/>
            <charset val="134"/>
          </rPr>
          <t>微软用户:国产</t>
        </r>
        <r>
          <rPr>
            <sz val="9"/>
            <color rgb="FF000000"/>
            <rFont val="宋体"/>
            <charset val="134"/>
          </rPr>
          <t xml:space="preserve">
</t>
        </r>
      </text>
    </comment>
  </commentList>
</comments>
</file>

<file path=xl/comments16.xml><?xml version="1.0" encoding="utf-8"?>
<comments xmlns="http://schemas.openxmlformats.org/spreadsheetml/2006/main">
  <authors>
    <author>微软用户</author>
  </authors>
  <commentList>
    <comment ref="A18" authorId="0">
      <text>
        <r>
          <rPr>
            <b/>
            <sz val="9"/>
            <color rgb="FF000000"/>
            <rFont val="宋体"/>
            <charset val="134"/>
          </rPr>
          <t>微软用户:日本</t>
        </r>
        <r>
          <rPr>
            <sz val="9"/>
            <color rgb="FF000000"/>
            <rFont val="宋体"/>
            <charset val="134"/>
          </rPr>
          <t xml:space="preserve">
</t>
        </r>
      </text>
    </comment>
    <comment ref="A19" authorId="0">
      <text>
        <r>
          <rPr>
            <b/>
            <sz val="9"/>
            <color rgb="FF000000"/>
            <rFont val="宋体"/>
            <charset val="134"/>
          </rPr>
          <t>微软用户:国产</t>
        </r>
        <r>
          <rPr>
            <sz val="9"/>
            <color rgb="FF000000"/>
            <rFont val="宋体"/>
            <charset val="134"/>
          </rPr>
          <t xml:space="preserve">
</t>
        </r>
      </text>
    </comment>
  </commentList>
</comments>
</file>

<file path=xl/comments17.xml><?xml version="1.0" encoding="utf-8"?>
<comments xmlns="http://schemas.openxmlformats.org/spreadsheetml/2006/main">
  <authors>
    <author>微软用户</author>
  </authors>
  <commentList>
    <comment ref="A17" authorId="0">
      <text>
        <r>
          <rPr>
            <b/>
            <sz val="9"/>
            <color rgb="FF000000"/>
            <rFont val="宋体"/>
            <charset val="134"/>
          </rPr>
          <t>微软用户:日本</t>
        </r>
        <r>
          <rPr>
            <sz val="9"/>
            <color rgb="FF000000"/>
            <rFont val="宋体"/>
            <charset val="134"/>
          </rPr>
          <t xml:space="preserve">
</t>
        </r>
      </text>
    </comment>
    <comment ref="A18" authorId="0">
      <text>
        <r>
          <rPr>
            <b/>
            <sz val="9"/>
            <color rgb="FF000000"/>
            <rFont val="宋体"/>
            <charset val="134"/>
          </rPr>
          <t>微软用户:国产</t>
        </r>
        <r>
          <rPr>
            <sz val="9"/>
            <color rgb="FF000000"/>
            <rFont val="宋体"/>
            <charset val="134"/>
          </rPr>
          <t xml:space="preserve">
</t>
        </r>
      </text>
    </comment>
  </commentList>
</comments>
</file>

<file path=xl/comments18.xml><?xml version="1.0" encoding="utf-8"?>
<comments xmlns="http://schemas.openxmlformats.org/spreadsheetml/2006/main">
  <authors>
    <author>微软用户</author>
  </authors>
  <commentList>
    <comment ref="A7" authorId="0">
      <text>
        <r>
          <rPr>
            <b/>
            <sz val="9"/>
            <color rgb="FF000000"/>
            <rFont val="宋体"/>
            <charset val="134"/>
          </rPr>
          <t>微软用户:日本</t>
        </r>
        <r>
          <rPr>
            <sz val="9"/>
            <color rgb="FF000000"/>
            <rFont val="宋体"/>
            <charset val="134"/>
          </rPr>
          <t xml:space="preserve">
</t>
        </r>
      </text>
    </comment>
    <comment ref="A8" authorId="0">
      <text>
        <r>
          <rPr>
            <b/>
            <sz val="9"/>
            <color rgb="FF000000"/>
            <rFont val="宋体"/>
            <charset val="134"/>
          </rPr>
          <t>微软用户:国产</t>
        </r>
        <r>
          <rPr>
            <sz val="9"/>
            <color rgb="FF000000"/>
            <rFont val="宋体"/>
            <charset val="134"/>
          </rPr>
          <t xml:space="preserve">
</t>
        </r>
      </text>
    </comment>
  </commentList>
</comments>
</file>

<file path=xl/comments19.xml><?xml version="1.0" encoding="utf-8"?>
<comments xmlns="http://schemas.openxmlformats.org/spreadsheetml/2006/main">
  <authors>
    <author>微软用户</author>
  </authors>
  <commentList>
    <comment ref="A6" authorId="0">
      <text>
        <r>
          <rPr>
            <b/>
            <sz val="9"/>
            <color rgb="FF000000"/>
            <rFont val="宋体"/>
            <charset val="134"/>
          </rPr>
          <t>微软用户:日本</t>
        </r>
        <r>
          <rPr>
            <sz val="9"/>
            <color rgb="FF000000"/>
            <rFont val="宋体"/>
            <charset val="134"/>
          </rPr>
          <t xml:space="preserve">
</t>
        </r>
      </text>
    </comment>
    <comment ref="A7" authorId="0">
      <text>
        <r>
          <rPr>
            <b/>
            <sz val="9"/>
            <color rgb="FF000000"/>
            <rFont val="宋体"/>
            <charset val="134"/>
          </rPr>
          <t>微软用户:国产</t>
        </r>
        <r>
          <rPr>
            <sz val="9"/>
            <color rgb="FF000000"/>
            <rFont val="宋体"/>
            <charset val="134"/>
          </rPr>
          <t xml:space="preserve">
</t>
        </r>
      </text>
    </comment>
  </commentList>
</comments>
</file>

<file path=xl/comments20.xml><?xml version="1.0" encoding="utf-8"?>
<comments xmlns="http://schemas.openxmlformats.org/spreadsheetml/2006/main">
  <authors>
    <author>微软用户</author>
  </authors>
  <commentList>
    <comment ref="A6" authorId="0">
      <text>
        <r>
          <rPr>
            <b/>
            <sz val="9"/>
            <color rgb="FF000000"/>
            <rFont val="宋体"/>
            <charset val="134"/>
          </rPr>
          <t>微软用户:日本</t>
        </r>
        <r>
          <rPr>
            <sz val="9"/>
            <color rgb="FF000000"/>
            <rFont val="宋体"/>
            <charset val="134"/>
          </rPr>
          <t xml:space="preserve">
</t>
        </r>
      </text>
    </comment>
    <comment ref="A7" authorId="0">
      <text>
        <r>
          <rPr>
            <b/>
            <sz val="9"/>
            <color rgb="FF000000"/>
            <rFont val="宋体"/>
            <charset val="134"/>
          </rPr>
          <t>微软用户:国产</t>
        </r>
        <r>
          <rPr>
            <sz val="9"/>
            <color rgb="FF000000"/>
            <rFont val="宋体"/>
            <charset val="134"/>
          </rPr>
          <t xml:space="preserve">
</t>
        </r>
      </text>
    </comment>
  </commentList>
</comments>
</file>

<file path=xl/comments21.xml><?xml version="1.0" encoding="utf-8"?>
<comments xmlns="http://schemas.openxmlformats.org/spreadsheetml/2006/main">
  <authors>
    <author>微软用户</author>
  </authors>
  <commentList>
    <comment ref="A6" authorId="0">
      <text>
        <r>
          <rPr>
            <b/>
            <sz val="9"/>
            <color rgb="FF000000"/>
            <rFont val="宋体"/>
            <charset val="134"/>
          </rPr>
          <t>微软用户:日本</t>
        </r>
        <r>
          <rPr>
            <sz val="9"/>
            <color rgb="FF000000"/>
            <rFont val="宋体"/>
            <charset val="134"/>
          </rPr>
          <t xml:space="preserve">
</t>
        </r>
      </text>
    </comment>
    <comment ref="A7" authorId="0">
      <text>
        <r>
          <rPr>
            <b/>
            <sz val="9"/>
            <color rgb="FF000000"/>
            <rFont val="宋体"/>
            <charset val="134"/>
          </rPr>
          <t>微软用户:国产</t>
        </r>
        <r>
          <rPr>
            <sz val="9"/>
            <color rgb="FF000000"/>
            <rFont val="宋体"/>
            <charset val="134"/>
          </rPr>
          <t xml:space="preserve">
</t>
        </r>
      </text>
    </comment>
  </commentList>
</comments>
</file>

<file path=xl/comments22.xml><?xml version="1.0" encoding="utf-8"?>
<comments xmlns="http://schemas.openxmlformats.org/spreadsheetml/2006/main">
  <authors>
    <author>微软用户</author>
  </authors>
  <commentList>
    <comment ref="A6" authorId="0">
      <text>
        <r>
          <rPr>
            <b/>
            <sz val="9"/>
            <color rgb="FF000000"/>
            <rFont val="宋体"/>
            <charset val="134"/>
          </rPr>
          <t>微软用户:日本</t>
        </r>
        <r>
          <rPr>
            <sz val="9"/>
            <color rgb="FF000000"/>
            <rFont val="宋体"/>
            <charset val="134"/>
          </rPr>
          <t xml:space="preserve">
</t>
        </r>
      </text>
    </comment>
    <comment ref="A7" authorId="0">
      <text>
        <r>
          <rPr>
            <b/>
            <sz val="9"/>
            <color rgb="FF000000"/>
            <rFont val="宋体"/>
            <charset val="134"/>
          </rPr>
          <t>微软用户:国产</t>
        </r>
        <r>
          <rPr>
            <sz val="9"/>
            <color rgb="FF000000"/>
            <rFont val="宋体"/>
            <charset val="134"/>
          </rPr>
          <t xml:space="preserve">
</t>
        </r>
      </text>
    </comment>
  </commentList>
</comments>
</file>

<file path=xl/comments23.xml><?xml version="1.0" encoding="utf-8"?>
<comments xmlns="http://schemas.openxmlformats.org/spreadsheetml/2006/main">
  <authors>
    <author>微软用户</author>
  </authors>
  <commentList>
    <comment ref="A6" authorId="0">
      <text>
        <r>
          <rPr>
            <b/>
            <sz val="9"/>
            <color rgb="FF000000"/>
            <rFont val="宋体"/>
            <charset val="134"/>
          </rPr>
          <t>微软用户:日本</t>
        </r>
        <r>
          <rPr>
            <sz val="9"/>
            <color rgb="FF000000"/>
            <rFont val="宋体"/>
            <charset val="134"/>
          </rPr>
          <t xml:space="preserve">
</t>
        </r>
      </text>
    </comment>
    <comment ref="A7" authorId="0">
      <text>
        <r>
          <rPr>
            <b/>
            <sz val="9"/>
            <color rgb="FF000000"/>
            <rFont val="宋体"/>
            <charset val="134"/>
          </rPr>
          <t>微软用户:国产</t>
        </r>
        <r>
          <rPr>
            <sz val="9"/>
            <color rgb="FF000000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<sst xmlns="http://schemas.openxmlformats.org/spreadsheetml/2006/main" count="6077" uniqueCount="1060">
  <si>
    <t>深远5月材料开票清单（杭友开票）</t>
  </si>
  <si>
    <t>做成</t>
  </si>
  <si>
    <t>财务</t>
  </si>
  <si>
    <t>原价</t>
  </si>
  <si>
    <t>外协</t>
  </si>
  <si>
    <t>夏正芹</t>
  </si>
  <si>
    <t>代码</t>
  </si>
  <si>
    <t>新代码</t>
  </si>
  <si>
    <t>材料名称</t>
  </si>
  <si>
    <t>数量</t>
  </si>
  <si>
    <t>单价</t>
  </si>
  <si>
    <t>金额</t>
  </si>
  <si>
    <t>A1.1136</t>
  </si>
  <si>
    <r>
      <rPr>
        <sz val="9"/>
        <rFont val="Segoe UI"/>
        <charset val="134"/>
      </rPr>
      <t>PA66+FG30 A104GH 6PS</t>
    </r>
    <r>
      <rPr>
        <sz val="9"/>
        <rFont val="宋体"/>
        <charset val="134"/>
      </rPr>
      <t>黑</t>
    </r>
  </si>
  <si>
    <t>A1.4214</t>
  </si>
  <si>
    <t>APO 0816 HI JA6 BK</t>
  </si>
  <si>
    <t>A1.4354</t>
  </si>
  <si>
    <r>
      <rPr>
        <sz val="9"/>
        <rFont val="Segoe UI"/>
        <charset val="134"/>
      </rPr>
      <t xml:space="preserve">PA66 GF30 AKROMID A3 </t>
    </r>
    <r>
      <rPr>
        <sz val="9"/>
        <rFont val="宋体"/>
        <charset val="134"/>
      </rPr>
      <t>黑色</t>
    </r>
    <r>
      <rPr>
        <sz val="9"/>
        <rFont val="Segoe UI"/>
        <charset val="134"/>
      </rPr>
      <t xml:space="preserve"> 2385</t>
    </r>
  </si>
  <si>
    <t>A1.5193</t>
  </si>
  <si>
    <r>
      <rPr>
        <sz val="10"/>
        <rFont val="Arial"/>
        <charset val="0"/>
      </rPr>
      <t>PP A422 GM30RC</t>
    </r>
    <r>
      <rPr>
        <sz val="10"/>
        <rFont val="宋体"/>
        <charset val="0"/>
      </rPr>
      <t>（</t>
    </r>
    <r>
      <rPr>
        <sz val="10"/>
        <rFont val="Arial"/>
        <charset val="0"/>
      </rPr>
      <t>M</t>
    </r>
    <r>
      <rPr>
        <sz val="10"/>
        <rFont val="宋体"/>
        <charset val="0"/>
      </rPr>
      <t>）</t>
    </r>
    <r>
      <rPr>
        <sz val="10"/>
        <rFont val="Arial"/>
        <charset val="0"/>
      </rPr>
      <t xml:space="preserve"> CB2685</t>
    </r>
    <r>
      <rPr>
        <sz val="10"/>
        <rFont val="宋体"/>
        <charset val="0"/>
      </rPr>
      <t>黑</t>
    </r>
  </si>
  <si>
    <t>F2.0380</t>
  </si>
  <si>
    <t>已全检标签</t>
  </si>
  <si>
    <t>A1.4317</t>
  </si>
  <si>
    <t>PA6 MG30 HSBK006</t>
  </si>
  <si>
    <t>A1.0973</t>
  </si>
  <si>
    <t>A1.4093</t>
  </si>
  <si>
    <t>ABS H02031B7</t>
  </si>
  <si>
    <t>F2.0363</t>
  </si>
  <si>
    <t>条码打印不干胶</t>
  </si>
  <si>
    <t>F2.0383</t>
  </si>
  <si>
    <t>标签不干胶</t>
  </si>
  <si>
    <t>F9.0462</t>
  </si>
  <si>
    <t>成形生产管理表</t>
  </si>
  <si>
    <t>A1.5195</t>
  </si>
  <si>
    <r>
      <rPr>
        <sz val="9"/>
        <rFont val="Segoe UI"/>
        <charset val="134"/>
      </rPr>
      <t>PP A422 LG30 B12378L</t>
    </r>
    <r>
      <rPr>
        <sz val="9"/>
        <rFont val="宋体"/>
        <charset val="134"/>
      </rPr>
      <t>黑</t>
    </r>
  </si>
  <si>
    <t>A1.5328</t>
  </si>
  <si>
    <t>PP HIFAX TYC 1152P BK</t>
  </si>
  <si>
    <t>A1.5511</t>
  </si>
  <si>
    <r>
      <rPr>
        <sz val="9"/>
        <rFont val="Segoe UI"/>
        <charset val="134"/>
      </rPr>
      <t xml:space="preserve">TPE AF 7210-70 ZHE </t>
    </r>
    <r>
      <rPr>
        <sz val="9"/>
        <rFont val="宋体"/>
        <charset val="134"/>
      </rPr>
      <t>黑色</t>
    </r>
  </si>
  <si>
    <t>F1.0411</t>
  </si>
  <si>
    <t>E13864600</t>
  </si>
  <si>
    <t>F1.0412</t>
  </si>
  <si>
    <t>E13865200</t>
  </si>
  <si>
    <t>F1.0415</t>
  </si>
  <si>
    <r>
      <rPr>
        <sz val="10"/>
        <rFont val="Arial"/>
        <charset val="0"/>
      </rPr>
      <t>E14383300</t>
    </r>
    <r>
      <rPr>
        <sz val="10"/>
        <rFont val="宋体"/>
        <charset val="0"/>
      </rPr>
      <t>（</t>
    </r>
    <r>
      <rPr>
        <sz val="10"/>
        <rFont val="Arial"/>
        <charset val="0"/>
      </rPr>
      <t>E10681900</t>
    </r>
    <r>
      <rPr>
        <sz val="10"/>
        <rFont val="宋体"/>
        <charset val="0"/>
      </rPr>
      <t>）</t>
    </r>
  </si>
  <si>
    <t>F1.0416</t>
  </si>
  <si>
    <r>
      <rPr>
        <sz val="10"/>
        <rFont val="Arial"/>
        <charset val="0"/>
      </rPr>
      <t>E14383500</t>
    </r>
    <r>
      <rPr>
        <sz val="10"/>
        <rFont val="宋体"/>
        <charset val="0"/>
      </rPr>
      <t>（</t>
    </r>
    <r>
      <rPr>
        <sz val="10"/>
        <rFont val="Arial"/>
        <charset val="0"/>
      </rPr>
      <t>E10682100</t>
    </r>
    <r>
      <rPr>
        <sz val="10"/>
        <rFont val="宋体"/>
        <charset val="0"/>
      </rPr>
      <t>）</t>
    </r>
  </si>
  <si>
    <t>F1.0417</t>
  </si>
  <si>
    <r>
      <rPr>
        <sz val="10"/>
        <rFont val="Arial"/>
        <charset val="0"/>
      </rPr>
      <t>E14383600</t>
    </r>
    <r>
      <rPr>
        <sz val="10"/>
        <rFont val="宋体"/>
        <charset val="0"/>
      </rPr>
      <t>（</t>
    </r>
    <r>
      <rPr>
        <sz val="10"/>
        <rFont val="Arial"/>
        <charset val="0"/>
      </rPr>
      <t>E10881800</t>
    </r>
    <r>
      <rPr>
        <sz val="10"/>
        <rFont val="宋体"/>
        <charset val="0"/>
      </rPr>
      <t>）</t>
    </r>
  </si>
  <si>
    <t>F1.2115</t>
  </si>
  <si>
    <r>
      <rPr>
        <sz val="10"/>
        <rFont val="宋体"/>
        <charset val="0"/>
      </rPr>
      <t>卡扣</t>
    </r>
    <r>
      <rPr>
        <sz val="10"/>
        <rFont val="Arial"/>
        <charset val="0"/>
      </rPr>
      <t>W714972-S300</t>
    </r>
  </si>
  <si>
    <t>A1.4216</t>
  </si>
  <si>
    <r>
      <rPr>
        <sz val="10"/>
        <rFont val="Arial"/>
        <charset val="0"/>
      </rPr>
      <t>APO-308</t>
    </r>
    <r>
      <rPr>
        <sz val="10"/>
        <rFont val="宋体"/>
        <charset val="0"/>
      </rPr>
      <t>（</t>
    </r>
    <r>
      <rPr>
        <sz val="10"/>
        <rFont val="Arial"/>
        <charset val="0"/>
      </rPr>
      <t>PP-GF20%+MF10) BLACK</t>
    </r>
  </si>
  <si>
    <t>A1.4338</t>
  </si>
  <si>
    <t>PA66  C200  BK121</t>
  </si>
  <si>
    <t>Z1.0451</t>
  </si>
  <si>
    <t>F1.0414</t>
  </si>
  <si>
    <r>
      <rPr>
        <sz val="10"/>
        <rFont val="Arial"/>
        <charset val="0"/>
      </rPr>
      <t>E14383000</t>
    </r>
    <r>
      <rPr>
        <sz val="10"/>
        <rFont val="宋体"/>
        <charset val="0"/>
      </rPr>
      <t>（</t>
    </r>
    <r>
      <rPr>
        <sz val="10"/>
        <rFont val="Arial"/>
        <charset val="0"/>
      </rPr>
      <t>E6679200</t>
    </r>
    <r>
      <rPr>
        <sz val="10"/>
        <rFont val="宋体"/>
        <charset val="0"/>
      </rPr>
      <t>）</t>
    </r>
  </si>
  <si>
    <t>A1.1353</t>
  </si>
  <si>
    <t>A1.4377</t>
  </si>
  <si>
    <t>PA6-GF10-M20</t>
  </si>
  <si>
    <t>A1.6935</t>
  </si>
  <si>
    <t>PA6 MG30 HSBK101黑色</t>
  </si>
  <si>
    <t>替代A1.4337</t>
  </si>
  <si>
    <t>Z1.0326</t>
  </si>
  <si>
    <t>F1.0271</t>
  </si>
  <si>
    <r>
      <rPr>
        <sz val="10"/>
        <rFont val="Arial"/>
        <charset val="0"/>
      </rPr>
      <t>COVER PET</t>
    </r>
    <r>
      <rPr>
        <sz val="10"/>
        <rFont val="宋体"/>
        <charset val="0"/>
      </rPr>
      <t>覆膜</t>
    </r>
  </si>
  <si>
    <t>A1.4335</t>
  </si>
  <si>
    <t>A1.4425</t>
  </si>
  <si>
    <t>A1.5228</t>
  </si>
  <si>
    <t>F1.0413</t>
  </si>
  <si>
    <t>F1.0418</t>
  </si>
  <si>
    <t>AA.5388</t>
  </si>
  <si>
    <t>PP/EPDM Santoprene 121-62M100</t>
  </si>
  <si>
    <t>A1.5386</t>
  </si>
  <si>
    <t>PP TYC852P C15715 YZ9</t>
  </si>
  <si>
    <t>A1.4217</t>
  </si>
  <si>
    <r>
      <rPr>
        <sz val="10"/>
        <rFont val="Arial"/>
        <charset val="0"/>
      </rPr>
      <t>APO-308</t>
    </r>
    <r>
      <rPr>
        <sz val="10"/>
        <rFont val="宋体"/>
        <charset val="0"/>
      </rPr>
      <t>（</t>
    </r>
    <r>
      <rPr>
        <sz val="10"/>
        <rFont val="Arial"/>
        <charset val="0"/>
      </rPr>
      <t>PP-GF20%+MF10) WHITE</t>
    </r>
  </si>
  <si>
    <t>A1.5380</t>
  </si>
  <si>
    <t>PP TD17 BMV214W10609M</t>
  </si>
  <si>
    <t>F1.1956</t>
  </si>
  <si>
    <r>
      <rPr>
        <sz val="10"/>
        <rFont val="宋体"/>
        <charset val="0"/>
      </rPr>
      <t>圆柱嵌件</t>
    </r>
    <r>
      <rPr>
        <sz val="10"/>
        <rFont val="Arial"/>
        <charset val="0"/>
      </rPr>
      <t>32055435T</t>
    </r>
  </si>
  <si>
    <t>F2.0189</t>
  </si>
  <si>
    <t>文兴清洗剂</t>
  </si>
  <si>
    <t>F2.0190</t>
  </si>
  <si>
    <t>文兴脱膜剂</t>
  </si>
  <si>
    <t>Z9.0221</t>
  </si>
  <si>
    <t>对策品名单</t>
  </si>
  <si>
    <t>F9.0469</t>
  </si>
  <si>
    <t>外协领料单</t>
  </si>
  <si>
    <t>Z9.224</t>
  </si>
  <si>
    <t>成型生产管理表</t>
  </si>
  <si>
    <t>F9.0483</t>
  </si>
  <si>
    <r>
      <rPr>
        <sz val="10"/>
        <rFont val="宋体"/>
        <charset val="0"/>
      </rPr>
      <t>李尔明细书</t>
    </r>
    <r>
      <rPr>
        <sz val="10"/>
        <rFont val="Arial"/>
        <charset val="0"/>
      </rPr>
      <t>134*90nn</t>
    </r>
  </si>
  <si>
    <t>F9.0495</t>
  </si>
  <si>
    <t>麦格纳明细书</t>
  </si>
  <si>
    <t>F9.0489</t>
  </si>
  <si>
    <t>明细书(大)132mm*95mm</t>
  </si>
  <si>
    <t>Z9.237</t>
  </si>
  <si>
    <r>
      <rPr>
        <sz val="10"/>
        <rFont val="宋体"/>
        <charset val="0"/>
      </rPr>
      <t>产品入库单</t>
    </r>
    <r>
      <rPr>
        <sz val="10"/>
        <rFont val="Arial"/>
        <charset val="0"/>
      </rPr>
      <t>(</t>
    </r>
    <r>
      <rPr>
        <sz val="10"/>
        <rFont val="宋体"/>
        <charset val="0"/>
      </rPr>
      <t>小</t>
    </r>
    <r>
      <rPr>
        <sz val="10"/>
        <rFont val="Arial"/>
        <charset val="0"/>
      </rPr>
      <t>)</t>
    </r>
  </si>
  <si>
    <t>F2.0201</t>
  </si>
  <si>
    <t>无水乙醇</t>
  </si>
  <si>
    <t>A1.1772</t>
  </si>
  <si>
    <t>A1.5413</t>
  </si>
  <si>
    <r>
      <rPr>
        <sz val="10"/>
        <rFont val="Arial"/>
        <charset val="0"/>
      </rPr>
      <t>PP+EPDM+T20 P20T20A10-LE</t>
    </r>
    <r>
      <rPr>
        <sz val="10"/>
        <rFont val="宋体"/>
        <charset val="0"/>
      </rPr>
      <t>（</t>
    </r>
    <r>
      <rPr>
        <sz val="10"/>
        <rFont val="Arial"/>
        <charset val="0"/>
      </rPr>
      <t>CS</t>
    </r>
    <r>
      <rPr>
        <sz val="10"/>
        <rFont val="宋体"/>
        <charset val="0"/>
      </rPr>
      <t>）碳黑</t>
    </r>
  </si>
  <si>
    <t>A1.1648</t>
  </si>
  <si>
    <t>A1.5313</t>
  </si>
  <si>
    <t>PPGF30 HSBK011</t>
  </si>
  <si>
    <t>A1.1544</t>
  </si>
  <si>
    <t>A1.4166</t>
  </si>
  <si>
    <t>ABS HH106</t>
  </si>
  <si>
    <t>Z1.0626</t>
  </si>
  <si>
    <t>F1.0261</t>
  </si>
  <si>
    <t>CLIP W719592</t>
  </si>
  <si>
    <t>A1.5264</t>
  </si>
  <si>
    <t>PP ERC161N Mammoth blake NEU 100i C1 C15976</t>
  </si>
  <si>
    <t>Z1.0477</t>
  </si>
  <si>
    <t>F1.0069</t>
  </si>
  <si>
    <r>
      <rPr>
        <sz val="10"/>
        <rFont val="Arial"/>
        <charset val="0"/>
      </rPr>
      <t xml:space="preserve">2735073X </t>
    </r>
    <r>
      <rPr>
        <sz val="10"/>
        <rFont val="宋体"/>
        <charset val="0"/>
      </rPr>
      <t>泡棉（带背胶）</t>
    </r>
    <r>
      <rPr>
        <sz val="10"/>
        <rFont val="Arial"/>
        <charset val="0"/>
      </rPr>
      <t xml:space="preserve"> 112*96*8</t>
    </r>
  </si>
  <si>
    <t>Z1.0478</t>
  </si>
  <si>
    <t>F1.0066</t>
  </si>
  <si>
    <r>
      <rPr>
        <sz val="10"/>
        <rFont val="Arial"/>
        <charset val="0"/>
      </rPr>
      <t xml:space="preserve">2735070X </t>
    </r>
    <r>
      <rPr>
        <sz val="10"/>
        <rFont val="宋体"/>
        <charset val="0"/>
      </rPr>
      <t>吸音棉（带背胶）</t>
    </r>
    <r>
      <rPr>
        <sz val="10"/>
        <rFont val="Arial"/>
        <charset val="0"/>
      </rPr>
      <t xml:space="preserve"> 260*146*21</t>
    </r>
  </si>
  <si>
    <t>Z1.0476</t>
  </si>
  <si>
    <t>F1.0068</t>
  </si>
  <si>
    <r>
      <rPr>
        <sz val="10"/>
        <rFont val="Arial"/>
        <charset val="0"/>
      </rPr>
      <t xml:space="preserve">2735072X </t>
    </r>
    <r>
      <rPr>
        <sz val="10"/>
        <rFont val="宋体"/>
        <charset val="0"/>
      </rPr>
      <t>泡棉（带背胶）</t>
    </r>
    <r>
      <rPr>
        <sz val="10"/>
        <rFont val="Arial"/>
        <charset val="0"/>
      </rPr>
      <t xml:space="preserve"> 90*50*8</t>
    </r>
  </si>
  <si>
    <t>Z1.0616</t>
  </si>
  <si>
    <t>F1.1154</t>
  </si>
  <si>
    <r>
      <rPr>
        <sz val="10"/>
        <rFont val="Arial"/>
        <charset val="0"/>
      </rPr>
      <t>M6</t>
    </r>
    <r>
      <rPr>
        <sz val="10"/>
        <rFont val="宋体"/>
        <charset val="0"/>
      </rPr>
      <t>排力螺母</t>
    </r>
    <r>
      <rPr>
        <sz val="10"/>
        <rFont val="Arial"/>
        <charset val="0"/>
      </rPr>
      <t xml:space="preserve"> W718039-S439</t>
    </r>
  </si>
  <si>
    <t>Z1.0618</t>
  </si>
  <si>
    <t>F1.1871</t>
  </si>
  <si>
    <r>
      <rPr>
        <sz val="10"/>
        <rFont val="宋体"/>
        <charset val="0"/>
      </rPr>
      <t>限压环</t>
    </r>
    <r>
      <rPr>
        <sz val="10"/>
        <rFont val="Arial"/>
        <charset val="0"/>
      </rPr>
      <t>-</t>
    </r>
    <r>
      <rPr>
        <sz val="10"/>
        <rFont val="宋体"/>
        <charset val="0"/>
      </rPr>
      <t>圆形</t>
    </r>
    <r>
      <rPr>
        <sz val="10"/>
        <rFont val="Arial"/>
        <charset val="0"/>
      </rPr>
      <t xml:space="preserve"> 9*11*6</t>
    </r>
  </si>
  <si>
    <t>Z1.0617</t>
  </si>
  <si>
    <t>F1.1872</t>
  </si>
  <si>
    <r>
      <rPr>
        <sz val="10"/>
        <rFont val="宋体"/>
        <charset val="0"/>
      </rPr>
      <t>限压环</t>
    </r>
    <r>
      <rPr>
        <sz val="10"/>
        <rFont val="Arial"/>
        <charset val="0"/>
      </rPr>
      <t>-</t>
    </r>
    <r>
      <rPr>
        <sz val="10"/>
        <rFont val="宋体"/>
        <charset val="0"/>
      </rPr>
      <t>圆形</t>
    </r>
    <r>
      <rPr>
        <sz val="10"/>
        <rFont val="Arial"/>
        <charset val="0"/>
      </rPr>
      <t xml:space="preserve"> 9*9*6</t>
    </r>
  </si>
  <si>
    <t>A1.1812</t>
  </si>
  <si>
    <t>A1.4299</t>
  </si>
  <si>
    <r>
      <rPr>
        <sz val="10"/>
        <rFont val="Arial"/>
        <charset val="0"/>
      </rPr>
      <t>PA6 BKV60H2.0 900116</t>
    </r>
    <r>
      <rPr>
        <sz val="10"/>
        <rFont val="宋体"/>
        <charset val="0"/>
      </rPr>
      <t>黑</t>
    </r>
  </si>
  <si>
    <t>A1.1983</t>
  </si>
  <si>
    <t>A1.5420</t>
  </si>
  <si>
    <r>
      <rPr>
        <sz val="10"/>
        <rFont val="Arial"/>
        <charset val="0"/>
      </rPr>
      <t xml:space="preserve">PP+EPDM+TD20 P20T20A10-LE-MP(S011B) </t>
    </r>
    <r>
      <rPr>
        <sz val="10"/>
        <rFont val="宋体"/>
        <charset val="0"/>
      </rPr>
      <t>深蓝</t>
    </r>
  </si>
  <si>
    <t>A1.1982</t>
  </si>
  <si>
    <t>A1.5422</t>
  </si>
  <si>
    <r>
      <rPr>
        <sz val="10"/>
        <rFont val="Arial"/>
        <charset val="0"/>
      </rPr>
      <t>PP+EPDM+TD20 P20T20A10-LE-MP(S012SG)</t>
    </r>
    <r>
      <rPr>
        <sz val="10"/>
        <rFont val="宋体"/>
        <charset val="0"/>
      </rPr>
      <t>岩石灰</t>
    </r>
  </si>
  <si>
    <t>A1.1813</t>
  </si>
  <si>
    <t>A1.4681</t>
  </si>
  <si>
    <r>
      <rPr>
        <sz val="10"/>
        <rFont val="Arial"/>
        <charset val="0"/>
      </rPr>
      <t xml:space="preserve">PC/ABS CB2340 CB2685 ZHE </t>
    </r>
    <r>
      <rPr>
        <sz val="10"/>
        <rFont val="宋体"/>
        <charset val="0"/>
      </rPr>
      <t>黑</t>
    </r>
  </si>
  <si>
    <t>A1.4021</t>
  </si>
  <si>
    <r>
      <rPr>
        <sz val="10"/>
        <rFont val="Arial"/>
        <charset val="0"/>
      </rPr>
      <t>AAS TW23V 0000K</t>
    </r>
    <r>
      <rPr>
        <sz val="10"/>
        <rFont val="宋体"/>
        <charset val="0"/>
      </rPr>
      <t>黑</t>
    </r>
  </si>
  <si>
    <t>A1.5226</t>
  </si>
  <si>
    <t>PP C3322T  B18(UV) JA6</t>
  </si>
  <si>
    <t>A1.6621</t>
  </si>
  <si>
    <r>
      <rPr>
        <sz val="10"/>
        <rFont val="Arial"/>
        <charset val="0"/>
      </rPr>
      <t>PP LGF40 P707LG BK</t>
    </r>
    <r>
      <rPr>
        <sz val="10"/>
        <rFont val="宋体"/>
        <charset val="0"/>
      </rPr>
      <t>黑色</t>
    </r>
  </si>
  <si>
    <t>不含税合计</t>
  </si>
  <si>
    <t>没有价格</t>
  </si>
  <si>
    <t>含税合计</t>
  </si>
  <si>
    <t>A1.5236</t>
  </si>
  <si>
    <r>
      <rPr>
        <sz val="9"/>
        <rFont val="Segoe UI"/>
        <charset val="134"/>
      </rPr>
      <t xml:space="preserve">PP C6540L 638B CB2685 ZHE </t>
    </r>
    <r>
      <rPr>
        <sz val="9"/>
        <rFont val="宋体"/>
        <charset val="134"/>
      </rPr>
      <t>黑</t>
    </r>
  </si>
  <si>
    <t>F1.1756</t>
  </si>
  <si>
    <r>
      <rPr>
        <sz val="10"/>
        <rFont val="宋体"/>
        <charset val="0"/>
      </rPr>
      <t>铁卡子</t>
    </r>
    <r>
      <rPr>
        <sz val="10"/>
        <rFont val="Arial"/>
        <charset val="0"/>
      </rPr>
      <t xml:space="preserve"> W700970</t>
    </r>
    <r>
      <rPr>
        <sz val="10"/>
        <rFont val="宋体"/>
        <charset val="0"/>
      </rPr>
      <t>（</t>
    </r>
    <r>
      <rPr>
        <sz val="10"/>
        <rFont val="Arial"/>
        <charset val="0"/>
      </rPr>
      <t>VP179126.00.03</t>
    </r>
    <r>
      <rPr>
        <sz val="10"/>
        <rFont val="宋体"/>
        <charset val="0"/>
      </rPr>
      <t>）</t>
    </r>
  </si>
  <si>
    <t>F1.2287</t>
  </si>
  <si>
    <r>
      <rPr>
        <sz val="10"/>
        <rFont val="宋体"/>
        <charset val="0"/>
      </rPr>
      <t>麦拉片</t>
    </r>
    <r>
      <rPr>
        <sz val="10"/>
        <rFont val="Arial"/>
        <charset val="0"/>
      </rPr>
      <t xml:space="preserve"> 27*19*0.2</t>
    </r>
  </si>
  <si>
    <t>A1.5232</t>
  </si>
  <si>
    <r>
      <rPr>
        <sz val="9"/>
        <rFont val="Segoe UI"/>
        <charset val="134"/>
      </rPr>
      <t>PP C3322T M12F JM8 SH4865</t>
    </r>
    <r>
      <rPr>
        <sz val="9"/>
        <rFont val="宋体"/>
        <charset val="134"/>
      </rPr>
      <t>灰</t>
    </r>
  </si>
  <si>
    <t>A1.6336</t>
  </si>
  <si>
    <r>
      <rPr>
        <sz val="9"/>
        <rFont val="Segoe UI"/>
        <charset val="134"/>
      </rPr>
      <t>PP BA215JL BK274</t>
    </r>
    <r>
      <rPr>
        <sz val="9"/>
        <rFont val="宋体"/>
        <charset val="134"/>
      </rPr>
      <t>灰色</t>
    </r>
  </si>
  <si>
    <t>A1.5358</t>
  </si>
  <si>
    <r>
      <rPr>
        <sz val="9"/>
        <rFont val="Segoe UI"/>
        <charset val="134"/>
      </rPr>
      <t>PP T20 A5132T-729-A3 JM8 SH4865</t>
    </r>
    <r>
      <rPr>
        <sz val="9"/>
        <rFont val="宋体"/>
        <charset val="134"/>
      </rPr>
      <t>灰</t>
    </r>
  </si>
  <si>
    <t>F1.1537</t>
  </si>
  <si>
    <r>
      <rPr>
        <sz val="10"/>
        <rFont val="宋体"/>
        <charset val="0"/>
      </rPr>
      <t>卡子</t>
    </r>
    <r>
      <rPr>
        <sz val="10"/>
        <rFont val="Arial"/>
        <charset val="0"/>
      </rPr>
      <t xml:space="preserve"> W716437-S300</t>
    </r>
  </si>
  <si>
    <t>F1.1592</t>
  </si>
  <si>
    <r>
      <rPr>
        <sz val="10"/>
        <rFont val="宋体"/>
        <charset val="0"/>
      </rPr>
      <t>毛毡</t>
    </r>
    <r>
      <rPr>
        <sz val="10"/>
        <rFont val="Arial"/>
        <charset val="0"/>
      </rPr>
      <t xml:space="preserve"> 50*10*0.5</t>
    </r>
  </si>
  <si>
    <t>F1.2108</t>
  </si>
  <si>
    <r>
      <rPr>
        <sz val="10"/>
        <rFont val="宋体"/>
        <charset val="0"/>
      </rPr>
      <t>左侧吸音棉</t>
    </r>
    <r>
      <rPr>
        <sz val="10"/>
        <rFont val="Arial"/>
        <charset val="0"/>
      </rPr>
      <t xml:space="preserve"> 156*137*15</t>
    </r>
  </si>
  <si>
    <t>A1.5779</t>
  </si>
  <si>
    <t>PP T6326A15</t>
  </si>
  <si>
    <t>A1.5357</t>
  </si>
  <si>
    <r>
      <rPr>
        <sz val="10"/>
        <rFont val="Arial"/>
        <charset val="0"/>
      </rPr>
      <t>PP T20 A5132T-729-A3 EA9 CB1690</t>
    </r>
    <r>
      <rPr>
        <sz val="10"/>
        <rFont val="宋体"/>
        <charset val="0"/>
      </rPr>
      <t>黑</t>
    </r>
  </si>
  <si>
    <t>A1.5493</t>
  </si>
  <si>
    <r>
      <rPr>
        <sz val="10"/>
        <rFont val="Arial"/>
        <charset val="0"/>
      </rPr>
      <t xml:space="preserve">TEO 3000-60A </t>
    </r>
    <r>
      <rPr>
        <sz val="10"/>
        <rFont val="宋体"/>
        <charset val="0"/>
      </rPr>
      <t>黑</t>
    </r>
  </si>
  <si>
    <t>A1.5664</t>
  </si>
  <si>
    <r>
      <rPr>
        <sz val="10"/>
        <rFont val="Arial"/>
        <charset val="0"/>
      </rPr>
      <t xml:space="preserve">TPV G 65A </t>
    </r>
    <r>
      <rPr>
        <sz val="10"/>
        <rFont val="宋体"/>
        <charset val="0"/>
      </rPr>
      <t>哑黑</t>
    </r>
    <r>
      <rPr>
        <sz val="10"/>
        <rFont val="Arial"/>
        <charset val="0"/>
      </rPr>
      <t>IK08</t>
    </r>
  </si>
  <si>
    <t>F1.1551</t>
  </si>
  <si>
    <r>
      <rPr>
        <sz val="10"/>
        <rFont val="宋体"/>
        <charset val="0"/>
      </rPr>
      <t>螺钉</t>
    </r>
    <r>
      <rPr>
        <sz val="10"/>
        <rFont val="Arial"/>
        <charset val="0"/>
      </rPr>
      <t xml:space="preserve"> W718102</t>
    </r>
    <r>
      <rPr>
        <sz val="10"/>
        <rFont val="宋体"/>
        <charset val="0"/>
      </rPr>
      <t>（</t>
    </r>
    <r>
      <rPr>
        <sz val="10"/>
        <rFont val="Arial"/>
        <charset val="0"/>
      </rPr>
      <t>VP195419.00.04</t>
    </r>
    <r>
      <rPr>
        <sz val="10"/>
        <rFont val="宋体"/>
        <charset val="0"/>
      </rPr>
      <t>）</t>
    </r>
  </si>
  <si>
    <t>Z1.0320</t>
  </si>
  <si>
    <t>F1.0406</t>
  </si>
  <si>
    <r>
      <rPr>
        <sz val="10"/>
        <rFont val="Arial"/>
        <charset val="0"/>
      </rPr>
      <t>E09202300</t>
    </r>
    <r>
      <rPr>
        <sz val="10"/>
        <rFont val="宋体"/>
        <charset val="0"/>
      </rPr>
      <t>嵌件</t>
    </r>
  </si>
  <si>
    <t>A1.1694</t>
  </si>
  <si>
    <t>A1.5311</t>
  </si>
  <si>
    <r>
      <rPr>
        <sz val="9"/>
        <rFont val="Segoe UI"/>
        <charset val="134"/>
      </rPr>
      <t>PP GF30 FRBK101</t>
    </r>
    <r>
      <rPr>
        <sz val="9"/>
        <rFont val="宋体"/>
        <charset val="134"/>
      </rPr>
      <t>黑</t>
    </r>
  </si>
  <si>
    <t>A1.0831</t>
  </si>
  <si>
    <t>A1.5109</t>
  </si>
  <si>
    <t>POM 500P NC010</t>
  </si>
  <si>
    <t>A1.1811</t>
  </si>
  <si>
    <t>A1.5326</t>
  </si>
  <si>
    <r>
      <rPr>
        <sz val="9"/>
        <rFont val="Segoe UI"/>
        <charset val="134"/>
      </rPr>
      <t xml:space="preserve">PP H1407R </t>
    </r>
    <r>
      <rPr>
        <sz val="9"/>
        <rFont val="宋体"/>
        <charset val="134"/>
      </rPr>
      <t>黑</t>
    </r>
  </si>
  <si>
    <t>Z1.0571</t>
  </si>
  <si>
    <t>F1.0858</t>
  </si>
  <si>
    <r>
      <rPr>
        <sz val="9"/>
        <rFont val="Segoe UI"/>
        <charset val="134"/>
      </rPr>
      <t xml:space="preserve">Flocked Tape </t>
    </r>
    <r>
      <rPr>
        <sz val="9"/>
        <rFont val="宋体"/>
        <charset val="134"/>
      </rPr>
      <t>毛毡</t>
    </r>
    <r>
      <rPr>
        <sz val="9"/>
        <rFont val="Segoe UI"/>
        <charset val="134"/>
      </rPr>
      <t xml:space="preserve"> 30*17*1</t>
    </r>
  </si>
  <si>
    <t>Z1.0572</t>
  </si>
  <si>
    <t>F1.0888</t>
  </si>
  <si>
    <r>
      <rPr>
        <sz val="9"/>
        <rFont val="Segoe UI"/>
        <charset val="134"/>
      </rPr>
      <t xml:space="preserve">Foam </t>
    </r>
    <r>
      <rPr>
        <sz val="9"/>
        <rFont val="宋体"/>
        <charset val="134"/>
      </rPr>
      <t>泡沫块</t>
    </r>
    <r>
      <rPr>
        <sz val="9"/>
        <rFont val="Segoe UI"/>
        <charset val="134"/>
      </rPr>
      <t xml:space="preserve"> 30*12*2.5</t>
    </r>
  </si>
  <si>
    <t>Z1.0568</t>
  </si>
  <si>
    <t>F1.1536</t>
  </si>
  <si>
    <r>
      <rPr>
        <sz val="9"/>
        <rFont val="宋体"/>
        <charset val="134"/>
      </rPr>
      <t>卡子</t>
    </r>
    <r>
      <rPr>
        <sz val="9"/>
        <rFont val="Segoe UI"/>
        <charset val="134"/>
      </rPr>
      <t xml:space="preserve"> W705093-S403</t>
    </r>
    <r>
      <rPr>
        <sz val="9"/>
        <rFont val="宋体"/>
        <charset val="134"/>
      </rPr>
      <t>（</t>
    </r>
    <r>
      <rPr>
        <sz val="9"/>
        <rFont val="Segoe UI"/>
        <charset val="134"/>
      </rPr>
      <t>VP179813.00.41</t>
    </r>
    <r>
      <rPr>
        <sz val="9"/>
        <rFont val="宋体"/>
        <charset val="134"/>
      </rPr>
      <t>）</t>
    </r>
  </si>
  <si>
    <t>A1.5230</t>
  </si>
  <si>
    <r>
      <rPr>
        <sz val="9"/>
        <rFont val="Segoe UI"/>
        <charset val="134"/>
      </rPr>
      <t>PP C3322T M12F EA9 CB1690</t>
    </r>
    <r>
      <rPr>
        <sz val="9"/>
        <rFont val="宋体"/>
        <charset val="134"/>
      </rPr>
      <t>黑</t>
    </r>
  </si>
  <si>
    <t>F1.1331</t>
  </si>
  <si>
    <t>W719189-S403</t>
  </si>
  <si>
    <t>F1.1572</t>
  </si>
  <si>
    <r>
      <rPr>
        <sz val="10"/>
        <rFont val="宋体"/>
        <charset val="0"/>
      </rPr>
      <t>螺母</t>
    </r>
    <r>
      <rPr>
        <sz val="10"/>
        <rFont val="Arial"/>
        <charset val="0"/>
      </rPr>
      <t>VP137346.00.04</t>
    </r>
  </si>
  <si>
    <t>F1.2126</t>
  </si>
  <si>
    <r>
      <rPr>
        <sz val="10"/>
        <rFont val="宋体"/>
        <charset val="0"/>
      </rPr>
      <t>盘头法兰平尾螺丝黑色</t>
    </r>
    <r>
      <rPr>
        <sz val="10"/>
        <rFont val="Arial"/>
        <charset val="0"/>
      </rPr>
      <t xml:space="preserve"> VP194416.00.06</t>
    </r>
  </si>
  <si>
    <t>A1.5957</t>
  </si>
  <si>
    <r>
      <rPr>
        <sz val="10"/>
        <rFont val="Arial"/>
        <charset val="0"/>
      </rPr>
      <t>PP P20T20A10-LE-CS</t>
    </r>
    <r>
      <rPr>
        <sz val="10"/>
        <rFont val="宋体"/>
        <charset val="0"/>
      </rPr>
      <t>（</t>
    </r>
    <r>
      <rPr>
        <sz val="10"/>
        <rFont val="Arial"/>
        <charset val="0"/>
      </rPr>
      <t>Brown</t>
    </r>
    <r>
      <rPr>
        <sz val="10"/>
        <rFont val="宋体"/>
        <charset val="0"/>
      </rPr>
      <t>）焦糖色</t>
    </r>
  </si>
  <si>
    <t>A1.5985</t>
  </si>
  <si>
    <t>ABS 3450F-HH B12378L</t>
  </si>
  <si>
    <t>F1.1539</t>
  </si>
  <si>
    <r>
      <rPr>
        <sz val="10"/>
        <rFont val="宋体"/>
        <charset val="0"/>
      </rPr>
      <t>卡子</t>
    </r>
    <r>
      <rPr>
        <sz val="10"/>
        <rFont val="Arial"/>
        <charset val="0"/>
      </rPr>
      <t xml:space="preserve"> W720456-S300</t>
    </r>
    <r>
      <rPr>
        <sz val="10"/>
        <rFont val="宋体"/>
        <charset val="0"/>
      </rPr>
      <t>（</t>
    </r>
    <r>
      <rPr>
        <sz val="10"/>
        <rFont val="Arial"/>
        <charset val="0"/>
      </rPr>
      <t>VP379489.00.00</t>
    </r>
    <r>
      <rPr>
        <sz val="10"/>
        <rFont val="宋体"/>
        <charset val="0"/>
      </rPr>
      <t>）</t>
    </r>
  </si>
  <si>
    <t>A1.4219</t>
  </si>
  <si>
    <t>ASA 777KUV BK61099</t>
  </si>
  <si>
    <t>A1.6014</t>
  </si>
  <si>
    <r>
      <rPr>
        <sz val="9"/>
        <rFont val="Segoe UI"/>
        <charset val="134"/>
      </rPr>
      <t>PP P20T20A10-LE</t>
    </r>
    <r>
      <rPr>
        <sz val="9"/>
        <rFont val="宋体"/>
        <charset val="134"/>
      </rPr>
      <t>（</t>
    </r>
    <r>
      <rPr>
        <sz val="9"/>
        <rFont val="Segoe UI"/>
        <charset val="134"/>
      </rPr>
      <t>Dawn</t>
    </r>
    <r>
      <rPr>
        <sz val="9"/>
        <rFont val="宋体"/>
        <charset val="134"/>
      </rPr>
      <t>）曙光灰</t>
    </r>
  </si>
  <si>
    <t>F1.1328</t>
  </si>
  <si>
    <t>W710609-S439</t>
  </si>
  <si>
    <t>A1.5227</t>
  </si>
  <si>
    <r>
      <rPr>
        <sz val="9"/>
        <rFont val="Segoe UI"/>
        <charset val="134"/>
      </rPr>
      <t xml:space="preserve">PP C3322T M12F CB2685 ZHE </t>
    </r>
    <r>
      <rPr>
        <sz val="9"/>
        <rFont val="宋体"/>
        <charset val="134"/>
      </rPr>
      <t>黑</t>
    </r>
  </si>
  <si>
    <t>A1.6531</t>
  </si>
  <si>
    <r>
      <rPr>
        <sz val="10"/>
        <rFont val="Arial"/>
        <charset val="0"/>
      </rPr>
      <t>PP+EPDM-TD20 B1 Class P20T20A10-LE-EF1E(Moonglade)</t>
    </r>
    <r>
      <rPr>
        <sz val="10"/>
        <rFont val="宋体"/>
        <charset val="0"/>
      </rPr>
      <t>月光林地</t>
    </r>
  </si>
  <si>
    <t>A1.6414</t>
  </si>
  <si>
    <t>PP A422  G20</t>
  </si>
  <si>
    <t>A1.6618</t>
  </si>
  <si>
    <t>PP TD20 BK黑色</t>
  </si>
  <si>
    <t>替代A1.5230</t>
  </si>
  <si>
    <t>A1.1703</t>
  </si>
  <si>
    <t>A1.5345</t>
  </si>
  <si>
    <r>
      <rPr>
        <sz val="10"/>
        <rFont val="Arial"/>
        <charset val="0"/>
      </rPr>
      <t>PP MD20 ECO RHT401N BK601</t>
    </r>
    <r>
      <rPr>
        <sz val="10"/>
        <rFont val="宋体"/>
        <charset val="0"/>
      </rPr>
      <t>（</t>
    </r>
    <r>
      <rPr>
        <sz val="10"/>
        <rFont val="Arial"/>
        <charset val="0"/>
      </rPr>
      <t>STBK</t>
    </r>
    <r>
      <rPr>
        <sz val="10"/>
        <rFont val="宋体"/>
        <charset val="0"/>
      </rPr>
      <t>）</t>
    </r>
  </si>
  <si>
    <t>A1.5766</t>
  </si>
  <si>
    <t>ASA LI941-F94484 BK</t>
  </si>
  <si>
    <t>A1.6501</t>
  </si>
  <si>
    <t>PP DF8270CN YC02黑色</t>
  </si>
  <si>
    <t>F1.2377</t>
  </si>
  <si>
    <t>Y0801426-INSERT METAL</t>
  </si>
  <si>
    <t>A1.6539</t>
  </si>
  <si>
    <t>PP DF8270CN</t>
  </si>
  <si>
    <t>F1.1538</t>
  </si>
  <si>
    <t>卡扣W717086-S439(539B4002AA0)</t>
  </si>
  <si>
    <t>F1.2862</t>
  </si>
  <si>
    <t>泡棉T15*29.5*32.9mm(70644001AA0)</t>
  </si>
  <si>
    <t>F1.2863</t>
  </si>
  <si>
    <t>泡棉T5*13*85mm(70644002AA0)</t>
  </si>
  <si>
    <t>F1.2864</t>
  </si>
  <si>
    <t>泡棉T3*5*50mm(70644003AA0)</t>
  </si>
  <si>
    <t>支给材料</t>
  </si>
  <si>
    <t>F1.1662</t>
  </si>
  <si>
    <r>
      <rPr>
        <sz val="10"/>
        <rFont val="宋体"/>
        <charset val="0"/>
      </rPr>
      <t>嵌件</t>
    </r>
    <r>
      <rPr>
        <sz val="10"/>
        <rFont val="Arial"/>
        <charset val="0"/>
      </rPr>
      <t>E10865400 /E14383200</t>
    </r>
  </si>
  <si>
    <t>F1.1657</t>
  </si>
  <si>
    <r>
      <rPr>
        <sz val="10"/>
        <rFont val="宋体"/>
        <charset val="0"/>
      </rPr>
      <t>嵌件</t>
    </r>
    <r>
      <rPr>
        <sz val="10"/>
        <rFont val="Arial"/>
        <charset val="0"/>
      </rPr>
      <t>E06413700</t>
    </r>
  </si>
  <si>
    <t>F1.1664</t>
  </si>
  <si>
    <r>
      <rPr>
        <sz val="10"/>
        <rFont val="宋体"/>
        <charset val="0"/>
      </rPr>
      <t>嵌件</t>
    </r>
    <r>
      <rPr>
        <sz val="10"/>
        <rFont val="Arial"/>
        <charset val="0"/>
      </rPr>
      <t>E10904200 /E14383100</t>
    </r>
  </si>
  <si>
    <t>F2.0049</t>
  </si>
  <si>
    <r>
      <rPr>
        <sz val="10"/>
        <rFont val="宋体"/>
        <charset val="0"/>
      </rPr>
      <t>缠绕膜（长</t>
    </r>
    <r>
      <rPr>
        <sz val="10"/>
        <rFont val="Arial"/>
        <charset val="0"/>
      </rPr>
      <t>420m*</t>
    </r>
    <r>
      <rPr>
        <sz val="10"/>
        <rFont val="宋体"/>
        <charset val="0"/>
      </rPr>
      <t>宽</t>
    </r>
    <r>
      <rPr>
        <sz val="10"/>
        <rFont val="Arial"/>
        <charset val="0"/>
      </rPr>
      <t xml:space="preserve">50cm </t>
    </r>
    <r>
      <rPr>
        <sz val="10"/>
        <rFont val="宋体"/>
        <charset val="0"/>
      </rPr>
      <t>厚</t>
    </r>
    <r>
      <rPr>
        <sz val="10"/>
        <rFont val="Arial"/>
        <charset val="0"/>
      </rPr>
      <t xml:space="preserve">1.8 </t>
    </r>
    <r>
      <rPr>
        <sz val="10"/>
        <rFont val="宋体"/>
        <charset val="0"/>
      </rPr>
      <t>净重</t>
    </r>
    <r>
      <rPr>
        <sz val="10"/>
        <rFont val="Arial"/>
        <charset val="0"/>
      </rPr>
      <t>3.5KG</t>
    </r>
    <r>
      <rPr>
        <sz val="10"/>
        <rFont val="宋体"/>
        <charset val="0"/>
      </rPr>
      <t>）</t>
    </r>
  </si>
  <si>
    <t>图号</t>
  </si>
  <si>
    <t>求和项:业务数量</t>
  </si>
  <si>
    <t>总计</t>
  </si>
  <si>
    <t>单据号</t>
  </si>
  <si>
    <t>单据类型</t>
  </si>
  <si>
    <t>仓库编码</t>
  </si>
  <si>
    <t>仓库名</t>
  </si>
  <si>
    <t>供应商</t>
  </si>
  <si>
    <t>客户</t>
  </si>
  <si>
    <t>结算客户</t>
  </si>
  <si>
    <t>品号类型</t>
  </si>
  <si>
    <t>品号</t>
  </si>
  <si>
    <t>品名</t>
  </si>
  <si>
    <t>二级类别</t>
  </si>
  <si>
    <t>装箱数</t>
  </si>
  <si>
    <t>箱数</t>
  </si>
  <si>
    <t>业务数量</t>
  </si>
  <si>
    <t>托码</t>
  </si>
  <si>
    <t>库位编号</t>
  </si>
  <si>
    <t>批号</t>
  </si>
  <si>
    <t>批号描述</t>
  </si>
  <si>
    <t>生产日期</t>
  </si>
  <si>
    <t>流转卡号</t>
  </si>
  <si>
    <t>单据备注</t>
  </si>
  <si>
    <t>备注</t>
  </si>
  <si>
    <t>部门</t>
  </si>
  <si>
    <t>操作人</t>
  </si>
  <si>
    <t>操作时间</t>
  </si>
  <si>
    <t>方向</t>
  </si>
  <si>
    <t>出入库时间</t>
  </si>
  <si>
    <t>规格</t>
  </si>
  <si>
    <t>单位</t>
  </si>
  <si>
    <t>1309-202605290002</t>
  </si>
  <si>
    <t>材料销货出库单</t>
  </si>
  <si>
    <t>02</t>
  </si>
  <si>
    <t>原材料扫码仓</t>
  </si>
  <si>
    <t/>
  </si>
  <si>
    <t>W10</t>
  </si>
  <si>
    <t>采购件</t>
  </si>
  <si>
    <t>3100635</t>
  </si>
  <si>
    <t>塑料粒子</t>
  </si>
  <si>
    <t>T02*604681</t>
  </si>
  <si>
    <t>001-1-1</t>
  </si>
  <si>
    <t>2026052948</t>
  </si>
  <si>
    <t>0126607601</t>
  </si>
  <si>
    <t>2026/05/29</t>
  </si>
  <si>
    <t>4747155</t>
  </si>
  <si>
    <t>控股及其他属地</t>
  </si>
  <si>
    <t>丰金册</t>
  </si>
  <si>
    <t>出库</t>
  </si>
  <si>
    <t>2026/05/29 20:30:54</t>
  </si>
  <si>
    <t>KG</t>
  </si>
  <si>
    <t>15003103143</t>
  </si>
  <si>
    <t>PP LGF40 P707LG BK黑色</t>
  </si>
  <si>
    <t>T02*564513</t>
  </si>
  <si>
    <t>D08-3-1</t>
  </si>
  <si>
    <t>2026032415</t>
  </si>
  <si>
    <t>260313XB</t>
  </si>
  <si>
    <t>2026/05/02</t>
  </si>
  <si>
    <t>左文明</t>
  </si>
  <si>
    <t>2026/05/29 18:29:51</t>
  </si>
  <si>
    <t>增税</t>
  </si>
  <si>
    <t>T02*543554</t>
  </si>
  <si>
    <t>A15-3-2</t>
  </si>
  <si>
    <t>2026033128</t>
  </si>
  <si>
    <t>260324XB</t>
  </si>
  <si>
    <t>2026/03/31</t>
  </si>
  <si>
    <t>2026/05/29 18:26:12</t>
  </si>
  <si>
    <t>3101142</t>
  </si>
  <si>
    <t>T02*558794</t>
  </si>
  <si>
    <t>B06-4-2</t>
  </si>
  <si>
    <t>2026041101</t>
  </si>
  <si>
    <t>M260411521</t>
  </si>
  <si>
    <t>2026/04/11</t>
  </si>
  <si>
    <t>2026/05/29 18:24:47</t>
  </si>
  <si>
    <t>1290-202605290006</t>
  </si>
  <si>
    <t>MES总务领料单</t>
  </si>
  <si>
    <t>05</t>
  </si>
  <si>
    <t>总务仓库</t>
  </si>
  <si>
    <t>5100094</t>
  </si>
  <si>
    <t>生产性辅助材料</t>
  </si>
  <si>
    <t>T02**10034</t>
  </si>
  <si>
    <t>001-1-8</t>
  </si>
  <si>
    <t>20241018</t>
  </si>
  <si>
    <t>20241016</t>
  </si>
  <si>
    <t>2024/10/16</t>
  </si>
  <si>
    <t>4746983</t>
  </si>
  <si>
    <t>高佳丹</t>
  </si>
  <si>
    <t>2026/05/29 10:57:13</t>
  </si>
  <si>
    <t>本</t>
  </si>
  <si>
    <t>1309-202605250002</t>
  </si>
  <si>
    <t>105</t>
  </si>
  <si>
    <t>辅件扫码仓</t>
  </si>
  <si>
    <t>3600742</t>
  </si>
  <si>
    <t>辅件</t>
  </si>
  <si>
    <t>T02**61521</t>
  </si>
  <si>
    <t>B04-1-1</t>
  </si>
  <si>
    <t>2023100838</t>
  </si>
  <si>
    <t>20231119</t>
  </si>
  <si>
    <t>2023/10/08</t>
  </si>
  <si>
    <t>4747152</t>
  </si>
  <si>
    <t>张国艳</t>
  </si>
  <si>
    <t>2026/05/25</t>
  </si>
  <si>
    <t>2026/05/25 19:11:18</t>
  </si>
  <si>
    <t>PCS</t>
  </si>
  <si>
    <t>15003662599</t>
  </si>
  <si>
    <t>T02**61285</t>
  </si>
  <si>
    <t>A02-2-4</t>
  </si>
  <si>
    <t>2026051939</t>
  </si>
  <si>
    <t>20260514</t>
  </si>
  <si>
    <t>2026/05/19</t>
  </si>
  <si>
    <t>2026/05/25 18:00:12</t>
  </si>
  <si>
    <t>T02**61275</t>
  </si>
  <si>
    <t>B02-1-1</t>
  </si>
  <si>
    <t>2026043064</t>
  </si>
  <si>
    <t>20260429</t>
  </si>
  <si>
    <t>2026/04/30</t>
  </si>
  <si>
    <t>2026/05/25 18:00:05</t>
  </si>
  <si>
    <t>15003662601</t>
  </si>
  <si>
    <t>T02**61280</t>
  </si>
  <si>
    <t>B12-1-2</t>
  </si>
  <si>
    <t>2026051937</t>
  </si>
  <si>
    <t>20260518</t>
  </si>
  <si>
    <t>2026/05/25 17:59:51</t>
  </si>
  <si>
    <t>2026043065</t>
  </si>
  <si>
    <t>2026/05/25 17:59:45</t>
  </si>
  <si>
    <t>15003662600</t>
  </si>
  <si>
    <t>2026051938</t>
  </si>
  <si>
    <t>2026/05/25 17:59:24</t>
  </si>
  <si>
    <t>T02**61287</t>
  </si>
  <si>
    <t>B02-2-2</t>
  </si>
  <si>
    <t>2026043062</t>
  </si>
  <si>
    <t>2026/05/25 17:59:17</t>
  </si>
  <si>
    <t>T02**61509</t>
  </si>
  <si>
    <t>A02-1-2</t>
  </si>
  <si>
    <t>2026050853</t>
  </si>
  <si>
    <t>2026/05/08</t>
  </si>
  <si>
    <t>2026/05/25 17:58:54</t>
  </si>
  <si>
    <t>T02**61261</t>
  </si>
  <si>
    <t>A02-2-1</t>
  </si>
  <si>
    <t>2026043058</t>
  </si>
  <si>
    <t>20260226</t>
  </si>
  <si>
    <t>2026/05/25 17:58:45</t>
  </si>
  <si>
    <t>T02**61274</t>
  </si>
  <si>
    <t>A01-1-4</t>
  </si>
  <si>
    <t>2026042702</t>
  </si>
  <si>
    <t>2026/04/27</t>
  </si>
  <si>
    <t>2026/05/25 17:58:17</t>
  </si>
  <si>
    <t>1309-202605190004</t>
  </si>
  <si>
    <t>3100262</t>
  </si>
  <si>
    <t>APO-308（PP-GF20%+MF10) BLACK</t>
  </si>
  <si>
    <t>T02*596264</t>
  </si>
  <si>
    <t>2026051912</t>
  </si>
  <si>
    <t>31402142</t>
  </si>
  <si>
    <t>4746143</t>
  </si>
  <si>
    <t>2026/05/19 18:16:00</t>
  </si>
  <si>
    <t>3100247</t>
  </si>
  <si>
    <t>2026051907</t>
  </si>
  <si>
    <t>51756411</t>
  </si>
  <si>
    <t>2026/05/19 18:15:55</t>
  </si>
  <si>
    <t>1309-202605180003</t>
  </si>
  <si>
    <t>15003602043</t>
  </si>
  <si>
    <t>T02**14728</t>
  </si>
  <si>
    <t>B11-1-3</t>
  </si>
  <si>
    <t>2026051642</t>
  </si>
  <si>
    <t>20260428</t>
  </si>
  <si>
    <t>2026/05/16</t>
  </si>
  <si>
    <t>4746142</t>
  </si>
  <si>
    <t>2026/05/18</t>
  </si>
  <si>
    <t>2026/05/18 12:56:46</t>
  </si>
  <si>
    <t>3600165</t>
  </si>
  <si>
    <t>卡扣W714972-S300</t>
  </si>
  <si>
    <t>A01-2-2</t>
  </si>
  <si>
    <t>2026040356</t>
  </si>
  <si>
    <t>202601009-3</t>
  </si>
  <si>
    <t>2026/04/03</t>
  </si>
  <si>
    <t>2026/05/18 12:55:54</t>
  </si>
  <si>
    <t>3600725</t>
  </si>
  <si>
    <t>毛毡 50*10*0.5</t>
  </si>
  <si>
    <t>T02**61525</t>
  </si>
  <si>
    <t>B04-2-1</t>
  </si>
  <si>
    <t>2026043043</t>
  </si>
  <si>
    <t>2026/05/18 12:55:21</t>
  </si>
  <si>
    <t>3600688</t>
  </si>
  <si>
    <t>Flocked Tape 毛毡 30*17*1</t>
  </si>
  <si>
    <t>2025112927</t>
  </si>
  <si>
    <t>20051128</t>
  </si>
  <si>
    <t>2025/11/29</t>
  </si>
  <si>
    <t>2026/05/18 12:54:12</t>
  </si>
  <si>
    <t>1309-202605150006</t>
  </si>
  <si>
    <t>T02*467536</t>
  </si>
  <si>
    <t>2026051507</t>
  </si>
  <si>
    <t>2026/05/15</t>
  </si>
  <si>
    <t>4746141</t>
  </si>
  <si>
    <t>2026/05/15 17:43:13</t>
  </si>
  <si>
    <t>2026051508</t>
  </si>
  <si>
    <t>31401466</t>
  </si>
  <si>
    <t>2026/05/15 17:42:40</t>
  </si>
  <si>
    <t>1309-202605120008</t>
  </si>
  <si>
    <t>3600444</t>
  </si>
  <si>
    <t>COVER PET覆膜</t>
  </si>
  <si>
    <t>T02**29245</t>
  </si>
  <si>
    <t>D05-2-3</t>
  </si>
  <si>
    <t>2026051001</t>
  </si>
  <si>
    <t>20260509</t>
  </si>
  <si>
    <t>2026/05/10</t>
  </si>
  <si>
    <t>4746139</t>
  </si>
  <si>
    <t>2026/05/12</t>
  </si>
  <si>
    <t>2026/05/12 19:56:29</t>
  </si>
  <si>
    <t>1309-202605110006</t>
  </si>
  <si>
    <t>15003103140</t>
  </si>
  <si>
    <t>T02*574292</t>
  </si>
  <si>
    <t>2026042626</t>
  </si>
  <si>
    <t>2603060001</t>
  </si>
  <si>
    <t>2026/04/26</t>
  </si>
  <si>
    <t>4746138</t>
  </si>
  <si>
    <t>2026/05/11</t>
  </si>
  <si>
    <t>2026/05/11 13:12:20</t>
  </si>
  <si>
    <t>T02*558378</t>
  </si>
  <si>
    <t>2026040951</t>
  </si>
  <si>
    <t>2026/04/09</t>
  </si>
  <si>
    <t>2026/05/11 13:11:36</t>
  </si>
  <si>
    <t>3101137</t>
  </si>
  <si>
    <t>PP T20 A5132T-729-A3 EA9 CB1690黑</t>
  </si>
  <si>
    <t>T02*566393</t>
  </si>
  <si>
    <t>B18-3-2</t>
  </si>
  <si>
    <t>2026042234</t>
  </si>
  <si>
    <t>260401</t>
  </si>
  <si>
    <t>2026/04/22</t>
  </si>
  <si>
    <t>2026/05/11 12:59:43</t>
  </si>
  <si>
    <t>2026/05/11 12:55:30</t>
  </si>
  <si>
    <t>3101145</t>
  </si>
  <si>
    <t>T02*561530</t>
  </si>
  <si>
    <t>D11-1-2</t>
  </si>
  <si>
    <t>2026041331</t>
  </si>
  <si>
    <t>2026/04/13</t>
  </si>
  <si>
    <t>2026/05/11 12:55:09</t>
  </si>
  <si>
    <t>1309-202605080001</t>
  </si>
  <si>
    <t>T02*583947</t>
  </si>
  <si>
    <t>2026050727</t>
  </si>
  <si>
    <t>31397241</t>
  </si>
  <si>
    <t>2026/05/07</t>
  </si>
  <si>
    <t>4746137</t>
  </si>
  <si>
    <t>2026/05/09</t>
  </si>
  <si>
    <t>2026/05/09 15:35:11</t>
  </si>
  <si>
    <t>2026050726</t>
  </si>
  <si>
    <t>2026/05/09 15:34:59</t>
  </si>
  <si>
    <t>T02*584035</t>
  </si>
  <si>
    <t>2026050829</t>
  </si>
  <si>
    <t>2026/05/09 15:34:44</t>
  </si>
  <si>
    <t>3101115</t>
  </si>
  <si>
    <t>PA66 C200 BK121</t>
  </si>
  <si>
    <t>T02*583441</t>
  </si>
  <si>
    <t>C05-3-2</t>
  </si>
  <si>
    <t>2026050738</t>
  </si>
  <si>
    <t>51724339</t>
  </si>
  <si>
    <t>2026/05/09 15:34:34</t>
  </si>
  <si>
    <t>3101138</t>
  </si>
  <si>
    <t>PP T20 A5132T-729-A3 JM8 SH4865灰</t>
  </si>
  <si>
    <t>T02*506156</t>
  </si>
  <si>
    <t>A15-2-1</t>
  </si>
  <si>
    <t>2025120841</t>
  </si>
  <si>
    <t>01618-556034</t>
  </si>
  <si>
    <t>2025/12/08</t>
  </si>
  <si>
    <t>2026/05/09 15:34:24</t>
  </si>
  <si>
    <t>1309-202605060008</t>
  </si>
  <si>
    <t>3101082</t>
  </si>
  <si>
    <t>PP T20 P20T20A10-LE-CS(EF1E)碳黑</t>
  </si>
  <si>
    <t>2026041201</t>
  </si>
  <si>
    <t>26040801</t>
  </si>
  <si>
    <t>4746966</t>
  </si>
  <si>
    <t>2026/05/07 14:49:21</t>
  </si>
  <si>
    <t>1290-202605060016</t>
  </si>
  <si>
    <t>15005302785</t>
  </si>
  <si>
    <t>001-1-7</t>
  </si>
  <si>
    <t>20260331</t>
  </si>
  <si>
    <t>20260328</t>
  </si>
  <si>
    <t>2026/03/28</t>
  </si>
  <si>
    <t>4746974</t>
  </si>
  <si>
    <t>2026/05/07 10:09:21</t>
  </si>
  <si>
    <t>1309-202605060007</t>
  </si>
  <si>
    <t>3601932</t>
  </si>
  <si>
    <t>麦拉片 27*19*0.2</t>
  </si>
  <si>
    <t>2026043048</t>
  </si>
  <si>
    <t>4746965</t>
  </si>
  <si>
    <t>2026/05/06</t>
  </si>
  <si>
    <t>2026/05/06 19:33:21</t>
  </si>
  <si>
    <t>3600723</t>
  </si>
  <si>
    <t>左侧吸音棉 156*137*15</t>
  </si>
  <si>
    <t>2026043042</t>
  </si>
  <si>
    <t>2026/05/06 19:31:43</t>
  </si>
  <si>
    <t>1309-202605060006</t>
  </si>
  <si>
    <t>3600554</t>
  </si>
  <si>
    <t>2026050329</t>
  </si>
  <si>
    <t>CF07BNAHH</t>
  </si>
  <si>
    <t>2026/05/03</t>
  </si>
  <si>
    <t>4746964</t>
  </si>
  <si>
    <t>2026/05/06 19:30:33</t>
  </si>
  <si>
    <t>3600553</t>
  </si>
  <si>
    <t>2026050328</t>
  </si>
  <si>
    <t>CF0NSYAH</t>
  </si>
  <si>
    <t>2026/05/06 19:30:26</t>
  </si>
  <si>
    <t>3600570</t>
  </si>
  <si>
    <t>E14382900（E10629100）</t>
  </si>
  <si>
    <t>2026042917</t>
  </si>
  <si>
    <t>20260327</t>
  </si>
  <si>
    <t>2026/04/29</t>
  </si>
  <si>
    <t>2026/05/06 19:22:59</t>
  </si>
  <si>
    <t>3600571</t>
  </si>
  <si>
    <t>E14383700（E11006400）</t>
  </si>
  <si>
    <t>2026042918</t>
  </si>
  <si>
    <t>20260325</t>
  </si>
  <si>
    <t>2026/05/06 19:22:51</t>
  </si>
  <si>
    <t>3600567</t>
  </si>
  <si>
    <t>E14383600（E10881800）</t>
  </si>
  <si>
    <t>2026042916</t>
  </si>
  <si>
    <t>20260410</t>
  </si>
  <si>
    <t>2026/05/06 19:22:18</t>
  </si>
  <si>
    <t>3600431</t>
  </si>
  <si>
    <t>嵌件E10904200 /E14383100</t>
  </si>
  <si>
    <t>2026042922</t>
  </si>
  <si>
    <t>20260408</t>
  </si>
  <si>
    <t>2026/05/06 19:22:11</t>
  </si>
  <si>
    <t>3600756</t>
  </si>
  <si>
    <t>卡子 W716437-S300</t>
  </si>
  <si>
    <t>2026040425</t>
  </si>
  <si>
    <t>20260227</t>
  </si>
  <si>
    <t>2026/04/04</t>
  </si>
  <si>
    <t>2026/05/06 19:21:40</t>
  </si>
  <si>
    <t>3600569</t>
  </si>
  <si>
    <t>E14383000（E6679200）</t>
  </si>
  <si>
    <t>2026042919</t>
  </si>
  <si>
    <t>20260326</t>
  </si>
  <si>
    <t>2026/05/06 19:21:21</t>
  </si>
  <si>
    <t>2023年9月份深远材料辅件领用清单</t>
  </si>
  <si>
    <t>材料代码</t>
  </si>
  <si>
    <r>
      <rPr>
        <b/>
        <sz val="8"/>
        <color indexed="8"/>
        <rFont val="宋体"/>
        <charset val="134"/>
      </rPr>
      <t xml:space="preserve">        </t>
    </r>
    <r>
      <rPr>
        <b/>
        <sz val="8"/>
        <color indexed="8"/>
        <rFont val="宋体"/>
        <charset val="134"/>
      </rPr>
      <t>日期</t>
    </r>
    <r>
      <rPr>
        <b/>
        <sz val="8"/>
        <color indexed="8"/>
        <rFont val="宋体"/>
        <charset val="134"/>
      </rPr>
      <t xml:space="preserve">
</t>
    </r>
    <r>
      <rPr>
        <b/>
        <sz val="8"/>
        <color indexed="8"/>
        <rFont val="宋体"/>
        <charset val="134"/>
      </rPr>
      <t xml:space="preserve">    </t>
    </r>
    <r>
      <rPr>
        <b/>
        <sz val="8"/>
        <color indexed="8"/>
        <rFont val="宋体"/>
        <charset val="134"/>
      </rPr>
      <t>数量</t>
    </r>
    <r>
      <rPr>
        <b/>
        <sz val="8"/>
        <color indexed="8"/>
        <rFont val="宋体"/>
        <charset val="134"/>
      </rPr>
      <t xml:space="preserve">
</t>
    </r>
    <r>
      <rPr>
        <b/>
        <sz val="8"/>
        <color indexed="8"/>
        <rFont val="宋体"/>
        <charset val="134"/>
      </rPr>
      <t>名称</t>
    </r>
  </si>
  <si>
    <t>深远</t>
  </si>
  <si>
    <t>杭友</t>
  </si>
  <si>
    <t>PP-CGF+TD235</t>
  </si>
  <si>
    <t>PA6 BKV60HZ.0WSS</t>
  </si>
  <si>
    <t>A1.1131</t>
  </si>
  <si>
    <t>PA66-FG30A104GH</t>
  </si>
  <si>
    <t>A5.4332</t>
  </si>
  <si>
    <t>PA66 101LNC010</t>
  </si>
  <si>
    <t>PA66 A3K  NC</t>
  </si>
  <si>
    <t>1000</t>
  </si>
  <si>
    <t>PA66GF30AKROM117</t>
  </si>
  <si>
    <t>PA6 ALCOM  GF10</t>
  </si>
  <si>
    <t>800</t>
  </si>
  <si>
    <t>1600</t>
  </si>
  <si>
    <t>A1.4404</t>
  </si>
  <si>
    <t>PBTGFH</t>
  </si>
  <si>
    <t>PBTPETGF15DSP8T</t>
  </si>
  <si>
    <t>300</t>
  </si>
  <si>
    <t>A1.5108</t>
  </si>
  <si>
    <t>POM3807</t>
  </si>
  <si>
    <t xml:space="preserve">POM 588P </t>
  </si>
  <si>
    <t>190</t>
  </si>
  <si>
    <t>TPO CPREPND TD20</t>
  </si>
  <si>
    <t>PPC3122F-M117</t>
  </si>
  <si>
    <t>500</t>
  </si>
  <si>
    <t>A1.5231</t>
  </si>
  <si>
    <t>PPC3322T</t>
  </si>
  <si>
    <t>PPC3322T -M125(JM8)</t>
  </si>
  <si>
    <t>A1.5260</t>
  </si>
  <si>
    <t>PP +EPDM+T20EG299</t>
  </si>
  <si>
    <t>PPERC161NCN15926</t>
  </si>
  <si>
    <t>A1.5157</t>
  </si>
  <si>
    <t>POM M9044</t>
  </si>
  <si>
    <t>PP A422 GM304C</t>
  </si>
  <si>
    <t>PP A422L630</t>
  </si>
  <si>
    <t>PP C332EF  M12FCB</t>
  </si>
  <si>
    <t>A1.5233</t>
  </si>
  <si>
    <t>PP C33207  M12F</t>
  </si>
  <si>
    <t>PP  C654OL-638B</t>
  </si>
  <si>
    <t>PP H1407R</t>
  </si>
  <si>
    <t>PP11FX TYC1152PBK</t>
  </si>
  <si>
    <t>PP MD20 ECO</t>
  </si>
  <si>
    <t>PP-T20A5132T(JM8)</t>
  </si>
  <si>
    <t>PP TD17 BMV214W</t>
  </si>
  <si>
    <t>PPTYC 852P</t>
  </si>
  <si>
    <t>A1.5388</t>
  </si>
  <si>
    <t>PP/EPD121</t>
  </si>
  <si>
    <t>PP+EPPM+T20</t>
  </si>
  <si>
    <t>PP+EPPM+TD20</t>
  </si>
  <si>
    <t>PP+EPDM+HTTD020</t>
  </si>
  <si>
    <t>TEO-3000-60A黑</t>
  </si>
  <si>
    <t>TPE AT7210-70</t>
  </si>
  <si>
    <t>PP-T6326A15</t>
  </si>
  <si>
    <t>A1.4513</t>
  </si>
  <si>
    <t>PA6-MG30  HSBK006</t>
  </si>
  <si>
    <t>PC/ABS  CB2340</t>
  </si>
  <si>
    <t>GFPP-30 FRBK101</t>
  </si>
  <si>
    <t xml:space="preserve">APO  0816   JA6  BK </t>
  </si>
  <si>
    <t>APO-CM308  BK001</t>
  </si>
  <si>
    <t>APO-CM308  WHZJE</t>
  </si>
  <si>
    <t>ASA  777K</t>
  </si>
  <si>
    <t>PA6BKV60H21090016</t>
  </si>
  <si>
    <t>A1.1530/4214</t>
  </si>
  <si>
    <t>A1.0329/4679</t>
  </si>
  <si>
    <t>A1.5777</t>
  </si>
  <si>
    <t>耐磨块色母</t>
  </si>
  <si>
    <t>PP糖色</t>
  </si>
  <si>
    <t>ABS/345OF-HH378L</t>
  </si>
  <si>
    <t>A5.4066</t>
  </si>
  <si>
    <t>ABS EF378L</t>
  </si>
  <si>
    <t>A5.4116</t>
  </si>
  <si>
    <t>ABS  HF380  8H408</t>
  </si>
  <si>
    <t>A5.4145</t>
  </si>
  <si>
    <t>ABS NH0700FX</t>
  </si>
  <si>
    <t>A5.4150</t>
  </si>
  <si>
    <t>A5.4190</t>
  </si>
  <si>
    <t>ABS EFJ31-450</t>
  </si>
  <si>
    <t>A5.4202</t>
  </si>
  <si>
    <t>ABS J5 139712-2</t>
  </si>
  <si>
    <t>A5.4619</t>
  </si>
  <si>
    <t>PC MN3600H CM052H</t>
  </si>
  <si>
    <t>A5.4620</t>
  </si>
  <si>
    <t xml:space="preserve">PC MN3600H </t>
  </si>
  <si>
    <t>A5.4679</t>
  </si>
  <si>
    <t>A5.4830</t>
  </si>
  <si>
    <t>A5.5167</t>
  </si>
  <si>
    <t>POM  NW-02C</t>
  </si>
  <si>
    <t>A5.0299</t>
  </si>
  <si>
    <t>POM   188P</t>
  </si>
  <si>
    <t>A5.4717</t>
  </si>
  <si>
    <t>PC/ABS  FR3005</t>
  </si>
  <si>
    <t>A5.5110</t>
  </si>
  <si>
    <t>POM 588P BK602</t>
  </si>
  <si>
    <t>A5.5111</t>
  </si>
  <si>
    <t>POM  188PGY4900</t>
  </si>
  <si>
    <t>A5.5112</t>
  </si>
  <si>
    <t>A5.5174</t>
  </si>
  <si>
    <t>POM  NW-01CD3501</t>
  </si>
  <si>
    <t>PP P20720A10-5E</t>
  </si>
  <si>
    <t>Z8.237</t>
  </si>
  <si>
    <t>外协入库单</t>
  </si>
  <si>
    <t>ZP.224</t>
  </si>
  <si>
    <t>生产管理表</t>
  </si>
  <si>
    <t>ZP.221</t>
  </si>
  <si>
    <t>明细书</t>
  </si>
  <si>
    <t>全检票</t>
  </si>
  <si>
    <t>Z9.268</t>
  </si>
  <si>
    <t>领料单</t>
  </si>
  <si>
    <t>ZP.173</t>
  </si>
  <si>
    <t>李尔明细书</t>
  </si>
  <si>
    <t>2735072X</t>
  </si>
  <si>
    <t>2735073X</t>
  </si>
  <si>
    <t>2735070X</t>
  </si>
  <si>
    <t>泡沫</t>
  </si>
  <si>
    <t>毛毡</t>
  </si>
  <si>
    <t>COVER贴膜</t>
  </si>
  <si>
    <t>麦拉片</t>
  </si>
  <si>
    <t>W71804-5439排力螺母</t>
  </si>
  <si>
    <t>螺钉</t>
  </si>
  <si>
    <t>毛钻</t>
  </si>
  <si>
    <t>W710609S</t>
  </si>
  <si>
    <t>F1.1330</t>
  </si>
  <si>
    <t>W715645卡扣</t>
  </si>
  <si>
    <t>w719189-S403</t>
  </si>
  <si>
    <t>卡子</t>
  </si>
  <si>
    <t>推钉</t>
  </si>
  <si>
    <t>VP137346.0004</t>
  </si>
  <si>
    <t>W700970</t>
  </si>
  <si>
    <t>限压圆形环9*11*6</t>
  </si>
  <si>
    <t>限压圆形环9*9*6</t>
  </si>
  <si>
    <t>32055435T</t>
  </si>
  <si>
    <t>隔音棉</t>
  </si>
  <si>
    <t>W714922-S300</t>
  </si>
  <si>
    <t>CLIP  W719592-S</t>
  </si>
  <si>
    <t>E09202300</t>
  </si>
  <si>
    <t>E14382900</t>
  </si>
  <si>
    <t>E14383000</t>
  </si>
  <si>
    <t>E14383300</t>
  </si>
  <si>
    <t>E14383500</t>
  </si>
  <si>
    <t>E14383600</t>
  </si>
  <si>
    <t>E14383700</t>
  </si>
  <si>
    <t>E14383100</t>
  </si>
  <si>
    <t>E14383200</t>
  </si>
  <si>
    <t>F1.16567</t>
  </si>
  <si>
    <t>E06413700</t>
  </si>
  <si>
    <t>C5.4830</t>
  </si>
  <si>
    <t>C5.4190</t>
  </si>
  <si>
    <t>C5.4150</t>
  </si>
  <si>
    <t>C5.4145</t>
  </si>
  <si>
    <t>C5.4619</t>
  </si>
  <si>
    <t>C5.4202</t>
  </si>
  <si>
    <t>C5.4662</t>
  </si>
  <si>
    <t>C5.4116</t>
  </si>
  <si>
    <t>2000</t>
  </si>
  <si>
    <t>200</t>
  </si>
  <si>
    <t>400</t>
  </si>
  <si>
    <t>-300</t>
  </si>
  <si>
    <t>2023年7月份深远材料辅件领用清单</t>
  </si>
  <si>
    <t>8月25</t>
  </si>
  <si>
    <t>8月29</t>
  </si>
  <si>
    <t>2400</t>
  </si>
  <si>
    <t>POM  588PWC-4D637</t>
  </si>
  <si>
    <t>3200</t>
  </si>
  <si>
    <t>150</t>
  </si>
  <si>
    <t>250</t>
  </si>
  <si>
    <t>毛钻30*17*1</t>
  </si>
  <si>
    <t>泡末块30*12*205</t>
  </si>
  <si>
    <t>2023年6月份深远材料辅件领用清单</t>
  </si>
  <si>
    <t>275</t>
  </si>
  <si>
    <t>2023年5月份深远材料辅件领用清单</t>
  </si>
  <si>
    <t>A1.4216？4256？</t>
  </si>
  <si>
    <t>z1.0435/F1.0411</t>
  </si>
  <si>
    <t>z1.0436/F1.0412</t>
  </si>
  <si>
    <t>Z1.0448/F1.0415</t>
  </si>
  <si>
    <t>Z1.0449/0417</t>
  </si>
  <si>
    <t>Z1.0451/0414</t>
  </si>
  <si>
    <t>Z1.0452/F1.0413</t>
  </si>
  <si>
    <t>Z1.0453/F1.0418</t>
  </si>
  <si>
    <t>2023年4月份深远材料辅件领用清单</t>
  </si>
  <si>
    <t>195</t>
  </si>
  <si>
    <t>Z8.293</t>
  </si>
  <si>
    <t>条码纸</t>
  </si>
  <si>
    <t>不干胶</t>
  </si>
  <si>
    <t>F1.1272/F1.2287</t>
  </si>
  <si>
    <t>2023年3月份深远材料辅件领用清单</t>
  </si>
  <si>
    <t>-500</t>
  </si>
  <si>
    <t>F1.2115/Z1.0498</t>
  </si>
  <si>
    <t>F1.1329（F1.2115)</t>
  </si>
  <si>
    <t>卡扣</t>
  </si>
  <si>
    <t>2023年2月份深远材料辅件领用清单</t>
  </si>
  <si>
    <t>25</t>
  </si>
  <si>
    <t>W71804-5439</t>
  </si>
  <si>
    <t>0</t>
  </si>
  <si>
    <t xml:space="preserve"> </t>
  </si>
  <si>
    <t>15000</t>
  </si>
  <si>
    <t>2023年1月份深远材料辅件领用清单</t>
  </si>
  <si>
    <t>24000</t>
  </si>
  <si>
    <t>20000</t>
  </si>
  <si>
    <t>30000</t>
  </si>
  <si>
    <t>Z1.0450/F1.0416</t>
  </si>
  <si>
    <t>2022年12月份深远材料辅件领用清单</t>
  </si>
  <si>
    <t>上月</t>
  </si>
  <si>
    <t>Z1..0571</t>
  </si>
  <si>
    <t>泡沫块</t>
  </si>
  <si>
    <t>7000</t>
  </si>
  <si>
    <t>2022年10月份深远材料辅件领用清单</t>
  </si>
  <si>
    <t>4000</t>
  </si>
  <si>
    <t>148</t>
  </si>
  <si>
    <t>650</t>
  </si>
  <si>
    <t>100</t>
  </si>
  <si>
    <t>F1.1272</t>
  </si>
  <si>
    <t>杭友数据正确</t>
  </si>
  <si>
    <t>2022年9月份深远材料辅件领用清单</t>
  </si>
  <si>
    <t>补单</t>
  </si>
  <si>
    <t>14日</t>
  </si>
  <si>
    <t>15日</t>
  </si>
  <si>
    <t>16日</t>
  </si>
  <si>
    <t>17日</t>
  </si>
  <si>
    <t>18日</t>
  </si>
  <si>
    <t>19日</t>
  </si>
  <si>
    <t>20日</t>
  </si>
  <si>
    <t>21日</t>
  </si>
  <si>
    <t>22日</t>
  </si>
  <si>
    <t>23日</t>
  </si>
  <si>
    <t>24日</t>
  </si>
  <si>
    <t>26日</t>
  </si>
  <si>
    <t>27日</t>
  </si>
  <si>
    <t>28日</t>
  </si>
  <si>
    <t>29日</t>
  </si>
  <si>
    <t>25日</t>
  </si>
  <si>
    <t>合计</t>
  </si>
  <si>
    <t>521</t>
  </si>
  <si>
    <t>-521</t>
  </si>
  <si>
    <t>Z1.0498</t>
  </si>
  <si>
    <t>2022年8月份深远材料辅件领用清单</t>
  </si>
  <si>
    <t>75</t>
  </si>
  <si>
    <t>13</t>
  </si>
  <si>
    <t>89</t>
  </si>
  <si>
    <t>175</t>
  </si>
  <si>
    <t>F1.1329</t>
  </si>
  <si>
    <t>z1.0435</t>
  </si>
  <si>
    <t>z1.0436</t>
  </si>
  <si>
    <t>Z1.0448</t>
  </si>
  <si>
    <t>Z1.0449</t>
  </si>
  <si>
    <t>Z1.0450</t>
  </si>
  <si>
    <t>Z1.0452</t>
  </si>
  <si>
    <t>Z1.0453</t>
  </si>
  <si>
    <t>2022年7月份深远材料辅件领用清单</t>
  </si>
  <si>
    <t>A.1353</t>
  </si>
  <si>
    <t>2022年6月份深远材料辅件领用清单</t>
  </si>
  <si>
    <t>6月6ri</t>
  </si>
  <si>
    <t>2022年5月份深远材料辅件领用清单</t>
  </si>
  <si>
    <t>2022年4月份深远材料辅件领用清单</t>
  </si>
  <si>
    <t>2022年3月份深远材料辅件领用清单</t>
  </si>
  <si>
    <t>3月30</t>
  </si>
  <si>
    <t>A14166</t>
  </si>
  <si>
    <t>ZP.24</t>
  </si>
  <si>
    <t>EPC不干胶</t>
  </si>
  <si>
    <t>2022年2月份深远材料辅件领用清单</t>
  </si>
  <si>
    <t>A1.0017</t>
  </si>
  <si>
    <t>PP 20% P102T BK</t>
  </si>
  <si>
    <t>A1.0064</t>
  </si>
  <si>
    <t>PC 141R 701</t>
  </si>
  <si>
    <t>A1.0394</t>
  </si>
  <si>
    <t>PC 141R 111</t>
  </si>
  <si>
    <t>A1.0508</t>
  </si>
  <si>
    <t>A1.0103</t>
  </si>
  <si>
    <t>A1.0307</t>
  </si>
  <si>
    <t>PP GF30 P104G-LFBK</t>
  </si>
  <si>
    <t>A1.0360</t>
  </si>
  <si>
    <t>色母POM 3807 黑</t>
  </si>
  <si>
    <t>A1.0378</t>
  </si>
  <si>
    <t>PBT GL30 BJK007</t>
  </si>
  <si>
    <t>A1.0553</t>
  </si>
  <si>
    <t>POM F20-03</t>
  </si>
  <si>
    <t>A1.0294</t>
  </si>
  <si>
    <t>PA66CM1014-CO5321</t>
  </si>
  <si>
    <t>A1.0637</t>
  </si>
  <si>
    <r>
      <rPr>
        <sz val="9"/>
        <rFont val="宋体"/>
        <charset val="134"/>
      </rPr>
      <t>PA66 GF15 A70</t>
    </r>
    <r>
      <rPr>
        <sz val="9"/>
        <rFont val="宋体"/>
        <charset val="134"/>
      </rPr>
      <t xml:space="preserve">
</t>
    </r>
    <r>
      <rPr>
        <sz val="9"/>
        <rFont val="宋体"/>
        <charset val="134"/>
      </rPr>
      <t xml:space="preserve"> </t>
    </r>
    <r>
      <rPr>
        <sz val="9"/>
        <rFont val="宋体"/>
        <charset val="134"/>
      </rPr>
      <t>G15BK013</t>
    </r>
  </si>
  <si>
    <t>A1.0755</t>
  </si>
  <si>
    <t>PA66 GS30 BK011S</t>
  </si>
  <si>
    <t>A1.0788</t>
  </si>
  <si>
    <r>
      <rPr>
        <sz val="9"/>
        <rFont val="宋体"/>
        <charset val="134"/>
      </rPr>
      <t xml:space="preserve">PBT T104G </t>
    </r>
    <r>
      <rPr>
        <sz val="9"/>
        <rFont val="宋体"/>
        <charset val="134"/>
      </rPr>
      <t xml:space="preserve">
</t>
    </r>
    <r>
      <rPr>
        <sz val="9"/>
        <rFont val="宋体"/>
        <charset val="134"/>
      </rPr>
      <t>080PBT橙色</t>
    </r>
  </si>
  <si>
    <t>A1.0833</t>
  </si>
  <si>
    <t>PP GF20 M10 BK</t>
  </si>
  <si>
    <t>A1.0887</t>
  </si>
  <si>
    <r>
      <rPr>
        <sz val="9"/>
        <rFont val="宋体"/>
        <charset val="134"/>
      </rPr>
      <t>PA66 A3K NC</t>
    </r>
    <r>
      <rPr>
        <sz val="9"/>
        <rFont val="宋体"/>
        <charset val="134"/>
      </rPr>
      <t xml:space="preserve">
</t>
    </r>
    <r>
      <rPr>
        <sz val="9"/>
        <rFont val="宋体"/>
        <charset val="134"/>
      </rPr>
      <t xml:space="preserve"> </t>
    </r>
    <r>
      <rPr>
        <sz val="9"/>
        <rFont val="宋体"/>
        <charset val="134"/>
      </rPr>
      <t>(BASF)</t>
    </r>
  </si>
  <si>
    <t>A1.0993</t>
  </si>
  <si>
    <t>PP MD30 黑色</t>
  </si>
  <si>
    <t>A1.1079</t>
  </si>
  <si>
    <t>A1.1118</t>
  </si>
  <si>
    <t>APO 308 BK001</t>
  </si>
  <si>
    <t>A1.1086</t>
  </si>
  <si>
    <t>PA66 GF15 A101GH</t>
  </si>
  <si>
    <t>A1.1119</t>
  </si>
  <si>
    <t>APO 308 NC001</t>
  </si>
  <si>
    <t>A1.1322</t>
  </si>
  <si>
    <t>PPC3322T  MRT CB987</t>
  </si>
  <si>
    <t>A1.0676</t>
  </si>
  <si>
    <t>PP API 2203 KP6095BK</t>
  </si>
  <si>
    <t>A1.1352</t>
  </si>
  <si>
    <t>PA66-I</t>
  </si>
  <si>
    <t>A5.0692</t>
  </si>
  <si>
    <t>POM SW-01 CD3501BK</t>
  </si>
  <si>
    <t>PA6GF10-M20</t>
  </si>
  <si>
    <t>贴膜</t>
  </si>
  <si>
    <t>A5.0060</t>
  </si>
  <si>
    <t>ABS ZFJ5 GUA2164B</t>
  </si>
  <si>
    <r>
      <rPr>
        <sz val="9"/>
        <rFont val="宋体"/>
        <charset val="134"/>
      </rPr>
      <t xml:space="preserve">POM 588P </t>
    </r>
    <r>
      <rPr>
        <sz val="9"/>
        <rFont val="宋体"/>
        <charset val="134"/>
      </rPr>
      <t xml:space="preserve">
</t>
    </r>
    <r>
      <rPr>
        <sz val="9"/>
        <rFont val="宋体"/>
        <charset val="134"/>
      </rPr>
      <t>NC010 本色</t>
    </r>
  </si>
  <si>
    <t>A5.0354</t>
  </si>
  <si>
    <t>POM  588P BK602</t>
  </si>
  <si>
    <t>A5.1627</t>
  </si>
  <si>
    <t>POM 588P 
GY4901</t>
  </si>
  <si>
    <t>A5.0344</t>
  </si>
  <si>
    <r>
      <rPr>
        <sz val="9"/>
        <rFont val="宋体"/>
        <charset val="134"/>
      </rPr>
      <t xml:space="preserve">PP PM600A </t>
    </r>
    <r>
      <rPr>
        <sz val="9"/>
        <rFont val="宋体"/>
        <charset val="134"/>
      </rPr>
      <t xml:space="preserve">
</t>
    </r>
    <r>
      <rPr>
        <sz val="9"/>
        <rFont val="宋体"/>
        <charset val="134"/>
      </rPr>
      <t>3J14LK20 本色</t>
    </r>
  </si>
  <si>
    <t>A5.0472</t>
  </si>
  <si>
    <t>ABS ZFJ5-99-0892</t>
  </si>
  <si>
    <t>A5.0473</t>
  </si>
  <si>
    <t>PA66  CN1014  VO</t>
  </si>
  <si>
    <t>A5.0375</t>
  </si>
  <si>
    <t>PA66 101L NC010</t>
  </si>
  <si>
    <t>A5.0277</t>
  </si>
  <si>
    <t>PPO  N300-701</t>
  </si>
  <si>
    <t>A5.0802</t>
  </si>
  <si>
    <t>ABS</t>
  </si>
  <si>
    <t>A1.0329</t>
  </si>
  <si>
    <t>PC/ABS CB2340 B12378L</t>
  </si>
  <si>
    <t>A1.1511</t>
  </si>
  <si>
    <t>TPO Basell HIFAXTK</t>
  </si>
  <si>
    <t>A1.1523</t>
  </si>
  <si>
    <t>ASA 777K 12A 61099</t>
  </si>
  <si>
    <t>A1.1226</t>
  </si>
  <si>
    <t xml:space="preserve">TPO TRC  221PC </t>
  </si>
  <si>
    <t>PA6-GF10-M20黑</t>
  </si>
  <si>
    <t>PA66 CM1014 V0</t>
  </si>
  <si>
    <t>A1.1678</t>
  </si>
  <si>
    <t>PP A422-GM30RC RRET</t>
  </si>
  <si>
    <t>A1.1680</t>
  </si>
  <si>
    <t>PPC3322T  -M12F</t>
  </si>
  <si>
    <t>A1.1721</t>
  </si>
  <si>
    <t>PPC3322T  -JM1</t>
  </si>
  <si>
    <t>PP+EPDM+T20</t>
  </si>
  <si>
    <t>A1.1681</t>
  </si>
  <si>
    <t>A422-LG30</t>
  </si>
  <si>
    <t>A1.1530</t>
  </si>
  <si>
    <t>APO C816 HI 5A6BK</t>
  </si>
  <si>
    <t>A1.1551</t>
  </si>
  <si>
    <t>TPC 1152P C1 C15715</t>
  </si>
  <si>
    <t>ABSHO2031B7R挡板</t>
  </si>
  <si>
    <t>A1.1240</t>
  </si>
  <si>
    <t>PA6K224-PG6</t>
  </si>
  <si>
    <t>A1.0010</t>
  </si>
  <si>
    <t>ABS PE2718万能色母</t>
  </si>
  <si>
    <t>PP GF30FRBK101黑</t>
  </si>
  <si>
    <t>A1.1862</t>
  </si>
  <si>
    <t>PA66-C200  BK121</t>
  </si>
  <si>
    <t>A1.1826</t>
  </si>
  <si>
    <t>A5.0901</t>
  </si>
  <si>
    <t>PCABS  FR3005</t>
  </si>
  <si>
    <t>A5.1045</t>
  </si>
  <si>
    <t>ABSZFJ310-450</t>
  </si>
  <si>
    <t>A5.0038</t>
  </si>
  <si>
    <t>POM NW- 02C CF2001</t>
  </si>
  <si>
    <t xml:space="preserve">POM  588P GY4901 
</t>
  </si>
  <si>
    <t>A5.1782</t>
  </si>
  <si>
    <t>ABS  HF380  05356</t>
  </si>
  <si>
    <t>A5.1942</t>
  </si>
  <si>
    <t>A5.1966</t>
  </si>
  <si>
    <t>ABS  HF380  6C962</t>
  </si>
  <si>
    <t>A1.0852</t>
  </si>
  <si>
    <t>PC-ABS  HAC8260</t>
  </si>
  <si>
    <t>A5.1529</t>
  </si>
  <si>
    <t>PC/ABS T65  900303</t>
  </si>
  <si>
    <t>A1.0853</t>
  </si>
  <si>
    <t>PPC6540L</t>
  </si>
  <si>
    <t>A1.1439</t>
  </si>
  <si>
    <t>PC/ABS CB2340HF</t>
  </si>
  <si>
    <t>A1.1308</t>
  </si>
  <si>
    <t>PP TYC852P C15715</t>
  </si>
  <si>
    <t>A9.1407</t>
  </si>
  <si>
    <t>PC 2407 550115</t>
  </si>
  <si>
    <t>A9.1711</t>
  </si>
  <si>
    <t>PC 2407 351308</t>
  </si>
  <si>
    <t>A9.1713</t>
  </si>
  <si>
    <t>PC2407   731288</t>
  </si>
  <si>
    <t>A9.1618</t>
  </si>
  <si>
    <t>PC2407   021067</t>
  </si>
  <si>
    <t>D1.3677</t>
  </si>
  <si>
    <t>ABS粉料</t>
  </si>
  <si>
    <t>Z2.245</t>
  </si>
  <si>
    <t>日东4057保护膜</t>
  </si>
  <si>
    <t>Z11.0171</t>
  </si>
  <si>
    <t>后门泡沫条</t>
  </si>
  <si>
    <t>Z11.0172</t>
  </si>
  <si>
    <t>泡沫垫片</t>
  </si>
  <si>
    <t>Z11.0191</t>
  </si>
  <si>
    <t>泡沫1</t>
  </si>
  <si>
    <t>Z11.0192</t>
  </si>
  <si>
    <t>泡沫2</t>
  </si>
  <si>
    <t>Z11.0193</t>
  </si>
  <si>
    <t>Z11.0222</t>
  </si>
  <si>
    <t>塑料片卡丁</t>
  </si>
  <si>
    <t>Z11.0166</t>
  </si>
  <si>
    <t>前窗框泡沫胶带</t>
  </si>
  <si>
    <t>Z11.0167</t>
  </si>
  <si>
    <t>Z11.0168</t>
  </si>
  <si>
    <t>前门槛增加泡沫块</t>
  </si>
  <si>
    <t>Z11.0169</t>
  </si>
  <si>
    <t>扁平橡胶泡沫块</t>
  </si>
  <si>
    <t>Z11.0170</t>
  </si>
  <si>
    <t>后门窗泡沫胶带</t>
  </si>
  <si>
    <t>Z11.0224</t>
  </si>
  <si>
    <t>后窗框泡沫胶带</t>
  </si>
  <si>
    <t>Z1.1592</t>
  </si>
  <si>
    <t>3E0HT0101嵌件</t>
  </si>
  <si>
    <t>Z1.1533</t>
  </si>
  <si>
    <t>32055435T定位块嵌件</t>
  </si>
  <si>
    <t>Z1.0524</t>
  </si>
  <si>
    <t>螺母VP1373460004</t>
  </si>
  <si>
    <t>Z1.0311</t>
  </si>
  <si>
    <t>E02564600</t>
  </si>
  <si>
    <t>Z1.0321</t>
  </si>
  <si>
    <t>D00064581</t>
  </si>
  <si>
    <t>500*15打印条码</t>
  </si>
  <si>
    <t>领用单</t>
  </si>
  <si>
    <t>Z2.227</t>
  </si>
  <si>
    <t>缠绕膜（卷）</t>
  </si>
  <si>
    <t>Z9.212</t>
  </si>
  <si>
    <t>Z1.9221</t>
  </si>
  <si>
    <t>包装物 交接单</t>
  </si>
  <si>
    <t>Z1.1308</t>
  </si>
  <si>
    <t>隔音棉20×45×80</t>
  </si>
  <si>
    <t>Z1.0030</t>
  </si>
  <si>
    <t>隔音棉20×25×80</t>
  </si>
  <si>
    <t>Z1.0033</t>
  </si>
  <si>
    <t>隔音棉20×125×80</t>
  </si>
  <si>
    <t>Z9.211</t>
  </si>
  <si>
    <t>不干胶贴片（张）</t>
  </si>
  <si>
    <t>入库单（本）</t>
  </si>
  <si>
    <t>友成收货单</t>
  </si>
  <si>
    <t>酒精（瓶）</t>
  </si>
  <si>
    <t>清洗剂</t>
  </si>
  <si>
    <t>出车任务单</t>
  </si>
  <si>
    <t>设备点检表</t>
  </si>
  <si>
    <t>全检票（张）1.5元</t>
  </si>
  <si>
    <t>检验单报表</t>
  </si>
  <si>
    <t>运转日志（本）9.5元</t>
  </si>
  <si>
    <t>生产管理表/</t>
  </si>
  <si>
    <t>Z1.0312</t>
  </si>
  <si>
    <t>Z1.0313</t>
  </si>
  <si>
    <t>Z1.0220</t>
  </si>
  <si>
    <t>Z1.1314</t>
  </si>
  <si>
    <t>塑料金属扣子</t>
  </si>
  <si>
    <t>Z1.0500</t>
  </si>
  <si>
    <t>CLIP卡扣</t>
  </si>
  <si>
    <t>Z1.0315</t>
  </si>
  <si>
    <t>黄色标签（张）1.5元</t>
  </si>
  <si>
    <t>Z1.103</t>
  </si>
  <si>
    <t>脱模剂</t>
  </si>
  <si>
    <t>螺丝</t>
  </si>
  <si>
    <t>2022年1月份深远材料辅件领用清单</t>
  </si>
  <si>
    <t>2021年11月份深远材料辅件领用清单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</si>
</sst>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00;&quot;￥&quot;\-#,##0.0000"/>
    <numFmt numFmtId="177" formatCode="&quot;￥&quot;#,##0.0000_);[Red]\(&quot;￥&quot;#,##0.0000\)"/>
    <numFmt numFmtId="178" formatCode="&quot;￥&quot;#,##0.00_);[Red]\(&quot;￥&quot;#,##0.00\)"/>
  </numFmts>
  <fonts count="50">
    <font>
      <sz val="12"/>
      <name val="宋体"/>
      <charset val="134"/>
    </font>
    <font>
      <sz val="12"/>
      <color theme="1"/>
      <name val="宋体"/>
      <charset val="134"/>
    </font>
    <font>
      <b/>
      <sz val="22"/>
      <name val="宋体"/>
      <charset val="134"/>
    </font>
    <font>
      <sz val="10"/>
      <color indexed="8"/>
      <name val="宋体"/>
      <charset val="134"/>
    </font>
    <font>
      <b/>
      <sz val="8"/>
      <color indexed="8"/>
      <name val="宋体"/>
      <charset val="134"/>
    </font>
    <font>
      <b/>
      <sz val="9"/>
      <color indexed="8"/>
      <name val="宋体"/>
      <charset val="134"/>
    </font>
    <font>
      <sz val="9"/>
      <color indexed="8"/>
      <name val="宋体"/>
      <charset val="134"/>
    </font>
    <font>
      <sz val="9"/>
      <color theme="1"/>
      <name val="宋体"/>
      <charset val="134"/>
    </font>
    <font>
      <sz val="9"/>
      <name val="宋体"/>
      <charset val="134"/>
    </font>
    <font>
      <sz val="9"/>
      <color indexed="10"/>
      <name val="宋体"/>
      <charset val="134"/>
    </font>
    <font>
      <sz val="9"/>
      <color indexed="12"/>
      <name val="宋体"/>
      <charset val="134"/>
    </font>
    <font>
      <sz val="10"/>
      <name val="宋体"/>
      <charset val="134"/>
    </font>
    <font>
      <sz val="10"/>
      <color theme="1"/>
      <name val="宋体"/>
      <charset val="134"/>
    </font>
    <font>
      <sz val="11"/>
      <name val="宋体"/>
      <charset val="134"/>
    </font>
    <font>
      <sz val="8"/>
      <name val="宋体"/>
      <charset val="134"/>
    </font>
    <font>
      <b/>
      <sz val="9"/>
      <color indexed="10"/>
      <name val="宋体"/>
      <charset val="134"/>
    </font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4"/>
      <name val="宋体"/>
      <charset val="134"/>
    </font>
    <font>
      <sz val="9"/>
      <name val="Segoe UI"/>
      <charset val="134"/>
    </font>
    <font>
      <sz val="10"/>
      <name val="Arial"/>
      <charset val="0"/>
    </font>
    <font>
      <sz val="10"/>
      <name val="宋体"/>
      <charset val="0"/>
    </font>
    <font>
      <sz val="11"/>
      <color indexed="8"/>
      <name val="宋体"/>
      <charset val="134"/>
      <scheme val="minor"/>
    </font>
    <font>
      <sz val="11"/>
      <name val="宋体"/>
      <charset val="134"/>
      <scheme val="minor"/>
    </font>
    <font>
      <sz val="10"/>
      <name val="宋体"/>
      <charset val="134"/>
      <scheme val="minor"/>
    </font>
    <font>
      <sz val="13"/>
      <color theme="1"/>
      <name val="宋体"/>
      <charset val="134"/>
    </font>
    <font>
      <sz val="13"/>
      <name val="宋体"/>
      <charset val="134"/>
    </font>
    <font>
      <b/>
      <sz val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color rgb="FF000000"/>
      <name val="宋体"/>
      <charset val="134"/>
    </font>
    <font>
      <sz val="9"/>
      <color rgb="FF000000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8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44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2" fontId="28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11" borderId="11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12" borderId="14" applyNumberFormat="0" applyAlignment="0" applyProtection="0">
      <alignment vertical="center"/>
    </xf>
    <xf numFmtId="0" fontId="38" fillId="13" borderId="15" applyNumberFormat="0" applyAlignment="0" applyProtection="0">
      <alignment vertical="center"/>
    </xf>
    <xf numFmtId="0" fontId="39" fillId="13" borderId="14" applyNumberFormat="0" applyAlignment="0" applyProtection="0">
      <alignment vertical="center"/>
    </xf>
    <xf numFmtId="0" fontId="40" fillId="14" borderId="16" applyNumberFormat="0" applyAlignment="0" applyProtection="0">
      <alignment vertical="center"/>
    </xf>
    <xf numFmtId="0" fontId="41" fillId="0" borderId="17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0" fillId="0" borderId="0"/>
    <xf numFmtId="0" fontId="28" fillId="0" borderId="0"/>
    <xf numFmtId="0" fontId="0" fillId="0" borderId="0"/>
  </cellStyleXfs>
  <cellXfs count="16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wrapText="1"/>
    </xf>
    <xf numFmtId="0" fontId="4" fillId="0" borderId="3" xfId="0" applyFont="1" applyBorder="1" applyAlignment="1">
      <alignment horizontal="center" wrapText="1"/>
    </xf>
    <xf numFmtId="58" fontId="4" fillId="2" borderId="3" xfId="0" applyNumberFormat="1" applyFont="1" applyFill="1" applyBorder="1" applyAlignment="1">
      <alignment horizontal="center" wrapText="1"/>
    </xf>
    <xf numFmtId="58" fontId="5" fillId="2" borderId="3" xfId="0" applyNumberFormat="1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wrapText="1"/>
    </xf>
    <xf numFmtId="0" fontId="8" fillId="0" borderId="1" xfId="0" applyFont="1" applyBorder="1" applyAlignment="1"/>
    <xf numFmtId="0" fontId="8" fillId="0" borderId="4" xfId="0" applyFont="1" applyBorder="1" applyAlignment="1"/>
    <xf numFmtId="0" fontId="8" fillId="2" borderId="4" xfId="0" applyFont="1" applyFill="1" applyBorder="1" applyAlignment="1"/>
    <xf numFmtId="0" fontId="7" fillId="2" borderId="4" xfId="0" applyFont="1" applyFill="1" applyBorder="1" applyAlignment="1"/>
    <xf numFmtId="0" fontId="8" fillId="0" borderId="5" xfId="0" applyFont="1" applyBorder="1" applyAlignment="1"/>
    <xf numFmtId="0" fontId="8" fillId="0" borderId="6" xfId="0" applyFont="1" applyBorder="1" applyAlignment="1"/>
    <xf numFmtId="0" fontId="8" fillId="2" borderId="6" xfId="0" applyFont="1" applyFill="1" applyBorder="1" applyAlignment="1"/>
    <xf numFmtId="0" fontId="7" fillId="2" borderId="6" xfId="0" applyFont="1" applyFill="1" applyBorder="1" applyAlignment="1"/>
    <xf numFmtId="0" fontId="9" fillId="2" borderId="6" xfId="0" applyFont="1" applyFill="1" applyBorder="1" applyAlignment="1"/>
    <xf numFmtId="0" fontId="8" fillId="0" borderId="6" xfId="0" applyFont="1" applyBorder="1" applyAlignment="1">
      <alignment wrapText="1"/>
    </xf>
    <xf numFmtId="0" fontId="8" fillId="2" borderId="6" xfId="0" applyFont="1" applyFill="1" applyBorder="1" applyAlignment="1">
      <alignment wrapText="1"/>
    </xf>
    <xf numFmtId="0" fontId="10" fillId="2" borderId="6" xfId="0" applyFont="1" applyFill="1" applyBorder="1" applyAlignment="1"/>
    <xf numFmtId="0" fontId="6" fillId="2" borderId="6" xfId="0" applyFont="1" applyFill="1" applyBorder="1" applyAlignment="1"/>
    <xf numFmtId="0" fontId="0" fillId="0" borderId="0" xfId="0" applyFont="1">
      <alignment vertical="center"/>
    </xf>
    <xf numFmtId="0" fontId="11" fillId="2" borderId="6" xfId="0" applyFont="1" applyFill="1" applyBorder="1" applyAlignment="1"/>
    <xf numFmtId="0" fontId="12" fillId="2" borderId="6" xfId="0" applyFont="1" applyFill="1" applyBorder="1" applyAlignment="1"/>
    <xf numFmtId="0" fontId="13" fillId="2" borderId="6" xfId="0" applyFont="1" applyFill="1" applyBorder="1" applyAlignment="1"/>
    <xf numFmtId="0" fontId="11" fillId="0" borderId="5" xfId="0" applyFont="1" applyBorder="1" applyAlignment="1"/>
    <xf numFmtId="0" fontId="14" fillId="0" borderId="6" xfId="0" applyFont="1" applyBorder="1" applyAlignment="1"/>
    <xf numFmtId="0" fontId="14" fillId="2" borderId="6" xfId="0" applyFont="1" applyFill="1" applyBorder="1" applyAlignment="1"/>
    <xf numFmtId="0" fontId="11" fillId="0" borderId="6" xfId="0" applyFont="1" applyBorder="1" applyAlignment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1" fillId="2" borderId="1" xfId="0" applyFont="1" applyFill="1" applyBorder="1">
      <alignment vertical="center"/>
    </xf>
    <xf numFmtId="0" fontId="13" fillId="2" borderId="1" xfId="0" applyFont="1" applyFill="1" applyBorder="1">
      <alignment vertical="center"/>
    </xf>
    <xf numFmtId="0" fontId="0" fillId="0" borderId="1" xfId="0" applyFont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>
      <alignment vertical="center"/>
    </xf>
    <xf numFmtId="0" fontId="8" fillId="2" borderId="5" xfId="0" applyFont="1" applyFill="1" applyBorder="1" applyAlignment="1"/>
    <xf numFmtId="0" fontId="8" fillId="3" borderId="4" xfId="0" applyFont="1" applyFill="1" applyBorder="1" applyAlignment="1"/>
    <xf numFmtId="49" fontId="0" fillId="0" borderId="0" xfId="0" applyNumberFormat="1">
      <alignment vertical="center"/>
    </xf>
    <xf numFmtId="49" fontId="0" fillId="0" borderId="1" xfId="0" applyNumberFormat="1" applyBorder="1">
      <alignment vertical="center"/>
    </xf>
    <xf numFmtId="49" fontId="0" fillId="2" borderId="0" xfId="0" applyNumberFormat="1" applyFill="1">
      <alignment vertical="center"/>
    </xf>
    <xf numFmtId="0" fontId="3" fillId="0" borderId="7" xfId="0" applyFont="1" applyBorder="1" applyAlignment="1">
      <alignment wrapText="1"/>
    </xf>
    <xf numFmtId="0" fontId="4" fillId="0" borderId="8" xfId="0" applyFont="1" applyBorder="1" applyAlignment="1">
      <alignment horizontal="center" wrapText="1"/>
    </xf>
    <xf numFmtId="58" fontId="4" fillId="2" borderId="8" xfId="0" applyNumberFormat="1" applyFont="1" applyFill="1" applyBorder="1" applyAlignment="1">
      <alignment horizontal="center" wrapText="1"/>
    </xf>
    <xf numFmtId="58" fontId="5" fillId="2" borderId="8" xfId="0" applyNumberFormat="1" applyFont="1" applyFill="1" applyBorder="1" applyAlignment="1">
      <alignment horizontal="center" wrapText="1"/>
    </xf>
    <xf numFmtId="0" fontId="6" fillId="2" borderId="8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wrapText="1"/>
    </xf>
    <xf numFmtId="49" fontId="3" fillId="0" borderId="1" xfId="0" applyNumberFormat="1" applyFont="1" applyBorder="1" applyAlignment="1">
      <alignment wrapText="1"/>
    </xf>
    <xf numFmtId="49" fontId="4" fillId="0" borderId="1" xfId="0" applyNumberFormat="1" applyFont="1" applyBorder="1" applyAlignment="1">
      <alignment horizontal="center" wrapText="1"/>
    </xf>
    <xf numFmtId="49" fontId="4" fillId="2" borderId="1" xfId="0" applyNumberFormat="1" applyFont="1" applyFill="1" applyBorder="1" applyAlignment="1">
      <alignment horizontal="center" wrapText="1"/>
    </xf>
    <xf numFmtId="49" fontId="5" fillId="2" borderId="1" xfId="0" applyNumberFormat="1" applyFont="1" applyFill="1" applyBorder="1" applyAlignment="1">
      <alignment horizont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8" fillId="4" borderId="4" xfId="0" applyFont="1" applyFill="1" applyBorder="1" applyAlignment="1"/>
    <xf numFmtId="49" fontId="3" fillId="2" borderId="5" xfId="0" applyNumberFormat="1" applyFont="1" applyFill="1" applyBorder="1" applyAlignment="1">
      <alignment wrapText="1"/>
    </xf>
    <xf numFmtId="49" fontId="4" fillId="2" borderId="5" xfId="0" applyNumberFormat="1" applyFont="1" applyFill="1" applyBorder="1" applyAlignment="1">
      <alignment horizontal="center" wrapText="1"/>
    </xf>
    <xf numFmtId="49" fontId="5" fillId="2" borderId="5" xfId="0" applyNumberFormat="1" applyFont="1" applyFill="1" applyBorder="1" applyAlignment="1">
      <alignment horizontal="center" wrapText="1"/>
    </xf>
    <xf numFmtId="49" fontId="6" fillId="2" borderId="5" xfId="0" applyNumberFormat="1" applyFont="1" applyFill="1" applyBorder="1" applyAlignment="1">
      <alignment horizontal="center" vertical="center" wrapText="1"/>
    </xf>
    <xf numFmtId="49" fontId="7" fillId="2" borderId="5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/>
    <xf numFmtId="0" fontId="8" fillId="5" borderId="4" xfId="0" applyFont="1" applyFill="1" applyBorder="1" applyAlignment="1"/>
    <xf numFmtId="0" fontId="8" fillId="4" borderId="6" xfId="0" applyFont="1" applyFill="1" applyBorder="1" applyAlignment="1"/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58" fontId="4" fillId="2" borderId="1" xfId="0" applyNumberFormat="1" applyFont="1" applyFill="1" applyBorder="1" applyAlignment="1">
      <alignment horizontal="center" wrapText="1"/>
    </xf>
    <xf numFmtId="58" fontId="5" fillId="2" borderId="1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left"/>
    </xf>
    <xf numFmtId="49" fontId="4" fillId="2" borderId="6" xfId="0" applyNumberFormat="1" applyFont="1" applyFill="1" applyBorder="1" applyAlignment="1">
      <alignment horizontal="center" wrapText="1"/>
    </xf>
    <xf numFmtId="49" fontId="5" fillId="2" borderId="6" xfId="0" applyNumberFormat="1" applyFont="1" applyFill="1" applyBorder="1" applyAlignment="1">
      <alignment horizontal="center" wrapText="1"/>
    </xf>
    <xf numFmtId="49" fontId="6" fillId="2" borderId="6" xfId="0" applyNumberFormat="1" applyFont="1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>
      <alignment horizontal="center" vertical="center" wrapText="1"/>
    </xf>
    <xf numFmtId="0" fontId="8" fillId="6" borderId="4" xfId="0" applyFont="1" applyFill="1" applyBorder="1" applyAlignment="1"/>
    <xf numFmtId="0" fontId="11" fillId="0" borderId="1" xfId="0" applyFont="1" applyBorder="1" applyAlignment="1">
      <alignment horizontal="center" vertical="center"/>
    </xf>
    <xf numFmtId="58" fontId="5" fillId="7" borderId="8" xfId="0" applyNumberFormat="1" applyFont="1" applyFill="1" applyBorder="1" applyAlignment="1">
      <alignment horizontal="center" wrapText="1"/>
    </xf>
    <xf numFmtId="58" fontId="6" fillId="7" borderId="8" xfId="0" applyNumberFormat="1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 wrapText="1"/>
    </xf>
    <xf numFmtId="49" fontId="8" fillId="2" borderId="4" xfId="0" applyNumberFormat="1" applyFont="1" applyFill="1" applyBorder="1" applyAlignment="1"/>
    <xf numFmtId="49" fontId="8" fillId="6" borderId="4" xfId="0" applyNumberFormat="1" applyFont="1" applyFill="1" applyBorder="1" applyAlignment="1"/>
    <xf numFmtId="49" fontId="0" fillId="0" borderId="0" xfId="0" applyNumberFormat="1" applyFont="1">
      <alignment vertical="center"/>
    </xf>
    <xf numFmtId="58" fontId="6" fillId="2" borderId="8" xfId="0" applyNumberFormat="1" applyFont="1" applyFill="1" applyBorder="1" applyAlignment="1">
      <alignment horizontal="center" vertical="center" wrapText="1"/>
    </xf>
    <xf numFmtId="49" fontId="8" fillId="3" borderId="4" xfId="0" applyNumberFormat="1" applyFont="1" applyFill="1" applyBorder="1" applyAlignment="1"/>
    <xf numFmtId="0" fontId="0" fillId="7" borderId="0" xfId="0" applyFill="1">
      <alignment vertical="center"/>
    </xf>
    <xf numFmtId="49" fontId="6" fillId="7" borderId="1" xfId="0" applyNumberFormat="1" applyFont="1" applyFill="1" applyBorder="1" applyAlignment="1">
      <alignment horizontal="center" vertical="center" wrapText="1"/>
    </xf>
    <xf numFmtId="49" fontId="6" fillId="7" borderId="5" xfId="0" applyNumberFormat="1" applyFont="1" applyFill="1" applyBorder="1" applyAlignment="1">
      <alignment horizontal="center" vertical="center" wrapText="1"/>
    </xf>
    <xf numFmtId="49" fontId="6" fillId="7" borderId="6" xfId="0" applyNumberFormat="1" applyFont="1" applyFill="1" applyBorder="1" applyAlignment="1">
      <alignment horizontal="center" vertical="center" wrapText="1"/>
    </xf>
    <xf numFmtId="0" fontId="8" fillId="7" borderId="4" xfId="0" applyFont="1" applyFill="1" applyBorder="1" applyAlignment="1"/>
    <xf numFmtId="0" fontId="8" fillId="7" borderId="6" xfId="0" applyFont="1" applyFill="1" applyBorder="1" applyAlignment="1"/>
    <xf numFmtId="49" fontId="8" fillId="5" borderId="4" xfId="0" applyNumberFormat="1" applyFont="1" applyFill="1" applyBorder="1" applyAlignment="1"/>
    <xf numFmtId="0" fontId="0" fillId="7" borderId="1" xfId="0" applyFill="1" applyBorder="1">
      <alignment vertical="center"/>
    </xf>
    <xf numFmtId="49" fontId="8" fillId="8" borderId="4" xfId="0" applyNumberFormat="1" applyFont="1" applyFill="1" applyBorder="1" applyAlignment="1"/>
    <xf numFmtId="0" fontId="0" fillId="0" borderId="1" xfId="0" applyBorder="1" applyAlignment="1">
      <alignment horizontal="left" vertical="center"/>
    </xf>
    <xf numFmtId="58" fontId="6" fillId="2" borderId="8" xfId="0" applyNumberFormat="1" applyFont="1" applyFill="1" applyBorder="1" applyAlignment="1">
      <alignment horizontal="center" wrapText="1"/>
    </xf>
    <xf numFmtId="0" fontId="0" fillId="0" borderId="1" xfId="0" applyFont="1" applyBorder="1" applyAlignment="1">
      <alignment horizontal="left" vertical="center"/>
    </xf>
    <xf numFmtId="49" fontId="8" fillId="7" borderId="4" xfId="0" applyNumberFormat="1" applyFont="1" applyFill="1" applyBorder="1" applyAlignment="1"/>
    <xf numFmtId="49" fontId="4" fillId="3" borderId="1" xfId="0" applyNumberFormat="1" applyFont="1" applyFill="1" applyBorder="1" applyAlignment="1">
      <alignment horizontal="center" wrapText="1"/>
    </xf>
    <xf numFmtId="49" fontId="5" fillId="3" borderId="6" xfId="0" applyNumberFormat="1" applyFont="1" applyFill="1" applyBorder="1" applyAlignment="1">
      <alignment horizontal="center" wrapText="1"/>
    </xf>
    <xf numFmtId="49" fontId="4" fillId="3" borderId="6" xfId="0" applyNumberFormat="1" applyFont="1" applyFill="1" applyBorder="1" applyAlignment="1">
      <alignment horizontal="center" wrapText="1"/>
    </xf>
    <xf numFmtId="0" fontId="8" fillId="3" borderId="6" xfId="0" applyFont="1" applyFill="1" applyBorder="1" applyAlignment="1"/>
    <xf numFmtId="0" fontId="15" fillId="3" borderId="6" xfId="0" applyFont="1" applyFill="1" applyBorder="1" applyAlignment="1"/>
    <xf numFmtId="0" fontId="8" fillId="3" borderId="6" xfId="0" applyFont="1" applyFill="1" applyBorder="1" applyAlignment="1">
      <alignment wrapText="1"/>
    </xf>
    <xf numFmtId="49" fontId="8" fillId="2" borderId="9" xfId="0" applyNumberFormat="1" applyFont="1" applyFill="1" applyBorder="1" applyAlignment="1"/>
    <xf numFmtId="49" fontId="8" fillId="2" borderId="0" xfId="0" applyNumberFormat="1" applyFont="1" applyFill="1" applyBorder="1" applyAlignment="1"/>
    <xf numFmtId="0" fontId="15" fillId="2" borderId="6" xfId="0" applyFont="1" applyFill="1" applyBorder="1" applyAlignment="1"/>
    <xf numFmtId="49" fontId="8" fillId="9" borderId="4" xfId="0" applyNumberFormat="1" applyFont="1" applyFill="1" applyBorder="1" applyAlignment="1"/>
    <xf numFmtId="49" fontId="0" fillId="2" borderId="1" xfId="0" applyNumberFormat="1" applyFill="1" applyBorder="1">
      <alignment vertical="center"/>
    </xf>
    <xf numFmtId="0" fontId="0" fillId="0" borderId="1" xfId="0" applyBorder="1">
      <alignment vertical="center"/>
    </xf>
    <xf numFmtId="0" fontId="0" fillId="6" borderId="1" xfId="0" applyFill="1" applyBorder="1">
      <alignment vertical="center"/>
    </xf>
    <xf numFmtId="0" fontId="6" fillId="2" borderId="10" xfId="0" applyFont="1" applyFill="1" applyBorder="1" applyAlignment="1">
      <alignment wrapText="1"/>
    </xf>
    <xf numFmtId="0" fontId="0" fillId="2" borderId="1" xfId="0" applyFont="1" applyFill="1" applyBorder="1">
      <alignment vertical="center"/>
    </xf>
    <xf numFmtId="49" fontId="4" fillId="0" borderId="5" xfId="0" applyNumberFormat="1" applyFont="1" applyBorder="1" applyAlignment="1">
      <alignment horizontal="center" wrapText="1"/>
    </xf>
    <xf numFmtId="0" fontId="16" fillId="0" borderId="0" xfId="0" applyFont="1" applyFill="1" applyAlignment="1">
      <alignment vertical="center"/>
    </xf>
    <xf numFmtId="0" fontId="17" fillId="10" borderId="1" xfId="0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 applyProtection="1">
      <alignment vertical="center"/>
    </xf>
    <xf numFmtId="0" fontId="18" fillId="0" borderId="1" xfId="0" applyNumberFormat="1" applyFont="1" applyFill="1" applyBorder="1" applyAlignment="1" applyProtection="1">
      <alignment horizontal="left" vertical="center"/>
    </xf>
    <xf numFmtId="0" fontId="0" fillId="0" borderId="1" xfId="0" applyNumberFormat="1" applyFont="1" applyFill="1" applyBorder="1" applyAlignment="1" applyProtection="1">
      <alignment horizontal="center" vertical="center"/>
    </xf>
    <xf numFmtId="176" fontId="0" fillId="0" borderId="1" xfId="0" applyNumberFormat="1" applyFont="1" applyFill="1" applyBorder="1" applyAlignment="1" applyProtection="1">
      <alignment horizontal="center" vertical="center"/>
    </xf>
    <xf numFmtId="0" fontId="0" fillId="0" borderId="1" xfId="0" applyNumberFormat="1" applyFont="1" applyFill="1" applyBorder="1" applyAlignment="1" applyProtection="1">
      <alignment horizontal="left" vertical="center"/>
    </xf>
    <xf numFmtId="0" fontId="0" fillId="0" borderId="1" xfId="0" applyNumberFormat="1" applyFont="1" applyFill="1" applyBorder="1" applyAlignment="1" applyProtection="1">
      <alignment vertical="center"/>
    </xf>
    <xf numFmtId="0" fontId="19" fillId="0" borderId="1" xfId="0" applyNumberFormat="1" applyFont="1" applyFill="1" applyBorder="1" applyAlignment="1" applyProtection="1"/>
    <xf numFmtId="176" fontId="0" fillId="0" borderId="1" xfId="0" applyNumberFormat="1" applyFont="1" applyFill="1" applyBorder="1" applyAlignment="1" applyProtection="1">
      <alignment vertical="center"/>
    </xf>
    <xf numFmtId="0" fontId="13" fillId="0" borderId="0" xfId="0" applyFont="1" applyFill="1">
      <alignment vertical="center"/>
    </xf>
    <xf numFmtId="0" fontId="13" fillId="0" borderId="0" xfId="0" applyFont="1" applyFill="1" applyAlignment="1">
      <alignment horizontal="right" vertical="center"/>
    </xf>
    <xf numFmtId="0" fontId="20" fillId="0" borderId="1" xfId="0" applyNumberFormat="1" applyFont="1" applyFill="1" applyBorder="1" applyAlignment="1" applyProtection="1"/>
    <xf numFmtId="0" fontId="21" fillId="0" borderId="1" xfId="0" applyNumberFormat="1" applyFont="1" applyFill="1" applyBorder="1" applyAlignment="1" applyProtection="1"/>
    <xf numFmtId="0" fontId="20" fillId="0" borderId="0" xfId="0" applyFont="1" applyFill="1" applyBorder="1" applyAlignment="1"/>
    <xf numFmtId="0" fontId="21" fillId="0" borderId="0" xfId="0" applyFont="1" applyFill="1" applyBorder="1" applyAlignment="1"/>
    <xf numFmtId="0" fontId="8" fillId="0" borderId="1" xfId="0" applyNumberFormat="1" applyFont="1" applyFill="1" applyBorder="1" applyAlignment="1" applyProtection="1"/>
    <xf numFmtId="0" fontId="22" fillId="0" borderId="0" xfId="0" applyFont="1" applyFill="1" applyAlignment="1">
      <alignment vertical="center"/>
    </xf>
    <xf numFmtId="0" fontId="23" fillId="0" borderId="1" xfId="50" applyFont="1" applyFill="1" applyBorder="1" applyAlignment="1">
      <alignment horizontal="center" vertical="center"/>
    </xf>
    <xf numFmtId="0" fontId="23" fillId="0" borderId="1" xfId="50" applyFont="1" applyFill="1" applyBorder="1" applyAlignment="1">
      <alignment horizontal="left" vertical="center"/>
    </xf>
    <xf numFmtId="0" fontId="24" fillId="0" borderId="1" xfId="0" applyNumberFormat="1" applyFont="1" applyFill="1" applyBorder="1" applyAlignment="1" applyProtection="1">
      <alignment vertical="center"/>
      <protection locked="0"/>
    </xf>
    <xf numFmtId="177" fontId="13" fillId="0" borderId="1" xfId="0" applyNumberFormat="1" applyFont="1" applyFill="1" applyBorder="1" applyAlignment="1" applyProtection="1">
      <alignment horizontal="center" vertical="center"/>
    </xf>
    <xf numFmtId="0" fontId="11" fillId="0" borderId="1" xfId="0" applyNumberFormat="1" applyFont="1" applyFill="1" applyBorder="1" applyAlignment="1" applyProtection="1">
      <alignment horizontal="center"/>
      <protection locked="0"/>
    </xf>
    <xf numFmtId="0" fontId="0" fillId="0" borderId="0" xfId="0" applyFont="1" applyFill="1">
      <alignment vertical="center"/>
    </xf>
    <xf numFmtId="178" fontId="13" fillId="0" borderId="1" xfId="49" applyNumberFormat="1" applyFont="1" applyFill="1" applyBorder="1" applyAlignment="1" applyProtection="1">
      <alignment horizontal="center"/>
      <protection locked="0"/>
    </xf>
    <xf numFmtId="176" fontId="25" fillId="0" borderId="1" xfId="0" applyNumberFormat="1" applyFont="1" applyFill="1" applyBorder="1" applyAlignment="1" applyProtection="1">
      <alignment horizontal="center" vertical="center"/>
    </xf>
    <xf numFmtId="0" fontId="23" fillId="0" borderId="0" xfId="0" applyFont="1" applyFill="1" applyAlignment="1">
      <alignment vertical="center"/>
    </xf>
    <xf numFmtId="176" fontId="26" fillId="0" borderId="1" xfId="0" applyNumberFormat="1" applyFont="1" applyFill="1" applyBorder="1" applyAlignment="1" applyProtection="1">
      <alignment horizontal="center" vertical="center"/>
    </xf>
    <xf numFmtId="0" fontId="20" fillId="0" borderId="1" xfId="0" applyNumberFormat="1" applyFont="1" applyFill="1" applyBorder="1" applyAlignment="1" applyProtection="1"/>
    <xf numFmtId="0" fontId="0" fillId="0" borderId="1" xfId="0" applyNumberFormat="1" applyFont="1" applyFill="1" applyBorder="1" applyAlignment="1" applyProtection="1">
      <alignment vertical="center"/>
    </xf>
    <xf numFmtId="176" fontId="26" fillId="0" borderId="5" xfId="0" applyNumberFormat="1" applyFont="1" applyFill="1" applyBorder="1" applyAlignment="1" applyProtection="1">
      <alignment horizontal="center" vertical="center"/>
    </xf>
    <xf numFmtId="0" fontId="0" fillId="0" borderId="5" xfId="0" applyNumberFormat="1" applyFont="1" applyFill="1" applyBorder="1" applyAlignment="1" applyProtection="1">
      <alignment horizontal="center"/>
    </xf>
    <xf numFmtId="7" fontId="0" fillId="0" borderId="5" xfId="0" applyNumberFormat="1" applyFont="1" applyFill="1" applyBorder="1" applyAlignment="1" applyProtection="1">
      <alignment horizontal="center"/>
    </xf>
    <xf numFmtId="0" fontId="0" fillId="0" borderId="1" xfId="0" applyNumberFormat="1" applyFont="1" applyFill="1" applyBorder="1" applyAlignment="1" applyProtection="1">
      <alignment horizontal="center"/>
    </xf>
    <xf numFmtId="7" fontId="0" fillId="0" borderId="1" xfId="0" applyNumberFormat="1" applyFont="1" applyFill="1" applyBorder="1" applyAlignment="1" applyProtection="1">
      <alignment horizontal="center"/>
    </xf>
    <xf numFmtId="0" fontId="20" fillId="0" borderId="1" xfId="0" applyFont="1" applyFill="1" applyBorder="1" applyAlignment="1"/>
    <xf numFmtId="49" fontId="11" fillId="0" borderId="1" xfId="0" applyNumberFormat="1" applyFont="1" applyFill="1" applyBorder="1" applyAlignment="1">
      <alignment wrapText="1"/>
    </xf>
    <xf numFmtId="49" fontId="27" fillId="0" borderId="1" xfId="0" applyNumberFormat="1" applyFont="1" applyFill="1" applyBorder="1" applyAlignment="1">
      <alignment horizontal="center" wrapText="1"/>
    </xf>
    <xf numFmtId="0" fontId="23" fillId="0" borderId="1" xfId="0" applyFont="1" applyFill="1" applyBorder="1" applyAlignment="1">
      <alignment vertical="center"/>
    </xf>
    <xf numFmtId="0" fontId="11" fillId="0" borderId="1" xfId="0" applyNumberFormat="1" applyFont="1" applyFill="1" applyBorder="1" applyAlignment="1" applyProtection="1">
      <alignment horizontal="center" vertical="center" shrinkToFit="1"/>
    </xf>
    <xf numFmtId="0" fontId="11" fillId="0" borderId="0" xfId="0" applyNumberFormat="1" applyFont="1" applyFill="1" applyBorder="1" applyAlignment="1" applyProtection="1">
      <alignment horizontal="center" vertical="center" shrinkToFit="1"/>
    </xf>
    <xf numFmtId="0" fontId="22" fillId="0" borderId="1" xfId="0" applyFont="1" applyFill="1" applyBorder="1" applyAlignment="1">
      <alignment vertical="center"/>
    </xf>
    <xf numFmtId="0" fontId="0" fillId="0" borderId="1" xfId="0" applyFill="1" applyBorder="1">
      <alignment vertical="center"/>
    </xf>
    <xf numFmtId="0" fontId="0" fillId="0" borderId="0" xfId="0" applyFill="1">
      <alignment vertical="center"/>
    </xf>
    <xf numFmtId="0" fontId="23" fillId="0" borderId="0" xfId="0" applyFont="1" applyFill="1" applyBorder="1" applyAlignment="1">
      <alignment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標準_HCM 9-23" xfId="49"/>
    <cellStyle name="常规 2" xfId="50"/>
    <cellStyle name="常规_Sheet4" xfId="51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4" Type="http://schemas.openxmlformats.org/officeDocument/2006/relationships/styles" Target="styles.xml"/><Relationship Id="rId33" Type="http://schemas.openxmlformats.org/officeDocument/2006/relationships/sharedStrings" Target="sharedStrings.xml"/><Relationship Id="rId32" Type="http://schemas.openxmlformats.org/officeDocument/2006/relationships/theme" Target="theme/theme1.xml"/><Relationship Id="rId31" Type="http://schemas.openxmlformats.org/officeDocument/2006/relationships/externalLink" Target="externalLinks/externalLink4.xml"/><Relationship Id="rId30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2.xml"/><Relationship Id="rId28" Type="http://schemas.openxmlformats.org/officeDocument/2006/relationships/externalLink" Target="externalLinks/externalLink1.xml"/><Relationship Id="rId27" Type="http://schemas.openxmlformats.org/officeDocument/2006/relationships/pivotCacheDefinition" Target="pivotCache/pivotCacheDefinition1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9.200.2\yusei_data\&#26477;&#24030;&#21451;&#25104;\&#32508;&#21512;&#37096;\&#22806;&#21327;&#31185;\&#20869;&#37096;\&#22806;&#21327;\&#27599;&#26376;&#23545;&#36134;&#36164;&#26009;\2023&#24180;\23.2&#26376;&#23545;&#24080;&#21333;\&#38598;&#22242;&#32479;&#19968;&#20195;&#30721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9.200.2\yusei_data\&#26477;&#24030;&#21451;&#25104;\&#32508;&#21512;&#37096;\&#22806;&#21327;&#31185;\&#20869;&#37096;\&#22806;&#21327;\&#22806;&#21327;&#20215;&#26684;\&#22806;&#21327;&#20215;&#26684;&#34920;&#65288;2022.2.19&#6528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9.200.2\yusei_data\&#26477;&#24030;&#21451;&#25104;\&#32508;&#21512;&#37096;\&#22806;&#21327;&#31185;\&#20869;&#37096;\&#22806;&#21327;\&#27599;&#26376;&#23545;&#36134;&#36164;&#26009;\2023&#24180;\23.2&#26376;&#23545;&#24080;&#21333;\&#28145;&#36828;1&#26376;&#20221;&#26448;&#26009;&#23545;&#24080;&#21333;-ok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csf\Desktop\&#38598;&#22242;&#32479;&#19968;&#20195;&#30721;&#34920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合并"/>
      <sheetName val="原材料"/>
      <sheetName val="调拨材料OK"/>
      <sheetName val="辅件"/>
      <sheetName val="油漆"/>
      <sheetName val="包装"/>
    </sheetNames>
    <sheetDataSet>
      <sheetData sheetId="0" refreshError="1"/>
      <sheetData sheetId="1" refreshError="1">
        <row r="1">
          <cell r="D1" t="str">
            <v>新代码</v>
          </cell>
          <cell r="E1" t="str">
            <v>旧代码</v>
          </cell>
        </row>
        <row r="2">
          <cell r="D2" t="str">
            <v>A1.4000</v>
          </cell>
        </row>
        <row r="3">
          <cell r="D3" t="str">
            <v>A5.4000</v>
          </cell>
        </row>
        <row r="4">
          <cell r="D4" t="str">
            <v>A5.4000</v>
          </cell>
        </row>
        <row r="5">
          <cell r="D5" t="str">
            <v>A1.4001</v>
          </cell>
          <cell r="E5" t="str">
            <v>A1.1745</v>
          </cell>
        </row>
        <row r="6">
          <cell r="D6" t="str">
            <v>A1.4002</v>
          </cell>
        </row>
        <row r="7">
          <cell r="D7" t="str">
            <v>A1.4002</v>
          </cell>
        </row>
        <row r="8">
          <cell r="D8" t="str">
            <v>A1.4003</v>
          </cell>
          <cell r="E8" t="str">
            <v>A1.0568</v>
          </cell>
        </row>
        <row r="9">
          <cell r="D9" t="str">
            <v>A1.4004</v>
          </cell>
          <cell r="E9" t="str">
            <v>A1.1228</v>
          </cell>
        </row>
        <row r="10">
          <cell r="D10" t="str">
            <v>A1.4005</v>
          </cell>
          <cell r="E10" t="str">
            <v>A1.1234</v>
          </cell>
        </row>
        <row r="11">
          <cell r="D11" t="str">
            <v>A1.4006</v>
          </cell>
          <cell r="E11" t="str">
            <v>A1.1276</v>
          </cell>
        </row>
        <row r="12">
          <cell r="D12" t="str">
            <v>A1.4007</v>
          </cell>
        </row>
        <row r="13">
          <cell r="D13" t="str">
            <v>A1.4008</v>
          </cell>
        </row>
        <row r="14">
          <cell r="D14" t="str">
            <v>A1.4009</v>
          </cell>
        </row>
        <row r="15">
          <cell r="D15" t="str">
            <v>A1.4010</v>
          </cell>
        </row>
        <row r="16">
          <cell r="D16" t="str">
            <v>A1.4011</v>
          </cell>
        </row>
        <row r="17">
          <cell r="D17" t="str">
            <v>A1.4012</v>
          </cell>
          <cell r="E17" t="str">
            <v>A1.1660</v>
          </cell>
        </row>
        <row r="18">
          <cell r="D18" t="str">
            <v>A1.4013</v>
          </cell>
          <cell r="E18" t="str">
            <v>A1.1675</v>
          </cell>
        </row>
        <row r="19">
          <cell r="D19" t="str">
            <v>A1.4014</v>
          </cell>
          <cell r="E19" t="str">
            <v>A1.1676</v>
          </cell>
        </row>
        <row r="20">
          <cell r="D20" t="str">
            <v>A1.4015</v>
          </cell>
          <cell r="E20" t="str">
            <v>A1.0763</v>
          </cell>
        </row>
        <row r="21">
          <cell r="D21" t="str">
            <v>A1.4016</v>
          </cell>
        </row>
        <row r="22">
          <cell r="D22" t="str">
            <v>A1.4017</v>
          </cell>
        </row>
        <row r="23">
          <cell r="D23" t="str">
            <v>A1.4018</v>
          </cell>
        </row>
        <row r="24">
          <cell r="D24" t="str">
            <v>A1.4019</v>
          </cell>
        </row>
        <row r="25">
          <cell r="D25" t="str">
            <v>A1.4020</v>
          </cell>
        </row>
        <row r="26">
          <cell r="D26" t="str">
            <v>A1.4021</v>
          </cell>
        </row>
        <row r="27">
          <cell r="D27" t="str">
            <v>A1.4021</v>
          </cell>
          <cell r="E27" t="str">
            <v>A1.1316</v>
          </cell>
        </row>
        <row r="28">
          <cell r="D28" t="str">
            <v>A1.4022</v>
          </cell>
          <cell r="E28" t="str">
            <v>A1.1532</v>
          </cell>
        </row>
        <row r="29">
          <cell r="D29" t="str">
            <v>A1.4023</v>
          </cell>
        </row>
        <row r="30">
          <cell r="D30" t="str">
            <v>A5.4024</v>
          </cell>
        </row>
        <row r="31">
          <cell r="D31" t="str">
            <v>A1.4025</v>
          </cell>
          <cell r="E31" t="str">
            <v>A1.1592</v>
          </cell>
        </row>
        <row r="32">
          <cell r="D32" t="str">
            <v>A1.4025</v>
          </cell>
        </row>
        <row r="33">
          <cell r="D33" t="str">
            <v>A1.4026</v>
          </cell>
        </row>
        <row r="34">
          <cell r="D34" t="str">
            <v>A1.4026</v>
          </cell>
        </row>
        <row r="35">
          <cell r="D35" t="str">
            <v>A1.4027</v>
          </cell>
        </row>
        <row r="36">
          <cell r="D36" t="str">
            <v>A1.4028</v>
          </cell>
          <cell r="E36" t="str">
            <v>A1.1382</v>
          </cell>
        </row>
        <row r="37">
          <cell r="D37" t="str">
            <v>A1.4029</v>
          </cell>
        </row>
        <row r="38">
          <cell r="D38" t="str">
            <v>A1.4029</v>
          </cell>
          <cell r="E38" t="str">
            <v>A1.0261</v>
          </cell>
        </row>
        <row r="39">
          <cell r="D39" t="str">
            <v>A1.4029</v>
          </cell>
        </row>
        <row r="40">
          <cell r="D40" t="str">
            <v>A1.4030</v>
          </cell>
        </row>
        <row r="41">
          <cell r="D41" t="str">
            <v>A1.4030</v>
          </cell>
        </row>
        <row r="42">
          <cell r="D42" t="str">
            <v>A1.4031</v>
          </cell>
          <cell r="E42" t="str">
            <v>A1.1573</v>
          </cell>
        </row>
        <row r="43">
          <cell r="D43" t="str">
            <v>A1.4032</v>
          </cell>
          <cell r="E43" t="str">
            <v>A1.1142</v>
          </cell>
        </row>
        <row r="44">
          <cell r="D44" t="str">
            <v>A1.4033</v>
          </cell>
          <cell r="E44" t="str">
            <v>A1.1518</v>
          </cell>
        </row>
        <row r="45">
          <cell r="D45" t="str">
            <v>A1.4034</v>
          </cell>
        </row>
        <row r="46">
          <cell r="D46" t="str">
            <v>A5.4034</v>
          </cell>
        </row>
        <row r="47">
          <cell r="D47" t="str">
            <v>A1.4035</v>
          </cell>
        </row>
        <row r="48">
          <cell r="D48" t="str">
            <v>A5.4035</v>
          </cell>
        </row>
        <row r="49">
          <cell r="D49" t="str">
            <v>A5.4036</v>
          </cell>
        </row>
        <row r="50">
          <cell r="D50" t="str">
            <v>A5.4037</v>
          </cell>
        </row>
        <row r="51">
          <cell r="D51" t="str">
            <v>A1.4038</v>
          </cell>
        </row>
        <row r="52">
          <cell r="D52" t="str">
            <v>A5.4039</v>
          </cell>
        </row>
        <row r="53">
          <cell r="D53" t="str">
            <v>A1.4040</v>
          </cell>
        </row>
        <row r="54">
          <cell r="D54" t="str">
            <v>A1.4041</v>
          </cell>
        </row>
        <row r="55">
          <cell r="D55" t="str">
            <v>A1.4041</v>
          </cell>
        </row>
        <row r="56">
          <cell r="D56" t="str">
            <v>A1.4041</v>
          </cell>
          <cell r="E56" t="str">
            <v>A1.0585</v>
          </cell>
        </row>
        <row r="57">
          <cell r="D57" t="str">
            <v>A1.4041</v>
          </cell>
          <cell r="E57" t="str">
            <v>A1.0585</v>
          </cell>
        </row>
        <row r="58">
          <cell r="D58" t="str">
            <v>A1.4042</v>
          </cell>
        </row>
        <row r="59">
          <cell r="D59" t="str">
            <v>A5.4042</v>
          </cell>
        </row>
        <row r="60">
          <cell r="D60" t="str">
            <v>A5.4043</v>
          </cell>
        </row>
        <row r="61">
          <cell r="D61" t="str">
            <v>A1.4044</v>
          </cell>
        </row>
        <row r="62">
          <cell r="D62" t="str">
            <v>A5.4044</v>
          </cell>
        </row>
        <row r="63">
          <cell r="D63" t="str">
            <v>A5.4045</v>
          </cell>
        </row>
        <row r="64">
          <cell r="D64" t="str">
            <v>A5.4046</v>
          </cell>
        </row>
        <row r="65">
          <cell r="D65" t="str">
            <v>A5.4047</v>
          </cell>
        </row>
        <row r="66">
          <cell r="D66" t="str">
            <v>A5.4048</v>
          </cell>
        </row>
        <row r="67">
          <cell r="D67" t="str">
            <v>A5.4049</v>
          </cell>
        </row>
        <row r="68">
          <cell r="D68" t="str">
            <v>A5.4050</v>
          </cell>
        </row>
        <row r="69">
          <cell r="D69" t="str">
            <v>A5.4051</v>
          </cell>
        </row>
        <row r="70">
          <cell r="D70" t="str">
            <v>A5.4052</v>
          </cell>
        </row>
        <row r="71">
          <cell r="D71" t="str">
            <v>A5.4053</v>
          </cell>
        </row>
        <row r="72">
          <cell r="D72" t="str">
            <v>A5.4054</v>
          </cell>
        </row>
        <row r="73">
          <cell r="D73" t="str">
            <v>A5.4055</v>
          </cell>
        </row>
        <row r="74">
          <cell r="D74" t="str">
            <v>A5.4056</v>
          </cell>
        </row>
        <row r="75">
          <cell r="D75" t="str">
            <v>A5.4057</v>
          </cell>
        </row>
        <row r="76">
          <cell r="D76" t="str">
            <v>A5.4058</v>
          </cell>
        </row>
        <row r="77">
          <cell r="D77" t="str">
            <v>A5.4059</v>
          </cell>
        </row>
        <row r="78">
          <cell r="D78" t="str">
            <v>A5.4060</v>
          </cell>
        </row>
        <row r="79">
          <cell r="D79" t="str">
            <v>A5.4061</v>
          </cell>
        </row>
        <row r="80">
          <cell r="D80" t="str">
            <v>A1.4062</v>
          </cell>
        </row>
        <row r="81">
          <cell r="D81" t="str">
            <v>A5.4062</v>
          </cell>
        </row>
        <row r="82">
          <cell r="D82" t="str">
            <v>A5.4063</v>
          </cell>
        </row>
        <row r="83">
          <cell r="D83" t="str">
            <v>A5.4064</v>
          </cell>
        </row>
        <row r="84">
          <cell r="D84" t="str">
            <v>A5.4065</v>
          </cell>
        </row>
        <row r="85">
          <cell r="D85" t="str">
            <v>A1.4066</v>
          </cell>
          <cell r="E85" t="str">
            <v>A1.1761</v>
          </cell>
        </row>
        <row r="86">
          <cell r="D86" t="str">
            <v>A5.4066</v>
          </cell>
          <cell r="E86" t="str">
            <v>A5.1761</v>
          </cell>
        </row>
        <row r="87">
          <cell r="D87" t="str">
            <v>A1.4067</v>
          </cell>
        </row>
        <row r="88">
          <cell r="D88" t="str">
            <v>A5.4067</v>
          </cell>
        </row>
        <row r="89">
          <cell r="D89" t="str">
            <v>A5.4068</v>
          </cell>
        </row>
        <row r="90">
          <cell r="D90" t="str">
            <v>A5.4069</v>
          </cell>
        </row>
        <row r="91">
          <cell r="D91" t="str">
            <v>A5.4070</v>
          </cell>
        </row>
        <row r="92">
          <cell r="D92" t="str">
            <v>A5.4071</v>
          </cell>
        </row>
        <row r="93">
          <cell r="D93" t="str">
            <v>A5.4072</v>
          </cell>
        </row>
        <row r="94">
          <cell r="D94" t="str">
            <v>A5.4073</v>
          </cell>
        </row>
        <row r="95">
          <cell r="D95" t="str">
            <v>A5.4074</v>
          </cell>
        </row>
        <row r="96">
          <cell r="D96" t="str">
            <v>A5.4075</v>
          </cell>
        </row>
        <row r="97">
          <cell r="D97" t="str">
            <v>A5.4076</v>
          </cell>
        </row>
        <row r="98">
          <cell r="D98" t="str">
            <v>A5.4077</v>
          </cell>
        </row>
        <row r="99">
          <cell r="D99" t="str">
            <v>A5.4078</v>
          </cell>
        </row>
        <row r="100">
          <cell r="D100" t="str">
            <v>A5.4079</v>
          </cell>
        </row>
        <row r="101">
          <cell r="D101" t="str">
            <v>A1.4080</v>
          </cell>
        </row>
        <row r="102">
          <cell r="D102" t="str">
            <v>A5.4080</v>
          </cell>
        </row>
        <row r="103">
          <cell r="D103" t="str">
            <v>A5.4081</v>
          </cell>
        </row>
        <row r="104">
          <cell r="D104" t="str">
            <v>A5.4082</v>
          </cell>
        </row>
        <row r="105">
          <cell r="D105" t="str">
            <v>A5.4083</v>
          </cell>
        </row>
        <row r="106">
          <cell r="D106" t="str">
            <v>A5.4084</v>
          </cell>
        </row>
        <row r="107">
          <cell r="D107" t="str">
            <v>A1.4085</v>
          </cell>
        </row>
        <row r="108">
          <cell r="D108" t="str">
            <v>A5.4086</v>
          </cell>
        </row>
        <row r="109">
          <cell r="D109" t="str">
            <v>A5.4086</v>
          </cell>
        </row>
        <row r="110">
          <cell r="D110" t="str">
            <v>A5.4087</v>
          </cell>
        </row>
        <row r="111">
          <cell r="D111" t="str">
            <v>A5.4087</v>
          </cell>
        </row>
        <row r="112">
          <cell r="D112" t="str">
            <v>A1.4088</v>
          </cell>
        </row>
        <row r="113">
          <cell r="D113" t="str">
            <v>A5.4088</v>
          </cell>
        </row>
        <row r="114">
          <cell r="D114" t="str">
            <v>A5.4088</v>
          </cell>
        </row>
        <row r="115">
          <cell r="D115" t="str">
            <v>A1.4089</v>
          </cell>
        </row>
        <row r="116">
          <cell r="D116" t="str">
            <v>A1.4090</v>
          </cell>
        </row>
        <row r="117">
          <cell r="D117" t="str">
            <v>A5.4090</v>
          </cell>
        </row>
        <row r="118">
          <cell r="D118" t="str">
            <v>A1.4091</v>
          </cell>
          <cell r="E118" t="str">
            <v>A1.1664</v>
          </cell>
        </row>
        <row r="119">
          <cell r="D119" t="str">
            <v>A1.4092</v>
          </cell>
          <cell r="E119" t="str">
            <v>A1.1528</v>
          </cell>
        </row>
        <row r="120">
          <cell r="D120" t="str">
            <v>A1.4092</v>
          </cell>
          <cell r="E120" t="str">
            <v>A1.1528</v>
          </cell>
        </row>
        <row r="121">
          <cell r="D121" t="str">
            <v>A1.4093</v>
          </cell>
          <cell r="E121" t="str">
            <v>A1.0973</v>
          </cell>
        </row>
        <row r="122">
          <cell r="D122" t="str">
            <v>A1.4094</v>
          </cell>
          <cell r="E122" t="str">
            <v>A1.1611</v>
          </cell>
        </row>
        <row r="123">
          <cell r="D123" t="str">
            <v>A1.4095</v>
          </cell>
          <cell r="E123" t="str">
            <v>A1.1612</v>
          </cell>
        </row>
        <row r="124">
          <cell r="D124" t="str">
            <v>A1.4096</v>
          </cell>
        </row>
        <row r="125">
          <cell r="D125" t="str">
            <v>A1.4097</v>
          </cell>
          <cell r="E125" t="str">
            <v>A1.0225</v>
          </cell>
        </row>
        <row r="126">
          <cell r="D126" t="str">
            <v>A1.4097</v>
          </cell>
        </row>
        <row r="127">
          <cell r="D127" t="str">
            <v>A1.4097</v>
          </cell>
        </row>
        <row r="128">
          <cell r="D128" t="str">
            <v>A1.4098</v>
          </cell>
        </row>
        <row r="129">
          <cell r="D129" t="str">
            <v>A1.4099</v>
          </cell>
          <cell r="E129" t="str">
            <v>A1.0379</v>
          </cell>
        </row>
        <row r="130">
          <cell r="D130" t="str">
            <v>A1.4099</v>
          </cell>
        </row>
        <row r="131">
          <cell r="D131" t="str">
            <v>A1.4100</v>
          </cell>
        </row>
        <row r="132">
          <cell r="D132" t="str">
            <v>A1.4101</v>
          </cell>
          <cell r="E132" t="str">
            <v>A1.0380</v>
          </cell>
        </row>
        <row r="133">
          <cell r="D133" t="str">
            <v>A1.4101</v>
          </cell>
        </row>
        <row r="134">
          <cell r="D134" t="str">
            <v>A1.4102</v>
          </cell>
        </row>
        <row r="135">
          <cell r="D135" t="str">
            <v>A1.4103</v>
          </cell>
        </row>
        <row r="136">
          <cell r="D136" t="str">
            <v>A1.4103</v>
          </cell>
        </row>
        <row r="137">
          <cell r="D137" t="str">
            <v>A1.4105</v>
          </cell>
        </row>
        <row r="138">
          <cell r="D138" t="str">
            <v>A1.4106</v>
          </cell>
        </row>
        <row r="139">
          <cell r="D139" t="str">
            <v>A1.4107</v>
          </cell>
        </row>
        <row r="140">
          <cell r="D140" t="str">
            <v>A1.4108</v>
          </cell>
        </row>
        <row r="141">
          <cell r="D141" t="str">
            <v>A1.4109</v>
          </cell>
        </row>
        <row r="142">
          <cell r="D142" t="str">
            <v>A1.4110</v>
          </cell>
        </row>
        <row r="143">
          <cell r="D143" t="str">
            <v>A1.4111</v>
          </cell>
        </row>
        <row r="144">
          <cell r="D144" t="str">
            <v>A1.4111</v>
          </cell>
          <cell r="E144" t="str">
            <v>A1.1481</v>
          </cell>
        </row>
        <row r="145">
          <cell r="D145" t="str">
            <v>A5.4112</v>
          </cell>
          <cell r="E145" t="str">
            <v>A5.1785</v>
          </cell>
        </row>
        <row r="146">
          <cell r="D146" t="str">
            <v>A5.4113</v>
          </cell>
          <cell r="E146" t="str">
            <v>A5.1784</v>
          </cell>
        </row>
        <row r="147">
          <cell r="D147" t="str">
            <v>A1.4114</v>
          </cell>
          <cell r="E147" t="str">
            <v>A1.1805</v>
          </cell>
        </row>
        <row r="148">
          <cell r="D148" t="str">
            <v>A5.4114</v>
          </cell>
          <cell r="E148" t="str">
            <v>A5.1805</v>
          </cell>
        </row>
        <row r="149">
          <cell r="D149" t="str">
            <v>A5.4115</v>
          </cell>
          <cell r="E149" t="str">
            <v>A5.1966</v>
          </cell>
        </row>
        <row r="150">
          <cell r="D150" t="str">
            <v>A5.4116</v>
          </cell>
          <cell r="E150" t="str">
            <v>A5.1403</v>
          </cell>
        </row>
        <row r="151">
          <cell r="D151" t="str">
            <v>A5.4117</v>
          </cell>
          <cell r="E151" t="str">
            <v>A5.1818</v>
          </cell>
        </row>
        <row r="152">
          <cell r="D152" t="str">
            <v>A1.4118</v>
          </cell>
          <cell r="E152" t="str">
            <v>A1.1804</v>
          </cell>
        </row>
        <row r="153">
          <cell r="D153" t="str">
            <v>A5.4118</v>
          </cell>
          <cell r="E153" t="str">
            <v>A5.1804</v>
          </cell>
        </row>
        <row r="154">
          <cell r="D154" t="str">
            <v>A5.4119</v>
          </cell>
          <cell r="E154" t="str">
            <v>A5.1782</v>
          </cell>
        </row>
        <row r="155">
          <cell r="D155" t="str">
            <v>A1.4120</v>
          </cell>
          <cell r="E155" t="str">
            <v>A1.1790</v>
          </cell>
        </row>
        <row r="156">
          <cell r="D156" t="str">
            <v>A5.4120</v>
          </cell>
          <cell r="E156" t="str">
            <v>A5.1790</v>
          </cell>
        </row>
        <row r="157">
          <cell r="D157" t="str">
            <v>A1.4121</v>
          </cell>
          <cell r="E157" t="str">
            <v>A1.0027</v>
          </cell>
        </row>
        <row r="158">
          <cell r="D158" t="str">
            <v>A1.4121</v>
          </cell>
        </row>
        <row r="159">
          <cell r="D159" t="str">
            <v>A1.4121</v>
          </cell>
        </row>
        <row r="160">
          <cell r="D160" t="str">
            <v>A1.4122</v>
          </cell>
        </row>
        <row r="161">
          <cell r="D161" t="str">
            <v>A1.4122</v>
          </cell>
        </row>
        <row r="162">
          <cell r="D162" t="str">
            <v>A1.4122</v>
          </cell>
        </row>
        <row r="163">
          <cell r="D163" t="str">
            <v>A1.4122</v>
          </cell>
        </row>
        <row r="164">
          <cell r="D164" t="str">
            <v>A1.4122</v>
          </cell>
        </row>
        <row r="165">
          <cell r="D165" t="str">
            <v>A1.4122</v>
          </cell>
        </row>
        <row r="166">
          <cell r="D166" t="str">
            <v>A1.4122</v>
          </cell>
          <cell r="E166" t="str">
            <v>A1.1099</v>
          </cell>
        </row>
        <row r="167">
          <cell r="D167" t="str">
            <v>A1.4122</v>
          </cell>
        </row>
        <row r="168">
          <cell r="D168" t="str">
            <v>A1.4122</v>
          </cell>
        </row>
        <row r="169">
          <cell r="D169" t="str">
            <v>A1.4122</v>
          </cell>
        </row>
        <row r="170">
          <cell r="D170" t="str">
            <v>A1.4122</v>
          </cell>
        </row>
        <row r="171">
          <cell r="D171" t="str">
            <v>A1.4123</v>
          </cell>
          <cell r="E171" t="str">
            <v>A1.0873</v>
          </cell>
        </row>
        <row r="172">
          <cell r="D172" t="str">
            <v>A1.4123</v>
          </cell>
        </row>
        <row r="173">
          <cell r="D173" t="str">
            <v>A1.4123</v>
          </cell>
        </row>
        <row r="174">
          <cell r="D174" t="str">
            <v>A1.4123</v>
          </cell>
        </row>
        <row r="175">
          <cell r="D175" t="str">
            <v>A1.4124</v>
          </cell>
        </row>
        <row r="176">
          <cell r="D176" t="str">
            <v>A1.4125</v>
          </cell>
        </row>
        <row r="177">
          <cell r="D177" t="str">
            <v>A5.4126</v>
          </cell>
        </row>
        <row r="178">
          <cell r="D178" t="str">
            <v>A5.4126</v>
          </cell>
        </row>
        <row r="179">
          <cell r="D179" t="str">
            <v>A1.4127</v>
          </cell>
        </row>
        <row r="180">
          <cell r="D180" t="str">
            <v>A1.4127</v>
          </cell>
        </row>
        <row r="181">
          <cell r="D181" t="str">
            <v>A1.4127</v>
          </cell>
        </row>
        <row r="182">
          <cell r="D182" t="str">
            <v>A1.4127</v>
          </cell>
        </row>
        <row r="183">
          <cell r="D183" t="str">
            <v>A1.4127</v>
          </cell>
        </row>
        <row r="184">
          <cell r="D184" t="str">
            <v>A1.4128</v>
          </cell>
        </row>
        <row r="185">
          <cell r="D185" t="str">
            <v>A1.4128</v>
          </cell>
        </row>
        <row r="186">
          <cell r="D186" t="str">
            <v>A1.4128</v>
          </cell>
        </row>
        <row r="187">
          <cell r="D187" t="str">
            <v>A1.4128</v>
          </cell>
        </row>
        <row r="188">
          <cell r="D188" t="str">
            <v>A1.4129</v>
          </cell>
          <cell r="E188" t="str">
            <v>A1.1647</v>
          </cell>
        </row>
        <row r="189">
          <cell r="D189" t="str">
            <v>A1.4130</v>
          </cell>
        </row>
        <row r="190">
          <cell r="D190" t="str">
            <v>A1.4131</v>
          </cell>
        </row>
        <row r="191">
          <cell r="D191" t="str">
            <v>A1.4131</v>
          </cell>
        </row>
        <row r="192">
          <cell r="D192" t="str">
            <v>A1.4131</v>
          </cell>
        </row>
        <row r="193">
          <cell r="D193" t="str">
            <v>A1.4131</v>
          </cell>
        </row>
        <row r="194">
          <cell r="D194" t="str">
            <v>A1.4132</v>
          </cell>
        </row>
        <row r="195">
          <cell r="D195" t="str">
            <v>A1.4132</v>
          </cell>
        </row>
        <row r="196">
          <cell r="D196" t="str">
            <v>A1.4133</v>
          </cell>
        </row>
        <row r="197">
          <cell r="D197" t="str">
            <v>A1.4134</v>
          </cell>
          <cell r="E197" t="str">
            <v>A1.1679</v>
          </cell>
        </row>
        <row r="198">
          <cell r="D198" t="str">
            <v>A1.4135</v>
          </cell>
          <cell r="E198" t="str">
            <v>A1.1698</v>
          </cell>
        </row>
        <row r="199">
          <cell r="D199" t="str">
            <v>A1.4136</v>
          </cell>
        </row>
        <row r="200">
          <cell r="D200" t="str">
            <v>A1.4137</v>
          </cell>
        </row>
        <row r="201">
          <cell r="D201" t="str">
            <v>A1.4137</v>
          </cell>
        </row>
        <row r="202">
          <cell r="D202" t="str">
            <v>A5.4137</v>
          </cell>
        </row>
        <row r="203">
          <cell r="D203" t="str">
            <v>A5.4138</v>
          </cell>
        </row>
        <row r="204">
          <cell r="D204" t="str">
            <v>A5.4139</v>
          </cell>
        </row>
        <row r="205">
          <cell r="D205" t="str">
            <v>A1.4140</v>
          </cell>
        </row>
        <row r="206">
          <cell r="D206" t="str">
            <v>A5.4140</v>
          </cell>
        </row>
        <row r="207">
          <cell r="D207" t="str">
            <v>A1.4141</v>
          </cell>
        </row>
        <row r="208">
          <cell r="D208" t="str">
            <v>A5.4141</v>
          </cell>
        </row>
        <row r="209">
          <cell r="D209" t="str">
            <v>A1.4142</v>
          </cell>
          <cell r="E209" t="str">
            <v>A1.0902</v>
          </cell>
        </row>
        <row r="210">
          <cell r="D210" t="str">
            <v>A1.4142</v>
          </cell>
        </row>
        <row r="211">
          <cell r="D211" t="str">
            <v>A1.4142</v>
          </cell>
        </row>
        <row r="212">
          <cell r="D212" t="str">
            <v>A5.4143</v>
          </cell>
          <cell r="E212" t="str">
            <v>A5.1230</v>
          </cell>
        </row>
        <row r="213">
          <cell r="D213" t="str">
            <v>A5.4144</v>
          </cell>
          <cell r="E213" t="str">
            <v>A5.1402</v>
          </cell>
        </row>
        <row r="214">
          <cell r="D214" t="str">
            <v>A1.4145</v>
          </cell>
          <cell r="E214" t="str">
            <v>A1.1231</v>
          </cell>
        </row>
        <row r="215">
          <cell r="D215" t="str">
            <v>A5.4145</v>
          </cell>
          <cell r="E215" t="str">
            <v>A5.1231</v>
          </cell>
        </row>
        <row r="216">
          <cell r="D216" t="str">
            <v>A1.4146</v>
          </cell>
          <cell r="E216" t="str">
            <v>A1.0123</v>
          </cell>
        </row>
        <row r="217">
          <cell r="D217" t="str">
            <v>A5.4146</v>
          </cell>
          <cell r="E217" t="str">
            <v>A5.0123</v>
          </cell>
        </row>
        <row r="218">
          <cell r="D218" t="str">
            <v>A5.4147</v>
          </cell>
          <cell r="E218" t="str">
            <v>A5.1817</v>
          </cell>
        </row>
        <row r="219">
          <cell r="D219" t="str">
            <v>A5.4148</v>
          </cell>
          <cell r="E219" t="str">
            <v>A5.1939</v>
          </cell>
        </row>
        <row r="220">
          <cell r="D220" t="str">
            <v>A5.4149</v>
          </cell>
          <cell r="E220" t="str">
            <v>A5.1967</v>
          </cell>
        </row>
        <row r="221">
          <cell r="D221" t="str">
            <v>A5.4150</v>
          </cell>
          <cell r="E221" t="str">
            <v>A5.0802</v>
          </cell>
        </row>
        <row r="222">
          <cell r="D222" t="str">
            <v>A5.4151</v>
          </cell>
          <cell r="E222" t="str">
            <v>A5.1803</v>
          </cell>
        </row>
        <row r="223">
          <cell r="D223" t="str">
            <v>A5.4152</v>
          </cell>
          <cell r="E223" t="str">
            <v>A5.1914</v>
          </cell>
        </row>
        <row r="224">
          <cell r="D224" t="str">
            <v>A5.4153</v>
          </cell>
        </row>
        <row r="225">
          <cell r="D225" t="str">
            <v>A5.4154</v>
          </cell>
        </row>
        <row r="226">
          <cell r="D226" t="str">
            <v>A5.4155</v>
          </cell>
        </row>
        <row r="227">
          <cell r="D227" t="str">
            <v>A5.4156</v>
          </cell>
        </row>
        <row r="228">
          <cell r="D228" t="str">
            <v>A5.4157</v>
          </cell>
        </row>
        <row r="229">
          <cell r="D229" t="str">
            <v>A5.4158</v>
          </cell>
        </row>
        <row r="230">
          <cell r="D230" t="str">
            <v>A1.4159</v>
          </cell>
        </row>
        <row r="231">
          <cell r="D231" t="str">
            <v>A1.4159</v>
          </cell>
        </row>
        <row r="232">
          <cell r="D232" t="str">
            <v>A1.4160</v>
          </cell>
        </row>
        <row r="233">
          <cell r="D233" t="str">
            <v>A1.4161</v>
          </cell>
        </row>
        <row r="234">
          <cell r="D234" t="str">
            <v>A1.4162</v>
          </cell>
          <cell r="E234" t="str">
            <v>A1.0010</v>
          </cell>
        </row>
        <row r="235">
          <cell r="D235" t="str">
            <v>A1.4162</v>
          </cell>
        </row>
        <row r="236">
          <cell r="D236" t="str">
            <v>A1.4163</v>
          </cell>
        </row>
        <row r="237">
          <cell r="D237" t="str">
            <v>A1.4164</v>
          </cell>
        </row>
        <row r="238">
          <cell r="D238" t="str">
            <v>A1.4164</v>
          </cell>
          <cell r="E238" t="str">
            <v>A1.1340</v>
          </cell>
        </row>
        <row r="239">
          <cell r="D239" t="str">
            <v>A1.4164</v>
          </cell>
        </row>
        <row r="240">
          <cell r="D240" t="str">
            <v>A1.4164</v>
          </cell>
        </row>
        <row r="241">
          <cell r="D241" t="str">
            <v>A1.4164</v>
          </cell>
        </row>
        <row r="242">
          <cell r="D242" t="str">
            <v>A1.4165</v>
          </cell>
        </row>
        <row r="243">
          <cell r="D243" t="str">
            <v>A1.4165</v>
          </cell>
        </row>
        <row r="244">
          <cell r="D244" t="str">
            <v>A1.4165</v>
          </cell>
        </row>
        <row r="245">
          <cell r="D245" t="str">
            <v>A1.4166</v>
          </cell>
          <cell r="E245" t="str">
            <v>A1.1544</v>
          </cell>
        </row>
        <row r="246">
          <cell r="D246" t="str">
            <v>A1.4166</v>
          </cell>
          <cell r="E246" t="str">
            <v>A1.1544</v>
          </cell>
        </row>
        <row r="247">
          <cell r="D247" t="str">
            <v>A1.4166</v>
          </cell>
        </row>
        <row r="248">
          <cell r="D248" t="str">
            <v>A1.4166</v>
          </cell>
        </row>
        <row r="249">
          <cell r="D249" t="str">
            <v>A5.4167</v>
          </cell>
        </row>
        <row r="250">
          <cell r="D250" t="str">
            <v>A5.4168</v>
          </cell>
        </row>
        <row r="251">
          <cell r="D251" t="str">
            <v>A5.4169</v>
          </cell>
        </row>
        <row r="252">
          <cell r="D252" t="str">
            <v>A5.4170</v>
          </cell>
        </row>
        <row r="253">
          <cell r="D253" t="str">
            <v>A1.4171</v>
          </cell>
          <cell r="E253" t="str">
            <v>A1.0580</v>
          </cell>
        </row>
        <row r="254">
          <cell r="D254" t="str">
            <v>A1.4171</v>
          </cell>
          <cell r="E254" t="str">
            <v>A1.0580</v>
          </cell>
        </row>
        <row r="255">
          <cell r="D255" t="str">
            <v>A1.4171</v>
          </cell>
        </row>
        <row r="256">
          <cell r="D256" t="str">
            <v>A1.4171</v>
          </cell>
        </row>
        <row r="257">
          <cell r="D257" t="str">
            <v>A1.4171</v>
          </cell>
        </row>
        <row r="258">
          <cell r="D258" t="str">
            <v>A1.4172</v>
          </cell>
          <cell r="E258" t="str">
            <v>A1.1610</v>
          </cell>
        </row>
        <row r="259">
          <cell r="D259" t="str">
            <v>A1.4173</v>
          </cell>
        </row>
        <row r="260">
          <cell r="D260" t="str">
            <v>A5.4174</v>
          </cell>
        </row>
        <row r="261">
          <cell r="D261" t="str">
            <v>A5.4175</v>
          </cell>
        </row>
        <row r="262">
          <cell r="D262" t="str">
            <v>A5.4176</v>
          </cell>
        </row>
        <row r="263">
          <cell r="D263" t="str">
            <v>A5.4177</v>
          </cell>
          <cell r="E263" t="str">
            <v>A5.1405</v>
          </cell>
        </row>
        <row r="264">
          <cell r="D264" t="str">
            <v>A1.4178</v>
          </cell>
        </row>
        <row r="265">
          <cell r="D265" t="str">
            <v>A5.4178</v>
          </cell>
        </row>
        <row r="266">
          <cell r="D266" t="str">
            <v>A1.4179</v>
          </cell>
        </row>
        <row r="267">
          <cell r="D267" t="str">
            <v>A5.4179</v>
          </cell>
        </row>
        <row r="268">
          <cell r="D268" t="str">
            <v>A5.4180</v>
          </cell>
        </row>
        <row r="269">
          <cell r="D269" t="str">
            <v>A1.4181</v>
          </cell>
        </row>
        <row r="270">
          <cell r="D270" t="str">
            <v>A1.4182</v>
          </cell>
        </row>
        <row r="271">
          <cell r="D271" t="str">
            <v>A1.4183</v>
          </cell>
        </row>
        <row r="272">
          <cell r="D272" t="str">
            <v>A1.4184</v>
          </cell>
          <cell r="E272" t="str">
            <v>A1.1696</v>
          </cell>
        </row>
        <row r="273">
          <cell r="D273" t="str">
            <v>A1.4185</v>
          </cell>
        </row>
        <row r="274">
          <cell r="D274" t="str">
            <v>A1.4186</v>
          </cell>
        </row>
        <row r="275">
          <cell r="D275" t="str">
            <v>A1.4186</v>
          </cell>
        </row>
        <row r="276">
          <cell r="D276" t="str">
            <v>A1.4186</v>
          </cell>
          <cell r="E276" t="str">
            <v>A1.1560</v>
          </cell>
        </row>
        <row r="277">
          <cell r="D277" t="str">
            <v>A1.4186</v>
          </cell>
        </row>
        <row r="278">
          <cell r="D278" t="str">
            <v>A1.4187</v>
          </cell>
        </row>
        <row r="279">
          <cell r="D279" t="str">
            <v>A1.4187</v>
          </cell>
          <cell r="E279" t="str">
            <v>A1.1626</v>
          </cell>
        </row>
        <row r="280">
          <cell r="D280" t="str">
            <v>A5.4188</v>
          </cell>
          <cell r="E280" t="str">
            <v>A5.0380</v>
          </cell>
        </row>
        <row r="281">
          <cell r="D281" t="str">
            <v>A5.4189</v>
          </cell>
          <cell r="E281" t="str">
            <v>A5.0002</v>
          </cell>
        </row>
        <row r="282">
          <cell r="D282" t="str">
            <v>A5.4190</v>
          </cell>
          <cell r="E282" t="str">
            <v>A5.1045</v>
          </cell>
        </row>
        <row r="283">
          <cell r="D283" t="str">
            <v>A5.4191</v>
          </cell>
          <cell r="E283" t="str">
            <v>A5.1220</v>
          </cell>
        </row>
        <row r="284">
          <cell r="D284" t="str">
            <v>A5.4192</v>
          </cell>
          <cell r="E284" t="str">
            <v>A5.1180</v>
          </cell>
        </row>
        <row r="285">
          <cell r="D285" t="str">
            <v>A5.4193</v>
          </cell>
          <cell r="E285" t="str">
            <v>A5.1238</v>
          </cell>
        </row>
        <row r="286">
          <cell r="D286" t="str">
            <v>A5.4194</v>
          </cell>
          <cell r="E286" t="str">
            <v>A5.1214</v>
          </cell>
        </row>
        <row r="287">
          <cell r="D287" t="str">
            <v>A5.4195</v>
          </cell>
          <cell r="E287" t="str">
            <v>A5.1359</v>
          </cell>
        </row>
        <row r="288">
          <cell r="D288" t="str">
            <v>A5.4196</v>
          </cell>
          <cell r="E288" t="str">
            <v>A5.1215</v>
          </cell>
        </row>
        <row r="289">
          <cell r="D289" t="str">
            <v>A5.4197</v>
          </cell>
          <cell r="E289" t="str">
            <v>A5.1221</v>
          </cell>
        </row>
        <row r="290">
          <cell r="D290" t="str">
            <v>A5.4198</v>
          </cell>
          <cell r="E290" t="str">
            <v>A5.1218</v>
          </cell>
        </row>
        <row r="291">
          <cell r="D291" t="str">
            <v>A5.4199</v>
          </cell>
          <cell r="E291" t="str">
            <v>A5.1219</v>
          </cell>
        </row>
        <row r="292">
          <cell r="D292" t="str">
            <v>A5.4200</v>
          </cell>
          <cell r="E292" t="str">
            <v>A5.1217</v>
          </cell>
        </row>
        <row r="293">
          <cell r="D293" t="str">
            <v>A5.4201</v>
          </cell>
          <cell r="E293" t="str">
            <v>A5.1216</v>
          </cell>
        </row>
        <row r="294">
          <cell r="D294" t="str">
            <v>A5.4202</v>
          </cell>
          <cell r="E294" t="str">
            <v>A5.0107</v>
          </cell>
        </row>
        <row r="295">
          <cell r="D295" t="str">
            <v>A5.4203</v>
          </cell>
          <cell r="E295" t="str">
            <v>A5.0318</v>
          </cell>
        </row>
        <row r="296">
          <cell r="D296" t="str">
            <v>A5.4204</v>
          </cell>
          <cell r="E296" t="str">
            <v>A5.0472</v>
          </cell>
        </row>
        <row r="297">
          <cell r="D297" t="str">
            <v>A5.4205</v>
          </cell>
          <cell r="E297" t="str">
            <v>A5.0060</v>
          </cell>
        </row>
        <row r="298">
          <cell r="D298" t="str">
            <v>A5.4206</v>
          </cell>
          <cell r="E298" t="str">
            <v>A5.0286</v>
          </cell>
        </row>
        <row r="299">
          <cell r="D299" t="str">
            <v>A5.4207</v>
          </cell>
          <cell r="E299" t="str">
            <v>A5.0355</v>
          </cell>
        </row>
        <row r="300">
          <cell r="D300" t="str">
            <v>A5.4208</v>
          </cell>
          <cell r="E300" t="str">
            <v>A5.0356</v>
          </cell>
        </row>
        <row r="301">
          <cell r="D301" t="str">
            <v>A1.4209</v>
          </cell>
        </row>
        <row r="302">
          <cell r="D302" t="str">
            <v>A5.4210</v>
          </cell>
        </row>
        <row r="303">
          <cell r="D303" t="str">
            <v>A5.4211</v>
          </cell>
        </row>
        <row r="304">
          <cell r="D304" t="str">
            <v>A1.4212</v>
          </cell>
        </row>
        <row r="305">
          <cell r="D305" t="str">
            <v>A5.4212</v>
          </cell>
        </row>
        <row r="306">
          <cell r="D306" t="str">
            <v>A1.4213</v>
          </cell>
        </row>
        <row r="307">
          <cell r="D307" t="str">
            <v>A5.4213</v>
          </cell>
        </row>
        <row r="308">
          <cell r="D308" t="str">
            <v>A1.4214</v>
          </cell>
          <cell r="E308" t="str">
            <v>A1.1530</v>
          </cell>
        </row>
        <row r="309">
          <cell r="D309" t="str">
            <v>A1.4214</v>
          </cell>
        </row>
        <row r="310">
          <cell r="D310" t="str">
            <v>A1.4215</v>
          </cell>
          <cell r="E310" t="str">
            <v>A1.1489</v>
          </cell>
        </row>
        <row r="311">
          <cell r="D311" t="str">
            <v>A1.4216</v>
          </cell>
          <cell r="E311" t="str">
            <v>A1.1118</v>
          </cell>
        </row>
        <row r="312">
          <cell r="D312" t="str">
            <v>A1.4216</v>
          </cell>
        </row>
        <row r="313">
          <cell r="D313" t="str">
            <v>A1.4217</v>
          </cell>
          <cell r="E313" t="str">
            <v>A1.1119</v>
          </cell>
        </row>
        <row r="314">
          <cell r="D314" t="str">
            <v>A1.4218</v>
          </cell>
        </row>
        <row r="315">
          <cell r="D315" t="str">
            <v>A1.4219</v>
          </cell>
          <cell r="E315" t="str">
            <v>A1.1523</v>
          </cell>
        </row>
        <row r="316">
          <cell r="D316" t="str">
            <v>A1.4219</v>
          </cell>
        </row>
        <row r="317">
          <cell r="D317" t="str">
            <v>A1.4220</v>
          </cell>
        </row>
        <row r="318">
          <cell r="D318" t="str">
            <v>A1.4220</v>
          </cell>
        </row>
        <row r="319">
          <cell r="D319" t="str">
            <v>A1.4221</v>
          </cell>
          <cell r="E319" t="str">
            <v>A1.0068</v>
          </cell>
        </row>
        <row r="320">
          <cell r="D320" t="str">
            <v>A1.4221</v>
          </cell>
        </row>
        <row r="321">
          <cell r="D321" t="str">
            <v>A1.4222</v>
          </cell>
        </row>
        <row r="322">
          <cell r="D322" t="str">
            <v>A1.4222</v>
          </cell>
        </row>
        <row r="323">
          <cell r="D323" t="str">
            <v>A1.4223</v>
          </cell>
        </row>
        <row r="324">
          <cell r="D324" t="str">
            <v>A1.4224</v>
          </cell>
          <cell r="E324" t="str">
            <v>A1.0278</v>
          </cell>
        </row>
        <row r="325">
          <cell r="D325" t="str">
            <v>A1.4224</v>
          </cell>
        </row>
        <row r="326">
          <cell r="D326" t="str">
            <v>A1.4224</v>
          </cell>
        </row>
        <row r="327">
          <cell r="D327" t="str">
            <v>A1.4225</v>
          </cell>
        </row>
        <row r="328">
          <cell r="D328" t="str">
            <v>A1.4226</v>
          </cell>
        </row>
        <row r="329">
          <cell r="D329" t="str">
            <v>A1.4227</v>
          </cell>
        </row>
        <row r="330">
          <cell r="D330" t="str">
            <v>A1.4228</v>
          </cell>
        </row>
        <row r="331">
          <cell r="D331" t="str">
            <v>A1.4228</v>
          </cell>
        </row>
        <row r="332">
          <cell r="D332" t="str">
            <v>A1.4229</v>
          </cell>
        </row>
        <row r="333">
          <cell r="D333" t="str">
            <v>A1.4229</v>
          </cell>
        </row>
        <row r="334">
          <cell r="D334" t="str">
            <v>A1.4229</v>
          </cell>
        </row>
        <row r="335">
          <cell r="D335" t="str">
            <v>A1.4230</v>
          </cell>
        </row>
        <row r="336">
          <cell r="D336" t="str">
            <v>A1.4231</v>
          </cell>
        </row>
        <row r="337">
          <cell r="D337" t="str">
            <v>A1.4231</v>
          </cell>
        </row>
        <row r="338">
          <cell r="D338" t="str">
            <v>A1.4232</v>
          </cell>
        </row>
        <row r="339">
          <cell r="D339" t="str">
            <v>A1.4233</v>
          </cell>
        </row>
        <row r="340">
          <cell r="D340" t="str">
            <v>A1.4233</v>
          </cell>
          <cell r="E340" t="str">
            <v>A1.1524</v>
          </cell>
        </row>
        <row r="341">
          <cell r="D341" t="str">
            <v>A1.4234</v>
          </cell>
          <cell r="E341" t="str">
            <v>A1.0977</v>
          </cell>
        </row>
        <row r="342">
          <cell r="D342" t="str">
            <v>A1.4234</v>
          </cell>
        </row>
        <row r="343">
          <cell r="D343" t="str">
            <v>A1.4235</v>
          </cell>
        </row>
        <row r="344">
          <cell r="D344" t="str">
            <v>A1.4236</v>
          </cell>
        </row>
        <row r="345">
          <cell r="D345" t="str">
            <v>A1.4237</v>
          </cell>
          <cell r="E345" t="str">
            <v>A1.0572</v>
          </cell>
        </row>
        <row r="346">
          <cell r="D346" t="str">
            <v>A1.4238</v>
          </cell>
        </row>
        <row r="347">
          <cell r="D347" t="str">
            <v>A1.4239</v>
          </cell>
        </row>
        <row r="348">
          <cell r="D348" t="str">
            <v>A1.4240</v>
          </cell>
        </row>
        <row r="349">
          <cell r="D349" t="str">
            <v>A1.4241</v>
          </cell>
        </row>
        <row r="350">
          <cell r="D350" t="str">
            <v>A1.4241</v>
          </cell>
          <cell r="E350" t="str">
            <v>A1.0192</v>
          </cell>
        </row>
        <row r="351">
          <cell r="D351" t="str">
            <v>A1.4242</v>
          </cell>
          <cell r="E351" t="str">
            <v>A1.1825</v>
          </cell>
        </row>
        <row r="352">
          <cell r="D352" t="str">
            <v>A1.4243</v>
          </cell>
        </row>
        <row r="353">
          <cell r="D353" t="str">
            <v>A1.4244</v>
          </cell>
        </row>
        <row r="354">
          <cell r="D354" t="str">
            <v>A1.4245</v>
          </cell>
        </row>
        <row r="355">
          <cell r="D355" t="str">
            <v>A1.4246</v>
          </cell>
        </row>
        <row r="356">
          <cell r="D356" t="str">
            <v>A1.4247</v>
          </cell>
        </row>
        <row r="357">
          <cell r="D357" t="str">
            <v>A1.4248</v>
          </cell>
        </row>
        <row r="358">
          <cell r="D358" t="str">
            <v>A1.4249</v>
          </cell>
        </row>
        <row r="359">
          <cell r="D359" t="str">
            <v>A1.4250</v>
          </cell>
        </row>
        <row r="360">
          <cell r="D360" t="str">
            <v>A1.4251</v>
          </cell>
        </row>
        <row r="361">
          <cell r="D361" t="str">
            <v>A1.4251</v>
          </cell>
        </row>
        <row r="362">
          <cell r="D362" t="str">
            <v>A1.4251</v>
          </cell>
          <cell r="E362" t="str">
            <v>A1.1122</v>
          </cell>
        </row>
        <row r="363">
          <cell r="D363" t="str">
            <v>A1.4251</v>
          </cell>
        </row>
        <row r="364">
          <cell r="D364" t="str">
            <v>A1.4251</v>
          </cell>
        </row>
        <row r="365">
          <cell r="D365" t="str">
            <v>A1.4252</v>
          </cell>
          <cell r="E365" t="str">
            <v>A1.1149</v>
          </cell>
        </row>
        <row r="366">
          <cell r="D366" t="str">
            <v>A1.4252</v>
          </cell>
        </row>
        <row r="367">
          <cell r="D367" t="str">
            <v>A1.4253</v>
          </cell>
          <cell r="E367" t="str">
            <v>A1.0991</v>
          </cell>
        </row>
        <row r="368">
          <cell r="D368" t="str">
            <v>A1.4253</v>
          </cell>
          <cell r="E368" t="str">
            <v>A1.0991</v>
          </cell>
        </row>
        <row r="369">
          <cell r="D369" t="str">
            <v>A1.4253</v>
          </cell>
        </row>
        <row r="370">
          <cell r="D370" t="str">
            <v>A1.4254</v>
          </cell>
          <cell r="E370" t="str">
            <v>A1.1893</v>
          </cell>
        </row>
        <row r="371">
          <cell r="D371" t="str">
            <v>A1.4255</v>
          </cell>
        </row>
        <row r="372">
          <cell r="D372" t="str">
            <v>A1.4256</v>
          </cell>
        </row>
        <row r="373">
          <cell r="D373" t="str">
            <v>A1.4256</v>
          </cell>
        </row>
        <row r="374">
          <cell r="D374" t="str">
            <v>A1.4256</v>
          </cell>
        </row>
        <row r="375">
          <cell r="D375" t="str">
            <v>A1.4257</v>
          </cell>
        </row>
        <row r="376">
          <cell r="D376" t="str">
            <v>A1.4257</v>
          </cell>
        </row>
        <row r="377">
          <cell r="D377" t="str">
            <v>A1.4257</v>
          </cell>
        </row>
        <row r="378">
          <cell r="D378" t="str">
            <v>A1.4257</v>
          </cell>
        </row>
        <row r="379">
          <cell r="D379" t="str">
            <v>A1.4258</v>
          </cell>
        </row>
        <row r="380">
          <cell r="D380" t="str">
            <v>A1.4258</v>
          </cell>
        </row>
        <row r="381">
          <cell r="D381" t="str">
            <v>A1.4258</v>
          </cell>
        </row>
        <row r="382">
          <cell r="D382" t="str">
            <v>A1.4259</v>
          </cell>
        </row>
        <row r="383">
          <cell r="D383" t="str">
            <v>A1.4259</v>
          </cell>
        </row>
        <row r="384">
          <cell r="D384" t="str">
            <v>A1.4259</v>
          </cell>
        </row>
        <row r="385">
          <cell r="D385" t="str">
            <v>A1.4260</v>
          </cell>
        </row>
        <row r="386">
          <cell r="D386" t="str">
            <v>A1.4261</v>
          </cell>
        </row>
        <row r="387">
          <cell r="D387" t="str">
            <v>A1.4261</v>
          </cell>
        </row>
        <row r="388">
          <cell r="D388" t="str">
            <v>A1.4262</v>
          </cell>
        </row>
        <row r="389">
          <cell r="D389" t="str">
            <v>A1.4263</v>
          </cell>
        </row>
        <row r="390">
          <cell r="D390" t="str">
            <v>A1.4263</v>
          </cell>
        </row>
        <row r="391">
          <cell r="D391" t="str">
            <v>A1.4264</v>
          </cell>
        </row>
        <row r="392">
          <cell r="D392" t="str">
            <v>A1.4265</v>
          </cell>
          <cell r="E392" t="str">
            <v>A1.1404</v>
          </cell>
        </row>
        <row r="393">
          <cell r="D393" t="str">
            <v>A1.4265</v>
          </cell>
        </row>
        <row r="394">
          <cell r="D394" t="str">
            <v>A1.4266</v>
          </cell>
        </row>
        <row r="395">
          <cell r="D395" t="str">
            <v>A1.4267</v>
          </cell>
        </row>
        <row r="396">
          <cell r="D396" t="str">
            <v>A1.4268</v>
          </cell>
        </row>
        <row r="397">
          <cell r="D397" t="str">
            <v>A1.4269</v>
          </cell>
        </row>
        <row r="398">
          <cell r="D398" t="str">
            <v>A5.4269</v>
          </cell>
        </row>
        <row r="399">
          <cell r="D399" t="str">
            <v>A1.4270</v>
          </cell>
        </row>
        <row r="400">
          <cell r="D400" t="str">
            <v>A1.4271</v>
          </cell>
          <cell r="E400" t="str">
            <v>A1.1318</v>
          </cell>
        </row>
        <row r="401">
          <cell r="D401" t="str">
            <v>A1.4271</v>
          </cell>
          <cell r="E401" t="str">
            <v>A1.1318</v>
          </cell>
        </row>
        <row r="402">
          <cell r="D402" t="str">
            <v>A1.4272</v>
          </cell>
        </row>
        <row r="403">
          <cell r="D403" t="str">
            <v>A1.4273</v>
          </cell>
        </row>
        <row r="404">
          <cell r="D404" t="str">
            <v>A1.4274</v>
          </cell>
          <cell r="E404" t="str">
            <v>A1.0739</v>
          </cell>
        </row>
        <row r="405">
          <cell r="D405" t="str">
            <v>A1.4274</v>
          </cell>
        </row>
        <row r="406">
          <cell r="D406" t="str">
            <v>A1.4275</v>
          </cell>
          <cell r="E406" t="str">
            <v>A1.1517</v>
          </cell>
        </row>
        <row r="407">
          <cell r="D407" t="str">
            <v>A1.4276</v>
          </cell>
        </row>
        <row r="408">
          <cell r="D408" t="str">
            <v>A1.4277</v>
          </cell>
        </row>
        <row r="409">
          <cell r="D409" t="str">
            <v>A1.4278</v>
          </cell>
        </row>
        <row r="410">
          <cell r="D410" t="str">
            <v>A1.4279</v>
          </cell>
          <cell r="E410" t="str">
            <v>A1.1420</v>
          </cell>
        </row>
        <row r="411">
          <cell r="D411" t="str">
            <v>A1.4280</v>
          </cell>
        </row>
        <row r="412">
          <cell r="D412" t="str">
            <v>A1.4280</v>
          </cell>
        </row>
        <row r="413">
          <cell r="D413" t="str">
            <v>A1.4280</v>
          </cell>
          <cell r="E413" t="str">
            <v>A1.1342</v>
          </cell>
        </row>
        <row r="414">
          <cell r="D414" t="str">
            <v>A1.4281</v>
          </cell>
        </row>
        <row r="415">
          <cell r="D415" t="str">
            <v>A1.4281</v>
          </cell>
          <cell r="E415" t="str">
            <v>A1.1751</v>
          </cell>
        </row>
        <row r="416">
          <cell r="D416" t="str">
            <v>A1.4282</v>
          </cell>
        </row>
        <row r="417">
          <cell r="D417" t="str">
            <v>A1.4282</v>
          </cell>
          <cell r="E417" t="str">
            <v>A1.1593</v>
          </cell>
        </row>
        <row r="418">
          <cell r="D418" t="str">
            <v>A1.4282</v>
          </cell>
        </row>
        <row r="419">
          <cell r="D419" t="str">
            <v>A1.4283</v>
          </cell>
        </row>
        <row r="420">
          <cell r="D420" t="str">
            <v>A1.4284</v>
          </cell>
          <cell r="E420" t="str">
            <v>A1.1658</v>
          </cell>
        </row>
        <row r="421">
          <cell r="D421" t="str">
            <v>A1.4284</v>
          </cell>
          <cell r="E421" t="str">
            <v>A1.1658</v>
          </cell>
        </row>
        <row r="422">
          <cell r="D422" t="str">
            <v>A1.4285</v>
          </cell>
          <cell r="E422" t="str">
            <v>A1.1457</v>
          </cell>
        </row>
        <row r="423">
          <cell r="D423" t="str">
            <v>A1.4285</v>
          </cell>
          <cell r="E423" t="str">
            <v>A1.1457</v>
          </cell>
        </row>
        <row r="424">
          <cell r="D424" t="str">
            <v>A1.4286</v>
          </cell>
          <cell r="E424" t="str">
            <v>A1.1910</v>
          </cell>
        </row>
        <row r="425">
          <cell r="D425" t="str">
            <v>A1.4287</v>
          </cell>
          <cell r="E425" t="str">
            <v>A1.1536</v>
          </cell>
        </row>
        <row r="426">
          <cell r="D426" t="str">
            <v>A1.4288</v>
          </cell>
          <cell r="E426" t="str">
            <v>A1.1622</v>
          </cell>
        </row>
        <row r="427">
          <cell r="D427" t="str">
            <v>A1.4288</v>
          </cell>
          <cell r="E427" t="str">
            <v>A1.1622</v>
          </cell>
        </row>
        <row r="428">
          <cell r="D428" t="str">
            <v>A1.4289</v>
          </cell>
          <cell r="E428" t="str">
            <v>A1.1458</v>
          </cell>
        </row>
        <row r="429">
          <cell r="D429" t="str">
            <v>A1.4289</v>
          </cell>
          <cell r="E429" t="str">
            <v>A1.1458</v>
          </cell>
        </row>
        <row r="430">
          <cell r="D430" t="str">
            <v>A1.4290</v>
          </cell>
          <cell r="E430" t="str">
            <v>A1.1980</v>
          </cell>
        </row>
        <row r="431">
          <cell r="D431" t="str">
            <v>A1.4291</v>
          </cell>
          <cell r="E431" t="str">
            <v>A1.1169</v>
          </cell>
        </row>
        <row r="432">
          <cell r="D432" t="str">
            <v>A1.4291</v>
          </cell>
          <cell r="E432" t="str">
            <v>A1.1169</v>
          </cell>
        </row>
        <row r="433">
          <cell r="D433" t="str">
            <v>A1.4291</v>
          </cell>
        </row>
        <row r="434">
          <cell r="D434" t="str">
            <v>A1.4292</v>
          </cell>
          <cell r="E434" t="str">
            <v>A1.1979</v>
          </cell>
        </row>
        <row r="435">
          <cell r="D435" t="str">
            <v>A1.4293</v>
          </cell>
          <cell r="E435" t="str">
            <v>A1.1978</v>
          </cell>
        </row>
        <row r="436">
          <cell r="D436" t="str">
            <v>A1.4294</v>
          </cell>
          <cell r="E436" t="str">
            <v>A1.1615</v>
          </cell>
        </row>
        <row r="437">
          <cell r="D437" t="str">
            <v>A1.4295</v>
          </cell>
        </row>
        <row r="438">
          <cell r="D438" t="str">
            <v>A1.4296</v>
          </cell>
        </row>
        <row r="439">
          <cell r="D439" t="str">
            <v>A1.4297</v>
          </cell>
        </row>
        <row r="440">
          <cell r="D440" t="str">
            <v>A1.4298</v>
          </cell>
        </row>
        <row r="441">
          <cell r="D441" t="str">
            <v>A1.4299</v>
          </cell>
          <cell r="E441" t="str">
            <v>A1.1812</v>
          </cell>
        </row>
        <row r="442">
          <cell r="D442" t="str">
            <v>A1.4300</v>
          </cell>
          <cell r="E442" t="str">
            <v>A1.1768</v>
          </cell>
        </row>
        <row r="443">
          <cell r="D443" t="str">
            <v>A1.4301</v>
          </cell>
        </row>
        <row r="444">
          <cell r="D444" t="str">
            <v>A1.4302</v>
          </cell>
          <cell r="E444" t="str">
            <v>A1.1898</v>
          </cell>
        </row>
        <row r="445">
          <cell r="D445" t="str">
            <v>A1.4303</v>
          </cell>
          <cell r="E445" t="str">
            <v>A1.0584</v>
          </cell>
        </row>
        <row r="446">
          <cell r="D446" t="str">
            <v>A1.4304</v>
          </cell>
          <cell r="E446" t="str">
            <v>A1.1570</v>
          </cell>
        </row>
        <row r="447">
          <cell r="D447" t="str">
            <v>A1.4305</v>
          </cell>
          <cell r="E447" t="str">
            <v>A1.1451</v>
          </cell>
        </row>
        <row r="448">
          <cell r="D448" t="str">
            <v>A1.4306</v>
          </cell>
        </row>
        <row r="449">
          <cell r="D449" t="str">
            <v>A1.4307</v>
          </cell>
        </row>
        <row r="450">
          <cell r="D450" t="str">
            <v>A1.4308</v>
          </cell>
        </row>
        <row r="451">
          <cell r="D451" t="str">
            <v>A1.4308</v>
          </cell>
          <cell r="E451" t="str">
            <v>A1.1364</v>
          </cell>
        </row>
        <row r="452">
          <cell r="D452" t="str">
            <v>A1.4309</v>
          </cell>
        </row>
        <row r="453">
          <cell r="D453" t="str">
            <v>A1.4310</v>
          </cell>
          <cell r="E453" t="str">
            <v>A1.1177</v>
          </cell>
        </row>
        <row r="454">
          <cell r="D454" t="str">
            <v>A1.4311</v>
          </cell>
          <cell r="E454" t="str">
            <v>A1.0808</v>
          </cell>
        </row>
        <row r="455">
          <cell r="D455" t="str">
            <v>A1.4311</v>
          </cell>
        </row>
        <row r="456">
          <cell r="D456" t="str">
            <v>A1.4312</v>
          </cell>
          <cell r="E456" t="str">
            <v>A1.1655</v>
          </cell>
        </row>
        <row r="457">
          <cell r="D457" t="str">
            <v>A1.4313</v>
          </cell>
          <cell r="E457" t="str">
            <v>A1.1896</v>
          </cell>
        </row>
        <row r="458">
          <cell r="D458" t="str">
            <v>A1.4314</v>
          </cell>
        </row>
        <row r="459">
          <cell r="D459" t="str">
            <v>A1.4315</v>
          </cell>
        </row>
        <row r="460">
          <cell r="D460" t="str">
            <v>A1.4316</v>
          </cell>
        </row>
        <row r="461">
          <cell r="D461" t="str">
            <v>A1.4317</v>
          </cell>
          <cell r="E461" t="str">
            <v>A1.1079</v>
          </cell>
        </row>
        <row r="462">
          <cell r="D462" t="str">
            <v>A1.4318</v>
          </cell>
        </row>
        <row r="463">
          <cell r="D463" t="str">
            <v>A1.4319</v>
          </cell>
        </row>
        <row r="464">
          <cell r="D464" t="str">
            <v>A1.4320</v>
          </cell>
        </row>
        <row r="465">
          <cell r="D465" t="str">
            <v>A1.4320</v>
          </cell>
        </row>
        <row r="466">
          <cell r="D466" t="str">
            <v>A1.4321</v>
          </cell>
          <cell r="E466" t="str">
            <v>A1.1335</v>
          </cell>
        </row>
        <row r="467">
          <cell r="D467" t="str">
            <v>A1.4322</v>
          </cell>
          <cell r="E467" t="str">
            <v>A1.1225</v>
          </cell>
        </row>
        <row r="468">
          <cell r="D468" t="str">
            <v>A1.4322</v>
          </cell>
        </row>
        <row r="469">
          <cell r="D469" t="str">
            <v>A1.4323</v>
          </cell>
          <cell r="E469" t="str">
            <v>A1.0291</v>
          </cell>
        </row>
        <row r="470">
          <cell r="D470" t="str">
            <v>A1.4323</v>
          </cell>
        </row>
        <row r="471">
          <cell r="D471" t="str">
            <v>A1.4324</v>
          </cell>
          <cell r="E471" t="str">
            <v>A1.0992</v>
          </cell>
        </row>
        <row r="472">
          <cell r="D472" t="str">
            <v>A1.4325</v>
          </cell>
        </row>
        <row r="473">
          <cell r="D473" t="str">
            <v>A1.4326</v>
          </cell>
          <cell r="E473" t="str">
            <v>A1.1240</v>
          </cell>
        </row>
        <row r="474">
          <cell r="D474" t="str">
            <v>A1.4327</v>
          </cell>
          <cell r="E474" t="str">
            <v>A1.1270</v>
          </cell>
        </row>
        <row r="475">
          <cell r="D475" t="str">
            <v>A1.4327</v>
          </cell>
          <cell r="E475" t="str">
            <v>A1.1270</v>
          </cell>
        </row>
        <row r="476">
          <cell r="D476" t="str">
            <v>A1.4328</v>
          </cell>
          <cell r="E476" t="str">
            <v>A1.0828</v>
          </cell>
        </row>
        <row r="477">
          <cell r="D477" t="str">
            <v>A1.4328</v>
          </cell>
          <cell r="E477" t="str">
            <v>A1.0828</v>
          </cell>
        </row>
        <row r="478">
          <cell r="D478" t="str">
            <v>A1.4329</v>
          </cell>
          <cell r="E478" t="str">
            <v>A1.1727</v>
          </cell>
        </row>
        <row r="479">
          <cell r="D479" t="str">
            <v>A1.4329</v>
          </cell>
          <cell r="E479" t="str">
            <v>A1.1727</v>
          </cell>
        </row>
        <row r="480">
          <cell r="D480" t="str">
            <v>A1.4330</v>
          </cell>
          <cell r="E480" t="str">
            <v>A1.1628</v>
          </cell>
        </row>
        <row r="481">
          <cell r="D481" t="str">
            <v>A1.4331</v>
          </cell>
          <cell r="E481" t="str">
            <v>A1.1955</v>
          </cell>
        </row>
        <row r="482">
          <cell r="D482" t="str">
            <v>A5.4332</v>
          </cell>
          <cell r="E482" t="str">
            <v>A5.0375</v>
          </cell>
        </row>
        <row r="483">
          <cell r="D483" t="str">
            <v>A1.4333</v>
          </cell>
        </row>
        <row r="484">
          <cell r="D484" t="str">
            <v>A1.4334</v>
          </cell>
          <cell r="E484" t="str">
            <v>A1.1548</v>
          </cell>
        </row>
        <row r="485">
          <cell r="D485" t="str">
            <v>A1.4334</v>
          </cell>
        </row>
        <row r="486">
          <cell r="D486" t="str">
            <v>A1.4335</v>
          </cell>
          <cell r="E486" t="str">
            <v>A1.0887</v>
          </cell>
        </row>
        <row r="487">
          <cell r="D487" t="str">
            <v>A1.4335</v>
          </cell>
        </row>
        <row r="488">
          <cell r="D488" t="str">
            <v>A1.4336</v>
          </cell>
        </row>
        <row r="489">
          <cell r="D489" t="str">
            <v>A1.4336</v>
          </cell>
          <cell r="E489" t="str">
            <v>A1.1905</v>
          </cell>
        </row>
        <row r="490">
          <cell r="D490" t="str">
            <v>A1.4337</v>
          </cell>
          <cell r="E490" t="str">
            <v>A1.1474</v>
          </cell>
        </row>
        <row r="491">
          <cell r="D491" t="str">
            <v>A1.4338</v>
          </cell>
          <cell r="E491" t="str">
            <v>A1.1862</v>
          </cell>
        </row>
        <row r="492">
          <cell r="D492" t="str">
            <v>A5.4339</v>
          </cell>
          <cell r="E492" t="str">
            <v>A5.0473</v>
          </cell>
        </row>
        <row r="493">
          <cell r="D493" t="str">
            <v>A1.4340</v>
          </cell>
        </row>
        <row r="494">
          <cell r="D494" t="str">
            <v>A1.4341</v>
          </cell>
          <cell r="E494" t="str">
            <v>A1.1460</v>
          </cell>
        </row>
        <row r="495">
          <cell r="D495" t="str">
            <v>A1.4342</v>
          </cell>
          <cell r="E495" t="str">
            <v>A1.0109</v>
          </cell>
        </row>
        <row r="496">
          <cell r="D496" t="str">
            <v>A1.4342</v>
          </cell>
        </row>
        <row r="497">
          <cell r="D497" t="str">
            <v>A1.4343</v>
          </cell>
        </row>
        <row r="498">
          <cell r="D498" t="str">
            <v>A1.4344</v>
          </cell>
        </row>
        <row r="499">
          <cell r="D499" t="str">
            <v>A1.4345</v>
          </cell>
          <cell r="E499" t="str">
            <v>A1.1617</v>
          </cell>
        </row>
        <row r="500">
          <cell r="D500" t="str">
            <v>A1.4345</v>
          </cell>
          <cell r="E500" t="str">
            <v>A1.1617</v>
          </cell>
        </row>
        <row r="501">
          <cell r="D501" t="str">
            <v>A1.4345</v>
          </cell>
        </row>
        <row r="502">
          <cell r="D502" t="str">
            <v>A1.4345</v>
          </cell>
        </row>
        <row r="503">
          <cell r="D503" t="str">
            <v>A1.4345</v>
          </cell>
        </row>
        <row r="504">
          <cell r="D504" t="str">
            <v>A1.4345</v>
          </cell>
        </row>
        <row r="505">
          <cell r="D505" t="str">
            <v>A1.4345</v>
          </cell>
        </row>
        <row r="506">
          <cell r="D506" t="str">
            <v>A1.4345</v>
          </cell>
        </row>
        <row r="507">
          <cell r="D507" t="str">
            <v>A1.4345</v>
          </cell>
        </row>
        <row r="508">
          <cell r="D508" t="str">
            <v>A1.4346</v>
          </cell>
          <cell r="E508" t="str">
            <v>A1.1493</v>
          </cell>
        </row>
        <row r="509">
          <cell r="D509" t="str">
            <v>A1.4347</v>
          </cell>
        </row>
        <row r="510">
          <cell r="D510" t="str">
            <v>A1.4348</v>
          </cell>
          <cell r="E510" t="str">
            <v>A1.1363</v>
          </cell>
        </row>
        <row r="511">
          <cell r="D511" t="str">
            <v>A1.4348</v>
          </cell>
        </row>
        <row r="512">
          <cell r="D512" t="str">
            <v>A1.4348</v>
          </cell>
        </row>
        <row r="513">
          <cell r="D513" t="str">
            <v>A1.4349</v>
          </cell>
        </row>
        <row r="514">
          <cell r="D514" t="str">
            <v>A1.4349</v>
          </cell>
        </row>
        <row r="515">
          <cell r="D515" t="str">
            <v>A1.4350</v>
          </cell>
        </row>
        <row r="516">
          <cell r="D516" t="str">
            <v>A1.4351</v>
          </cell>
        </row>
        <row r="517">
          <cell r="D517" t="str">
            <v>A1.4352</v>
          </cell>
          <cell r="E517" t="str">
            <v>A1.1501</v>
          </cell>
        </row>
        <row r="518">
          <cell r="D518" t="str">
            <v>A1.4353</v>
          </cell>
          <cell r="E518" t="str">
            <v>A1.1461</v>
          </cell>
        </row>
        <row r="519">
          <cell r="D519" t="str">
            <v>A1.4354</v>
          </cell>
          <cell r="E519" t="str">
            <v>A1.1447</v>
          </cell>
        </row>
        <row r="520">
          <cell r="D520" t="str">
            <v>A1.4354</v>
          </cell>
          <cell r="E520" t="str">
            <v>A1.1447</v>
          </cell>
        </row>
        <row r="521">
          <cell r="D521" t="str">
            <v>A1.4354</v>
          </cell>
        </row>
        <row r="522">
          <cell r="D522" t="str">
            <v>A1.4355</v>
          </cell>
        </row>
        <row r="523">
          <cell r="D523" t="str">
            <v>A1.4356</v>
          </cell>
        </row>
        <row r="524">
          <cell r="D524" t="str">
            <v>A1.4357</v>
          </cell>
          <cell r="E524" t="str">
            <v>A1.1479</v>
          </cell>
        </row>
        <row r="525">
          <cell r="D525" t="str">
            <v>A1.4358</v>
          </cell>
        </row>
        <row r="526">
          <cell r="D526" t="str">
            <v>A1.4359</v>
          </cell>
        </row>
        <row r="527">
          <cell r="D527" t="str">
            <v>A1.4359</v>
          </cell>
        </row>
        <row r="528">
          <cell r="D528" t="str">
            <v>A1.4359</v>
          </cell>
        </row>
        <row r="529">
          <cell r="D529" t="str">
            <v>A1.4360</v>
          </cell>
        </row>
        <row r="530">
          <cell r="D530" t="str">
            <v>A1.4361</v>
          </cell>
        </row>
        <row r="531">
          <cell r="D531" t="str">
            <v>A1.4362</v>
          </cell>
          <cell r="E531" t="str">
            <v>A1.1304</v>
          </cell>
        </row>
        <row r="532">
          <cell r="D532" t="str">
            <v>A1.4363</v>
          </cell>
        </row>
        <row r="533">
          <cell r="D533" t="str">
            <v>A1.4364</v>
          </cell>
        </row>
        <row r="534">
          <cell r="D534" t="str">
            <v>A1.4365</v>
          </cell>
        </row>
        <row r="535">
          <cell r="D535" t="str">
            <v>A1.4366</v>
          </cell>
          <cell r="E535" t="str">
            <v>A1.1437</v>
          </cell>
        </row>
        <row r="536">
          <cell r="D536" t="str">
            <v>A1.4366</v>
          </cell>
        </row>
        <row r="537">
          <cell r="D537" t="str">
            <v>A1.4367</v>
          </cell>
        </row>
        <row r="538">
          <cell r="D538" t="str">
            <v>A1.4367</v>
          </cell>
          <cell r="E538" t="str">
            <v>A1.2003</v>
          </cell>
        </row>
        <row r="539">
          <cell r="D539" t="str">
            <v>A1.4368</v>
          </cell>
          <cell r="E539" t="str">
            <v>A1.0171</v>
          </cell>
        </row>
        <row r="540">
          <cell r="D540" t="str">
            <v>A1.4368</v>
          </cell>
          <cell r="E540" t="str">
            <v>A1.0171</v>
          </cell>
        </row>
        <row r="541">
          <cell r="D541" t="str">
            <v>A1.4368</v>
          </cell>
        </row>
        <row r="542">
          <cell r="D542" t="str">
            <v>A1.4368</v>
          </cell>
        </row>
        <row r="543">
          <cell r="D543" t="str">
            <v>A1.4368</v>
          </cell>
        </row>
        <row r="544">
          <cell r="D544" t="str">
            <v>A1.4368</v>
          </cell>
        </row>
        <row r="545">
          <cell r="D545" t="str">
            <v>A1.4369</v>
          </cell>
          <cell r="E545" t="str">
            <v>A1.0623</v>
          </cell>
        </row>
        <row r="546">
          <cell r="D546" t="str">
            <v>A1.4370</v>
          </cell>
        </row>
        <row r="547">
          <cell r="D547" t="str">
            <v>A1.4371</v>
          </cell>
        </row>
        <row r="548">
          <cell r="D548" t="str">
            <v>A1.4372</v>
          </cell>
          <cell r="E548" t="str">
            <v>A1.1557</v>
          </cell>
        </row>
        <row r="549">
          <cell r="D549" t="str">
            <v>A1.4373</v>
          </cell>
          <cell r="E549" t="str">
            <v>A1.1556</v>
          </cell>
        </row>
        <row r="550">
          <cell r="D550" t="str">
            <v>A1.4373</v>
          </cell>
        </row>
        <row r="551">
          <cell r="D551" t="str">
            <v>A1.4374</v>
          </cell>
          <cell r="E551" t="str">
            <v>A1.1352</v>
          </cell>
        </row>
        <row r="552">
          <cell r="D552" t="str">
            <v>A1.4374</v>
          </cell>
          <cell r="E552" t="str">
            <v>A1.1352</v>
          </cell>
        </row>
        <row r="553">
          <cell r="D553" t="str">
            <v>A1.4374</v>
          </cell>
          <cell r="E553" t="str">
            <v>A1.1352</v>
          </cell>
        </row>
        <row r="554">
          <cell r="D554" t="str">
            <v>A1.4374</v>
          </cell>
          <cell r="E554" t="str">
            <v>A1.1352</v>
          </cell>
        </row>
        <row r="555">
          <cell r="D555" t="str">
            <v>A1.4375</v>
          </cell>
        </row>
        <row r="556">
          <cell r="D556" t="str">
            <v>A1.4375</v>
          </cell>
          <cell r="E556" t="str">
            <v>A1.1567</v>
          </cell>
        </row>
        <row r="557">
          <cell r="D557" t="str">
            <v>A1.4376</v>
          </cell>
          <cell r="E557" t="str">
            <v>A1.1957</v>
          </cell>
        </row>
        <row r="558">
          <cell r="D558" t="str">
            <v>A1.4377</v>
          </cell>
          <cell r="E558" t="str">
            <v>A1.1353</v>
          </cell>
        </row>
        <row r="559">
          <cell r="D559" t="str">
            <v>A1.4377</v>
          </cell>
          <cell r="E559" t="str">
            <v>A1.1353</v>
          </cell>
        </row>
        <row r="560">
          <cell r="D560" t="str">
            <v>A1.4378</v>
          </cell>
        </row>
        <row r="561">
          <cell r="D561" t="str">
            <v>A1.4379</v>
          </cell>
        </row>
        <row r="562">
          <cell r="D562" t="str">
            <v>A1.4380</v>
          </cell>
        </row>
        <row r="563">
          <cell r="D563" t="str">
            <v>A1.4381</v>
          </cell>
        </row>
        <row r="564">
          <cell r="D564" t="str">
            <v>A5.4381</v>
          </cell>
        </row>
        <row r="565">
          <cell r="D565" t="str">
            <v>A1.4382</v>
          </cell>
        </row>
        <row r="566">
          <cell r="D566" t="str">
            <v>A5.4382</v>
          </cell>
        </row>
        <row r="567">
          <cell r="D567" t="str">
            <v>A5.4383</v>
          </cell>
        </row>
        <row r="568">
          <cell r="D568" t="str">
            <v>A1.4384</v>
          </cell>
        </row>
        <row r="569">
          <cell r="D569" t="str">
            <v>A1.4385</v>
          </cell>
        </row>
        <row r="570">
          <cell r="D570" t="str">
            <v>A1.4386</v>
          </cell>
        </row>
        <row r="571">
          <cell r="D571" t="str">
            <v>A1.4387</v>
          </cell>
        </row>
        <row r="572">
          <cell r="D572" t="str">
            <v>A1.4387</v>
          </cell>
        </row>
        <row r="573">
          <cell r="D573" t="str">
            <v>A1.4387</v>
          </cell>
        </row>
        <row r="574">
          <cell r="D574" t="str">
            <v>A1.4387</v>
          </cell>
        </row>
        <row r="575">
          <cell r="D575" t="str">
            <v>A5.4388</v>
          </cell>
        </row>
        <row r="576">
          <cell r="D576" t="str">
            <v>A1.4407</v>
          </cell>
        </row>
        <row r="577">
          <cell r="D577" t="str">
            <v>A1.4389</v>
          </cell>
        </row>
        <row r="578">
          <cell r="D578" t="str">
            <v>A1.4389</v>
          </cell>
        </row>
        <row r="579">
          <cell r="D579" t="str">
            <v>A1.4390</v>
          </cell>
        </row>
        <row r="580">
          <cell r="D580" t="str">
            <v>A1.4391</v>
          </cell>
          <cell r="E580" t="str">
            <v>A1.1535</v>
          </cell>
        </row>
        <row r="581">
          <cell r="D581" t="str">
            <v>A1.4392</v>
          </cell>
          <cell r="E581" t="str">
            <v>A1.1393</v>
          </cell>
        </row>
        <row r="582">
          <cell r="D582" t="str">
            <v>A1.4393</v>
          </cell>
          <cell r="E582" t="str">
            <v>A1.0783</v>
          </cell>
        </row>
        <row r="583">
          <cell r="D583" t="str">
            <v>A1.4394</v>
          </cell>
        </row>
        <row r="584">
          <cell r="D584" t="str">
            <v>A1.4394</v>
          </cell>
        </row>
        <row r="585">
          <cell r="D585" t="str">
            <v>A1.4395</v>
          </cell>
        </row>
        <row r="586">
          <cell r="D586" t="str">
            <v>A1.4395</v>
          </cell>
        </row>
        <row r="587">
          <cell r="D587" t="str">
            <v>A1.4396</v>
          </cell>
        </row>
        <row r="588">
          <cell r="D588" t="str">
            <v>A1.4397</v>
          </cell>
          <cell r="E588" t="str">
            <v>A1.1632</v>
          </cell>
        </row>
        <row r="589">
          <cell r="D589" t="str">
            <v>A1.4397</v>
          </cell>
        </row>
        <row r="590">
          <cell r="D590" t="str">
            <v>A1.4398</v>
          </cell>
        </row>
        <row r="591">
          <cell r="D591" t="str">
            <v>A1.4399</v>
          </cell>
        </row>
        <row r="592">
          <cell r="D592" t="str">
            <v>A1.4400</v>
          </cell>
          <cell r="E592" t="str">
            <v>A1.1635</v>
          </cell>
        </row>
        <row r="593">
          <cell r="D593" t="str">
            <v>A1.4401</v>
          </cell>
          <cell r="E593" t="str">
            <v>A1.1292</v>
          </cell>
        </row>
        <row r="594">
          <cell r="D594" t="str">
            <v>A1.4401</v>
          </cell>
        </row>
        <row r="595">
          <cell r="D595" t="str">
            <v>A1.4401</v>
          </cell>
        </row>
        <row r="596">
          <cell r="D596" t="str">
            <v>A1.4402</v>
          </cell>
        </row>
        <row r="597">
          <cell r="D597" t="str">
            <v>A1.4402</v>
          </cell>
        </row>
        <row r="598">
          <cell r="D598" t="str">
            <v>A1.4403</v>
          </cell>
        </row>
        <row r="599">
          <cell r="D599" t="str">
            <v>A1.4404</v>
          </cell>
          <cell r="E599" t="str">
            <v>A1.1705</v>
          </cell>
        </row>
        <row r="600">
          <cell r="D600" t="str">
            <v>A1.4405</v>
          </cell>
          <cell r="E600" t="str">
            <v>A1.1279</v>
          </cell>
        </row>
        <row r="601">
          <cell r="D601" t="str">
            <v>A1.4405</v>
          </cell>
        </row>
        <row r="602">
          <cell r="D602" t="str">
            <v>A1.4406</v>
          </cell>
          <cell r="E602" t="str">
            <v>A1.1561</v>
          </cell>
        </row>
        <row r="603">
          <cell r="D603" t="str">
            <v>A1.4406</v>
          </cell>
        </row>
        <row r="604">
          <cell r="D604" t="str">
            <v>A1.4408</v>
          </cell>
          <cell r="E604" t="str">
            <v>A1.0669</v>
          </cell>
        </row>
        <row r="605">
          <cell r="D605" t="str">
            <v>A1.4408</v>
          </cell>
        </row>
        <row r="606">
          <cell r="D606" t="str">
            <v>A1.4409</v>
          </cell>
        </row>
        <row r="607">
          <cell r="D607" t="str">
            <v>A1.4410</v>
          </cell>
        </row>
        <row r="608">
          <cell r="D608" t="str">
            <v>A1.4411</v>
          </cell>
        </row>
        <row r="609">
          <cell r="D609" t="str">
            <v>A1.4411</v>
          </cell>
          <cell r="E609" t="str">
            <v>A1.0774</v>
          </cell>
        </row>
        <row r="610">
          <cell r="D610" t="str">
            <v>A1.4411</v>
          </cell>
        </row>
        <row r="611">
          <cell r="D611" t="str">
            <v>A1.4411</v>
          </cell>
        </row>
        <row r="612">
          <cell r="D612" t="str">
            <v>A1.4411</v>
          </cell>
        </row>
        <row r="613">
          <cell r="D613" t="str">
            <v>A1.4411</v>
          </cell>
        </row>
        <row r="614">
          <cell r="D614" t="str">
            <v>A1.4411</v>
          </cell>
        </row>
        <row r="615">
          <cell r="D615" t="str">
            <v>A1.4412</v>
          </cell>
        </row>
        <row r="616">
          <cell r="D616" t="str">
            <v>A1.4412</v>
          </cell>
          <cell r="E616" t="str">
            <v>A1.1274</v>
          </cell>
        </row>
        <row r="617">
          <cell r="D617" t="str">
            <v>A1.4412</v>
          </cell>
        </row>
        <row r="618">
          <cell r="D618" t="str">
            <v>A1.4412</v>
          </cell>
        </row>
        <row r="619">
          <cell r="D619" t="str">
            <v>A1.4412</v>
          </cell>
        </row>
        <row r="620">
          <cell r="D620" t="str">
            <v>A1.4413</v>
          </cell>
        </row>
        <row r="621">
          <cell r="D621" t="str">
            <v>A1.4414</v>
          </cell>
        </row>
        <row r="622">
          <cell r="D622" t="str">
            <v>A1.4414</v>
          </cell>
        </row>
        <row r="623">
          <cell r="D623" t="str">
            <v>A1.4414</v>
          </cell>
        </row>
        <row r="624">
          <cell r="D624" t="str">
            <v>A1.4414</v>
          </cell>
        </row>
        <row r="625">
          <cell r="D625" t="str">
            <v>A1.4415</v>
          </cell>
        </row>
        <row r="626">
          <cell r="D626" t="str">
            <v>A1.4415</v>
          </cell>
        </row>
        <row r="627">
          <cell r="D627" t="str">
            <v>A1.4415</v>
          </cell>
        </row>
        <row r="628">
          <cell r="D628" t="str">
            <v>A1.4416</v>
          </cell>
          <cell r="E628" t="str">
            <v>A1.1454</v>
          </cell>
        </row>
        <row r="629">
          <cell r="D629" t="str">
            <v>A1.4416</v>
          </cell>
        </row>
        <row r="630">
          <cell r="D630" t="str">
            <v>A1.4417</v>
          </cell>
          <cell r="E630" t="str">
            <v>A1.0588</v>
          </cell>
        </row>
        <row r="631">
          <cell r="D631" t="str">
            <v>A1.4417</v>
          </cell>
        </row>
        <row r="632">
          <cell r="D632" t="str">
            <v>A1.4418</v>
          </cell>
        </row>
        <row r="633">
          <cell r="D633" t="str">
            <v>A1.4418</v>
          </cell>
        </row>
        <row r="634">
          <cell r="D634" t="str">
            <v>A1.4419</v>
          </cell>
        </row>
        <row r="635">
          <cell r="D635" t="str">
            <v>A1.4420</v>
          </cell>
        </row>
        <row r="636">
          <cell r="D636" t="str">
            <v>A1.4421</v>
          </cell>
        </row>
        <row r="637">
          <cell r="D637" t="str">
            <v>A1.4422</v>
          </cell>
        </row>
        <row r="638">
          <cell r="D638" t="str">
            <v>A1.4423</v>
          </cell>
        </row>
        <row r="639">
          <cell r="D639" t="str">
            <v>A1.4423</v>
          </cell>
          <cell r="E639" t="str">
            <v>A1.1639</v>
          </cell>
        </row>
        <row r="640">
          <cell r="D640" t="str">
            <v>A1.4423</v>
          </cell>
        </row>
        <row r="641">
          <cell r="D641" t="str">
            <v>A1.4424</v>
          </cell>
        </row>
        <row r="642">
          <cell r="D642" t="str">
            <v>A1.4424</v>
          </cell>
        </row>
        <row r="643">
          <cell r="D643" t="str">
            <v>A1.4424</v>
          </cell>
        </row>
        <row r="644">
          <cell r="D644" t="str">
            <v>A1.4424</v>
          </cell>
        </row>
        <row r="645">
          <cell r="D645" t="str">
            <v>A1.4425</v>
          </cell>
          <cell r="E645" t="str">
            <v>A1.1806</v>
          </cell>
        </row>
        <row r="646">
          <cell r="D646" t="str">
            <v>A5.4426</v>
          </cell>
        </row>
        <row r="647">
          <cell r="D647" t="str">
            <v>A1.4427</v>
          </cell>
          <cell r="E647" t="str">
            <v>A1.0729</v>
          </cell>
        </row>
        <row r="648">
          <cell r="D648" t="str">
            <v>A1.4427</v>
          </cell>
        </row>
        <row r="649">
          <cell r="D649" t="str">
            <v>A1.4428</v>
          </cell>
        </row>
        <row r="650">
          <cell r="D650" t="str">
            <v>A1.4428</v>
          </cell>
        </row>
        <row r="651">
          <cell r="D651" t="str">
            <v>A1.4428</v>
          </cell>
        </row>
        <row r="652">
          <cell r="D652" t="str">
            <v>A1.4429</v>
          </cell>
        </row>
        <row r="653">
          <cell r="D653" t="str">
            <v>A1.4430</v>
          </cell>
        </row>
        <row r="654">
          <cell r="D654" t="str">
            <v>A1.4431</v>
          </cell>
        </row>
        <row r="655">
          <cell r="D655" t="str">
            <v>A1.4432</v>
          </cell>
        </row>
        <row r="656">
          <cell r="D656" t="str">
            <v>A1.4432</v>
          </cell>
        </row>
        <row r="657">
          <cell r="D657" t="str">
            <v>A1.4432</v>
          </cell>
        </row>
        <row r="658">
          <cell r="D658" t="str">
            <v>A1.4432</v>
          </cell>
        </row>
        <row r="659">
          <cell r="D659" t="str">
            <v>A1.4432</v>
          </cell>
          <cell r="E659" t="str">
            <v>A1.1061</v>
          </cell>
        </row>
        <row r="660">
          <cell r="D660" t="str">
            <v>A1.4432</v>
          </cell>
          <cell r="E660" t="str">
            <v>A1.1061</v>
          </cell>
        </row>
        <row r="661">
          <cell r="D661" t="str">
            <v>A1.4432</v>
          </cell>
        </row>
        <row r="662">
          <cell r="D662" t="str">
            <v>A1.4432</v>
          </cell>
        </row>
        <row r="663">
          <cell r="D663" t="str">
            <v>A1.4432</v>
          </cell>
        </row>
        <row r="664">
          <cell r="D664" t="str">
            <v>A1.4432</v>
          </cell>
        </row>
        <row r="665">
          <cell r="D665" t="str">
            <v>A1.4432</v>
          </cell>
        </row>
        <row r="666">
          <cell r="D666" t="str">
            <v>A1.4433</v>
          </cell>
        </row>
        <row r="667">
          <cell r="D667" t="str">
            <v>A1.4433</v>
          </cell>
          <cell r="E667" t="str">
            <v>A1.1399</v>
          </cell>
        </row>
        <row r="668">
          <cell r="D668" t="str">
            <v>A5.4434</v>
          </cell>
        </row>
        <row r="669">
          <cell r="D669" t="str">
            <v>A5.4435</v>
          </cell>
        </row>
        <row r="670">
          <cell r="D670" t="str">
            <v>A1.4436</v>
          </cell>
        </row>
        <row r="671">
          <cell r="D671" t="str">
            <v>A1.4436</v>
          </cell>
        </row>
        <row r="672">
          <cell r="D672" t="str">
            <v>A1.4437</v>
          </cell>
        </row>
        <row r="673">
          <cell r="D673" t="str">
            <v>A1.4438</v>
          </cell>
          <cell r="E673" t="str">
            <v>A1.1477</v>
          </cell>
        </row>
        <row r="674">
          <cell r="D674" t="str">
            <v>A1.4438</v>
          </cell>
          <cell r="E674" t="str">
            <v>A1.1477</v>
          </cell>
        </row>
        <row r="675">
          <cell r="D675" t="str">
            <v>A1.4438</v>
          </cell>
        </row>
        <row r="676">
          <cell r="D676" t="str">
            <v>A1.4439</v>
          </cell>
        </row>
        <row r="677">
          <cell r="D677" t="str">
            <v>A1.4439</v>
          </cell>
        </row>
        <row r="678">
          <cell r="D678" t="str">
            <v>A1.4440</v>
          </cell>
        </row>
        <row r="679">
          <cell r="D679" t="str">
            <v>A1.5725</v>
          </cell>
        </row>
        <row r="680">
          <cell r="D680" t="str">
            <v>A1.4441</v>
          </cell>
          <cell r="E680" t="str">
            <v>A1.1762</v>
          </cell>
        </row>
        <row r="681">
          <cell r="D681" t="str">
            <v>A1.4442</v>
          </cell>
        </row>
        <row r="682">
          <cell r="D682" t="str">
            <v>A1.4443</v>
          </cell>
        </row>
        <row r="683">
          <cell r="D683" t="str">
            <v>A1.4444</v>
          </cell>
        </row>
        <row r="684">
          <cell r="D684" t="str">
            <v>A1.4444</v>
          </cell>
        </row>
        <row r="685">
          <cell r="D685" t="str">
            <v>A1.4444</v>
          </cell>
        </row>
        <row r="686">
          <cell r="D686" t="str">
            <v>A1.4444</v>
          </cell>
        </row>
        <row r="687">
          <cell r="D687" t="str">
            <v>A1.4444</v>
          </cell>
        </row>
        <row r="688">
          <cell r="D688" t="str">
            <v>A1.4444</v>
          </cell>
        </row>
        <row r="689">
          <cell r="D689" t="str">
            <v>A1.4445</v>
          </cell>
        </row>
        <row r="690">
          <cell r="D690" t="str">
            <v>A1.4446</v>
          </cell>
        </row>
        <row r="691">
          <cell r="D691" t="str">
            <v>A1.4446</v>
          </cell>
        </row>
        <row r="692">
          <cell r="D692" t="str">
            <v>A1.4446</v>
          </cell>
        </row>
        <row r="693">
          <cell r="D693" t="str">
            <v>A1.4446</v>
          </cell>
          <cell r="E693" t="str">
            <v>A1.0706</v>
          </cell>
        </row>
        <row r="694">
          <cell r="D694" t="str">
            <v>A1.4446</v>
          </cell>
        </row>
        <row r="695">
          <cell r="D695" t="str">
            <v>A1.4446</v>
          </cell>
        </row>
        <row r="696">
          <cell r="D696" t="str">
            <v>A1.4447</v>
          </cell>
        </row>
        <row r="697">
          <cell r="D697" t="str">
            <v>A1.4448</v>
          </cell>
        </row>
        <row r="698">
          <cell r="D698" t="str">
            <v>A1.4449</v>
          </cell>
        </row>
        <row r="699">
          <cell r="D699" t="str">
            <v>A1.4450</v>
          </cell>
        </row>
        <row r="700">
          <cell r="D700" t="str">
            <v>A5.4451</v>
          </cell>
        </row>
        <row r="701">
          <cell r="D701" t="str">
            <v>A1.4452</v>
          </cell>
        </row>
        <row r="702">
          <cell r="D702" t="str">
            <v>A1.4453</v>
          </cell>
        </row>
        <row r="703">
          <cell r="D703" t="str">
            <v>A1.4454</v>
          </cell>
        </row>
        <row r="704">
          <cell r="D704" t="str">
            <v>A1.4454</v>
          </cell>
        </row>
        <row r="705">
          <cell r="D705" t="str">
            <v>A1.4455</v>
          </cell>
        </row>
        <row r="706">
          <cell r="D706" t="str">
            <v>A1.4456</v>
          </cell>
        </row>
        <row r="707">
          <cell r="D707" t="str">
            <v>A1.4456</v>
          </cell>
          <cell r="E707" t="str">
            <v>A1.1192</v>
          </cell>
        </row>
        <row r="708">
          <cell r="D708" t="str">
            <v>A1.4457</v>
          </cell>
        </row>
        <row r="709">
          <cell r="D709" t="str">
            <v>A1.4457</v>
          </cell>
        </row>
        <row r="710">
          <cell r="D710" t="str">
            <v>A1.4458</v>
          </cell>
        </row>
        <row r="711">
          <cell r="D711" t="str">
            <v>A1.4459</v>
          </cell>
        </row>
        <row r="712">
          <cell r="D712" t="str">
            <v>A1.4459</v>
          </cell>
        </row>
        <row r="713">
          <cell r="D713" t="str">
            <v>A1.4459</v>
          </cell>
        </row>
        <row r="714">
          <cell r="D714" t="str">
            <v>A1.4460</v>
          </cell>
          <cell r="E714" t="str">
            <v>A1.1636</v>
          </cell>
        </row>
        <row r="715">
          <cell r="D715" t="str">
            <v>A1.4460</v>
          </cell>
        </row>
        <row r="716">
          <cell r="D716" t="str">
            <v>A1.4460</v>
          </cell>
        </row>
        <row r="717">
          <cell r="D717" t="str">
            <v>A1.4461</v>
          </cell>
        </row>
        <row r="718">
          <cell r="D718" t="str">
            <v>A1.4461</v>
          </cell>
        </row>
        <row r="719">
          <cell r="D719" t="str">
            <v>A1.4461</v>
          </cell>
        </row>
        <row r="720">
          <cell r="D720" t="str">
            <v>A1.4462</v>
          </cell>
        </row>
        <row r="721">
          <cell r="D721" t="str">
            <v>A1.4462</v>
          </cell>
        </row>
        <row r="722">
          <cell r="D722" t="str">
            <v>A1.4462</v>
          </cell>
          <cell r="E722" t="str">
            <v>A1.1344</v>
          </cell>
        </row>
        <row r="723">
          <cell r="D723" t="str">
            <v>A1.4462</v>
          </cell>
        </row>
        <row r="724">
          <cell r="D724" t="str">
            <v>A1.5726</v>
          </cell>
          <cell r="E724" t="str">
            <v>A1.0394</v>
          </cell>
        </row>
        <row r="725">
          <cell r="D725" t="str">
            <v>A1.4463</v>
          </cell>
          <cell r="E725" t="str">
            <v>A1.0064</v>
          </cell>
        </row>
        <row r="726">
          <cell r="D726" t="str">
            <v>A1.4463</v>
          </cell>
        </row>
        <row r="727">
          <cell r="D727" t="str">
            <v>A1.4463</v>
          </cell>
        </row>
        <row r="728">
          <cell r="D728" t="str">
            <v>A1.4463</v>
          </cell>
        </row>
        <row r="729">
          <cell r="D729" t="str">
            <v>A1.4463</v>
          </cell>
        </row>
        <row r="730">
          <cell r="D730" t="str">
            <v>A1.4463</v>
          </cell>
        </row>
        <row r="731">
          <cell r="D731" t="str">
            <v>A1.4463</v>
          </cell>
        </row>
        <row r="732">
          <cell r="D732" t="str">
            <v>A1.4463</v>
          </cell>
        </row>
        <row r="733">
          <cell r="D733" t="str">
            <v>A1.4463</v>
          </cell>
        </row>
        <row r="734">
          <cell r="D734" t="str">
            <v>A1.4463</v>
          </cell>
        </row>
        <row r="735">
          <cell r="D735" t="str">
            <v>A1.4463</v>
          </cell>
        </row>
        <row r="736">
          <cell r="D736" t="str">
            <v>A1.4463</v>
          </cell>
        </row>
        <row r="737">
          <cell r="D737" t="str">
            <v>A1.4463</v>
          </cell>
        </row>
        <row r="738">
          <cell r="D738" t="str">
            <v>A1.4464</v>
          </cell>
        </row>
        <row r="739">
          <cell r="D739" t="str">
            <v>A1.4465</v>
          </cell>
        </row>
        <row r="740">
          <cell r="D740" t="str">
            <v>A1.4465</v>
          </cell>
          <cell r="E740" t="str">
            <v>A1.0535</v>
          </cell>
        </row>
        <row r="741">
          <cell r="D741" t="str">
            <v>A1.4465</v>
          </cell>
        </row>
        <row r="742">
          <cell r="D742" t="str">
            <v>A1.4465</v>
          </cell>
        </row>
        <row r="743">
          <cell r="D743" t="str">
            <v>A1.4465</v>
          </cell>
        </row>
        <row r="744">
          <cell r="D744" t="str">
            <v>A1.4465</v>
          </cell>
        </row>
        <row r="745">
          <cell r="D745" t="str">
            <v>A1.4465</v>
          </cell>
        </row>
        <row r="746">
          <cell r="D746" t="str">
            <v>A1.4465</v>
          </cell>
        </row>
        <row r="747">
          <cell r="D747" t="str">
            <v>A1.4465</v>
          </cell>
        </row>
        <row r="748">
          <cell r="D748" t="str">
            <v>A1.4465</v>
          </cell>
        </row>
        <row r="749">
          <cell r="D749" t="str">
            <v>A1.5727</v>
          </cell>
        </row>
        <row r="750">
          <cell r="D750" t="str">
            <v>A1.5727</v>
          </cell>
        </row>
        <row r="751">
          <cell r="D751" t="str">
            <v>A1.4466</v>
          </cell>
        </row>
        <row r="752">
          <cell r="D752" t="str">
            <v>A1.4467</v>
          </cell>
        </row>
        <row r="753">
          <cell r="D753" t="str">
            <v>A1.4467</v>
          </cell>
        </row>
        <row r="754">
          <cell r="D754" t="str">
            <v>A1.4468</v>
          </cell>
        </row>
        <row r="755">
          <cell r="D755" t="str">
            <v>A1.4468</v>
          </cell>
        </row>
        <row r="756">
          <cell r="D756" t="str">
            <v>A1.4468</v>
          </cell>
        </row>
        <row r="757">
          <cell r="D757" t="str">
            <v>A1.4468</v>
          </cell>
        </row>
        <row r="758">
          <cell r="D758" t="str">
            <v>A1.4469</v>
          </cell>
        </row>
        <row r="759">
          <cell r="D759" t="str">
            <v>A1.4470</v>
          </cell>
          <cell r="E759" t="str">
            <v>A1.1697</v>
          </cell>
        </row>
        <row r="760">
          <cell r="D760" t="str">
            <v>A1.4471</v>
          </cell>
        </row>
        <row r="761">
          <cell r="D761" t="str">
            <v>A1.4471</v>
          </cell>
        </row>
        <row r="762">
          <cell r="D762" t="str">
            <v>A1.4471</v>
          </cell>
          <cell r="E762" t="str">
            <v>A1.1383</v>
          </cell>
        </row>
        <row r="763">
          <cell r="D763" t="str">
            <v>A1.4471</v>
          </cell>
          <cell r="E763" t="str">
            <v>A1.1383</v>
          </cell>
        </row>
        <row r="764">
          <cell r="D764" t="str">
            <v>A1.4471</v>
          </cell>
        </row>
        <row r="765">
          <cell r="D765" t="str">
            <v>A1.4471</v>
          </cell>
        </row>
        <row r="766">
          <cell r="D766" t="str">
            <v>A1.4472</v>
          </cell>
        </row>
        <row r="767">
          <cell r="D767" t="str">
            <v>A5.4473</v>
          </cell>
        </row>
        <row r="768">
          <cell r="D768" t="str">
            <v>A1.4474</v>
          </cell>
        </row>
        <row r="769">
          <cell r="D769" t="str">
            <v>A1.4475</v>
          </cell>
        </row>
        <row r="770">
          <cell r="D770" t="str">
            <v>A1.4476</v>
          </cell>
        </row>
        <row r="771">
          <cell r="D771" t="str">
            <v>A1.4477</v>
          </cell>
        </row>
        <row r="772">
          <cell r="D772" t="str">
            <v>A1.4478</v>
          </cell>
          <cell r="E772" t="str">
            <v>A1.1210</v>
          </cell>
        </row>
        <row r="773">
          <cell r="D773" t="str">
            <v>A1.4478</v>
          </cell>
        </row>
        <row r="774">
          <cell r="D774" t="str">
            <v>A1.4480</v>
          </cell>
        </row>
        <row r="775">
          <cell r="D775" t="str">
            <v>A1.4480</v>
          </cell>
        </row>
        <row r="776">
          <cell r="D776" t="str">
            <v>A1.4481</v>
          </cell>
        </row>
        <row r="777">
          <cell r="D777" t="str">
            <v>A1.4481</v>
          </cell>
        </row>
        <row r="778">
          <cell r="D778" t="str">
            <v>A1.4481</v>
          </cell>
        </row>
        <row r="779">
          <cell r="D779" t="str">
            <v>A1.4481</v>
          </cell>
        </row>
        <row r="780">
          <cell r="D780" t="str">
            <v>A1.4481</v>
          </cell>
        </row>
        <row r="781">
          <cell r="D781" t="str">
            <v>A1.4481</v>
          </cell>
        </row>
        <row r="782">
          <cell r="D782" t="str">
            <v>A1.4481</v>
          </cell>
        </row>
        <row r="783">
          <cell r="D783" t="str">
            <v>A1.4481</v>
          </cell>
          <cell r="E783" t="str">
            <v>A1.1121</v>
          </cell>
        </row>
        <row r="784">
          <cell r="D784" t="str">
            <v>A1.4481</v>
          </cell>
          <cell r="E784" t="str">
            <v>A1.1121</v>
          </cell>
        </row>
        <row r="785">
          <cell r="D785" t="str">
            <v>A1.4481</v>
          </cell>
          <cell r="E785" t="str">
            <v>A1.1121</v>
          </cell>
        </row>
        <row r="786">
          <cell r="D786" t="str">
            <v>A1.4481</v>
          </cell>
          <cell r="E786" t="str">
            <v>A1.1121</v>
          </cell>
        </row>
        <row r="787">
          <cell r="D787" t="str">
            <v>A1.4481</v>
          </cell>
        </row>
        <row r="788">
          <cell r="D788" t="str">
            <v>A1.4481</v>
          </cell>
        </row>
        <row r="789">
          <cell r="D789" t="str">
            <v>A1.4481</v>
          </cell>
        </row>
        <row r="790">
          <cell r="D790" t="str">
            <v>A1.4481</v>
          </cell>
        </row>
        <row r="791">
          <cell r="D791" t="str">
            <v>A1.4481</v>
          </cell>
        </row>
        <row r="792">
          <cell r="D792" t="str">
            <v>A1.4481</v>
          </cell>
        </row>
        <row r="793">
          <cell r="D793" t="str">
            <v>A1.4481</v>
          </cell>
        </row>
        <row r="794">
          <cell r="D794" t="str">
            <v>A1.4482</v>
          </cell>
        </row>
        <row r="795">
          <cell r="D795" t="str">
            <v>A1.4483</v>
          </cell>
        </row>
        <row r="796">
          <cell r="D796" t="str">
            <v>A1.4483</v>
          </cell>
        </row>
        <row r="797">
          <cell r="D797" t="str">
            <v>A1.4484</v>
          </cell>
          <cell r="E797" t="str">
            <v>A1.1459</v>
          </cell>
        </row>
        <row r="798">
          <cell r="D798" t="str">
            <v>A1.4484</v>
          </cell>
        </row>
        <row r="799">
          <cell r="D799" t="str">
            <v>A1.4485</v>
          </cell>
        </row>
        <row r="800">
          <cell r="D800" t="str">
            <v>A1.4485</v>
          </cell>
        </row>
        <row r="801">
          <cell r="D801" t="str">
            <v>A1.4485</v>
          </cell>
        </row>
        <row r="802">
          <cell r="D802" t="str">
            <v>A1.4485</v>
          </cell>
        </row>
        <row r="803">
          <cell r="D803" t="str">
            <v>A1.4485</v>
          </cell>
        </row>
        <row r="804">
          <cell r="D804" t="str">
            <v>A1.4485</v>
          </cell>
        </row>
        <row r="805">
          <cell r="D805" t="str">
            <v>A1.4485</v>
          </cell>
        </row>
        <row r="806">
          <cell r="D806" t="str">
            <v>A1.4485</v>
          </cell>
        </row>
        <row r="807">
          <cell r="D807" t="str">
            <v>A1.4485</v>
          </cell>
        </row>
        <row r="808">
          <cell r="D808" t="str">
            <v>A1.4485</v>
          </cell>
        </row>
        <row r="809">
          <cell r="D809" t="str">
            <v>A1.4485</v>
          </cell>
          <cell r="E809" t="str">
            <v>A1.0678</v>
          </cell>
        </row>
        <row r="810">
          <cell r="D810" t="str">
            <v>A1.4485</v>
          </cell>
          <cell r="E810" t="str">
            <v>A1.0678</v>
          </cell>
        </row>
        <row r="811">
          <cell r="D811" t="str">
            <v>A1.4485</v>
          </cell>
          <cell r="E811" t="str">
            <v>A1.0678</v>
          </cell>
        </row>
        <row r="812">
          <cell r="D812" t="str">
            <v>A1.4485</v>
          </cell>
          <cell r="E812" t="str">
            <v>A1.0678</v>
          </cell>
        </row>
        <row r="813">
          <cell r="D813" t="str">
            <v>A1.4485</v>
          </cell>
        </row>
        <row r="814">
          <cell r="D814" t="str">
            <v>A1.4485</v>
          </cell>
        </row>
        <row r="815">
          <cell r="D815" t="str">
            <v>A1.4485</v>
          </cell>
        </row>
        <row r="816">
          <cell r="D816" t="str">
            <v>A1.4485</v>
          </cell>
        </row>
        <row r="817">
          <cell r="D817" t="str">
            <v>A1.4485</v>
          </cell>
        </row>
        <row r="818">
          <cell r="D818" t="str">
            <v>A1.4485</v>
          </cell>
        </row>
        <row r="819">
          <cell r="D819" t="str">
            <v>A1.4485</v>
          </cell>
        </row>
        <row r="820">
          <cell r="D820" t="str">
            <v>A1.4485</v>
          </cell>
        </row>
        <row r="821">
          <cell r="D821" t="str">
            <v>A1.4485</v>
          </cell>
        </row>
        <row r="822">
          <cell r="D822" t="str">
            <v>A1.4485</v>
          </cell>
        </row>
        <row r="823">
          <cell r="D823" t="str">
            <v>A1.4485</v>
          </cell>
        </row>
        <row r="824">
          <cell r="D824" t="str">
            <v>A1.4485</v>
          </cell>
        </row>
        <row r="825">
          <cell r="D825" t="str">
            <v>A1.4485</v>
          </cell>
        </row>
        <row r="826">
          <cell r="D826" t="str">
            <v>A1.4485</v>
          </cell>
        </row>
        <row r="827">
          <cell r="D827" t="str">
            <v>A1.4486</v>
          </cell>
        </row>
        <row r="828">
          <cell r="D828" t="str">
            <v>A1.4487</v>
          </cell>
        </row>
        <row r="829">
          <cell r="D829" t="str">
            <v>A1.4487</v>
          </cell>
          <cell r="E829" t="str">
            <v>A1.1310</v>
          </cell>
        </row>
        <row r="830">
          <cell r="D830" t="str">
            <v>A1.4488</v>
          </cell>
        </row>
        <row r="831">
          <cell r="D831" t="str">
            <v>A1.4489</v>
          </cell>
        </row>
        <row r="832">
          <cell r="D832" t="str">
            <v>A1.4489</v>
          </cell>
        </row>
        <row r="833">
          <cell r="D833" t="str">
            <v>A1.4490</v>
          </cell>
          <cell r="E833" t="str">
            <v>A1.1605</v>
          </cell>
        </row>
        <row r="834">
          <cell r="D834" t="str">
            <v>A1.4491</v>
          </cell>
        </row>
        <row r="835">
          <cell r="D835" t="str">
            <v>A1.4492</v>
          </cell>
        </row>
        <row r="836">
          <cell r="D836" t="str">
            <v>A1.4492</v>
          </cell>
        </row>
        <row r="837">
          <cell r="D837" t="str">
            <v>A1.4492</v>
          </cell>
        </row>
        <row r="838">
          <cell r="D838" t="str">
            <v>A1.4493</v>
          </cell>
        </row>
        <row r="839">
          <cell r="D839" t="str">
            <v>A1.4493</v>
          </cell>
        </row>
        <row r="840">
          <cell r="D840" t="str">
            <v>A1.4494</v>
          </cell>
        </row>
        <row r="841">
          <cell r="D841" t="str">
            <v>A1.4495</v>
          </cell>
        </row>
        <row r="842">
          <cell r="D842" t="str">
            <v>A1.4495</v>
          </cell>
        </row>
        <row r="844">
          <cell r="D844" t="str">
            <v>A1.4497</v>
          </cell>
        </row>
        <row r="845">
          <cell r="D845" t="str">
            <v>A1.4498</v>
          </cell>
        </row>
        <row r="846">
          <cell r="D846" t="str">
            <v>A1.4499</v>
          </cell>
        </row>
        <row r="847">
          <cell r="D847" t="str">
            <v>A1.4500</v>
          </cell>
        </row>
        <row r="848">
          <cell r="D848" t="str">
            <v>A1.4501</v>
          </cell>
        </row>
        <row r="849">
          <cell r="D849" t="str">
            <v>A1.4502</v>
          </cell>
        </row>
        <row r="850">
          <cell r="D850" t="str">
            <v>A1.4503</v>
          </cell>
        </row>
        <row r="851">
          <cell r="D851" t="str">
            <v>A1.4504</v>
          </cell>
        </row>
        <row r="852">
          <cell r="D852" t="str">
            <v>A1.4505</v>
          </cell>
        </row>
        <row r="853">
          <cell r="D853" t="str">
            <v>A1.4506</v>
          </cell>
        </row>
        <row r="854">
          <cell r="D854" t="str">
            <v>A1.4507</v>
          </cell>
          <cell r="E854" t="str">
            <v>A1.1407</v>
          </cell>
        </row>
        <row r="855">
          <cell r="D855" t="str">
            <v>A1.4507</v>
          </cell>
          <cell r="E855" t="str">
            <v>A1.1407</v>
          </cell>
        </row>
        <row r="856">
          <cell r="D856" t="str">
            <v>A1.4507</v>
          </cell>
          <cell r="E856" t="str">
            <v>A1.1407</v>
          </cell>
        </row>
        <row r="857">
          <cell r="D857" t="str">
            <v>A1.4507</v>
          </cell>
        </row>
        <row r="858">
          <cell r="D858" t="str">
            <v>A1.4507</v>
          </cell>
        </row>
        <row r="859">
          <cell r="D859" t="str">
            <v>A1.4508</v>
          </cell>
        </row>
        <row r="860">
          <cell r="D860" t="str">
            <v>A1.4509</v>
          </cell>
        </row>
        <row r="861">
          <cell r="D861" t="str">
            <v>A1.4509</v>
          </cell>
        </row>
        <row r="862">
          <cell r="D862" t="str">
            <v>A1.4510</v>
          </cell>
        </row>
        <row r="863">
          <cell r="D863" t="str">
            <v>A1.4511</v>
          </cell>
        </row>
        <row r="864">
          <cell r="D864" t="str">
            <v>A1.4512</v>
          </cell>
        </row>
        <row r="865">
          <cell r="D865" t="str">
            <v>A1.4513</v>
          </cell>
        </row>
        <row r="866">
          <cell r="D866" t="str">
            <v>A1.4514</v>
          </cell>
        </row>
        <row r="867">
          <cell r="D867" t="str">
            <v>A1.4514</v>
          </cell>
        </row>
        <row r="868">
          <cell r="D868" t="str">
            <v>A1.4515</v>
          </cell>
        </row>
        <row r="869">
          <cell r="D869" t="str">
            <v>A1.4515</v>
          </cell>
        </row>
        <row r="870">
          <cell r="D870" t="str">
            <v>A1.4516</v>
          </cell>
        </row>
        <row r="871">
          <cell r="D871" t="str">
            <v>A1.4517</v>
          </cell>
          <cell r="E871" t="str">
            <v>A1.1466</v>
          </cell>
        </row>
        <row r="872">
          <cell r="D872" t="str">
            <v>A1.4518</v>
          </cell>
        </row>
        <row r="873">
          <cell r="D873" t="str">
            <v>A1.4518</v>
          </cell>
        </row>
        <row r="874">
          <cell r="D874" t="str">
            <v>A5.4519</v>
          </cell>
          <cell r="E874" t="str">
            <v>A5.0291</v>
          </cell>
        </row>
        <row r="875">
          <cell r="D875" t="str">
            <v>A5.4519</v>
          </cell>
        </row>
        <row r="876">
          <cell r="D876" t="str">
            <v>A1.4520</v>
          </cell>
        </row>
        <row r="877">
          <cell r="D877" t="str">
            <v>A1.4520</v>
          </cell>
        </row>
        <row r="878">
          <cell r="D878" t="str">
            <v>A5.4520</v>
          </cell>
          <cell r="E878" t="str">
            <v>A5.0275</v>
          </cell>
        </row>
        <row r="879">
          <cell r="D879" t="str">
            <v>A5.4520</v>
          </cell>
        </row>
        <row r="880">
          <cell r="D880" t="str">
            <v>A5.4521</v>
          </cell>
        </row>
        <row r="881">
          <cell r="D881" t="str">
            <v>A1.4522</v>
          </cell>
        </row>
        <row r="882">
          <cell r="D882" t="str">
            <v>A1.4522</v>
          </cell>
        </row>
        <row r="883">
          <cell r="D883" t="str">
            <v>A1.4522</v>
          </cell>
          <cell r="E883" t="str">
            <v>A1.0924</v>
          </cell>
        </row>
        <row r="884">
          <cell r="D884" t="str">
            <v>A1.4522</v>
          </cell>
          <cell r="E884" t="str">
            <v>A1.0924</v>
          </cell>
        </row>
        <row r="885">
          <cell r="D885" t="str">
            <v>A1.4522</v>
          </cell>
          <cell r="E885" t="str">
            <v>A1.0924</v>
          </cell>
        </row>
        <row r="886">
          <cell r="D886" t="str">
            <v>A1.4522</v>
          </cell>
          <cell r="E886" t="str">
            <v>A1.0924</v>
          </cell>
        </row>
        <row r="887">
          <cell r="D887" t="str">
            <v>A1.4522</v>
          </cell>
          <cell r="E887" t="str">
            <v>A1.0924</v>
          </cell>
        </row>
        <row r="888">
          <cell r="D888" t="str">
            <v>A1.4522</v>
          </cell>
        </row>
        <row r="889">
          <cell r="D889" t="str">
            <v>A1.4522</v>
          </cell>
        </row>
        <row r="890">
          <cell r="D890" t="str">
            <v>A1.4522</v>
          </cell>
        </row>
        <row r="891">
          <cell r="D891" t="str">
            <v>A1.4522</v>
          </cell>
        </row>
        <row r="892">
          <cell r="D892" t="str">
            <v>A1.4522</v>
          </cell>
        </row>
        <row r="893">
          <cell r="D893" t="str">
            <v>A1.4522</v>
          </cell>
        </row>
        <row r="894">
          <cell r="D894" t="str">
            <v>A1.4522</v>
          </cell>
        </row>
        <row r="895">
          <cell r="D895" t="str">
            <v>A1.4522</v>
          </cell>
        </row>
        <row r="896">
          <cell r="D896" t="str">
            <v>A1.4522</v>
          </cell>
        </row>
        <row r="897">
          <cell r="D897" t="str">
            <v>A1.4523</v>
          </cell>
          <cell r="E897" t="str">
            <v>A1.0805</v>
          </cell>
        </row>
        <row r="898">
          <cell r="D898" t="str">
            <v>A5.4523</v>
          </cell>
          <cell r="E898" t="str">
            <v>A5.0807</v>
          </cell>
        </row>
        <row r="899">
          <cell r="D899" t="str">
            <v>A1.4524</v>
          </cell>
        </row>
        <row r="900">
          <cell r="D900" t="str">
            <v>A1.4524</v>
          </cell>
        </row>
        <row r="901">
          <cell r="D901" t="str">
            <v>A1.4525</v>
          </cell>
          <cell r="E901" t="str">
            <v>A1.1730</v>
          </cell>
        </row>
        <row r="902">
          <cell r="D902" t="str">
            <v>A1.4526</v>
          </cell>
        </row>
        <row r="903">
          <cell r="D903" t="str">
            <v>A1.4527</v>
          </cell>
        </row>
        <row r="904">
          <cell r="D904" t="str">
            <v>A1.4527</v>
          </cell>
        </row>
        <row r="905">
          <cell r="D905" t="str">
            <v>A1.4527</v>
          </cell>
        </row>
        <row r="906">
          <cell r="D906" t="str">
            <v>A1.4527</v>
          </cell>
        </row>
        <row r="907">
          <cell r="D907" t="str">
            <v>A1.4527</v>
          </cell>
        </row>
        <row r="908">
          <cell r="D908" t="str">
            <v>A1.4527</v>
          </cell>
        </row>
        <row r="909">
          <cell r="D909" t="str">
            <v>A1.4527</v>
          </cell>
        </row>
        <row r="910">
          <cell r="D910" t="str">
            <v>A1.4527</v>
          </cell>
        </row>
        <row r="911">
          <cell r="D911" t="str">
            <v>A1.4527</v>
          </cell>
        </row>
        <row r="912">
          <cell r="D912" t="str">
            <v>A1.4527</v>
          </cell>
        </row>
        <row r="913">
          <cell r="D913" t="str">
            <v>A1.4527</v>
          </cell>
        </row>
        <row r="914">
          <cell r="D914" t="str">
            <v>A1.4527</v>
          </cell>
          <cell r="E914" t="str">
            <v>A1.1843</v>
          </cell>
        </row>
        <row r="915">
          <cell r="D915" t="str">
            <v>A1.4527</v>
          </cell>
          <cell r="E915" t="str">
            <v>A1.1843</v>
          </cell>
        </row>
        <row r="916">
          <cell r="D916" t="str">
            <v>A1.4527</v>
          </cell>
          <cell r="E916" t="str">
            <v>A1.1843</v>
          </cell>
        </row>
        <row r="917">
          <cell r="D917" t="str">
            <v>A1.4527</v>
          </cell>
          <cell r="E917" t="str">
            <v>A1.1843</v>
          </cell>
        </row>
        <row r="918">
          <cell r="D918" t="str">
            <v>A1.4527</v>
          </cell>
        </row>
        <row r="919">
          <cell r="D919" t="str">
            <v>A1.4527</v>
          </cell>
        </row>
        <row r="920">
          <cell r="D920" t="str">
            <v>A1.4527</v>
          </cell>
        </row>
        <row r="921">
          <cell r="D921" t="str">
            <v>A1.4527</v>
          </cell>
        </row>
        <row r="922">
          <cell r="D922" t="str">
            <v>A1.4527</v>
          </cell>
        </row>
        <row r="923">
          <cell r="D923" t="str">
            <v>A1.4528</v>
          </cell>
        </row>
        <row r="924">
          <cell r="D924" t="str">
            <v>A1.4529</v>
          </cell>
          <cell r="E924" t="str">
            <v>A1.1900</v>
          </cell>
        </row>
        <row r="925">
          <cell r="D925" t="str">
            <v>A1.4530</v>
          </cell>
          <cell r="E925" t="str">
            <v>A1.1677</v>
          </cell>
        </row>
        <row r="926">
          <cell r="D926" t="str">
            <v>A1.4531</v>
          </cell>
        </row>
        <row r="927">
          <cell r="D927" t="str">
            <v>A1.4532</v>
          </cell>
        </row>
        <row r="928">
          <cell r="D928" t="str">
            <v>A1.4532</v>
          </cell>
        </row>
        <row r="929">
          <cell r="D929" t="str">
            <v>A1.4532</v>
          </cell>
        </row>
        <row r="930">
          <cell r="D930" t="str">
            <v>A1.4532</v>
          </cell>
        </row>
        <row r="931">
          <cell r="D931" t="str">
            <v>A1.4532</v>
          </cell>
        </row>
        <row r="932">
          <cell r="D932" t="str">
            <v>A1.4532</v>
          </cell>
        </row>
        <row r="933">
          <cell r="D933" t="str">
            <v>A1.4533</v>
          </cell>
        </row>
        <row r="934">
          <cell r="D934" t="str">
            <v>A1.4533</v>
          </cell>
        </row>
        <row r="935">
          <cell r="D935" t="str">
            <v>A1.4533</v>
          </cell>
        </row>
        <row r="936">
          <cell r="D936" t="str">
            <v>A1.4533</v>
          </cell>
        </row>
        <row r="937">
          <cell r="D937" t="str">
            <v>A1.4533</v>
          </cell>
        </row>
        <row r="938">
          <cell r="D938" t="str">
            <v>A1.4533</v>
          </cell>
        </row>
        <row r="939">
          <cell r="D939" t="str">
            <v>A1.4534</v>
          </cell>
        </row>
        <row r="941">
          <cell r="D941" t="str">
            <v>A1.4536</v>
          </cell>
        </row>
        <row r="942">
          <cell r="D942" t="str">
            <v>A1.4537</v>
          </cell>
        </row>
        <row r="943">
          <cell r="D943" t="str">
            <v>A1.4538</v>
          </cell>
        </row>
        <row r="944">
          <cell r="D944" t="str">
            <v>A5.4538</v>
          </cell>
        </row>
        <row r="945">
          <cell r="D945" t="str">
            <v>A1.4539</v>
          </cell>
        </row>
        <row r="946">
          <cell r="D946" t="str">
            <v>A5.4539</v>
          </cell>
        </row>
        <row r="947">
          <cell r="D947" t="str">
            <v>A1.4540</v>
          </cell>
        </row>
        <row r="948">
          <cell r="D948" t="str">
            <v>A1.4541</v>
          </cell>
        </row>
        <row r="949">
          <cell r="D949" t="str">
            <v>A1.4542</v>
          </cell>
        </row>
        <row r="950">
          <cell r="D950" t="str">
            <v>A1.4543</v>
          </cell>
        </row>
        <row r="951">
          <cell r="D951" t="str">
            <v>A1.4543</v>
          </cell>
        </row>
        <row r="952">
          <cell r="D952" t="str">
            <v>A1.4543</v>
          </cell>
        </row>
        <row r="953">
          <cell r="D953" t="str">
            <v>A1.4543</v>
          </cell>
        </row>
        <row r="954">
          <cell r="D954" t="str">
            <v>A5.4544</v>
          </cell>
        </row>
        <row r="955">
          <cell r="D955" t="str">
            <v>A1.4545</v>
          </cell>
          <cell r="E955" t="str">
            <v>A1.1432</v>
          </cell>
        </row>
        <row r="956">
          <cell r="D956" t="str">
            <v>A1.4546</v>
          </cell>
          <cell r="E956" t="str">
            <v>A1.1633</v>
          </cell>
        </row>
        <row r="957">
          <cell r="D957" t="str">
            <v>A1.4547</v>
          </cell>
        </row>
        <row r="958">
          <cell r="D958" t="str">
            <v>A1.4547</v>
          </cell>
        </row>
        <row r="959">
          <cell r="D959" t="str">
            <v>A1.4547</v>
          </cell>
        </row>
        <row r="960">
          <cell r="D960" t="str">
            <v>A1.4548</v>
          </cell>
        </row>
        <row r="961">
          <cell r="D961" t="str">
            <v>A1.4549</v>
          </cell>
        </row>
        <row r="962">
          <cell r="D962" t="str">
            <v>A1.4550</v>
          </cell>
        </row>
        <row r="963">
          <cell r="D963" t="str">
            <v>A5.4550</v>
          </cell>
        </row>
        <row r="964">
          <cell r="D964" t="str">
            <v>A5.4551</v>
          </cell>
        </row>
        <row r="967">
          <cell r="D967" t="str">
            <v>A5.4553</v>
          </cell>
        </row>
        <row r="968">
          <cell r="D968" t="str">
            <v>A1.4554</v>
          </cell>
        </row>
        <row r="969">
          <cell r="D969" t="str">
            <v>A1.4554</v>
          </cell>
        </row>
        <row r="970">
          <cell r="D970" t="str">
            <v>A1.4554</v>
          </cell>
        </row>
        <row r="971">
          <cell r="D971" t="str">
            <v>A5.4555</v>
          </cell>
        </row>
        <row r="974">
          <cell r="D974" t="str">
            <v>A5.4557</v>
          </cell>
        </row>
        <row r="975">
          <cell r="D975" t="str">
            <v>A1.4558</v>
          </cell>
        </row>
        <row r="976">
          <cell r="D976" t="str">
            <v>A5.4558</v>
          </cell>
        </row>
        <row r="977">
          <cell r="D977" t="str">
            <v>A1.4559</v>
          </cell>
        </row>
        <row r="978">
          <cell r="D978" t="str">
            <v>A1.4560</v>
          </cell>
        </row>
        <row r="979">
          <cell r="D979" t="str">
            <v>A1.4560</v>
          </cell>
        </row>
        <row r="980">
          <cell r="D980" t="str">
            <v>A1.4560</v>
          </cell>
        </row>
        <row r="981">
          <cell r="D981" t="str">
            <v>A1.4560</v>
          </cell>
          <cell r="E981" t="str">
            <v>A1.0587</v>
          </cell>
        </row>
        <row r="982">
          <cell r="D982" t="str">
            <v>A1.4561</v>
          </cell>
          <cell r="E982" t="str">
            <v>A1.1434</v>
          </cell>
        </row>
        <row r="983">
          <cell r="D983" t="str">
            <v>A1.4562</v>
          </cell>
        </row>
        <row r="984">
          <cell r="D984" t="str">
            <v>A1.4562</v>
          </cell>
        </row>
        <row r="985">
          <cell r="D985" t="str">
            <v>A1.4563</v>
          </cell>
        </row>
        <row r="986">
          <cell r="D986" t="str">
            <v>A1.4563</v>
          </cell>
        </row>
        <row r="987">
          <cell r="D987" t="str">
            <v>A1.4564</v>
          </cell>
        </row>
        <row r="988">
          <cell r="D988" t="str">
            <v>A1.4564</v>
          </cell>
        </row>
        <row r="989">
          <cell r="D989" t="str">
            <v>A1.4564</v>
          </cell>
        </row>
        <row r="990">
          <cell r="D990" t="str">
            <v>A1.4564</v>
          </cell>
        </row>
        <row r="991">
          <cell r="D991" t="str">
            <v>A1.4565</v>
          </cell>
        </row>
        <row r="992">
          <cell r="D992" t="str">
            <v>A1.4566</v>
          </cell>
        </row>
        <row r="993">
          <cell r="D993" t="str">
            <v>A1.4566</v>
          </cell>
          <cell r="E993" t="str">
            <v>A1.1509</v>
          </cell>
        </row>
        <row r="994">
          <cell r="D994" t="str">
            <v>A1.4566</v>
          </cell>
        </row>
        <row r="995">
          <cell r="D995" t="str">
            <v>A1.4567</v>
          </cell>
        </row>
        <row r="996">
          <cell r="D996" t="str">
            <v>A1.4567</v>
          </cell>
        </row>
        <row r="997">
          <cell r="D997" t="str">
            <v>A1.4567</v>
          </cell>
        </row>
        <row r="998">
          <cell r="D998" t="str">
            <v>A1.4567</v>
          </cell>
        </row>
        <row r="999">
          <cell r="D999" t="str">
            <v>A1.4567</v>
          </cell>
          <cell r="E999" t="str">
            <v>A1.1506</v>
          </cell>
        </row>
        <row r="1000">
          <cell r="D1000" t="str">
            <v>A1.4567</v>
          </cell>
        </row>
        <row r="1001">
          <cell r="D1001" t="str">
            <v>A1.4567</v>
          </cell>
        </row>
        <row r="1002">
          <cell r="D1002" t="str">
            <v>A1.4568</v>
          </cell>
          <cell r="E1002" t="str">
            <v>A1.1892</v>
          </cell>
        </row>
        <row r="1003">
          <cell r="D1003" t="str">
            <v>A1.4568</v>
          </cell>
          <cell r="E1003" t="str">
            <v>A1.1892</v>
          </cell>
        </row>
        <row r="1004">
          <cell r="D1004" t="str">
            <v>A1.4568</v>
          </cell>
        </row>
        <row r="1005">
          <cell r="D1005" t="str">
            <v>A1.4568</v>
          </cell>
        </row>
        <row r="1006">
          <cell r="D1006" t="str">
            <v>A1.4568</v>
          </cell>
        </row>
        <row r="1007">
          <cell r="D1007" t="str">
            <v>A1.4568</v>
          </cell>
        </row>
        <row r="1008">
          <cell r="D1008" t="str">
            <v>A1.4568</v>
          </cell>
        </row>
        <row r="1009">
          <cell r="D1009" t="str">
            <v>A1.4569</v>
          </cell>
        </row>
        <row r="1010">
          <cell r="D1010" t="str">
            <v>A1.4569</v>
          </cell>
        </row>
        <row r="1011">
          <cell r="D1011" t="str">
            <v>A1.4570</v>
          </cell>
        </row>
        <row r="1012">
          <cell r="D1012" t="str">
            <v>A1.4570</v>
          </cell>
        </row>
        <row r="1013">
          <cell r="D1013" t="str">
            <v>A1.4570</v>
          </cell>
        </row>
        <row r="1014">
          <cell r="D1014" t="str">
            <v>A1.4571</v>
          </cell>
        </row>
        <row r="1015">
          <cell r="D1015" t="str">
            <v>A1.4572</v>
          </cell>
        </row>
        <row r="1016">
          <cell r="D1016" t="str">
            <v>A1.4573</v>
          </cell>
        </row>
        <row r="1017">
          <cell r="D1017" t="str">
            <v>A1.4574</v>
          </cell>
        </row>
        <row r="1018">
          <cell r="D1018" t="str">
            <v>A1.4574</v>
          </cell>
        </row>
        <row r="1019">
          <cell r="D1019" t="str">
            <v>A1.4574</v>
          </cell>
          <cell r="E1019" t="str">
            <v>A1.1689</v>
          </cell>
        </row>
        <row r="1020">
          <cell r="D1020" t="str">
            <v>A1.4575</v>
          </cell>
        </row>
        <row r="1021">
          <cell r="D1021" t="str">
            <v>A1.4576</v>
          </cell>
          <cell r="E1021" t="str">
            <v>A1.0072</v>
          </cell>
        </row>
        <row r="1022">
          <cell r="D1022" t="str">
            <v>A1.4576</v>
          </cell>
        </row>
        <row r="1023">
          <cell r="D1023" t="str">
            <v>A1.4576</v>
          </cell>
        </row>
        <row r="1024">
          <cell r="D1024" t="str">
            <v>A1.4576</v>
          </cell>
        </row>
        <row r="1025">
          <cell r="D1025" t="str">
            <v>A1.4576</v>
          </cell>
        </row>
        <row r="1026">
          <cell r="D1026" t="str">
            <v>A1.4576</v>
          </cell>
        </row>
        <row r="1027">
          <cell r="D1027" t="str">
            <v>A1.4576</v>
          </cell>
        </row>
        <row r="1028">
          <cell r="D1028" t="str">
            <v>A1.4576</v>
          </cell>
        </row>
        <row r="1029">
          <cell r="D1029" t="str">
            <v>A1.4576</v>
          </cell>
        </row>
        <row r="1030">
          <cell r="D1030" t="str">
            <v>A1.4576</v>
          </cell>
        </row>
        <row r="1031">
          <cell r="D1031" t="str">
            <v>A1.4576</v>
          </cell>
        </row>
        <row r="1032">
          <cell r="D1032" t="str">
            <v>A1.4576</v>
          </cell>
        </row>
        <row r="1033">
          <cell r="D1033" t="str">
            <v>A1.4577</v>
          </cell>
        </row>
        <row r="1034">
          <cell r="D1034" t="str">
            <v>A1.4578</v>
          </cell>
        </row>
        <row r="1035">
          <cell r="D1035" t="str">
            <v>A1.4579</v>
          </cell>
        </row>
        <row r="1036">
          <cell r="D1036" t="str">
            <v>A1.4579</v>
          </cell>
        </row>
        <row r="1037">
          <cell r="D1037" t="str">
            <v>A1.4579</v>
          </cell>
        </row>
        <row r="1038">
          <cell r="D1038" t="str">
            <v>A1.4579</v>
          </cell>
        </row>
        <row r="1039">
          <cell r="D1039" t="str">
            <v>A1.4579</v>
          </cell>
        </row>
        <row r="1040">
          <cell r="D1040" t="str">
            <v>A1.4579</v>
          </cell>
        </row>
        <row r="1041">
          <cell r="D1041" t="str">
            <v>A1.4579</v>
          </cell>
          <cell r="E1041" t="str">
            <v>A1.1428</v>
          </cell>
        </row>
        <row r="1042">
          <cell r="D1042" t="str">
            <v>A1.4579</v>
          </cell>
        </row>
        <row r="1043">
          <cell r="D1043" t="str">
            <v>A1.4580</v>
          </cell>
        </row>
        <row r="1044">
          <cell r="D1044" t="str">
            <v>A1.4580</v>
          </cell>
        </row>
        <row r="1045">
          <cell r="D1045" t="str">
            <v>A1.4581</v>
          </cell>
        </row>
        <row r="1046">
          <cell r="D1046" t="str">
            <v>A1.4581</v>
          </cell>
        </row>
        <row r="1047">
          <cell r="D1047" t="str">
            <v>A1.4581</v>
          </cell>
          <cell r="E1047" t="str">
            <v>A1.1312</v>
          </cell>
        </row>
        <row r="1048">
          <cell r="D1048" t="str">
            <v>A1.4581</v>
          </cell>
          <cell r="E1048" t="str">
            <v>A1.1312</v>
          </cell>
        </row>
        <row r="1049">
          <cell r="D1049" t="str">
            <v>A1.4581</v>
          </cell>
          <cell r="E1049" t="str">
            <v>A1.1312</v>
          </cell>
        </row>
        <row r="1050">
          <cell r="D1050" t="str">
            <v>A1.4581</v>
          </cell>
        </row>
        <row r="1051">
          <cell r="D1051" t="str">
            <v>A1.4581</v>
          </cell>
        </row>
        <row r="1052">
          <cell r="D1052" t="str">
            <v>A1.4581</v>
          </cell>
        </row>
        <row r="1053">
          <cell r="D1053" t="str">
            <v>A1.4581</v>
          </cell>
        </row>
        <row r="1054">
          <cell r="D1054" t="str">
            <v>A1.4581</v>
          </cell>
        </row>
        <row r="1055">
          <cell r="D1055" t="str">
            <v>A1.4581</v>
          </cell>
        </row>
        <row r="1056">
          <cell r="D1056" t="str">
            <v>A1.4581</v>
          </cell>
        </row>
        <row r="1057">
          <cell r="D1057" t="str">
            <v>A1.4581</v>
          </cell>
        </row>
        <row r="1058">
          <cell r="D1058" t="str">
            <v>A1.4581</v>
          </cell>
        </row>
        <row r="1059">
          <cell r="D1059" t="str">
            <v>A1.4582</v>
          </cell>
        </row>
        <row r="1060">
          <cell r="D1060" t="str">
            <v>A1.4582</v>
          </cell>
        </row>
        <row r="1061">
          <cell r="D1061" t="str">
            <v>A1.4582</v>
          </cell>
        </row>
        <row r="1062">
          <cell r="D1062" t="str">
            <v>A1.4582</v>
          </cell>
        </row>
        <row r="1063">
          <cell r="D1063" t="str">
            <v>A1.4582</v>
          </cell>
        </row>
        <row r="1064">
          <cell r="D1064" t="str">
            <v>A1.4582</v>
          </cell>
        </row>
        <row r="1065">
          <cell r="D1065" t="str">
            <v>A1.4582</v>
          </cell>
        </row>
        <row r="1066">
          <cell r="D1066" t="str">
            <v>A1.4583</v>
          </cell>
        </row>
        <row r="1067">
          <cell r="D1067" t="str">
            <v>A1.4584</v>
          </cell>
        </row>
        <row r="1068">
          <cell r="D1068" t="str">
            <v>A1.4585</v>
          </cell>
        </row>
        <row r="1069">
          <cell r="D1069" t="str">
            <v>A1.4586</v>
          </cell>
        </row>
        <row r="1070">
          <cell r="D1070" t="str">
            <v>A1.4586</v>
          </cell>
        </row>
        <row r="1071">
          <cell r="D1071" t="str">
            <v>A5.4587</v>
          </cell>
        </row>
        <row r="1072">
          <cell r="D1072" t="str">
            <v>A5.4587</v>
          </cell>
        </row>
        <row r="1073">
          <cell r="D1073" t="str">
            <v>A5.4587</v>
          </cell>
        </row>
        <row r="1074">
          <cell r="D1074" t="str">
            <v>A5.4588</v>
          </cell>
        </row>
        <row r="1075">
          <cell r="D1075" t="str">
            <v>A1.4589</v>
          </cell>
        </row>
        <row r="1076">
          <cell r="D1076" t="str">
            <v>A1.4589</v>
          </cell>
        </row>
        <row r="1077">
          <cell r="D1077" t="str">
            <v>A1.4589</v>
          </cell>
          <cell r="E1077" t="str">
            <v>A1.1619</v>
          </cell>
        </row>
        <row r="1078">
          <cell r="D1078" t="str">
            <v>A1.4589</v>
          </cell>
        </row>
        <row r="1079">
          <cell r="D1079" t="str">
            <v>A1.4589</v>
          </cell>
        </row>
        <row r="1080">
          <cell r="D1080" t="str">
            <v>A1.4589</v>
          </cell>
        </row>
        <row r="1081">
          <cell r="D1081" t="str">
            <v>A1.4589</v>
          </cell>
        </row>
        <row r="1082">
          <cell r="D1082" t="str">
            <v>A1.4590</v>
          </cell>
        </row>
        <row r="1083">
          <cell r="D1083" t="str">
            <v>A1.4590</v>
          </cell>
        </row>
        <row r="1084">
          <cell r="D1084" t="str">
            <v>A1.4590</v>
          </cell>
        </row>
        <row r="1085">
          <cell r="D1085" t="str">
            <v>A1.4590</v>
          </cell>
        </row>
        <row r="1086">
          <cell r="D1086" t="str">
            <v>A1.4590</v>
          </cell>
        </row>
        <row r="1087">
          <cell r="D1087" t="str">
            <v>A1.4590</v>
          </cell>
        </row>
        <row r="1088">
          <cell r="D1088" t="str">
            <v>A1.4590</v>
          </cell>
        </row>
        <row r="1089">
          <cell r="D1089" t="str">
            <v>A1.4590</v>
          </cell>
        </row>
        <row r="1090">
          <cell r="D1090" t="str">
            <v>A1.4590</v>
          </cell>
        </row>
        <row r="1091">
          <cell r="D1091" t="str">
            <v>A1.4590</v>
          </cell>
        </row>
        <row r="1092">
          <cell r="D1092" t="str">
            <v>A1.4591</v>
          </cell>
        </row>
        <row r="1093">
          <cell r="D1093" t="str">
            <v>A1.4591</v>
          </cell>
        </row>
        <row r="1094">
          <cell r="D1094" t="str">
            <v>A1.4591</v>
          </cell>
        </row>
        <row r="1095">
          <cell r="D1095" t="str">
            <v>A1.4591</v>
          </cell>
          <cell r="E1095" t="str">
            <v>A1.0174</v>
          </cell>
        </row>
        <row r="1096">
          <cell r="D1096" t="str">
            <v>A1.4591</v>
          </cell>
          <cell r="E1096" t="str">
            <v>A1.0174</v>
          </cell>
        </row>
        <row r="1097">
          <cell r="D1097" t="str">
            <v>A1.4591</v>
          </cell>
        </row>
        <row r="1098">
          <cell r="D1098" t="str">
            <v>A1.4591</v>
          </cell>
        </row>
        <row r="1099">
          <cell r="D1099" t="str">
            <v>A1.4591</v>
          </cell>
        </row>
        <row r="1100">
          <cell r="D1100" t="str">
            <v>A1.4591</v>
          </cell>
        </row>
        <row r="1101">
          <cell r="D1101" t="str">
            <v>A1.4591</v>
          </cell>
        </row>
        <row r="1102">
          <cell r="D1102" t="str">
            <v>A1.4591</v>
          </cell>
        </row>
        <row r="1103">
          <cell r="D1103" t="str">
            <v>A1.4591</v>
          </cell>
        </row>
        <row r="1104">
          <cell r="D1104" t="str">
            <v>A1.4592</v>
          </cell>
          <cell r="E1104" t="str">
            <v>A1.0586</v>
          </cell>
        </row>
        <row r="1105">
          <cell r="D1105" t="str">
            <v>A1.4592</v>
          </cell>
        </row>
        <row r="1106">
          <cell r="D1106" t="str">
            <v>A1.4592</v>
          </cell>
        </row>
        <row r="1107">
          <cell r="D1107" t="str">
            <v>A1.4593</v>
          </cell>
        </row>
        <row r="1108">
          <cell r="D1108" t="str">
            <v>A1.4593</v>
          </cell>
        </row>
        <row r="1109">
          <cell r="D1109" t="str">
            <v>A1.4593</v>
          </cell>
        </row>
        <row r="1110">
          <cell r="D1110" t="str">
            <v>A1.4593</v>
          </cell>
          <cell r="E1110" t="str">
            <v>A1.0184</v>
          </cell>
        </row>
        <row r="1111">
          <cell r="D1111" t="str">
            <v>A1.4593</v>
          </cell>
        </row>
        <row r="1112">
          <cell r="D1112" t="str">
            <v>A1.4593</v>
          </cell>
        </row>
        <row r="1113">
          <cell r="D1113" t="str">
            <v>A1.4593</v>
          </cell>
        </row>
        <row r="1114">
          <cell r="D1114" t="str">
            <v>A1.4593</v>
          </cell>
        </row>
        <row r="1115">
          <cell r="D1115" t="str">
            <v>A1.4593</v>
          </cell>
        </row>
        <row r="1116">
          <cell r="D1116" t="str">
            <v>A1.4594</v>
          </cell>
        </row>
        <row r="1117">
          <cell r="D1117" t="str">
            <v>A1.4594</v>
          </cell>
        </row>
        <row r="1118">
          <cell r="D1118" t="str">
            <v>A1.4595</v>
          </cell>
        </row>
        <row r="1119">
          <cell r="D1119" t="str">
            <v>A1.4596</v>
          </cell>
        </row>
        <row r="1120">
          <cell r="D1120" t="str">
            <v>A1.4596</v>
          </cell>
        </row>
        <row r="1121">
          <cell r="D1121" t="str">
            <v>A1.4596</v>
          </cell>
        </row>
        <row r="1122">
          <cell r="D1122" t="str">
            <v>A1.4596</v>
          </cell>
        </row>
        <row r="1123">
          <cell r="D1123" t="str">
            <v>A5.4597</v>
          </cell>
        </row>
        <row r="1124">
          <cell r="D1124" t="str">
            <v>A1.4598</v>
          </cell>
        </row>
        <row r="1125">
          <cell r="D1125" t="str">
            <v>A1.4599</v>
          </cell>
        </row>
        <row r="1126">
          <cell r="D1126" t="str">
            <v>A1.4599</v>
          </cell>
        </row>
        <row r="1127">
          <cell r="D1127" t="str">
            <v>A1.4600</v>
          </cell>
          <cell r="E1127" t="str">
            <v>A1.1349</v>
          </cell>
        </row>
        <row r="1128">
          <cell r="D1128" t="str">
            <v>A1.4600</v>
          </cell>
        </row>
        <row r="1129">
          <cell r="D1129" t="str">
            <v>A1.4601</v>
          </cell>
        </row>
        <row r="1130">
          <cell r="D1130" t="str">
            <v>A1.4601</v>
          </cell>
        </row>
        <row r="1131">
          <cell r="D1131" t="str">
            <v>A1.4602</v>
          </cell>
        </row>
        <row r="1132">
          <cell r="D1132" t="str">
            <v>A1.4602</v>
          </cell>
        </row>
        <row r="1133">
          <cell r="D1133" t="str">
            <v>A1.4602</v>
          </cell>
        </row>
        <row r="1134">
          <cell r="D1134" t="str">
            <v>A1.4602</v>
          </cell>
        </row>
        <row r="1135">
          <cell r="D1135" t="str">
            <v>A1.4602</v>
          </cell>
        </row>
        <row r="1136">
          <cell r="D1136" t="str">
            <v>A1.4602</v>
          </cell>
        </row>
        <row r="1137">
          <cell r="D1137" t="str">
            <v>A5.4603</v>
          </cell>
          <cell r="E1137" t="str">
            <v>A5.0055</v>
          </cell>
        </row>
        <row r="1138">
          <cell r="D1138" t="str">
            <v>A5.4604</v>
          </cell>
        </row>
        <row r="1139">
          <cell r="D1139" t="str">
            <v>A1.4605</v>
          </cell>
        </row>
        <row r="1140">
          <cell r="D1140" t="str">
            <v>A1.4605</v>
          </cell>
        </row>
        <row r="1141">
          <cell r="D1141" t="str">
            <v>A1.4606</v>
          </cell>
        </row>
        <row r="1142">
          <cell r="D1142" t="str">
            <v>A1.4606</v>
          </cell>
          <cell r="E1142" t="str">
            <v>A1.1654</v>
          </cell>
        </row>
        <row r="1143">
          <cell r="D1143" t="str">
            <v>A1.4606</v>
          </cell>
        </row>
        <row r="1144">
          <cell r="D1144" t="str">
            <v>A1.4606</v>
          </cell>
        </row>
        <row r="1145">
          <cell r="D1145" t="str">
            <v>A1.4607</v>
          </cell>
        </row>
        <row r="1146">
          <cell r="D1146" t="str">
            <v>A1.4607</v>
          </cell>
        </row>
        <row r="1147">
          <cell r="D1147" t="str">
            <v>A1.4479</v>
          </cell>
        </row>
        <row r="1148">
          <cell r="D1148" t="str">
            <v>A1.4479</v>
          </cell>
          <cell r="E1148" t="str">
            <v>A1.1507</v>
          </cell>
        </row>
        <row r="1149">
          <cell r="D1149" t="str">
            <v>A1.4479</v>
          </cell>
        </row>
        <row r="1150">
          <cell r="D1150" t="str">
            <v>A1.4479</v>
          </cell>
        </row>
        <row r="1151">
          <cell r="D1151" t="str">
            <v>A1.4608</v>
          </cell>
        </row>
        <row r="1152">
          <cell r="D1152" t="str">
            <v>A1.4608</v>
          </cell>
        </row>
        <row r="1153">
          <cell r="D1153" t="str">
            <v>A1.4608</v>
          </cell>
        </row>
        <row r="1154">
          <cell r="D1154" t="str">
            <v>A1.4608</v>
          </cell>
        </row>
        <row r="1155">
          <cell r="D1155" t="str">
            <v>A1.4609</v>
          </cell>
        </row>
        <row r="1156">
          <cell r="D1156" t="str">
            <v>A1.4610</v>
          </cell>
        </row>
        <row r="1157">
          <cell r="D1157" t="str">
            <v>A1.4611</v>
          </cell>
        </row>
        <row r="1158">
          <cell r="D1158" t="str">
            <v>A1.4612</v>
          </cell>
        </row>
        <row r="1159">
          <cell r="D1159" t="str">
            <v>A1.4613</v>
          </cell>
        </row>
        <row r="1160">
          <cell r="D1160" t="str">
            <v>A1.4614</v>
          </cell>
        </row>
        <row r="1161">
          <cell r="D1161" t="str">
            <v>A1.4615</v>
          </cell>
          <cell r="E1161" t="str">
            <v>A1.1591</v>
          </cell>
        </row>
        <row r="1162">
          <cell r="D1162" t="str">
            <v>A1.4615</v>
          </cell>
        </row>
        <row r="1163">
          <cell r="D1163" t="str">
            <v>A1.4616</v>
          </cell>
        </row>
        <row r="1164">
          <cell r="D1164" t="str">
            <v>A1.4616</v>
          </cell>
          <cell r="E1164" t="str">
            <v>A1.0984</v>
          </cell>
        </row>
        <row r="1165">
          <cell r="D1165" t="str">
            <v>A5.4617</v>
          </cell>
          <cell r="E1165" t="str">
            <v>A5.1830</v>
          </cell>
        </row>
        <row r="1166">
          <cell r="D1166" t="str">
            <v>A5.4618</v>
          </cell>
          <cell r="E1166" t="str">
            <v>A5.0492</v>
          </cell>
        </row>
        <row r="1167">
          <cell r="D1167" t="str">
            <v>A5.4619</v>
          </cell>
          <cell r="E1167" t="str">
            <v>A5.0243</v>
          </cell>
        </row>
        <row r="1168">
          <cell r="D1168" t="str">
            <v>A5.4620</v>
          </cell>
          <cell r="E1168" t="str">
            <v>A5.1912</v>
          </cell>
        </row>
        <row r="1169">
          <cell r="D1169" t="str">
            <v>A5.4621</v>
          </cell>
          <cell r="E1169" t="str">
            <v>A5.0806</v>
          </cell>
        </row>
        <row r="1170">
          <cell r="D1170" t="str">
            <v>A5.4622</v>
          </cell>
          <cell r="E1170" t="str">
            <v>A5.0241</v>
          </cell>
        </row>
        <row r="1171">
          <cell r="D1171" t="str">
            <v>A5.4623</v>
          </cell>
        </row>
        <row r="1172">
          <cell r="D1172" t="str">
            <v>A5.4624</v>
          </cell>
          <cell r="E1172" t="str">
            <v>A5.0014</v>
          </cell>
        </row>
        <row r="1173">
          <cell r="D1173" t="str">
            <v>A1.4625</v>
          </cell>
        </row>
        <row r="1174">
          <cell r="D1174" t="str">
            <v>A1.4626</v>
          </cell>
        </row>
        <row r="1175">
          <cell r="D1175" t="str">
            <v>A1.4627</v>
          </cell>
        </row>
        <row r="1176">
          <cell r="D1176" t="str">
            <v>A1.4627</v>
          </cell>
        </row>
        <row r="1177">
          <cell r="D1177" t="str">
            <v>A1.4627</v>
          </cell>
        </row>
        <row r="1178">
          <cell r="D1178" t="str">
            <v>A1.4627</v>
          </cell>
        </row>
        <row r="1179">
          <cell r="D1179" t="str">
            <v>A1.4627</v>
          </cell>
        </row>
        <row r="1180">
          <cell r="D1180" t="str">
            <v>A1.4628</v>
          </cell>
        </row>
        <row r="1181">
          <cell r="D1181" t="str">
            <v>A1.4628</v>
          </cell>
        </row>
        <row r="1182">
          <cell r="D1182" t="str">
            <v>A1.4629</v>
          </cell>
        </row>
        <row r="1183">
          <cell r="D1183" t="str">
            <v>A1.4630</v>
          </cell>
        </row>
        <row r="1184">
          <cell r="D1184" t="str">
            <v>A1.4631</v>
          </cell>
        </row>
        <row r="1185">
          <cell r="D1185" t="str">
            <v>A1.4632</v>
          </cell>
        </row>
        <row r="1186">
          <cell r="D1186" t="str">
            <v>A1.4632</v>
          </cell>
        </row>
        <row r="1187">
          <cell r="D1187" t="str">
            <v>A1.4632</v>
          </cell>
        </row>
        <row r="1188">
          <cell r="D1188" t="str">
            <v>A1.4496</v>
          </cell>
        </row>
        <row r="1189">
          <cell r="D1189" t="str">
            <v>A1.4633</v>
          </cell>
        </row>
        <row r="1190">
          <cell r="D1190" t="str">
            <v>A1.4634</v>
          </cell>
        </row>
        <row r="1191">
          <cell r="D1191" t="str">
            <v>A1.4635</v>
          </cell>
        </row>
        <row r="1192">
          <cell r="D1192" t="str">
            <v>A1.4636</v>
          </cell>
        </row>
        <row r="1193">
          <cell r="D1193" t="str">
            <v>A1.4636</v>
          </cell>
        </row>
        <row r="1194">
          <cell r="D1194" t="str">
            <v>A1.4636</v>
          </cell>
        </row>
        <row r="1195">
          <cell r="D1195" t="str">
            <v>A1.4636</v>
          </cell>
        </row>
        <row r="1196">
          <cell r="D1196" t="str">
            <v>A1.4636</v>
          </cell>
        </row>
        <row r="1197">
          <cell r="D1197" t="str">
            <v>A1.4636</v>
          </cell>
        </row>
        <row r="1198">
          <cell r="D1198" t="str">
            <v>A1.4636</v>
          </cell>
        </row>
        <row r="1199">
          <cell r="D1199" t="str">
            <v>A1.4636</v>
          </cell>
        </row>
        <row r="1200">
          <cell r="D1200" t="str">
            <v>A1.4636</v>
          </cell>
        </row>
        <row r="1201">
          <cell r="D1201" t="str">
            <v>A1.4636</v>
          </cell>
        </row>
        <row r="1202">
          <cell r="D1202" t="str">
            <v>A1.4636</v>
          </cell>
          <cell r="E1202" t="str">
            <v>A1.1309</v>
          </cell>
        </row>
        <row r="1203">
          <cell r="D1203" t="str">
            <v>A1.4636</v>
          </cell>
          <cell r="E1203" t="str">
            <v>A1.1309</v>
          </cell>
        </row>
        <row r="1204">
          <cell r="D1204" t="str">
            <v>A1.4636</v>
          </cell>
          <cell r="E1204" t="str">
            <v>A1.1309</v>
          </cell>
        </row>
        <row r="1205">
          <cell r="D1205" t="str">
            <v>A1.4636</v>
          </cell>
        </row>
        <row r="1206">
          <cell r="D1206" t="str">
            <v>A1.4636</v>
          </cell>
        </row>
        <row r="1207">
          <cell r="D1207" t="str">
            <v>A1.4636</v>
          </cell>
        </row>
        <row r="1208">
          <cell r="D1208" t="str">
            <v>A1.4636</v>
          </cell>
        </row>
        <row r="1209">
          <cell r="D1209" t="str">
            <v>A1.4636</v>
          </cell>
        </row>
        <row r="1210">
          <cell r="D1210" t="str">
            <v>A1.4636</v>
          </cell>
        </row>
        <row r="1211">
          <cell r="D1211" t="str">
            <v>A1.4636</v>
          </cell>
        </row>
        <row r="1212">
          <cell r="D1212" t="str">
            <v>A1.4636</v>
          </cell>
        </row>
        <row r="1213">
          <cell r="D1213" t="str">
            <v>A1.4637</v>
          </cell>
        </row>
        <row r="1214">
          <cell r="D1214" t="str">
            <v>A1.4638</v>
          </cell>
        </row>
        <row r="1215">
          <cell r="D1215" t="str">
            <v>A1.4638</v>
          </cell>
        </row>
        <row r="1216">
          <cell r="D1216" t="str">
            <v>A1.4639</v>
          </cell>
        </row>
        <row r="1217">
          <cell r="D1217" t="str">
            <v>A1.4640</v>
          </cell>
          <cell r="E1217" t="str">
            <v>A1.1653</v>
          </cell>
        </row>
        <row r="1218">
          <cell r="D1218" t="str">
            <v>A5.4641</v>
          </cell>
        </row>
        <row r="1219">
          <cell r="D1219" t="str">
            <v>A1.4642</v>
          </cell>
        </row>
        <row r="1220">
          <cell r="D1220" t="str">
            <v>A1.4643</v>
          </cell>
          <cell r="E1220" t="str">
            <v>A1.1714</v>
          </cell>
        </row>
        <row r="1221">
          <cell r="D1221" t="str">
            <v>A1.4644</v>
          </cell>
          <cell r="E1221" t="str">
            <v>A1.1715</v>
          </cell>
        </row>
        <row r="1222">
          <cell r="D1222" t="str">
            <v>A1.4645</v>
          </cell>
          <cell r="E1222" t="str">
            <v>A1.1716</v>
          </cell>
        </row>
        <row r="1223">
          <cell r="D1223" t="str">
            <v>A1.4646</v>
          </cell>
          <cell r="E1223" t="str">
            <v>A1.1752</v>
          </cell>
        </row>
        <row r="1224">
          <cell r="D1224" t="str">
            <v>A1.4647</v>
          </cell>
          <cell r="E1224" t="str">
            <v>A1.1690</v>
          </cell>
        </row>
        <row r="1225">
          <cell r="D1225" t="str">
            <v>A1.4648</v>
          </cell>
          <cell r="E1225" t="str">
            <v>A1.1543</v>
          </cell>
        </row>
        <row r="1226">
          <cell r="D1226" t="str">
            <v>A1.4649</v>
          </cell>
          <cell r="E1226" t="str">
            <v>A1.1480</v>
          </cell>
        </row>
        <row r="1227">
          <cell r="D1227" t="str">
            <v>A1.4650</v>
          </cell>
          <cell r="E1227" t="str">
            <v>A1.1717</v>
          </cell>
        </row>
        <row r="1228">
          <cell r="D1228" t="str">
            <v>A1.4651</v>
          </cell>
        </row>
        <row r="1229">
          <cell r="D1229" t="str">
            <v>A1.4652</v>
          </cell>
        </row>
        <row r="1230">
          <cell r="D1230" t="str">
            <v>A1.4652</v>
          </cell>
        </row>
        <row r="1231">
          <cell r="D1231" t="str">
            <v>A1.4652</v>
          </cell>
        </row>
        <row r="1232">
          <cell r="D1232" t="str">
            <v>A1.4652</v>
          </cell>
        </row>
        <row r="1233">
          <cell r="D1233" t="str">
            <v>A1.4653</v>
          </cell>
        </row>
        <row r="1234">
          <cell r="D1234" t="str">
            <v>A1.4653</v>
          </cell>
        </row>
        <row r="1235">
          <cell r="D1235" t="str">
            <v>A1.4654</v>
          </cell>
        </row>
        <row r="1236">
          <cell r="D1236" t="str">
            <v>A1.4655</v>
          </cell>
        </row>
        <row r="1237">
          <cell r="D1237" t="str">
            <v>A5.4656</v>
          </cell>
        </row>
        <row r="1238">
          <cell r="D1238" t="str">
            <v>A5.4657</v>
          </cell>
          <cell r="E1238" t="str">
            <v>A5.0900</v>
          </cell>
        </row>
        <row r="1239">
          <cell r="D1239" t="str">
            <v>A5.4658</v>
          </cell>
          <cell r="E1239" t="str">
            <v>A5.0006</v>
          </cell>
        </row>
        <row r="1240">
          <cell r="D1240" t="str">
            <v>A5.4659</v>
          </cell>
          <cell r="E1240" t="str">
            <v>A5.0256</v>
          </cell>
        </row>
        <row r="1241">
          <cell r="D1241" t="str">
            <v>A5.4660</v>
          </cell>
          <cell r="E1241" t="str">
            <v>A5.0094</v>
          </cell>
        </row>
        <row r="1242">
          <cell r="D1242" t="str">
            <v>A5.4661</v>
          </cell>
          <cell r="E1242" t="str">
            <v>A5.0801</v>
          </cell>
        </row>
        <row r="1243">
          <cell r="D1243" t="str">
            <v>A5.4661</v>
          </cell>
        </row>
        <row r="1244">
          <cell r="D1244" t="str">
            <v>A5.4662</v>
          </cell>
          <cell r="E1244" t="str">
            <v>A5.0353</v>
          </cell>
        </row>
        <row r="1245">
          <cell r="D1245" t="str">
            <v>A5.4663</v>
          </cell>
        </row>
        <row r="1246">
          <cell r="D1246" t="str">
            <v>A5.4664</v>
          </cell>
        </row>
        <row r="1247">
          <cell r="D1247" t="str">
            <v>A5.4665</v>
          </cell>
        </row>
        <row r="1248">
          <cell r="D1248" t="str">
            <v>A5.4666</v>
          </cell>
        </row>
        <row r="1249">
          <cell r="D1249" t="str">
            <v>A5.4667</v>
          </cell>
        </row>
        <row r="1250">
          <cell r="D1250" t="str">
            <v>A5.4668</v>
          </cell>
        </row>
        <row r="1251">
          <cell r="D1251" t="str">
            <v>A5.4669</v>
          </cell>
        </row>
        <row r="1252">
          <cell r="D1252" t="str">
            <v>A5.4670</v>
          </cell>
          <cell r="E1252" t="str">
            <v>A5.0454</v>
          </cell>
        </row>
        <row r="1253">
          <cell r="D1253" t="str">
            <v>A5.4670</v>
          </cell>
        </row>
        <row r="1254">
          <cell r="D1254" t="str">
            <v>A5.4671</v>
          </cell>
        </row>
        <row r="1255">
          <cell r="D1255" t="str">
            <v>A5.4672</v>
          </cell>
          <cell r="E1255" t="str">
            <v>A5.0935</v>
          </cell>
        </row>
        <row r="1256">
          <cell r="D1256" t="str">
            <v>A1.4673</v>
          </cell>
          <cell r="E1256" t="str">
            <v>A1.1111</v>
          </cell>
        </row>
        <row r="1257">
          <cell r="D1257" t="str">
            <v>A1.4674</v>
          </cell>
          <cell r="E1257" t="str">
            <v>A1.1631</v>
          </cell>
        </row>
        <row r="1258">
          <cell r="D1258" t="str">
            <v>A1.4675</v>
          </cell>
          <cell r="E1258" t="str">
            <v>A1.0229</v>
          </cell>
        </row>
        <row r="1259">
          <cell r="D1259" t="str">
            <v>A1.4675</v>
          </cell>
        </row>
        <row r="1260">
          <cell r="D1260" t="str">
            <v>A1.4676</v>
          </cell>
        </row>
        <row r="1261">
          <cell r="D1261" t="str">
            <v>A1.4677</v>
          </cell>
        </row>
        <row r="1262">
          <cell r="D1262" t="str">
            <v>A1.4677</v>
          </cell>
          <cell r="E1262" t="str">
            <v>A1.0811</v>
          </cell>
        </row>
        <row r="1263">
          <cell r="D1263" t="str">
            <v>A1.4678</v>
          </cell>
          <cell r="E1263" t="str">
            <v>A1.0206</v>
          </cell>
        </row>
        <row r="1264">
          <cell r="D1264" t="str">
            <v>A1.4678</v>
          </cell>
        </row>
        <row r="1265">
          <cell r="D1265" t="str">
            <v>A1.4678</v>
          </cell>
        </row>
        <row r="1266">
          <cell r="D1266" t="str">
            <v>A1.4679</v>
          </cell>
          <cell r="E1266" t="str">
            <v>A1.0329</v>
          </cell>
        </row>
        <row r="1267">
          <cell r="D1267" t="str">
            <v>A1.4679</v>
          </cell>
        </row>
        <row r="1268">
          <cell r="D1268" t="str">
            <v>A1.4680</v>
          </cell>
        </row>
        <row r="1269">
          <cell r="D1269" t="str">
            <v>A1.4681</v>
          </cell>
          <cell r="E1269" t="str">
            <v>A1.1813</v>
          </cell>
        </row>
        <row r="1270">
          <cell r="D1270" t="str">
            <v>A1.4682</v>
          </cell>
        </row>
        <row r="1271">
          <cell r="D1271" t="str">
            <v>A1.4683</v>
          </cell>
        </row>
        <row r="1272">
          <cell r="D1272" t="str">
            <v>A1.4683</v>
          </cell>
        </row>
        <row r="1273">
          <cell r="D1273" t="str">
            <v>A1.4684</v>
          </cell>
        </row>
        <row r="1274">
          <cell r="D1274" t="str">
            <v>A1.4685</v>
          </cell>
          <cell r="E1274" t="str">
            <v>A1.1439</v>
          </cell>
        </row>
        <row r="1275">
          <cell r="D1275" t="str">
            <v>A1.4685</v>
          </cell>
        </row>
        <row r="1276">
          <cell r="D1276" t="str">
            <v>A1.4685</v>
          </cell>
        </row>
        <row r="1277">
          <cell r="D1277" t="str">
            <v>A1.4686</v>
          </cell>
        </row>
        <row r="1278">
          <cell r="D1278" t="str">
            <v>A1.4687</v>
          </cell>
          <cell r="E1278" t="str">
            <v>A1.1440</v>
          </cell>
        </row>
        <row r="1279">
          <cell r="D1279" t="str">
            <v>A1.4688</v>
          </cell>
        </row>
        <row r="1280">
          <cell r="D1280" t="str">
            <v>A1.4688</v>
          </cell>
          <cell r="E1280" t="str">
            <v>A1.1758</v>
          </cell>
        </row>
        <row r="1281">
          <cell r="D1281" t="str">
            <v>A1.4689</v>
          </cell>
          <cell r="E1281" t="str">
            <v>A1.1414</v>
          </cell>
        </row>
        <row r="1282">
          <cell r="D1282" t="str">
            <v>A1.4689</v>
          </cell>
        </row>
        <row r="1283">
          <cell r="D1283" t="str">
            <v>A5.4690</v>
          </cell>
          <cell r="E1283" t="str">
            <v>A5.1760</v>
          </cell>
        </row>
        <row r="1284">
          <cell r="D1284" t="str">
            <v>A5.4691</v>
          </cell>
          <cell r="E1284" t="str">
            <v>A5.0509</v>
          </cell>
        </row>
        <row r="1285">
          <cell r="D1285" t="str">
            <v>A5.4692</v>
          </cell>
          <cell r="E1285" t="str">
            <v>A5.1841</v>
          </cell>
        </row>
        <row r="1286">
          <cell r="D1286" t="str">
            <v>A5.4693</v>
          </cell>
          <cell r="E1286" t="str">
            <v>A5.1842</v>
          </cell>
        </row>
        <row r="1287">
          <cell r="D1287" t="str">
            <v>A5.4694</v>
          </cell>
          <cell r="E1287" t="str">
            <v>A5.0508</v>
          </cell>
        </row>
        <row r="1288">
          <cell r="D1288" t="str">
            <v>A1.4695</v>
          </cell>
        </row>
        <row r="1289">
          <cell r="D1289" t="str">
            <v>A1.4696</v>
          </cell>
          <cell r="E1289" t="str">
            <v>A1.1462</v>
          </cell>
        </row>
        <row r="1290">
          <cell r="D1290" t="str">
            <v>A5.4697</v>
          </cell>
        </row>
        <row r="1291">
          <cell r="D1291" t="str">
            <v>A1.4698</v>
          </cell>
        </row>
        <row r="1292">
          <cell r="D1292" t="str">
            <v>A5.4698</v>
          </cell>
        </row>
        <row r="1293">
          <cell r="D1293" t="str">
            <v>A5.4698</v>
          </cell>
        </row>
        <row r="1294">
          <cell r="D1294" t="str">
            <v>A1.4699</v>
          </cell>
        </row>
        <row r="1295">
          <cell r="D1295" t="str">
            <v>A5.4699</v>
          </cell>
        </row>
        <row r="1296">
          <cell r="D1296" t="str">
            <v>A5.4700</v>
          </cell>
          <cell r="E1296" t="str">
            <v>A5.1236</v>
          </cell>
        </row>
        <row r="1297">
          <cell r="D1297" t="str">
            <v>A1.4701</v>
          </cell>
          <cell r="E1297" t="str">
            <v>A1.1944</v>
          </cell>
        </row>
        <row r="1298">
          <cell r="D1298" t="str">
            <v>A1.4702</v>
          </cell>
        </row>
        <row r="1299">
          <cell r="D1299" t="str">
            <v>A1.4703</v>
          </cell>
        </row>
        <row r="1300">
          <cell r="D1300" t="str">
            <v>A5.4703</v>
          </cell>
        </row>
        <row r="1301">
          <cell r="D1301" t="str">
            <v>A5.4703</v>
          </cell>
        </row>
        <row r="1302">
          <cell r="D1302" t="str">
            <v>A5.4703</v>
          </cell>
        </row>
        <row r="1303">
          <cell r="D1303" t="str">
            <v>A5.4704</v>
          </cell>
        </row>
        <row r="1304">
          <cell r="D1304" t="str">
            <v>A5.4705</v>
          </cell>
        </row>
        <row r="1305">
          <cell r="D1305" t="str">
            <v>A5.4706</v>
          </cell>
        </row>
        <row r="1306">
          <cell r="D1306" t="str">
            <v>A5.4707</v>
          </cell>
        </row>
        <row r="1307">
          <cell r="D1307" t="str">
            <v>A5.4708</v>
          </cell>
        </row>
        <row r="1308">
          <cell r="D1308" t="str">
            <v>A5.4709</v>
          </cell>
        </row>
        <row r="1309">
          <cell r="D1309" t="str">
            <v>A5.4710</v>
          </cell>
        </row>
        <row r="1310">
          <cell r="D1310" t="str">
            <v>A5.4711</v>
          </cell>
        </row>
        <row r="1311">
          <cell r="D1311" t="str">
            <v>A5.4712</v>
          </cell>
          <cell r="E1311" t="str">
            <v>A5.0007</v>
          </cell>
        </row>
        <row r="1312">
          <cell r="D1312" t="str">
            <v>A5.4713</v>
          </cell>
          <cell r="E1312" t="str">
            <v>A5.1348</v>
          </cell>
        </row>
        <row r="1313">
          <cell r="D1313" t="str">
            <v>A5.4714</v>
          </cell>
          <cell r="E1313" t="str">
            <v>A5.0003</v>
          </cell>
        </row>
        <row r="1314">
          <cell r="D1314" t="str">
            <v>A5.4715</v>
          </cell>
          <cell r="E1314" t="str">
            <v>A5.0015</v>
          </cell>
        </row>
        <row r="1315">
          <cell r="D1315" t="str">
            <v>A5.4716</v>
          </cell>
          <cell r="E1315" t="str">
            <v>A5.1400</v>
          </cell>
        </row>
        <row r="1316">
          <cell r="D1316" t="str">
            <v>A5.4717</v>
          </cell>
          <cell r="E1316" t="str">
            <v>A5.0901</v>
          </cell>
        </row>
        <row r="1317">
          <cell r="D1317" t="str">
            <v>A5.4718</v>
          </cell>
          <cell r="E1317" t="str">
            <v>A5.1232</v>
          </cell>
        </row>
        <row r="1318">
          <cell r="D1318" t="str">
            <v>A5.4719</v>
          </cell>
          <cell r="E1318" t="str">
            <v>A5.1754</v>
          </cell>
        </row>
        <row r="1319">
          <cell r="D1319" t="str">
            <v>A5.4720</v>
          </cell>
          <cell r="E1319" t="str">
            <v>A5.1404</v>
          </cell>
        </row>
        <row r="1320">
          <cell r="D1320" t="str">
            <v>A5.4721</v>
          </cell>
          <cell r="E1320" t="str">
            <v>A5.1792</v>
          </cell>
        </row>
        <row r="1321">
          <cell r="D1321" t="str">
            <v>A5.4722</v>
          </cell>
          <cell r="E1321" t="str">
            <v>A5.1915</v>
          </cell>
        </row>
        <row r="1322">
          <cell r="D1322" t="str">
            <v>A1.4723</v>
          </cell>
        </row>
        <row r="1323">
          <cell r="D1323" t="str">
            <v>A5.4723</v>
          </cell>
        </row>
        <row r="1324">
          <cell r="D1324" t="str">
            <v>A1.4724</v>
          </cell>
        </row>
        <row r="1325">
          <cell r="D1325" t="str">
            <v>A5.4724</v>
          </cell>
        </row>
        <row r="1326">
          <cell r="D1326" t="str">
            <v>A5.4725</v>
          </cell>
        </row>
        <row r="1327">
          <cell r="D1327" t="str">
            <v>A5.4726</v>
          </cell>
        </row>
        <row r="1328">
          <cell r="D1328" t="str">
            <v>A5.4727</v>
          </cell>
        </row>
        <row r="1329">
          <cell r="D1329" t="str">
            <v>A1.4728</v>
          </cell>
          <cell r="E1329" t="str">
            <v>A1.1714</v>
          </cell>
        </row>
        <row r="1330">
          <cell r="D1330" t="str">
            <v>A1.4729</v>
          </cell>
          <cell r="E1330" t="str">
            <v>A1.1715</v>
          </cell>
        </row>
        <row r="1331">
          <cell r="D1331" t="str">
            <v>A5.4730</v>
          </cell>
          <cell r="E1331" t="str">
            <v>A5.0013</v>
          </cell>
        </row>
        <row r="1332">
          <cell r="D1332" t="str">
            <v>A5.4731</v>
          </cell>
          <cell r="E1332" t="str">
            <v>A5.0012</v>
          </cell>
        </row>
        <row r="1333">
          <cell r="D1333" t="str">
            <v>A5.4732</v>
          </cell>
          <cell r="E1333" t="str">
            <v>A5.1838</v>
          </cell>
        </row>
        <row r="1334">
          <cell r="D1334" t="str">
            <v>A5.4733</v>
          </cell>
          <cell r="E1334" t="str">
            <v>A5.1829</v>
          </cell>
        </row>
        <row r="1335">
          <cell r="D1335" t="str">
            <v>A5.4734</v>
          </cell>
          <cell r="E1335" t="str">
            <v>A5.1917</v>
          </cell>
        </row>
        <row r="1336">
          <cell r="D1336" t="str">
            <v>A1.4735</v>
          </cell>
        </row>
        <row r="1337">
          <cell r="D1337" t="str">
            <v>A1.4736</v>
          </cell>
          <cell r="E1337" t="str">
            <v>A1.1510</v>
          </cell>
        </row>
        <row r="1338">
          <cell r="D1338" t="str">
            <v>A1.4737</v>
          </cell>
        </row>
        <row r="1339">
          <cell r="D1339" t="str">
            <v>A1.4738</v>
          </cell>
          <cell r="E1339" t="str">
            <v>A1.0779</v>
          </cell>
        </row>
        <row r="1340">
          <cell r="D1340" t="str">
            <v>A1.4739</v>
          </cell>
        </row>
        <row r="1341">
          <cell r="D1341" t="str">
            <v>A1.4739</v>
          </cell>
        </row>
        <row r="1342">
          <cell r="D1342" t="str">
            <v>A1.4740</v>
          </cell>
          <cell r="E1342" t="str">
            <v>A1.0545</v>
          </cell>
        </row>
        <row r="1343">
          <cell r="D1343" t="str">
            <v>A1.4740</v>
          </cell>
        </row>
        <row r="1344">
          <cell r="D1344" t="str">
            <v>A1.4741</v>
          </cell>
        </row>
        <row r="1345">
          <cell r="D1345" t="str">
            <v>A1.4742</v>
          </cell>
          <cell r="E1345" t="str">
            <v>A1.1996</v>
          </cell>
        </row>
        <row r="1346">
          <cell r="D1346" t="str">
            <v>A1.4743</v>
          </cell>
          <cell r="E1346" t="str">
            <v>A1.1904</v>
          </cell>
        </row>
        <row r="1347">
          <cell r="D1347" t="str">
            <v>A1.4744</v>
          </cell>
          <cell r="E1347" t="str">
            <v>A1.2000</v>
          </cell>
        </row>
        <row r="1348">
          <cell r="D1348" t="str">
            <v>A1.4745</v>
          </cell>
          <cell r="E1348" t="str">
            <v>A1.2007</v>
          </cell>
        </row>
        <row r="1349">
          <cell r="D1349" t="str">
            <v>A1.4746</v>
          </cell>
        </row>
        <row r="1350">
          <cell r="D1350" t="str">
            <v>A1.4746</v>
          </cell>
        </row>
        <row r="1351">
          <cell r="D1351" t="str">
            <v>A1.4747</v>
          </cell>
        </row>
        <row r="1352">
          <cell r="D1352" t="str">
            <v>A1.4748</v>
          </cell>
        </row>
        <row r="1353">
          <cell r="D1353" t="str">
            <v>A1.4749</v>
          </cell>
          <cell r="E1353" t="str">
            <v>A1.1471</v>
          </cell>
        </row>
        <row r="1354">
          <cell r="D1354" t="str">
            <v>A1.4749</v>
          </cell>
        </row>
        <row r="1355">
          <cell r="D1355" t="str">
            <v>A1.4750</v>
          </cell>
        </row>
        <row r="1356">
          <cell r="D1356" t="str">
            <v>A1.4750</v>
          </cell>
        </row>
        <row r="1357">
          <cell r="D1357" t="str">
            <v>A1.4751</v>
          </cell>
          <cell r="E1357" t="str">
            <v>A1.0852</v>
          </cell>
        </row>
        <row r="1358">
          <cell r="D1358" t="str">
            <v>A1.4752</v>
          </cell>
        </row>
        <row r="1359">
          <cell r="D1359" t="str">
            <v>A1.4753</v>
          </cell>
        </row>
        <row r="1360">
          <cell r="D1360" t="str">
            <v>A1.4753</v>
          </cell>
        </row>
        <row r="1361">
          <cell r="D1361" t="str">
            <v>A1.4754</v>
          </cell>
        </row>
        <row r="1362">
          <cell r="D1362" t="str">
            <v>A1.4755</v>
          </cell>
        </row>
        <row r="1363">
          <cell r="D1363" t="str">
            <v>A1.4756</v>
          </cell>
        </row>
        <row r="1364">
          <cell r="D1364" t="str">
            <v>A1.4757</v>
          </cell>
          <cell r="E1364" t="str">
            <v>A1.1601</v>
          </cell>
        </row>
        <row r="1365">
          <cell r="D1365" t="str">
            <v>A1.4757</v>
          </cell>
          <cell r="E1365" t="str">
            <v>A1.1601</v>
          </cell>
        </row>
        <row r="1366">
          <cell r="D1366" t="str">
            <v>A1.4758</v>
          </cell>
        </row>
        <row r="1367">
          <cell r="D1367" t="str">
            <v>A1.4758</v>
          </cell>
          <cell r="E1367" t="str">
            <v>A1.1467</v>
          </cell>
        </row>
        <row r="1368">
          <cell r="D1368" t="str">
            <v>A1.4759</v>
          </cell>
        </row>
        <row r="1369">
          <cell r="D1369" t="str">
            <v>A1.4759</v>
          </cell>
          <cell r="E1369" t="str">
            <v>A1.0856</v>
          </cell>
        </row>
        <row r="1370">
          <cell r="D1370" t="str">
            <v>A1.4760</v>
          </cell>
          <cell r="E1370" t="str">
            <v>A1.1564</v>
          </cell>
        </row>
        <row r="1371">
          <cell r="D1371" t="str">
            <v>A1.4760</v>
          </cell>
          <cell r="E1371" t="str">
            <v>A1.1564</v>
          </cell>
        </row>
        <row r="1372">
          <cell r="D1372" t="str">
            <v>A1.4761</v>
          </cell>
        </row>
        <row r="1373">
          <cell r="D1373" t="str">
            <v>A1.4762</v>
          </cell>
        </row>
        <row r="1374">
          <cell r="D1374" t="str">
            <v>A1.4763</v>
          </cell>
        </row>
        <row r="1375">
          <cell r="D1375" t="str">
            <v>A1.4764</v>
          </cell>
          <cell r="E1375" t="str">
            <v>A1.2001</v>
          </cell>
        </row>
        <row r="1376">
          <cell r="D1376" t="str">
            <v>A1.4765</v>
          </cell>
          <cell r="E1376" t="str">
            <v>A1.2002</v>
          </cell>
        </row>
        <row r="1377">
          <cell r="D1377" t="str">
            <v>A5.4766</v>
          </cell>
        </row>
        <row r="1378">
          <cell r="D1378" t="str">
            <v>A5.4767</v>
          </cell>
        </row>
        <row r="1379">
          <cell r="D1379" t="str">
            <v>A1.4768</v>
          </cell>
          <cell r="E1379" t="str">
            <v>A1.1343</v>
          </cell>
        </row>
        <row r="1380">
          <cell r="D1380" t="str">
            <v>A1.4769</v>
          </cell>
        </row>
        <row r="1381">
          <cell r="D1381" t="str">
            <v>A1.4769</v>
          </cell>
        </row>
        <row r="1382">
          <cell r="D1382" t="str">
            <v>A1.4769</v>
          </cell>
        </row>
        <row r="1383">
          <cell r="D1383" t="str">
            <v>A1.4769</v>
          </cell>
        </row>
        <row r="1384">
          <cell r="D1384" t="str">
            <v>A1.4770</v>
          </cell>
          <cell r="E1384" t="str">
            <v>A1.1422</v>
          </cell>
        </row>
        <row r="1385">
          <cell r="D1385" t="str">
            <v>A1.4771</v>
          </cell>
        </row>
        <row r="1386">
          <cell r="D1386" t="str">
            <v>A1.4771</v>
          </cell>
        </row>
        <row r="1387">
          <cell r="D1387" t="str">
            <v>A1.4771</v>
          </cell>
        </row>
        <row r="1388">
          <cell r="D1388" t="str">
            <v>A1.4771</v>
          </cell>
        </row>
        <row r="1389">
          <cell r="D1389" t="str">
            <v>A1.4772</v>
          </cell>
        </row>
        <row r="1390">
          <cell r="D1390" t="str">
            <v>A1.4772</v>
          </cell>
        </row>
        <row r="1391">
          <cell r="D1391" t="str">
            <v>A1.4773</v>
          </cell>
          <cell r="E1391" t="str">
            <v>A1.1833</v>
          </cell>
        </row>
        <row r="1392">
          <cell r="D1392" t="str">
            <v>A1.4774</v>
          </cell>
          <cell r="E1392" t="str">
            <v>A1.1695</v>
          </cell>
        </row>
        <row r="1393">
          <cell r="D1393" t="str">
            <v>A1.4775</v>
          </cell>
          <cell r="E1393" t="str">
            <v>A1.0925</v>
          </cell>
        </row>
        <row r="1394">
          <cell r="D1394" t="str">
            <v>A5.4776</v>
          </cell>
        </row>
        <row r="1395">
          <cell r="D1395" t="str">
            <v>A5.4777</v>
          </cell>
        </row>
        <row r="1396">
          <cell r="D1396" t="str">
            <v>A5.4778</v>
          </cell>
        </row>
        <row r="1397">
          <cell r="D1397" t="str">
            <v>A5.4778</v>
          </cell>
        </row>
        <row r="1398">
          <cell r="D1398" t="str">
            <v>A1.4779</v>
          </cell>
        </row>
        <row r="1399">
          <cell r="D1399" t="str">
            <v>A5.4779</v>
          </cell>
        </row>
        <row r="1400">
          <cell r="D1400" t="str">
            <v>A5.4780</v>
          </cell>
        </row>
        <row r="1401">
          <cell r="D1401" t="str">
            <v>A1.4781</v>
          </cell>
        </row>
        <row r="1402">
          <cell r="D1402" t="str">
            <v>A5.4782</v>
          </cell>
        </row>
        <row r="1403">
          <cell r="D1403" t="str">
            <v>A5.4783</v>
          </cell>
        </row>
        <row r="1404">
          <cell r="D1404" t="str">
            <v>A5.4784</v>
          </cell>
        </row>
        <row r="1405">
          <cell r="D1405" t="str">
            <v>A5.4784</v>
          </cell>
        </row>
        <row r="1406">
          <cell r="D1406" t="str">
            <v>A5.4784</v>
          </cell>
        </row>
        <row r="1407">
          <cell r="D1407" t="str">
            <v>A1.4785</v>
          </cell>
          <cell r="E1407" t="str">
            <v>A1.1740</v>
          </cell>
        </row>
        <row r="1408">
          <cell r="D1408" t="str">
            <v>A1.4785</v>
          </cell>
          <cell r="E1408" t="str">
            <v>A1.1740</v>
          </cell>
        </row>
        <row r="1409">
          <cell r="D1409" t="str">
            <v>A1.4786</v>
          </cell>
          <cell r="E1409" t="str">
            <v>A1.1646</v>
          </cell>
        </row>
        <row r="1410">
          <cell r="D1410" t="str">
            <v>A1.4787</v>
          </cell>
          <cell r="E1410" t="str">
            <v>A1.1470</v>
          </cell>
        </row>
        <row r="1411">
          <cell r="D1411" t="str">
            <v>A1.4787</v>
          </cell>
        </row>
        <row r="1412">
          <cell r="D1412" t="str">
            <v>A1.4788</v>
          </cell>
          <cell r="E1412" t="str">
            <v>A1.1486</v>
          </cell>
        </row>
        <row r="1413">
          <cell r="D1413" t="str">
            <v>A1.4789</v>
          </cell>
          <cell r="E1413" t="str">
            <v>A1.1716</v>
          </cell>
        </row>
        <row r="1414">
          <cell r="D1414" t="str">
            <v>A5.4790</v>
          </cell>
        </row>
        <row r="1415">
          <cell r="D1415" t="str">
            <v>A5.4791</v>
          </cell>
        </row>
        <row r="1416">
          <cell r="D1416" t="str">
            <v>A1.4792</v>
          </cell>
          <cell r="E1416" t="str">
            <v>A1.1291</v>
          </cell>
        </row>
        <row r="1417">
          <cell r="D1417" t="str">
            <v>A1.4535</v>
          </cell>
          <cell r="E1417" t="str">
            <v>A1.0817</v>
          </cell>
        </row>
        <row r="1418">
          <cell r="D1418" t="str">
            <v>A1.4793</v>
          </cell>
          <cell r="E1418" t="str">
            <v>A1.0859</v>
          </cell>
        </row>
        <row r="1419">
          <cell r="D1419" t="str">
            <v>A1.4794</v>
          </cell>
          <cell r="E1419" t="str">
            <v>A1.1686</v>
          </cell>
        </row>
        <row r="1420">
          <cell r="D1420" t="str">
            <v>A1.4795</v>
          </cell>
          <cell r="E1420" t="str">
            <v>A1.1385</v>
          </cell>
        </row>
        <row r="1421">
          <cell r="D1421" t="str">
            <v>A1.4796</v>
          </cell>
          <cell r="E1421" t="str">
            <v>A1.1269</v>
          </cell>
        </row>
        <row r="1422">
          <cell r="D1422" t="str">
            <v>A1.4796</v>
          </cell>
          <cell r="E1422" t="str">
            <v>A1.1269</v>
          </cell>
        </row>
        <row r="1423">
          <cell r="D1423" t="str">
            <v>A1.4796</v>
          </cell>
        </row>
        <row r="1424">
          <cell r="D1424" t="str">
            <v>A1.4552</v>
          </cell>
        </row>
        <row r="1425">
          <cell r="D1425" t="str">
            <v>A1.4552</v>
          </cell>
        </row>
        <row r="1426">
          <cell r="D1426" t="str">
            <v>A1.4552</v>
          </cell>
          <cell r="E1426" t="str">
            <v>A1.1130</v>
          </cell>
        </row>
        <row r="1427">
          <cell r="D1427" t="str">
            <v>A1.4552</v>
          </cell>
          <cell r="E1427" t="str">
            <v>A1.1130</v>
          </cell>
        </row>
        <row r="1428">
          <cell r="D1428" t="str">
            <v>A1.4552</v>
          </cell>
          <cell r="E1428" t="str">
            <v>A1.1130</v>
          </cell>
        </row>
        <row r="1429">
          <cell r="D1429" t="str">
            <v>A1.4552</v>
          </cell>
          <cell r="E1429" t="str">
            <v>A1.1130</v>
          </cell>
        </row>
        <row r="1430">
          <cell r="D1430" t="str">
            <v>A1.4552</v>
          </cell>
        </row>
        <row r="1431">
          <cell r="D1431" t="str">
            <v>A1.4552</v>
          </cell>
        </row>
        <row r="1432">
          <cell r="D1432" t="str">
            <v>A1.4552</v>
          </cell>
        </row>
        <row r="1433">
          <cell r="D1433" t="str">
            <v>A1.4552</v>
          </cell>
        </row>
        <row r="1434">
          <cell r="D1434" t="str">
            <v>A1.4552</v>
          </cell>
        </row>
        <row r="1435">
          <cell r="D1435" t="str">
            <v>A1.4797</v>
          </cell>
          <cell r="E1435" t="str">
            <v>A1.1529</v>
          </cell>
        </row>
        <row r="1436">
          <cell r="D1436" t="str">
            <v>A1.4797</v>
          </cell>
          <cell r="E1436" t="str">
            <v>A1.1529</v>
          </cell>
        </row>
        <row r="1437">
          <cell r="D1437" t="str">
            <v>A1.4798</v>
          </cell>
          <cell r="E1437" t="str">
            <v>A1.1779</v>
          </cell>
        </row>
        <row r="1438">
          <cell r="D1438" t="str">
            <v>A1.4799</v>
          </cell>
          <cell r="E1438" t="str">
            <v>A1.1490</v>
          </cell>
        </row>
        <row r="1439">
          <cell r="D1439" t="str">
            <v>A1.4799</v>
          </cell>
          <cell r="E1439" t="str">
            <v>A1.1490</v>
          </cell>
        </row>
        <row r="1440">
          <cell r="D1440" t="str">
            <v>A1.4799</v>
          </cell>
          <cell r="E1440" t="str">
            <v>A1.1490</v>
          </cell>
        </row>
        <row r="1441">
          <cell r="D1441" t="str">
            <v>A1.4799</v>
          </cell>
        </row>
        <row r="1442">
          <cell r="D1442" t="str">
            <v>A1.4800</v>
          </cell>
          <cell r="E1442" t="str">
            <v>A1.1704</v>
          </cell>
        </row>
        <row r="1443">
          <cell r="D1443" t="str">
            <v>A1.4800</v>
          </cell>
        </row>
        <row r="1444">
          <cell r="D1444" t="str">
            <v>A1.4800</v>
          </cell>
        </row>
        <row r="1445">
          <cell r="D1445" t="str">
            <v>A1.4801</v>
          </cell>
          <cell r="E1445" t="str">
            <v>A1.1763</v>
          </cell>
        </row>
        <row r="1446">
          <cell r="D1446" t="str">
            <v>A1.4801</v>
          </cell>
        </row>
        <row r="1447">
          <cell r="D1447" t="str">
            <v>A1.4802</v>
          </cell>
        </row>
        <row r="1448">
          <cell r="D1448" t="str">
            <v>A1.4803</v>
          </cell>
        </row>
        <row r="1449">
          <cell r="D1449" t="str">
            <v>A1.4803</v>
          </cell>
        </row>
        <row r="1450">
          <cell r="D1450" t="str">
            <v>A1.4803</v>
          </cell>
        </row>
        <row r="1451">
          <cell r="D1451" t="str">
            <v>A1.4803</v>
          </cell>
        </row>
        <row r="1452">
          <cell r="D1452" t="str">
            <v>A1.4803</v>
          </cell>
        </row>
        <row r="1453">
          <cell r="D1453" t="str">
            <v>A1.4803</v>
          </cell>
          <cell r="E1453" t="str">
            <v>A1.1209</v>
          </cell>
        </row>
        <row r="1454">
          <cell r="D1454" t="str">
            <v>A1.4803</v>
          </cell>
          <cell r="E1454" t="str">
            <v>A1.1209</v>
          </cell>
        </row>
        <row r="1455">
          <cell r="D1455" t="str">
            <v>A1.4803</v>
          </cell>
          <cell r="E1455" t="str">
            <v>A1.1209</v>
          </cell>
        </row>
        <row r="1456">
          <cell r="D1456" t="str">
            <v>A1.4803</v>
          </cell>
        </row>
        <row r="1457">
          <cell r="D1457" t="str">
            <v>A1.4803</v>
          </cell>
        </row>
        <row r="1458">
          <cell r="D1458" t="str">
            <v>A1.4804</v>
          </cell>
        </row>
        <row r="1459">
          <cell r="D1459" t="str">
            <v>A1.4805</v>
          </cell>
          <cell r="E1459" t="str">
            <v>A1.1602</v>
          </cell>
        </row>
        <row r="1460">
          <cell r="D1460" t="str">
            <v>A1.4805</v>
          </cell>
        </row>
        <row r="1461">
          <cell r="D1461" t="str">
            <v>A1.4806</v>
          </cell>
          <cell r="E1461" t="str">
            <v>A1.1603</v>
          </cell>
        </row>
        <row r="1462">
          <cell r="D1462" t="str">
            <v>A5.4807</v>
          </cell>
          <cell r="E1462" t="str">
            <v>A5.0444</v>
          </cell>
        </row>
        <row r="1463">
          <cell r="D1463" t="str">
            <v>A5.4808</v>
          </cell>
          <cell r="E1463" t="str">
            <v>A5.1049</v>
          </cell>
        </row>
        <row r="1464">
          <cell r="D1464" t="str">
            <v>A5.4809</v>
          </cell>
          <cell r="E1464" t="str">
            <v>A5.0495</v>
          </cell>
        </row>
        <row r="1465">
          <cell r="D1465" t="str">
            <v>A5.4810</v>
          </cell>
          <cell r="E1465" t="str">
            <v>A5.0051</v>
          </cell>
        </row>
        <row r="1466">
          <cell r="D1466" t="str">
            <v>A5.4811</v>
          </cell>
        </row>
        <row r="1467">
          <cell r="D1467" t="str">
            <v>A5.4812</v>
          </cell>
        </row>
        <row r="1468">
          <cell r="D1468" t="str">
            <v>A5.4813</v>
          </cell>
        </row>
        <row r="1469">
          <cell r="D1469" t="str">
            <v>A5.4814</v>
          </cell>
        </row>
        <row r="1470">
          <cell r="D1470" t="str">
            <v>A5.4815</v>
          </cell>
        </row>
        <row r="1471">
          <cell r="D1471" t="str">
            <v>A5.4816</v>
          </cell>
        </row>
        <row r="1472">
          <cell r="D1472" t="str">
            <v>A5.4817</v>
          </cell>
        </row>
        <row r="1473">
          <cell r="D1473" t="str">
            <v>A5.4818</v>
          </cell>
        </row>
        <row r="1474">
          <cell r="D1474" t="str">
            <v>A5.4819</v>
          </cell>
        </row>
        <row r="1475">
          <cell r="D1475" t="str">
            <v>A5.4820</v>
          </cell>
          <cell r="E1475" t="str">
            <v>A5.1791</v>
          </cell>
        </row>
        <row r="1476">
          <cell r="D1476" t="str">
            <v>A5.4821</v>
          </cell>
          <cell r="E1476" t="str">
            <v>A5.1913</v>
          </cell>
        </row>
        <row r="1477">
          <cell r="D1477" t="str">
            <v>A5.4822</v>
          </cell>
          <cell r="E1477" t="str">
            <v>A5.1819</v>
          </cell>
        </row>
        <row r="1478">
          <cell r="D1478" t="str">
            <v>A5.4823</v>
          </cell>
          <cell r="E1478" t="str">
            <v>A5.1759</v>
          </cell>
        </row>
        <row r="1479">
          <cell r="D1479" t="str">
            <v>A5.4824</v>
          </cell>
          <cell r="E1479" t="str">
            <v>A5.1406</v>
          </cell>
        </row>
        <row r="1480">
          <cell r="D1480" t="str">
            <v>A1.4825</v>
          </cell>
        </row>
        <row r="1481">
          <cell r="D1481" t="str">
            <v>A5.4825</v>
          </cell>
        </row>
        <row r="1482">
          <cell r="D1482" t="str">
            <v>A1.4826</v>
          </cell>
        </row>
        <row r="1483">
          <cell r="D1483" t="str">
            <v>A5.4826</v>
          </cell>
        </row>
        <row r="1484">
          <cell r="D1484" t="str">
            <v>A1.4827</v>
          </cell>
        </row>
        <row r="1485">
          <cell r="D1485" t="str">
            <v>A5.4827</v>
          </cell>
        </row>
        <row r="1486">
          <cell r="D1486" t="str">
            <v>A1.4828</v>
          </cell>
        </row>
        <row r="1487">
          <cell r="D1487" t="str">
            <v>A5.4828</v>
          </cell>
        </row>
        <row r="1488">
          <cell r="D1488" t="str">
            <v>A5.4829</v>
          </cell>
          <cell r="E1488" t="str">
            <v>A5.0874</v>
          </cell>
        </row>
        <row r="1489">
          <cell r="D1489" t="str">
            <v>A5.4830</v>
          </cell>
          <cell r="E1489" t="str">
            <v>A5.0233</v>
          </cell>
        </row>
        <row r="1490">
          <cell r="D1490" t="str">
            <v>A5.4831</v>
          </cell>
          <cell r="E1490" t="str">
            <v>A5.0111</v>
          </cell>
        </row>
        <row r="1491">
          <cell r="D1491" t="str">
            <v>A5.4832</v>
          </cell>
          <cell r="E1491" t="str">
            <v>A5.0877</v>
          </cell>
        </row>
        <row r="1492">
          <cell r="D1492" t="str">
            <v>A5.4833</v>
          </cell>
          <cell r="E1492" t="str">
            <v>A5.0110</v>
          </cell>
        </row>
        <row r="1493">
          <cell r="D1493" t="str">
            <v>A5.4834</v>
          </cell>
          <cell r="E1493" t="str">
            <v>A5.0010</v>
          </cell>
        </row>
        <row r="1494">
          <cell r="D1494" t="str">
            <v>A5.4835</v>
          </cell>
          <cell r="E1494" t="str">
            <v>A5.0873</v>
          </cell>
        </row>
        <row r="1495">
          <cell r="D1495" t="str">
            <v>A5.4836</v>
          </cell>
          <cell r="E1495" t="str">
            <v>A5.0237</v>
          </cell>
        </row>
        <row r="1496">
          <cell r="D1496" t="str">
            <v>A5.4837</v>
          </cell>
          <cell r="E1496" t="str">
            <v>A5.0875</v>
          </cell>
        </row>
        <row r="1497">
          <cell r="D1497" t="str">
            <v>A5.4838</v>
          </cell>
          <cell r="E1497" t="str">
            <v>A5.0001</v>
          </cell>
        </row>
        <row r="1498">
          <cell r="D1498" t="str">
            <v>A5.4839</v>
          </cell>
          <cell r="E1498" t="str">
            <v>A5.0240</v>
          </cell>
        </row>
        <row r="1499">
          <cell r="D1499" t="str">
            <v>A5.4840</v>
          </cell>
          <cell r="E1499" t="str">
            <v>A5.0011</v>
          </cell>
        </row>
        <row r="1500">
          <cell r="D1500" t="str">
            <v>A5.4841</v>
          </cell>
        </row>
        <row r="1501">
          <cell r="D1501" t="str">
            <v>A5.4841</v>
          </cell>
        </row>
        <row r="1502">
          <cell r="D1502" t="str">
            <v>A5.4842</v>
          </cell>
        </row>
        <row r="1503">
          <cell r="D1503" t="str">
            <v>A5.4843</v>
          </cell>
        </row>
        <row r="1504">
          <cell r="D1504" t="str">
            <v>A5.4844</v>
          </cell>
        </row>
        <row r="1505">
          <cell r="D1505" t="str">
            <v>A1.4845</v>
          </cell>
        </row>
        <row r="1506">
          <cell r="D1506" t="str">
            <v>A5.4845</v>
          </cell>
        </row>
        <row r="1507">
          <cell r="D1507" t="str">
            <v>A5.4845</v>
          </cell>
        </row>
        <row r="1508">
          <cell r="D1508" t="str">
            <v>A5.4845</v>
          </cell>
        </row>
        <row r="1509">
          <cell r="D1509" t="str">
            <v>A1.4846</v>
          </cell>
        </row>
        <row r="1510">
          <cell r="D1510" t="str">
            <v>A5.4846</v>
          </cell>
        </row>
        <row r="1511">
          <cell r="D1511" t="str">
            <v>A5.4847</v>
          </cell>
        </row>
        <row r="1512">
          <cell r="D1512" t="str">
            <v>A5.4847</v>
          </cell>
        </row>
        <row r="1513">
          <cell r="D1513" t="str">
            <v>A1.4881</v>
          </cell>
        </row>
        <row r="1514">
          <cell r="D1514" t="str">
            <v>A5.4881</v>
          </cell>
        </row>
        <row r="1515">
          <cell r="D1515" t="str">
            <v>A1.4882</v>
          </cell>
        </row>
        <row r="1516">
          <cell r="D1516" t="str">
            <v>A5.4883</v>
          </cell>
        </row>
        <row r="1517">
          <cell r="D1517" t="str">
            <v>A1.4884</v>
          </cell>
        </row>
        <row r="1518">
          <cell r="D1518" t="str">
            <v>A5.4884</v>
          </cell>
        </row>
        <row r="1519">
          <cell r="D1519" t="str">
            <v>A1.4885</v>
          </cell>
        </row>
        <row r="1520">
          <cell r="D1520" t="str">
            <v>A5.4885</v>
          </cell>
        </row>
        <row r="1521">
          <cell r="D1521" t="str">
            <v>A5.4886</v>
          </cell>
        </row>
        <row r="1522">
          <cell r="D1522" t="str">
            <v>A5.4887</v>
          </cell>
        </row>
        <row r="1523">
          <cell r="D1523" t="str">
            <v>A5.4888</v>
          </cell>
        </row>
        <row r="1524">
          <cell r="D1524" t="str">
            <v>A5.4888</v>
          </cell>
        </row>
        <row r="1525">
          <cell r="D1525" t="str">
            <v>A5.4889</v>
          </cell>
        </row>
        <row r="1526">
          <cell r="D1526" t="str">
            <v>A5.4890</v>
          </cell>
          <cell r="E1526" t="str">
            <v>A5.0496</v>
          </cell>
        </row>
        <row r="1527">
          <cell r="D1527" t="str">
            <v>A5.4891</v>
          </cell>
        </row>
        <row r="1528">
          <cell r="D1528" t="str">
            <v>A5.4892</v>
          </cell>
        </row>
        <row r="1529">
          <cell r="D1529" t="str">
            <v>A5.4893</v>
          </cell>
        </row>
        <row r="1530">
          <cell r="D1530" t="str">
            <v>A5.4894</v>
          </cell>
        </row>
        <row r="1531">
          <cell r="D1531" t="str">
            <v>A5.4895</v>
          </cell>
        </row>
        <row r="1532">
          <cell r="D1532" t="str">
            <v>A5.4895</v>
          </cell>
        </row>
        <row r="1533">
          <cell r="D1533" t="str">
            <v>A5.4895</v>
          </cell>
        </row>
        <row r="1534">
          <cell r="D1534" t="str">
            <v>A1.4896</v>
          </cell>
        </row>
        <row r="1535">
          <cell r="D1535" t="str">
            <v>A5.4896</v>
          </cell>
        </row>
        <row r="1536">
          <cell r="D1536" t="str">
            <v>A1.4897</v>
          </cell>
        </row>
        <row r="1537">
          <cell r="D1537" t="str">
            <v>A5.4897</v>
          </cell>
        </row>
        <row r="1538">
          <cell r="D1538" t="str">
            <v>A5.4897</v>
          </cell>
        </row>
        <row r="1539">
          <cell r="D1539" t="str">
            <v>A5.4897</v>
          </cell>
        </row>
        <row r="1540">
          <cell r="D1540" t="str">
            <v>A5.4898</v>
          </cell>
        </row>
        <row r="1541">
          <cell r="D1541" t="str">
            <v>A5.4899</v>
          </cell>
        </row>
        <row r="1542">
          <cell r="D1542" t="str">
            <v>A5.4900</v>
          </cell>
        </row>
        <row r="1543">
          <cell r="D1543" t="str">
            <v>A5.4901</v>
          </cell>
        </row>
        <row r="1544">
          <cell r="D1544" t="str">
            <v>A1.4902</v>
          </cell>
        </row>
        <row r="1545">
          <cell r="D1545" t="str">
            <v>A5.4902</v>
          </cell>
        </row>
        <row r="1546">
          <cell r="D1546" t="str">
            <v>A5.4902</v>
          </cell>
        </row>
        <row r="1547">
          <cell r="D1547" t="str">
            <v>A5.4902</v>
          </cell>
        </row>
        <row r="1548">
          <cell r="D1548" t="str">
            <v>A5.4903</v>
          </cell>
        </row>
        <row r="1549">
          <cell r="D1549" t="str">
            <v>A5.4904</v>
          </cell>
        </row>
        <row r="1550">
          <cell r="D1550" t="str">
            <v>A5.4904</v>
          </cell>
        </row>
        <row r="1551">
          <cell r="D1551" t="str">
            <v>A5.4905</v>
          </cell>
        </row>
        <row r="1552">
          <cell r="D1552" t="str">
            <v>A5.4906</v>
          </cell>
        </row>
        <row r="1553">
          <cell r="D1553" t="str">
            <v>A5.4907</v>
          </cell>
        </row>
        <row r="1554">
          <cell r="D1554" t="str">
            <v>A5.4908</v>
          </cell>
        </row>
        <row r="1555">
          <cell r="D1555" t="str">
            <v>A5.4909</v>
          </cell>
        </row>
        <row r="1556">
          <cell r="D1556" t="str">
            <v>A5.4910</v>
          </cell>
        </row>
        <row r="1557">
          <cell r="D1557" t="str">
            <v>A5.4911</v>
          </cell>
        </row>
        <row r="1558">
          <cell r="D1558" t="str">
            <v>A5.4911</v>
          </cell>
        </row>
        <row r="1559">
          <cell r="D1559" t="str">
            <v>A5.4912</v>
          </cell>
        </row>
        <row r="1560">
          <cell r="D1560" t="str">
            <v>A5.4913</v>
          </cell>
        </row>
        <row r="1561">
          <cell r="D1561" t="str">
            <v>A5.4914</v>
          </cell>
        </row>
        <row r="1562">
          <cell r="D1562" t="str">
            <v>A5.4915</v>
          </cell>
        </row>
        <row r="1563">
          <cell r="D1563" t="str">
            <v>A5.4916</v>
          </cell>
        </row>
        <row r="1564">
          <cell r="D1564" t="str">
            <v>A5.4917</v>
          </cell>
        </row>
        <row r="1565">
          <cell r="D1565" t="str">
            <v>A5.4918</v>
          </cell>
        </row>
        <row r="1566">
          <cell r="D1566" t="str">
            <v>A5.4919</v>
          </cell>
        </row>
        <row r="1567">
          <cell r="D1567" t="str">
            <v>A1.4920</v>
          </cell>
        </row>
        <row r="1568">
          <cell r="D1568" t="str">
            <v>A1.4921</v>
          </cell>
        </row>
        <row r="1569">
          <cell r="D1569" t="str">
            <v>A1.4922</v>
          </cell>
        </row>
        <row r="1570">
          <cell r="D1570" t="str">
            <v>A1.4923</v>
          </cell>
        </row>
        <row r="1571">
          <cell r="D1571" t="str">
            <v>A5.4924</v>
          </cell>
        </row>
        <row r="1572">
          <cell r="D1572" t="str">
            <v>A5.4925</v>
          </cell>
        </row>
        <row r="1573">
          <cell r="D1573" t="str">
            <v>A5.4925</v>
          </cell>
        </row>
        <row r="1574">
          <cell r="D1574" t="str">
            <v>A5.4926</v>
          </cell>
        </row>
        <row r="1575">
          <cell r="D1575" t="str">
            <v>A1.4927</v>
          </cell>
        </row>
        <row r="1576">
          <cell r="D1576" t="str">
            <v>A5.4927</v>
          </cell>
        </row>
        <row r="1577">
          <cell r="D1577" t="str">
            <v>A1.4928</v>
          </cell>
        </row>
        <row r="1578">
          <cell r="D1578" t="str">
            <v>A5.4928</v>
          </cell>
        </row>
        <row r="1579">
          <cell r="D1579" t="str">
            <v>A5.4929</v>
          </cell>
        </row>
        <row r="1580">
          <cell r="D1580" t="str">
            <v>A5.4929</v>
          </cell>
        </row>
        <row r="1581">
          <cell r="D1581" t="str">
            <v>A5.4930</v>
          </cell>
        </row>
        <row r="1582">
          <cell r="D1582" t="str">
            <v>A5.4931</v>
          </cell>
        </row>
        <row r="1583">
          <cell r="D1583" t="str">
            <v>A5.4931</v>
          </cell>
        </row>
        <row r="1584">
          <cell r="D1584" t="str">
            <v>A5.4931</v>
          </cell>
        </row>
        <row r="1585">
          <cell r="D1585" t="str">
            <v>A5.4932</v>
          </cell>
        </row>
        <row r="1586">
          <cell r="D1586" t="str">
            <v>A1.4933</v>
          </cell>
        </row>
        <row r="1587">
          <cell r="D1587" t="str">
            <v>A5.4933</v>
          </cell>
        </row>
        <row r="1588">
          <cell r="D1588" t="str">
            <v>A5.4934</v>
          </cell>
        </row>
        <row r="1589">
          <cell r="D1589" t="str">
            <v>A5.4935</v>
          </cell>
        </row>
        <row r="1590">
          <cell r="D1590" t="str">
            <v>A5.4936</v>
          </cell>
        </row>
        <row r="1591">
          <cell r="D1591" t="str">
            <v>A5.4937</v>
          </cell>
        </row>
        <row r="1592">
          <cell r="D1592" t="str">
            <v>A5.4938</v>
          </cell>
        </row>
        <row r="1593">
          <cell r="D1593" t="str">
            <v>A1.4939</v>
          </cell>
        </row>
        <row r="1594">
          <cell r="D1594" t="str">
            <v>A1.4939</v>
          </cell>
        </row>
        <row r="1595">
          <cell r="D1595" t="str">
            <v>A5.4939</v>
          </cell>
        </row>
        <row r="1596">
          <cell r="D1596" t="str">
            <v>A1.4940</v>
          </cell>
        </row>
        <row r="1597">
          <cell r="D1597" t="str">
            <v>A1.4941</v>
          </cell>
          <cell r="E1597" t="str">
            <v>A1.1298</v>
          </cell>
        </row>
        <row r="1598">
          <cell r="D1598" t="str">
            <v>A1.4941</v>
          </cell>
        </row>
        <row r="1599">
          <cell r="D1599" t="str">
            <v>A1.4941</v>
          </cell>
        </row>
        <row r="1600">
          <cell r="D1600" t="str">
            <v>A1.4941</v>
          </cell>
        </row>
        <row r="1601">
          <cell r="D1601" t="str">
            <v>A1.4941</v>
          </cell>
        </row>
        <row r="1602">
          <cell r="D1602" t="str">
            <v>A1.4942</v>
          </cell>
          <cell r="E1602" t="str">
            <v>A1.1547</v>
          </cell>
        </row>
        <row r="1603">
          <cell r="D1603" t="str">
            <v>A1.4942</v>
          </cell>
        </row>
        <row r="1604">
          <cell r="D1604" t="str">
            <v>A1.4942</v>
          </cell>
        </row>
        <row r="1605">
          <cell r="D1605" t="str">
            <v>A1.4943</v>
          </cell>
          <cell r="E1605" t="str">
            <v>A1.0855</v>
          </cell>
        </row>
        <row r="1606">
          <cell r="D1606" t="str">
            <v>A1.4944</v>
          </cell>
        </row>
        <row r="1607">
          <cell r="D1607" t="str">
            <v>A1.4944</v>
          </cell>
        </row>
        <row r="1608">
          <cell r="D1608" t="str">
            <v>A1.4944</v>
          </cell>
        </row>
        <row r="1609">
          <cell r="D1609" t="str">
            <v>A1.4944</v>
          </cell>
        </row>
        <row r="1610">
          <cell r="D1610" t="str">
            <v>A1.4944</v>
          </cell>
          <cell r="E1610" t="str">
            <v>A1.1296</v>
          </cell>
        </row>
        <row r="1611">
          <cell r="D1611" t="str">
            <v>A1.4944</v>
          </cell>
          <cell r="E1611" t="str">
            <v>A1.1296</v>
          </cell>
        </row>
        <row r="1612">
          <cell r="D1612" t="str">
            <v>A1.4944</v>
          </cell>
        </row>
        <row r="1613">
          <cell r="D1613" t="str">
            <v>A1.4944</v>
          </cell>
        </row>
        <row r="1614">
          <cell r="D1614" t="str">
            <v>A1.4944</v>
          </cell>
        </row>
        <row r="1615">
          <cell r="D1615" t="str">
            <v>A1.4944</v>
          </cell>
        </row>
        <row r="1616">
          <cell r="D1616" t="str">
            <v>A1.4944</v>
          </cell>
        </row>
        <row r="1617">
          <cell r="D1617" t="str">
            <v>A1.4944</v>
          </cell>
        </row>
        <row r="1618">
          <cell r="D1618" t="str">
            <v>A1.4944</v>
          </cell>
        </row>
        <row r="1619">
          <cell r="D1619" t="str">
            <v>A1.4944</v>
          </cell>
        </row>
        <row r="1620">
          <cell r="D1620" t="str">
            <v>A1.4945</v>
          </cell>
        </row>
        <row r="1621">
          <cell r="D1621" t="str">
            <v>A1.4945</v>
          </cell>
          <cell r="E1621" t="str">
            <v>A1.0858</v>
          </cell>
        </row>
        <row r="1622">
          <cell r="D1622" t="str">
            <v>A1.4945</v>
          </cell>
          <cell r="E1622" t="str">
            <v>A1.0858</v>
          </cell>
        </row>
        <row r="1623">
          <cell r="D1623" t="str">
            <v>A1.4946</v>
          </cell>
        </row>
        <row r="1624">
          <cell r="D1624" t="str">
            <v>A1.4946</v>
          </cell>
        </row>
        <row r="1625">
          <cell r="D1625" t="str">
            <v>A1.4947</v>
          </cell>
        </row>
        <row r="1626">
          <cell r="D1626" t="str">
            <v>A1.4948</v>
          </cell>
        </row>
        <row r="1627">
          <cell r="D1627" t="str">
            <v>A1.4948</v>
          </cell>
        </row>
        <row r="1628">
          <cell r="D1628" t="str">
            <v>A1.4948</v>
          </cell>
        </row>
        <row r="1629">
          <cell r="D1629" t="str">
            <v>A1.4948</v>
          </cell>
        </row>
        <row r="1630">
          <cell r="D1630" t="str">
            <v>A1.4948</v>
          </cell>
        </row>
        <row r="1631">
          <cell r="D1631" t="str">
            <v>A1.4949</v>
          </cell>
        </row>
        <row r="1632">
          <cell r="D1632" t="str">
            <v>A1.4949</v>
          </cell>
        </row>
        <row r="1633">
          <cell r="D1633" t="str">
            <v>A1.4949</v>
          </cell>
          <cell r="E1633" t="str">
            <v>A1.1249</v>
          </cell>
        </row>
        <row r="1634">
          <cell r="D1634" t="str">
            <v>A1.4950</v>
          </cell>
        </row>
        <row r="1635">
          <cell r="D1635" t="str">
            <v>A1.4951</v>
          </cell>
        </row>
        <row r="1636">
          <cell r="D1636" t="str">
            <v>A1.4951</v>
          </cell>
        </row>
        <row r="1637">
          <cell r="D1637" t="str">
            <v>A1.4951</v>
          </cell>
        </row>
        <row r="1638">
          <cell r="D1638" t="str">
            <v>A1.4952</v>
          </cell>
        </row>
        <row r="1639">
          <cell r="D1639" t="str">
            <v>A1.4952</v>
          </cell>
        </row>
        <row r="1640">
          <cell r="D1640" t="str">
            <v>A1.4952</v>
          </cell>
        </row>
        <row r="1641">
          <cell r="D1641" t="str">
            <v>A1.4952</v>
          </cell>
        </row>
        <row r="1642">
          <cell r="D1642" t="str">
            <v>A1.4952</v>
          </cell>
        </row>
        <row r="1643">
          <cell r="D1643" t="str">
            <v>A1.4952</v>
          </cell>
        </row>
        <row r="1644">
          <cell r="D1644" t="str">
            <v>A1.4952</v>
          </cell>
        </row>
        <row r="1645">
          <cell r="D1645" t="str">
            <v>A1.4952</v>
          </cell>
        </row>
        <row r="1646">
          <cell r="D1646" t="str">
            <v>A1.4952</v>
          </cell>
        </row>
        <row r="1647">
          <cell r="D1647" t="str">
            <v>A1.4952</v>
          </cell>
        </row>
        <row r="1648">
          <cell r="D1648" t="str">
            <v>A1.4953</v>
          </cell>
        </row>
        <row r="1649">
          <cell r="D1649" t="str">
            <v>A1.4953</v>
          </cell>
        </row>
        <row r="1650">
          <cell r="D1650" t="str">
            <v>A1.4953</v>
          </cell>
        </row>
        <row r="1651">
          <cell r="D1651" t="str">
            <v>A1.4953</v>
          </cell>
          <cell r="E1651" t="str">
            <v>A1.1600</v>
          </cell>
        </row>
        <row r="1652">
          <cell r="D1652" t="str">
            <v>A1.4954</v>
          </cell>
          <cell r="E1652" t="str">
            <v>A1.1429</v>
          </cell>
        </row>
        <row r="1653">
          <cell r="D1653" t="str">
            <v>A1.4954</v>
          </cell>
        </row>
        <row r="1654">
          <cell r="D1654" t="str">
            <v>A1.4955</v>
          </cell>
          <cell r="E1654" t="str">
            <v>A1.0385</v>
          </cell>
        </row>
        <row r="1655">
          <cell r="D1655" t="str">
            <v>A1.4955</v>
          </cell>
        </row>
        <row r="1656">
          <cell r="D1656" t="str">
            <v>A1.4956</v>
          </cell>
        </row>
        <row r="1657">
          <cell r="D1657" t="str">
            <v>A1.4956</v>
          </cell>
        </row>
        <row r="1658">
          <cell r="D1658" t="str">
            <v>A1.4957</v>
          </cell>
        </row>
        <row r="1659">
          <cell r="D1659" t="str">
            <v>A1.4957</v>
          </cell>
        </row>
        <row r="1660">
          <cell r="D1660" t="str">
            <v>A1.4958</v>
          </cell>
        </row>
        <row r="1661">
          <cell r="D1661" t="str">
            <v>A1.4958</v>
          </cell>
          <cell r="E1661" t="str">
            <v>A1.1070</v>
          </cell>
        </row>
        <row r="1662">
          <cell r="D1662" t="str">
            <v>A1.4958</v>
          </cell>
        </row>
        <row r="1663">
          <cell r="D1663" t="str">
            <v>A1.4958</v>
          </cell>
        </row>
        <row r="1664">
          <cell r="D1664" t="str">
            <v>A1.4958</v>
          </cell>
        </row>
        <row r="1665">
          <cell r="D1665" t="str">
            <v>A1.4959</v>
          </cell>
        </row>
        <row r="1666">
          <cell r="D1666" t="str">
            <v>A1.4960</v>
          </cell>
          <cell r="E1666" t="str">
            <v>A1.1158</v>
          </cell>
        </row>
        <row r="1667">
          <cell r="D1667" t="str">
            <v>A1.4960</v>
          </cell>
        </row>
        <row r="1668">
          <cell r="D1668" t="str">
            <v>A1.4961</v>
          </cell>
        </row>
        <row r="1669">
          <cell r="D1669" t="str">
            <v>A1.4961</v>
          </cell>
        </row>
        <row r="1670">
          <cell r="D1670" t="str">
            <v>A1.4961</v>
          </cell>
        </row>
        <row r="1671">
          <cell r="D1671" t="str">
            <v>A1.4961</v>
          </cell>
        </row>
        <row r="1672">
          <cell r="D1672" t="str">
            <v>A1.4961</v>
          </cell>
        </row>
        <row r="1673">
          <cell r="D1673" t="str">
            <v>A1.4961</v>
          </cell>
          <cell r="E1673" t="str">
            <v>A1.0975</v>
          </cell>
        </row>
        <row r="1674">
          <cell r="D1674" t="str">
            <v>A1.4961</v>
          </cell>
          <cell r="E1674" t="str">
            <v>A1.0975</v>
          </cell>
        </row>
        <row r="1675">
          <cell r="D1675" t="str">
            <v>A1.4961</v>
          </cell>
        </row>
        <row r="1676">
          <cell r="D1676" t="str">
            <v>A1.4961</v>
          </cell>
        </row>
        <row r="1677">
          <cell r="D1677" t="str">
            <v>A1.4961</v>
          </cell>
        </row>
        <row r="1678">
          <cell r="D1678" t="str">
            <v>A1.4961</v>
          </cell>
        </row>
        <row r="1679">
          <cell r="D1679" t="str">
            <v>A1.4961</v>
          </cell>
        </row>
        <row r="1680">
          <cell r="D1680" t="str">
            <v>A1.4961</v>
          </cell>
        </row>
        <row r="1681">
          <cell r="D1681" t="str">
            <v>A1.4961</v>
          </cell>
        </row>
        <row r="1682">
          <cell r="D1682" t="str">
            <v>A1.4962</v>
          </cell>
        </row>
        <row r="1683">
          <cell r="D1683" t="str">
            <v>A1.4962</v>
          </cell>
        </row>
        <row r="1684">
          <cell r="D1684" t="str">
            <v>A1.4963</v>
          </cell>
        </row>
        <row r="1685">
          <cell r="D1685" t="str">
            <v>A1.4963</v>
          </cell>
          <cell r="E1685" t="str">
            <v>A1.1273</v>
          </cell>
        </row>
        <row r="1686">
          <cell r="D1686" t="str">
            <v>A1.4963</v>
          </cell>
        </row>
        <row r="1687">
          <cell r="D1687" t="str">
            <v>A1.4964</v>
          </cell>
          <cell r="E1687" t="str">
            <v>A1.1606</v>
          </cell>
        </row>
        <row r="1688">
          <cell r="D1688" t="str">
            <v>A1.4965</v>
          </cell>
        </row>
        <row r="1689">
          <cell r="D1689" t="str">
            <v>A1.4966</v>
          </cell>
          <cell r="E1689" t="str">
            <v>A1.1246</v>
          </cell>
        </row>
        <row r="1690">
          <cell r="D1690" t="str">
            <v>A1.4966</v>
          </cell>
        </row>
        <row r="1691">
          <cell r="D1691" t="str">
            <v>A1.4966</v>
          </cell>
        </row>
        <row r="1692">
          <cell r="D1692" t="str">
            <v>A1.4967</v>
          </cell>
        </row>
        <row r="1693">
          <cell r="D1693" t="str">
            <v>A1.4967</v>
          </cell>
        </row>
        <row r="1694">
          <cell r="D1694" t="str">
            <v>A1.4967</v>
          </cell>
        </row>
        <row r="1695">
          <cell r="D1695" t="str">
            <v>A1.4967</v>
          </cell>
        </row>
        <row r="1696">
          <cell r="D1696" t="str">
            <v>A1.4968</v>
          </cell>
        </row>
        <row r="1697">
          <cell r="D1697" t="str">
            <v>A1.4968</v>
          </cell>
          <cell r="E1697" t="str">
            <v>A1.0651</v>
          </cell>
        </row>
        <row r="1698">
          <cell r="D1698" t="str">
            <v>A1.4969</v>
          </cell>
        </row>
        <row r="1699">
          <cell r="D1699" t="str">
            <v>A1.4970</v>
          </cell>
        </row>
        <row r="1700">
          <cell r="D1700" t="str">
            <v>A1.4970</v>
          </cell>
          <cell r="E1700" t="str">
            <v>A1.0654</v>
          </cell>
        </row>
        <row r="1701">
          <cell r="D1701" t="str">
            <v>A1.4971</v>
          </cell>
        </row>
        <row r="1702">
          <cell r="D1702" t="str">
            <v>A1.4972</v>
          </cell>
          <cell r="E1702" t="str">
            <v>A1.1265</v>
          </cell>
        </row>
        <row r="1703">
          <cell r="D1703" t="str">
            <v>A1.4972</v>
          </cell>
        </row>
        <row r="1704">
          <cell r="D1704" t="str">
            <v>A1.4973</v>
          </cell>
          <cell r="E1704" t="str">
            <v>A1.1326</v>
          </cell>
        </row>
        <row r="1705">
          <cell r="D1705" t="str">
            <v>A1.4974</v>
          </cell>
        </row>
        <row r="1706">
          <cell r="D1706" t="str">
            <v>A1.4974</v>
          </cell>
        </row>
        <row r="1707">
          <cell r="D1707" t="str">
            <v>A1.4974</v>
          </cell>
        </row>
        <row r="1708">
          <cell r="D1708" t="str">
            <v>A1.4974</v>
          </cell>
        </row>
        <row r="1709">
          <cell r="D1709" t="str">
            <v>A1.4974</v>
          </cell>
          <cell r="E1709" t="str">
            <v>A1.1640</v>
          </cell>
        </row>
        <row r="1710">
          <cell r="D1710" t="str">
            <v>A1.4974</v>
          </cell>
          <cell r="E1710" t="str">
            <v>A1.1640</v>
          </cell>
        </row>
        <row r="1711">
          <cell r="D1711" t="str">
            <v>A1.4974</v>
          </cell>
        </row>
        <row r="1712">
          <cell r="D1712" t="str">
            <v>A1.4975</v>
          </cell>
        </row>
        <row r="1713">
          <cell r="D1713" t="str">
            <v>A1.4975</v>
          </cell>
        </row>
        <row r="1714">
          <cell r="D1714" t="str">
            <v>A1.4975</v>
          </cell>
        </row>
        <row r="1715">
          <cell r="D1715" t="str">
            <v>A1.4975</v>
          </cell>
        </row>
        <row r="1716">
          <cell r="D1716" t="str">
            <v>A1.4976</v>
          </cell>
        </row>
        <row r="1717">
          <cell r="D1717" t="str">
            <v>A1.4977</v>
          </cell>
        </row>
        <row r="1718">
          <cell r="D1718" t="str">
            <v>A1.4977</v>
          </cell>
          <cell r="E1718" t="str">
            <v>A1.1397</v>
          </cell>
        </row>
        <row r="1719">
          <cell r="D1719" t="str">
            <v>A1.4977</v>
          </cell>
          <cell r="E1719" t="str">
            <v>A1.1397</v>
          </cell>
        </row>
        <row r="1720">
          <cell r="D1720" t="str">
            <v>A1.4977</v>
          </cell>
        </row>
        <row r="1721">
          <cell r="D1721" t="str">
            <v>A1.4978</v>
          </cell>
        </row>
        <row r="1722">
          <cell r="D1722" t="str">
            <v>A1.4978</v>
          </cell>
          <cell r="E1722" t="str">
            <v>A1.1300</v>
          </cell>
        </row>
        <row r="1723">
          <cell r="D1723" t="str">
            <v>A1.4978</v>
          </cell>
          <cell r="E1723" t="str">
            <v>A1.1300</v>
          </cell>
        </row>
        <row r="1724">
          <cell r="D1724" t="str">
            <v>A1.4978</v>
          </cell>
        </row>
        <row r="1725">
          <cell r="D1725" t="str">
            <v>A1.4978</v>
          </cell>
        </row>
        <row r="1726">
          <cell r="D1726" t="str">
            <v>A1.4979</v>
          </cell>
        </row>
        <row r="1727">
          <cell r="D1727" t="str">
            <v>A1.4979</v>
          </cell>
        </row>
        <row r="1728">
          <cell r="D1728" t="str">
            <v>A1.4979</v>
          </cell>
        </row>
        <row r="1729">
          <cell r="D1729" t="str">
            <v>A1.4979</v>
          </cell>
        </row>
        <row r="1730">
          <cell r="D1730" t="str">
            <v>A1.4979</v>
          </cell>
        </row>
        <row r="1731">
          <cell r="D1731" t="str">
            <v>A1.4979</v>
          </cell>
        </row>
        <row r="1732">
          <cell r="D1732" t="str">
            <v>A1.4979</v>
          </cell>
        </row>
        <row r="1733">
          <cell r="D1733" t="str">
            <v>A1.4979</v>
          </cell>
        </row>
        <row r="1734">
          <cell r="D1734" t="str">
            <v>A1.4979</v>
          </cell>
          <cell r="E1734" t="str">
            <v>A1.1036</v>
          </cell>
        </row>
        <row r="1735">
          <cell r="D1735" t="str">
            <v>A1.4979</v>
          </cell>
          <cell r="E1735" t="str">
            <v>A1.1036</v>
          </cell>
        </row>
        <row r="1736">
          <cell r="D1736" t="str">
            <v>A1.4979</v>
          </cell>
        </row>
        <row r="1737">
          <cell r="D1737" t="str">
            <v>A1.4979</v>
          </cell>
        </row>
        <row r="1738">
          <cell r="D1738" t="str">
            <v>A1.4979</v>
          </cell>
        </row>
        <row r="1739">
          <cell r="D1739" t="str">
            <v>A1.4980</v>
          </cell>
        </row>
        <row r="1740">
          <cell r="D1740" t="str">
            <v>A1.4980</v>
          </cell>
          <cell r="E1740" t="str">
            <v>A1.0604</v>
          </cell>
        </row>
        <row r="1741">
          <cell r="D1741" t="str">
            <v>A1.4980</v>
          </cell>
        </row>
        <row r="1742">
          <cell r="D1742" t="str">
            <v>A1.4980</v>
          </cell>
        </row>
        <row r="1743">
          <cell r="D1743" t="str">
            <v>A1.4980</v>
          </cell>
        </row>
        <row r="1744">
          <cell r="D1744" t="str">
            <v>A1.4981</v>
          </cell>
        </row>
        <row r="1745">
          <cell r="D1745" t="str">
            <v>A5.4981</v>
          </cell>
        </row>
        <row r="1746">
          <cell r="D1746" t="str">
            <v>A1.4982</v>
          </cell>
          <cell r="E1746" t="str">
            <v>A1.2004</v>
          </cell>
        </row>
        <row r="1747">
          <cell r="D1747" t="str">
            <v>A1.4983</v>
          </cell>
        </row>
        <row r="1748">
          <cell r="D1748" t="str">
            <v>A5.4984</v>
          </cell>
        </row>
        <row r="1749">
          <cell r="D1749" t="str">
            <v>A5.4985</v>
          </cell>
        </row>
        <row r="1750">
          <cell r="D1750" t="str">
            <v>A5.4986</v>
          </cell>
        </row>
        <row r="1751">
          <cell r="D1751" t="str">
            <v>A5.4987</v>
          </cell>
        </row>
        <row r="1752">
          <cell r="D1752" t="str">
            <v>A5.4987</v>
          </cell>
        </row>
        <row r="1753">
          <cell r="D1753" t="str">
            <v>A5.4988</v>
          </cell>
        </row>
        <row r="1754">
          <cell r="D1754" t="str">
            <v>A5.4989</v>
          </cell>
        </row>
        <row r="1755">
          <cell r="D1755" t="str">
            <v>A5.4990</v>
          </cell>
        </row>
        <row r="1756">
          <cell r="D1756" t="str">
            <v>A1.4991</v>
          </cell>
        </row>
        <row r="1757">
          <cell r="D1757" t="str">
            <v>A5.4991</v>
          </cell>
        </row>
        <row r="1758">
          <cell r="D1758" t="str">
            <v>A5.4991</v>
          </cell>
        </row>
        <row r="1759">
          <cell r="D1759" t="str">
            <v>A5.4992</v>
          </cell>
        </row>
        <row r="1760">
          <cell r="D1760" t="str">
            <v>A5.4993</v>
          </cell>
        </row>
        <row r="1761">
          <cell r="D1761" t="str">
            <v>A5.4994</v>
          </cell>
        </row>
        <row r="1762">
          <cell r="D1762" t="str">
            <v>A5.4995</v>
          </cell>
        </row>
        <row r="1763">
          <cell r="D1763" t="str">
            <v>A5.4995</v>
          </cell>
        </row>
        <row r="1764">
          <cell r="D1764" t="str">
            <v>A5.4995</v>
          </cell>
        </row>
        <row r="1765">
          <cell r="D1765" t="str">
            <v>A1.4996</v>
          </cell>
        </row>
        <row r="1766">
          <cell r="D1766" t="str">
            <v>A1.4997</v>
          </cell>
        </row>
        <row r="1767">
          <cell r="D1767" t="str">
            <v>A1.4998</v>
          </cell>
        </row>
        <row r="1768">
          <cell r="D1768" t="str">
            <v>A1.4999</v>
          </cell>
        </row>
        <row r="1769">
          <cell r="D1769" t="str">
            <v>A1.5000</v>
          </cell>
        </row>
        <row r="1770">
          <cell r="D1770" t="str">
            <v>A1.5001</v>
          </cell>
        </row>
        <row r="1771">
          <cell r="D1771" t="str">
            <v>A1.5002</v>
          </cell>
        </row>
        <row r="1772">
          <cell r="D1772" t="str">
            <v>A1.5003</v>
          </cell>
        </row>
        <row r="1773">
          <cell r="D1773" t="str">
            <v>A1.5004</v>
          </cell>
        </row>
        <row r="1774">
          <cell r="D1774" t="str">
            <v>A1.5005</v>
          </cell>
        </row>
        <row r="1775">
          <cell r="D1775" t="str">
            <v>A1.5006</v>
          </cell>
        </row>
        <row r="1776">
          <cell r="D1776" t="str">
            <v>A5.5007</v>
          </cell>
        </row>
        <row r="1777">
          <cell r="D1777" t="str">
            <v>A5.5008</v>
          </cell>
        </row>
        <row r="1778">
          <cell r="D1778" t="str">
            <v>A5.5009</v>
          </cell>
        </row>
        <row r="1779">
          <cell r="D1779" t="str">
            <v>A1.5010</v>
          </cell>
        </row>
        <row r="1780">
          <cell r="D1780" t="str">
            <v>A1.5010</v>
          </cell>
        </row>
        <row r="1781">
          <cell r="D1781" t="str">
            <v>A1.5011</v>
          </cell>
          <cell r="E1781" t="str">
            <v>A1.1448</v>
          </cell>
        </row>
        <row r="1782">
          <cell r="D1782" t="str">
            <v>A5.5012</v>
          </cell>
        </row>
        <row r="1783">
          <cell r="D1783" t="str">
            <v>A5.5013</v>
          </cell>
        </row>
        <row r="1784">
          <cell r="D1784" t="str">
            <v>A1.5014</v>
          </cell>
        </row>
        <row r="1785">
          <cell r="D1785" t="str">
            <v>A1.5015</v>
          </cell>
          <cell r="E1785" t="str">
            <v>A1.1550</v>
          </cell>
        </row>
        <row r="1786">
          <cell r="D1786" t="str">
            <v>A1.5016</v>
          </cell>
        </row>
        <row r="1787">
          <cell r="D1787" t="str">
            <v>A1.5017</v>
          </cell>
        </row>
        <row r="1788">
          <cell r="D1788" t="str">
            <v>A1.5018</v>
          </cell>
          <cell r="E1788" t="str">
            <v>A1.1453</v>
          </cell>
        </row>
        <row r="1789">
          <cell r="D1789" t="str">
            <v>A1.5019</v>
          </cell>
        </row>
        <row r="1790">
          <cell r="D1790" t="str">
            <v>A1.5020</v>
          </cell>
        </row>
        <row r="1791">
          <cell r="D1791" t="str">
            <v>A1.5020</v>
          </cell>
          <cell r="E1791" t="str">
            <v>A1.1207</v>
          </cell>
        </row>
        <row r="1792">
          <cell r="D1792" t="str">
            <v>A1.5020</v>
          </cell>
          <cell r="E1792" t="str">
            <v>A1.1207</v>
          </cell>
        </row>
        <row r="1793">
          <cell r="D1793" t="str">
            <v>A1.5020</v>
          </cell>
          <cell r="E1793" t="str">
            <v>A1.1207</v>
          </cell>
        </row>
        <row r="1794">
          <cell r="D1794" t="str">
            <v>A1.5020</v>
          </cell>
        </row>
        <row r="1795">
          <cell r="D1795" t="str">
            <v>A1.5020</v>
          </cell>
        </row>
        <row r="1796">
          <cell r="D1796" t="str">
            <v>A1.5020</v>
          </cell>
        </row>
        <row r="1797">
          <cell r="D1797" t="str">
            <v>A1.5021</v>
          </cell>
        </row>
        <row r="1798">
          <cell r="D1798" t="str">
            <v>A1.5022</v>
          </cell>
        </row>
        <row r="1799">
          <cell r="D1799" t="str">
            <v>A1.5022</v>
          </cell>
        </row>
        <row r="1800">
          <cell r="D1800" t="str">
            <v>A1.5023</v>
          </cell>
        </row>
        <row r="1801">
          <cell r="D1801" t="str">
            <v>A1.5023</v>
          </cell>
        </row>
        <row r="1802">
          <cell r="D1802" t="str">
            <v>A1.5024</v>
          </cell>
        </row>
        <row r="1803">
          <cell r="D1803" t="str">
            <v>A1.5025</v>
          </cell>
          <cell r="E1803" t="str">
            <v>A1.1280</v>
          </cell>
        </row>
        <row r="1804">
          <cell r="D1804" t="str">
            <v>A1.5025</v>
          </cell>
          <cell r="E1804" t="str">
            <v>A1.1280</v>
          </cell>
        </row>
        <row r="1805">
          <cell r="D1805" t="str">
            <v>A1.5026</v>
          </cell>
        </row>
        <row r="1806">
          <cell r="D1806" t="str">
            <v>A5.5027</v>
          </cell>
        </row>
        <row r="1807">
          <cell r="D1807" t="str">
            <v>A1.5028</v>
          </cell>
        </row>
        <row r="1808">
          <cell r="D1808" t="str">
            <v>A5.5029</v>
          </cell>
        </row>
        <row r="1809">
          <cell r="D1809" t="str">
            <v>A5.5030</v>
          </cell>
        </row>
        <row r="1810">
          <cell r="D1810" t="str">
            <v>A1.5031</v>
          </cell>
        </row>
        <row r="1811">
          <cell r="D1811" t="str">
            <v>A5.5031</v>
          </cell>
        </row>
        <row r="1812">
          <cell r="D1812" t="str">
            <v>A1.5032</v>
          </cell>
        </row>
        <row r="1813">
          <cell r="D1813" t="str">
            <v>A5.5033</v>
          </cell>
        </row>
        <row r="1814">
          <cell r="D1814" t="str">
            <v>A5.5034</v>
          </cell>
        </row>
        <row r="1815">
          <cell r="D1815" t="str">
            <v>A1.5035</v>
          </cell>
        </row>
        <row r="1816">
          <cell r="D1816" t="str">
            <v>A1.5035</v>
          </cell>
        </row>
        <row r="1817">
          <cell r="D1817" t="str">
            <v>A1.5036</v>
          </cell>
        </row>
        <row r="1818">
          <cell r="D1818" t="str">
            <v>A5.5036</v>
          </cell>
        </row>
        <row r="1819">
          <cell r="D1819" t="str">
            <v>A1.5037</v>
          </cell>
          <cell r="E1819" t="str">
            <v>A1.1901</v>
          </cell>
        </row>
        <row r="1820">
          <cell r="D1820" t="str">
            <v>A1.5038</v>
          </cell>
          <cell r="E1820" t="str">
            <v>A1.1935</v>
          </cell>
        </row>
        <row r="1821">
          <cell r="D1821" t="str">
            <v>A1.5039</v>
          </cell>
        </row>
        <row r="1822">
          <cell r="D1822" t="str">
            <v>A1.5040</v>
          </cell>
        </row>
        <row r="1823">
          <cell r="D1823" t="str">
            <v>A1.5041</v>
          </cell>
        </row>
        <row r="1824">
          <cell r="D1824" t="str">
            <v>A5.5042</v>
          </cell>
          <cell r="E1824" t="str">
            <v>A5.0117</v>
          </cell>
        </row>
        <row r="1825">
          <cell r="D1825" t="str">
            <v>A5.5042</v>
          </cell>
        </row>
        <row r="1826">
          <cell r="D1826" t="str">
            <v>A5.5043</v>
          </cell>
        </row>
        <row r="1827">
          <cell r="D1827" t="str">
            <v>A1.5044</v>
          </cell>
        </row>
        <row r="1828">
          <cell r="D1828" t="str">
            <v>A1.5045</v>
          </cell>
        </row>
        <row r="1829">
          <cell r="D1829" t="str">
            <v>A5.5046</v>
          </cell>
        </row>
        <row r="1830">
          <cell r="D1830" t="str">
            <v>A1.5047</v>
          </cell>
        </row>
        <row r="1831">
          <cell r="D1831" t="str">
            <v>A5.5047</v>
          </cell>
        </row>
        <row r="1832">
          <cell r="D1832" t="str">
            <v>A1.5048</v>
          </cell>
        </row>
        <row r="1833">
          <cell r="D1833" t="str">
            <v>A1.5049</v>
          </cell>
        </row>
        <row r="1834">
          <cell r="D1834" t="str">
            <v>A1.5050</v>
          </cell>
        </row>
        <row r="1835">
          <cell r="D1835" t="str">
            <v>A1.5050</v>
          </cell>
        </row>
        <row r="1836">
          <cell r="D1836" t="str">
            <v>A1.5051</v>
          </cell>
        </row>
        <row r="1837">
          <cell r="D1837" t="str">
            <v>A1.5052</v>
          </cell>
        </row>
        <row r="1838">
          <cell r="D1838" t="str">
            <v>A5.5053</v>
          </cell>
        </row>
        <row r="1839">
          <cell r="D1839" t="str">
            <v>A5.5054</v>
          </cell>
        </row>
        <row r="1840">
          <cell r="D1840" t="str">
            <v>A1.5055</v>
          </cell>
        </row>
        <row r="1841">
          <cell r="D1841" t="str">
            <v>A1.5056</v>
          </cell>
        </row>
        <row r="1842">
          <cell r="D1842" t="str">
            <v>A1.5057</v>
          </cell>
        </row>
        <row r="1843">
          <cell r="D1843" t="str">
            <v>A1.5057</v>
          </cell>
        </row>
        <row r="1844">
          <cell r="D1844" t="str">
            <v>A1.5057</v>
          </cell>
        </row>
        <row r="1845">
          <cell r="D1845" t="str">
            <v>A1.5057</v>
          </cell>
        </row>
        <row r="1846">
          <cell r="D1846" t="str">
            <v>A1.5057</v>
          </cell>
          <cell r="E1846" t="str">
            <v>A1.0564</v>
          </cell>
        </row>
        <row r="1847">
          <cell r="D1847" t="str">
            <v>A1.5057</v>
          </cell>
          <cell r="E1847" t="str">
            <v>A1.0564</v>
          </cell>
        </row>
        <row r="1848">
          <cell r="D1848" t="str">
            <v>A1.5057</v>
          </cell>
        </row>
        <row r="1849">
          <cell r="D1849" t="str">
            <v>A1.5057</v>
          </cell>
        </row>
        <row r="1850">
          <cell r="D1850" t="str">
            <v>A1.5057</v>
          </cell>
        </row>
        <row r="1851">
          <cell r="D1851" t="str">
            <v>A1.5057</v>
          </cell>
        </row>
        <row r="1852">
          <cell r="D1852" t="str">
            <v>A1.5057</v>
          </cell>
        </row>
        <row r="1853">
          <cell r="D1853" t="str">
            <v>A1.5057</v>
          </cell>
        </row>
        <row r="1854">
          <cell r="D1854" t="str">
            <v>A1.5057</v>
          </cell>
        </row>
        <row r="1855">
          <cell r="D1855" t="str">
            <v>A1.5058</v>
          </cell>
        </row>
        <row r="1856">
          <cell r="D1856" t="str">
            <v>A1.5059</v>
          </cell>
        </row>
        <row r="1857">
          <cell r="D1857" t="str">
            <v>A1.5059</v>
          </cell>
          <cell r="E1857" t="str">
            <v>A1.1408</v>
          </cell>
        </row>
        <row r="1858">
          <cell r="D1858" t="str">
            <v>A1.5060</v>
          </cell>
        </row>
        <row r="1859">
          <cell r="D1859" t="str">
            <v>A1.5061</v>
          </cell>
        </row>
        <row r="1860">
          <cell r="D1860" t="str">
            <v>A1.5061</v>
          </cell>
        </row>
        <row r="1861">
          <cell r="D1861" t="str">
            <v>A1.5061</v>
          </cell>
        </row>
        <row r="1862">
          <cell r="D1862" t="str">
            <v>A1.5061</v>
          </cell>
        </row>
        <row r="1863">
          <cell r="D1863" t="str">
            <v>A1.5061</v>
          </cell>
        </row>
        <row r="1864">
          <cell r="D1864" t="str">
            <v>A1.5061</v>
          </cell>
          <cell r="E1864" t="str">
            <v>A1.0747</v>
          </cell>
        </row>
        <row r="1865">
          <cell r="D1865" t="str">
            <v>A1.5061</v>
          </cell>
        </row>
        <row r="1866">
          <cell r="D1866" t="str">
            <v>A1.5062</v>
          </cell>
        </row>
        <row r="1867">
          <cell r="D1867" t="str">
            <v>A1.5063</v>
          </cell>
        </row>
        <row r="1868">
          <cell r="D1868" t="str">
            <v>A1.5063</v>
          </cell>
        </row>
        <row r="1869">
          <cell r="D1869" t="str">
            <v>A1.5063</v>
          </cell>
        </row>
        <row r="1870">
          <cell r="D1870" t="str">
            <v>A1.5063</v>
          </cell>
        </row>
        <row r="1871">
          <cell r="D1871" t="str">
            <v>A1.5063</v>
          </cell>
        </row>
        <row r="1872">
          <cell r="D1872" t="str">
            <v>A1.5063</v>
          </cell>
        </row>
        <row r="1873">
          <cell r="D1873" t="str">
            <v>A1.5063</v>
          </cell>
        </row>
        <row r="1874">
          <cell r="D1874" t="str">
            <v>A1.5063</v>
          </cell>
        </row>
        <row r="1875">
          <cell r="D1875" t="str">
            <v>A1.5063</v>
          </cell>
        </row>
        <row r="1876">
          <cell r="D1876" t="str">
            <v>A1.5064</v>
          </cell>
          <cell r="E1876" t="str">
            <v>A1.1464</v>
          </cell>
        </row>
        <row r="1877">
          <cell r="D1877" t="str">
            <v>A1.5065</v>
          </cell>
        </row>
        <row r="1878">
          <cell r="D1878" t="str">
            <v>A1.5065</v>
          </cell>
        </row>
        <row r="1879">
          <cell r="D1879" t="str">
            <v>A1.5066</v>
          </cell>
        </row>
        <row r="1880">
          <cell r="D1880" t="str">
            <v>A1.5066</v>
          </cell>
          <cell r="E1880" t="str">
            <v>A1.1537</v>
          </cell>
        </row>
        <row r="1881">
          <cell r="D1881" t="str">
            <v>A1.5066</v>
          </cell>
        </row>
        <row r="1882">
          <cell r="D1882" t="str">
            <v>A1.5066</v>
          </cell>
        </row>
        <row r="1883">
          <cell r="D1883" t="str">
            <v>A1.5066</v>
          </cell>
        </row>
        <row r="1884">
          <cell r="D1884" t="str">
            <v>A1.5067</v>
          </cell>
          <cell r="E1884" t="str">
            <v>A1.1936</v>
          </cell>
        </row>
        <row r="1885">
          <cell r="D1885" t="str">
            <v>A1.5067</v>
          </cell>
          <cell r="E1885" t="str">
            <v>A1.1936</v>
          </cell>
        </row>
        <row r="1886">
          <cell r="D1886" t="str">
            <v>A1.5068</v>
          </cell>
        </row>
        <row r="1887">
          <cell r="D1887" t="str">
            <v>A1.5069</v>
          </cell>
        </row>
        <row r="1888">
          <cell r="D1888" t="str">
            <v>A1.5070</v>
          </cell>
          <cell r="E1888" t="str">
            <v>A1.1465</v>
          </cell>
        </row>
        <row r="1889">
          <cell r="D1889" t="str">
            <v>A1.5071</v>
          </cell>
        </row>
        <row r="1890">
          <cell r="D1890" t="str">
            <v>A1.5072</v>
          </cell>
        </row>
        <row r="1891">
          <cell r="D1891" t="str">
            <v>A1.5073</v>
          </cell>
          <cell r="E1891" t="str">
            <v>A1.1572</v>
          </cell>
        </row>
        <row r="1892">
          <cell r="D1892" t="str">
            <v>A1.5074</v>
          </cell>
        </row>
        <row r="1893">
          <cell r="D1893" t="str">
            <v>A1.5075</v>
          </cell>
        </row>
        <row r="1894">
          <cell r="D1894" t="str">
            <v>A1.5075</v>
          </cell>
        </row>
        <row r="1895">
          <cell r="D1895" t="str">
            <v>A1.5075</v>
          </cell>
        </row>
        <row r="1896">
          <cell r="D1896" t="str">
            <v>A1.5076</v>
          </cell>
        </row>
        <row r="1897">
          <cell r="D1897" t="str">
            <v>A1.5077</v>
          </cell>
          <cell r="E1897" t="str">
            <v>A1.0041</v>
          </cell>
        </row>
        <row r="1898">
          <cell r="D1898" t="str">
            <v>A1.5077</v>
          </cell>
        </row>
        <row r="1899">
          <cell r="D1899" t="str">
            <v>A1.5078</v>
          </cell>
          <cell r="E1899" t="str">
            <v>A1.1712</v>
          </cell>
        </row>
        <row r="1900">
          <cell r="D1900" t="str">
            <v>A1.5079</v>
          </cell>
        </row>
        <row r="1901">
          <cell r="D1901" t="str">
            <v>A1.5080</v>
          </cell>
        </row>
        <row r="1902">
          <cell r="D1902" t="str">
            <v>A1.5080</v>
          </cell>
        </row>
        <row r="1903">
          <cell r="D1903" t="str">
            <v>A1.5081</v>
          </cell>
        </row>
        <row r="1904">
          <cell r="D1904" t="str">
            <v>A1.5081</v>
          </cell>
        </row>
        <row r="1905">
          <cell r="D1905" t="str">
            <v>A1.5082</v>
          </cell>
          <cell r="E1905" t="str">
            <v>A1.1463</v>
          </cell>
        </row>
        <row r="1906">
          <cell r="D1906" t="str">
            <v>A1.5083</v>
          </cell>
        </row>
        <row r="1907">
          <cell r="D1907" t="str">
            <v>A1.5083</v>
          </cell>
        </row>
        <row r="1908">
          <cell r="D1908" t="str">
            <v>A1.5083</v>
          </cell>
        </row>
        <row r="1909">
          <cell r="D1909" t="str">
            <v>A1.5083</v>
          </cell>
          <cell r="E1909" t="str">
            <v>A1.2005</v>
          </cell>
        </row>
        <row r="1910">
          <cell r="D1910" t="str">
            <v>A1.5084</v>
          </cell>
        </row>
        <row r="1911">
          <cell r="D1911" t="str">
            <v>A1.5085</v>
          </cell>
        </row>
        <row r="1912">
          <cell r="D1912" t="str">
            <v>A1.5086</v>
          </cell>
        </row>
        <row r="1913">
          <cell r="D1913" t="str">
            <v>A1.5086</v>
          </cell>
        </row>
        <row r="1914">
          <cell r="D1914" t="str">
            <v>A1.5086</v>
          </cell>
        </row>
        <row r="1915">
          <cell r="D1915" t="str">
            <v>A1.5086</v>
          </cell>
          <cell r="E1915" t="str">
            <v>A1.0134</v>
          </cell>
        </row>
        <row r="1916">
          <cell r="D1916" t="str">
            <v>A1.5086</v>
          </cell>
        </row>
        <row r="1917">
          <cell r="D1917" t="str">
            <v>A1.5086</v>
          </cell>
        </row>
        <row r="1918">
          <cell r="D1918" t="str">
            <v>A1.5087</v>
          </cell>
        </row>
        <row r="1919">
          <cell r="D1919" t="str">
            <v>A1.5087</v>
          </cell>
        </row>
        <row r="1920">
          <cell r="D1920" t="str">
            <v>A1.5088</v>
          </cell>
        </row>
        <row r="1921">
          <cell r="D1921" t="str">
            <v>A1.5089</v>
          </cell>
        </row>
        <row r="1922">
          <cell r="D1922" t="str">
            <v>A1.5090</v>
          </cell>
          <cell r="E1922" t="str">
            <v>A1.1505</v>
          </cell>
        </row>
        <row r="1923">
          <cell r="D1923" t="str">
            <v>A1.5090</v>
          </cell>
        </row>
        <row r="1924">
          <cell r="D1924" t="str">
            <v>A1.5091</v>
          </cell>
        </row>
        <row r="1925">
          <cell r="D1925" t="str">
            <v>A1.5092</v>
          </cell>
        </row>
        <row r="1926">
          <cell r="D1926" t="str">
            <v>A1.5092</v>
          </cell>
          <cell r="E1926" t="str">
            <v>A1.1667</v>
          </cell>
        </row>
        <row r="1927">
          <cell r="D1927" t="str">
            <v>A1.5093</v>
          </cell>
        </row>
        <row r="1928">
          <cell r="D1928" t="str">
            <v>A1.5093</v>
          </cell>
        </row>
        <row r="1929">
          <cell r="D1929" t="str">
            <v>A1.5093</v>
          </cell>
          <cell r="E1929" t="str">
            <v>A1.0650</v>
          </cell>
        </row>
        <row r="1930">
          <cell r="D1930" t="str">
            <v>A1.5094</v>
          </cell>
        </row>
        <row r="1931">
          <cell r="D1931" t="str">
            <v>A1.5095</v>
          </cell>
        </row>
        <row r="1932">
          <cell r="D1932" t="str">
            <v>A1.5096</v>
          </cell>
        </row>
        <row r="1933">
          <cell r="D1933" t="str">
            <v>A1.5096</v>
          </cell>
        </row>
        <row r="1934">
          <cell r="D1934" t="str">
            <v>A1.5096</v>
          </cell>
        </row>
        <row r="1935">
          <cell r="D1935" t="str">
            <v>A1.5096</v>
          </cell>
        </row>
        <row r="1936">
          <cell r="D1936" t="str">
            <v>A1.5096</v>
          </cell>
        </row>
        <row r="1937">
          <cell r="D1937" t="str">
            <v>A1.5096</v>
          </cell>
          <cell r="E1937" t="str">
            <v>A1.0432</v>
          </cell>
        </row>
        <row r="1938">
          <cell r="D1938" t="str">
            <v>A1.5096</v>
          </cell>
          <cell r="E1938" t="str">
            <v>A1.0432</v>
          </cell>
        </row>
        <row r="1939">
          <cell r="D1939" t="str">
            <v>A1.5096</v>
          </cell>
          <cell r="E1939" t="str">
            <v>A1.0432</v>
          </cell>
        </row>
        <row r="1940">
          <cell r="D1940" t="str">
            <v>A1.5096</v>
          </cell>
          <cell r="E1940" t="str">
            <v>A1.0432</v>
          </cell>
        </row>
        <row r="1941">
          <cell r="D1941" t="str">
            <v>A1.5096</v>
          </cell>
        </row>
        <row r="1942">
          <cell r="D1942" t="str">
            <v>A1.5096</v>
          </cell>
        </row>
        <row r="1943">
          <cell r="D1943" t="str">
            <v>A1.5096</v>
          </cell>
        </row>
        <row r="1944">
          <cell r="D1944" t="str">
            <v>A1.5096</v>
          </cell>
        </row>
        <row r="1945">
          <cell r="D1945" t="str">
            <v>A1.5096</v>
          </cell>
        </row>
        <row r="1946">
          <cell r="D1946" t="str">
            <v>A1.5096</v>
          </cell>
        </row>
        <row r="1947">
          <cell r="D1947" t="str">
            <v>A1.5096</v>
          </cell>
        </row>
        <row r="1948">
          <cell r="D1948" t="str">
            <v>A1.5097</v>
          </cell>
        </row>
        <row r="1949">
          <cell r="D1949" t="str">
            <v>A1.5097</v>
          </cell>
        </row>
        <row r="1950">
          <cell r="D1950" t="str">
            <v>A1.5098</v>
          </cell>
        </row>
        <row r="1951">
          <cell r="D1951" t="str">
            <v>A1.5099</v>
          </cell>
        </row>
        <row r="1952">
          <cell r="D1952" t="str">
            <v>A1.5100</v>
          </cell>
          <cell r="E1952" t="str">
            <v>A1.1700</v>
          </cell>
        </row>
        <row r="1953">
          <cell r="D1953" t="str">
            <v>A1.5101</v>
          </cell>
          <cell r="E1953" t="str">
            <v>A1.1885</v>
          </cell>
        </row>
        <row r="1954">
          <cell r="D1954" t="str">
            <v>A1.5102</v>
          </cell>
          <cell r="E1954" t="str">
            <v>A1.1710</v>
          </cell>
        </row>
        <row r="1955">
          <cell r="D1955" t="str">
            <v>A1.5103</v>
          </cell>
          <cell r="E1955" t="str">
            <v>A1.1834</v>
          </cell>
        </row>
        <row r="1956">
          <cell r="D1956" t="str">
            <v>A1.5104</v>
          </cell>
          <cell r="E1956" t="str">
            <v>A1.0569</v>
          </cell>
        </row>
        <row r="1957">
          <cell r="D1957" t="str">
            <v>A1.5104</v>
          </cell>
          <cell r="E1957" t="str">
            <v>A1.0569</v>
          </cell>
        </row>
        <row r="1958">
          <cell r="D1958" t="str">
            <v>A1.5105</v>
          </cell>
          <cell r="E1958" t="str">
            <v>A1.1329</v>
          </cell>
        </row>
        <row r="1959">
          <cell r="D1959" t="str">
            <v>A1.5105</v>
          </cell>
        </row>
        <row r="1960">
          <cell r="D1960" t="str">
            <v>A1.5105</v>
          </cell>
        </row>
        <row r="1961">
          <cell r="D1961" t="str">
            <v>A1.5106</v>
          </cell>
        </row>
        <row r="1962">
          <cell r="D1962" t="str">
            <v>A1.5107</v>
          </cell>
          <cell r="E1962" t="str">
            <v>A1.0015</v>
          </cell>
        </row>
        <row r="1963">
          <cell r="D1963" t="str">
            <v>A1.5107</v>
          </cell>
        </row>
        <row r="1964">
          <cell r="D1964" t="str">
            <v>A1.5108</v>
          </cell>
          <cell r="E1964" t="str">
            <v>A1.0360</v>
          </cell>
        </row>
        <row r="1965">
          <cell r="D1965" t="str">
            <v>A1.5109</v>
          </cell>
          <cell r="E1965" t="str">
            <v>A1.0831</v>
          </cell>
        </row>
        <row r="1966">
          <cell r="D1966" t="str">
            <v>A1.5109</v>
          </cell>
          <cell r="E1966" t="str">
            <v>A1.0831</v>
          </cell>
        </row>
        <row r="1967">
          <cell r="D1967" t="str">
            <v>A5.5110</v>
          </cell>
        </row>
        <row r="1968">
          <cell r="D1968" t="str">
            <v>A5.5110</v>
          </cell>
          <cell r="E1968" t="str">
            <v>A5.0354</v>
          </cell>
        </row>
        <row r="1969">
          <cell r="D1969" t="str">
            <v>A5.5111</v>
          </cell>
          <cell r="E1969" t="str">
            <v>A5.1627</v>
          </cell>
        </row>
        <row r="1970">
          <cell r="D1970" t="str">
            <v>A5.5112</v>
          </cell>
          <cell r="E1970" t="str">
            <v>A5.0299</v>
          </cell>
        </row>
        <row r="1971">
          <cell r="D1971" t="str">
            <v>A5.5112</v>
          </cell>
        </row>
        <row r="1972">
          <cell r="D1972" t="str">
            <v>A1.5113</v>
          </cell>
        </row>
        <row r="1973">
          <cell r="D1973" t="str">
            <v>A5.5114</v>
          </cell>
          <cell r="E1973" t="str">
            <v>A5.0017</v>
          </cell>
        </row>
        <row r="1974">
          <cell r="D1974" t="str">
            <v>A5.5115</v>
          </cell>
          <cell r="E1974" t="str">
            <v>A5.0016</v>
          </cell>
        </row>
        <row r="1975">
          <cell r="D1975" t="str">
            <v>A5.5116</v>
          </cell>
        </row>
        <row r="1976">
          <cell r="D1976" t="str">
            <v>A1.5117</v>
          </cell>
          <cell r="E1976" t="str">
            <v>A1.0750</v>
          </cell>
        </row>
        <row r="1977">
          <cell r="D1977" t="str">
            <v>A1.5117</v>
          </cell>
        </row>
        <row r="1978">
          <cell r="D1978" t="str">
            <v>A1.5117</v>
          </cell>
        </row>
        <row r="1979">
          <cell r="D1979" t="str">
            <v>A1.5117</v>
          </cell>
        </row>
        <row r="1980">
          <cell r="D1980" t="str">
            <v>A1.5118</v>
          </cell>
        </row>
        <row r="1981">
          <cell r="D1981" t="str">
            <v>A1.5118</v>
          </cell>
        </row>
        <row r="1982">
          <cell r="D1982" t="str">
            <v>A1.5118</v>
          </cell>
        </row>
        <row r="1983">
          <cell r="D1983" t="str">
            <v>A1.5118</v>
          </cell>
        </row>
        <row r="1984">
          <cell r="D1984" t="str">
            <v>A1.5118</v>
          </cell>
        </row>
        <row r="1985">
          <cell r="D1985" t="str">
            <v>A1.5118</v>
          </cell>
          <cell r="E1985" t="str">
            <v>A1.0705</v>
          </cell>
        </row>
        <row r="1986">
          <cell r="D1986" t="str">
            <v>A1.5118</v>
          </cell>
          <cell r="E1986" t="str">
            <v>A1.0705</v>
          </cell>
        </row>
        <row r="1987">
          <cell r="D1987" t="str">
            <v>A1.5118</v>
          </cell>
          <cell r="E1987" t="str">
            <v>A1.0705</v>
          </cell>
        </row>
        <row r="1988">
          <cell r="D1988" t="str">
            <v>A1.5118</v>
          </cell>
        </row>
        <row r="1989">
          <cell r="D1989" t="str">
            <v>A1.5118</v>
          </cell>
        </row>
        <row r="1990">
          <cell r="D1990" t="str">
            <v>A1.5118</v>
          </cell>
        </row>
        <row r="1991">
          <cell r="D1991" t="str">
            <v>A1.5119</v>
          </cell>
        </row>
        <row r="1992">
          <cell r="D1992" t="str">
            <v>A1.5119</v>
          </cell>
          <cell r="E1992" t="str">
            <v>A1.0771</v>
          </cell>
        </row>
        <row r="1993">
          <cell r="D1993" t="str">
            <v>A1.5119</v>
          </cell>
        </row>
        <row r="1994">
          <cell r="D1994" t="str">
            <v>A1.5120</v>
          </cell>
        </row>
        <row r="1995">
          <cell r="D1995" t="str">
            <v>A5.5121</v>
          </cell>
          <cell r="E1995" t="str">
            <v>A5.1237</v>
          </cell>
        </row>
        <row r="1996">
          <cell r="D1996" t="str">
            <v>A1.5122</v>
          </cell>
        </row>
        <row r="1997">
          <cell r="D1997" t="str">
            <v>A5.5122</v>
          </cell>
        </row>
        <row r="1998">
          <cell r="D1998" t="str">
            <v>A5.5123</v>
          </cell>
        </row>
        <row r="1999">
          <cell r="D1999" t="str">
            <v>A1.5124</v>
          </cell>
        </row>
        <row r="2000">
          <cell r="D2000" t="str">
            <v>A1.5125</v>
          </cell>
        </row>
        <row r="2001">
          <cell r="D2001" t="str">
            <v>A1.5126</v>
          </cell>
        </row>
        <row r="2002">
          <cell r="D2002" t="str">
            <v>A1.5127</v>
          </cell>
        </row>
        <row r="2003">
          <cell r="D2003" t="str">
            <v>A5.5127</v>
          </cell>
        </row>
        <row r="2004">
          <cell r="D2004" t="str">
            <v>A5.5128</v>
          </cell>
        </row>
        <row r="2005">
          <cell r="D2005" t="str">
            <v>A1.5129</v>
          </cell>
        </row>
        <row r="2006">
          <cell r="D2006" t="str">
            <v>A5.5130</v>
          </cell>
        </row>
        <row r="2007">
          <cell r="D2007" t="str">
            <v>A5.5131</v>
          </cell>
        </row>
        <row r="2008">
          <cell r="D2008" t="str">
            <v>A1.5132</v>
          </cell>
        </row>
        <row r="2009">
          <cell r="D2009" t="str">
            <v>A5.5132</v>
          </cell>
        </row>
        <row r="2010">
          <cell r="D2010" t="str">
            <v>A1.5133</v>
          </cell>
        </row>
        <row r="2011">
          <cell r="D2011" t="str">
            <v>A1.5133</v>
          </cell>
        </row>
        <row r="2012">
          <cell r="D2012" t="str">
            <v>A1.5133</v>
          </cell>
          <cell r="E2012" t="str">
            <v>A1.0274</v>
          </cell>
        </row>
        <row r="2013">
          <cell r="D2013" t="str">
            <v>A1.5134</v>
          </cell>
          <cell r="E2013" t="str">
            <v>A1.1831</v>
          </cell>
        </row>
        <row r="2014">
          <cell r="D2014" t="str">
            <v>A1.5135</v>
          </cell>
          <cell r="E2014" t="str">
            <v>A1.1098</v>
          </cell>
        </row>
        <row r="2015">
          <cell r="D2015" t="str">
            <v>A1.5135</v>
          </cell>
        </row>
        <row r="2016">
          <cell r="D2016" t="str">
            <v>A1.5136</v>
          </cell>
          <cell r="E2016" t="str">
            <v>A1.1638</v>
          </cell>
        </row>
        <row r="2017">
          <cell r="D2017" t="str">
            <v>A1.5137</v>
          </cell>
        </row>
        <row r="2018">
          <cell r="D2018" t="str">
            <v>A1.5137</v>
          </cell>
        </row>
        <row r="2019">
          <cell r="D2019" t="str">
            <v>A1.5138</v>
          </cell>
        </row>
        <row r="2020">
          <cell r="D2020" t="str">
            <v>A5.5139</v>
          </cell>
        </row>
        <row r="2021">
          <cell r="D2021" t="str">
            <v>A5.5140</v>
          </cell>
        </row>
        <row r="2022">
          <cell r="D2022" t="str">
            <v>A5.5141</v>
          </cell>
        </row>
        <row r="2023">
          <cell r="D2023" t="str">
            <v>A1.5142</v>
          </cell>
        </row>
        <row r="2024">
          <cell r="D2024" t="str">
            <v>A5.5142</v>
          </cell>
        </row>
        <row r="2025">
          <cell r="D2025" t="str">
            <v>A1.5143</v>
          </cell>
          <cell r="E2025" t="str">
            <v>A1.1338</v>
          </cell>
        </row>
        <row r="2026">
          <cell r="D2026" t="str">
            <v>A1.5143</v>
          </cell>
        </row>
        <row r="2027">
          <cell r="D2027" t="str">
            <v>A5.5144</v>
          </cell>
        </row>
        <row r="2028">
          <cell r="D2028" t="str">
            <v>A5.5145</v>
          </cell>
        </row>
        <row r="2029">
          <cell r="D2029" t="str">
            <v>A1.5146</v>
          </cell>
        </row>
        <row r="2030">
          <cell r="D2030" t="str">
            <v>A1.5147</v>
          </cell>
          <cell r="E2030" t="str">
            <v>A1.1427</v>
          </cell>
        </row>
        <row r="2031">
          <cell r="D2031" t="str">
            <v>A1.5148</v>
          </cell>
        </row>
        <row r="2032">
          <cell r="D2032" t="str">
            <v>A5.5149</v>
          </cell>
          <cell r="E2032" t="str">
            <v>A5.1916</v>
          </cell>
        </row>
        <row r="2033">
          <cell r="D2033" t="str">
            <v>A1.5150</v>
          </cell>
        </row>
        <row r="2034">
          <cell r="D2034" t="str">
            <v>A1.5150</v>
          </cell>
        </row>
        <row r="2035">
          <cell r="D2035" t="str">
            <v>A1.5150</v>
          </cell>
        </row>
        <row r="2036">
          <cell r="D2036" t="str">
            <v>A5.5150</v>
          </cell>
        </row>
        <row r="2037">
          <cell r="D2037" t="str">
            <v>A1.5151</v>
          </cell>
          <cell r="E2037" t="str">
            <v>A1.0103</v>
          </cell>
        </row>
        <row r="2038">
          <cell r="D2038" t="str">
            <v>A1.5151</v>
          </cell>
        </row>
        <row r="2039">
          <cell r="D2039" t="str">
            <v>A5.5152</v>
          </cell>
        </row>
        <row r="2040">
          <cell r="D2040" t="str">
            <v>A5.5153</v>
          </cell>
          <cell r="E2040" t="str">
            <v>A5.1890</v>
          </cell>
        </row>
        <row r="2041">
          <cell r="D2041" t="str">
            <v>A5.5154</v>
          </cell>
          <cell r="E2041" t="str">
            <v>A5.0304</v>
          </cell>
        </row>
        <row r="2042">
          <cell r="D2042" t="str">
            <v>A5.5155</v>
          </cell>
        </row>
        <row r="2043">
          <cell r="D2043" t="str">
            <v>A5.5156</v>
          </cell>
        </row>
        <row r="2044">
          <cell r="D2044" t="str">
            <v>A5.5157</v>
          </cell>
          <cell r="E2044" t="str">
            <v>A5.1942</v>
          </cell>
        </row>
        <row r="2045">
          <cell r="D2045" t="str">
            <v>A5.5158</v>
          </cell>
        </row>
        <row r="2046">
          <cell r="D2046" t="str">
            <v>A5.5159</v>
          </cell>
        </row>
        <row r="2047">
          <cell r="D2047" t="str">
            <v>A5.5160</v>
          </cell>
        </row>
        <row r="2048">
          <cell r="D2048" t="str">
            <v>A1.5161</v>
          </cell>
        </row>
        <row r="2049">
          <cell r="D2049" t="str">
            <v>A1.5162</v>
          </cell>
        </row>
        <row r="2050">
          <cell r="D2050" t="str">
            <v>A1.5163</v>
          </cell>
        </row>
        <row r="2051">
          <cell r="D2051" t="str">
            <v>A1.5164</v>
          </cell>
        </row>
        <row r="2052">
          <cell r="D2052" t="str">
            <v>A1.5165</v>
          </cell>
          <cell r="E2052" t="str">
            <v>A1.1325</v>
          </cell>
        </row>
        <row r="2053">
          <cell r="D2053" t="str">
            <v>A1.5165</v>
          </cell>
        </row>
        <row r="2054">
          <cell r="D2054" t="str">
            <v>A5.5166</v>
          </cell>
        </row>
        <row r="2055">
          <cell r="D2055" t="str">
            <v>A5.5167</v>
          </cell>
          <cell r="E2055" t="str">
            <v>A5.0038</v>
          </cell>
        </row>
        <row r="2056">
          <cell r="D2056" t="str">
            <v>A5.5167</v>
          </cell>
        </row>
        <row r="2057">
          <cell r="D2057" t="str">
            <v>A1.5168</v>
          </cell>
        </row>
        <row r="2058">
          <cell r="D2058" t="str">
            <v>A5.5168</v>
          </cell>
        </row>
        <row r="2059">
          <cell r="D2059" t="str">
            <v>A5.5169</v>
          </cell>
        </row>
        <row r="2060">
          <cell r="D2060" t="str">
            <v>A5.5170</v>
          </cell>
          <cell r="E2060" t="str">
            <v>A5.1051</v>
          </cell>
        </row>
        <row r="2061">
          <cell r="D2061" t="str">
            <v>A5.5171</v>
          </cell>
        </row>
        <row r="2062">
          <cell r="D2062" t="str">
            <v>A5.5172</v>
          </cell>
        </row>
        <row r="2063">
          <cell r="D2063" t="str">
            <v>A1.5173</v>
          </cell>
          <cell r="E2063" t="str">
            <v>A1.1475</v>
          </cell>
        </row>
        <row r="2064">
          <cell r="D2064" t="str">
            <v>A1.5174</v>
          </cell>
        </row>
        <row r="2065">
          <cell r="D2065" t="str">
            <v>A5.5174</v>
          </cell>
          <cell r="E2065" t="str">
            <v>A5.0692</v>
          </cell>
        </row>
        <row r="2066">
          <cell r="D2066" t="str">
            <v>A5.5175</v>
          </cell>
          <cell r="E2066" t="str">
            <v>A5.0315</v>
          </cell>
        </row>
        <row r="2067">
          <cell r="D2067" t="str">
            <v>A5.5175</v>
          </cell>
        </row>
        <row r="2068">
          <cell r="D2068" t="str">
            <v>A5.5176</v>
          </cell>
        </row>
        <row r="2069">
          <cell r="D2069" t="str">
            <v>A1.5177</v>
          </cell>
          <cell r="E2069" t="str">
            <v>A1.1552</v>
          </cell>
        </row>
        <row r="2070">
          <cell r="D2070" t="str">
            <v>A1.5178</v>
          </cell>
        </row>
        <row r="2071">
          <cell r="D2071" t="str">
            <v>A5.5178</v>
          </cell>
        </row>
        <row r="2072">
          <cell r="D2072" t="str">
            <v>A5.5179</v>
          </cell>
        </row>
        <row r="2073">
          <cell r="D2073" t="str">
            <v>A1.5180</v>
          </cell>
        </row>
        <row r="2074">
          <cell r="D2074" t="str">
            <v>A1.5180</v>
          </cell>
          <cell r="E2074" t="str">
            <v>A1.1569</v>
          </cell>
        </row>
        <row r="2075">
          <cell r="D2075" t="str">
            <v>A1.5180</v>
          </cell>
        </row>
        <row r="2076">
          <cell r="D2076" t="str">
            <v>A1.5180</v>
          </cell>
        </row>
        <row r="2077">
          <cell r="D2077" t="str">
            <v>A1.5181</v>
          </cell>
        </row>
        <row r="2078">
          <cell r="D2078" t="str">
            <v>A1.5181</v>
          </cell>
        </row>
        <row r="2079">
          <cell r="D2079" t="str">
            <v>A1.5182</v>
          </cell>
        </row>
        <row r="2080">
          <cell r="D2080" t="str">
            <v>A1.5183</v>
          </cell>
        </row>
        <row r="2081">
          <cell r="D2081" t="str">
            <v>A1.5184</v>
          </cell>
        </row>
        <row r="2082">
          <cell r="D2082" t="str">
            <v>A1.5185</v>
          </cell>
        </row>
        <row r="2083">
          <cell r="D2083" t="str">
            <v>A1.5186</v>
          </cell>
        </row>
        <row r="2084">
          <cell r="D2084" t="str">
            <v>A1.5187</v>
          </cell>
        </row>
        <row r="2085">
          <cell r="D2085" t="str">
            <v>A1.5188</v>
          </cell>
        </row>
        <row r="2086">
          <cell r="D2086" t="str">
            <v>A1.5189</v>
          </cell>
        </row>
        <row r="2087">
          <cell r="D2087" t="str">
            <v>A1.5190</v>
          </cell>
          <cell r="E2087" t="str">
            <v>A1.1574</v>
          </cell>
        </row>
        <row r="2088">
          <cell r="D2088" t="str">
            <v>A1.5190</v>
          </cell>
          <cell r="E2088" t="str">
            <v>A1.1574</v>
          </cell>
        </row>
        <row r="2089">
          <cell r="D2089" t="str">
            <v>A1.5191</v>
          </cell>
          <cell r="E2089" t="str">
            <v>A1.1706</v>
          </cell>
        </row>
        <row r="2090">
          <cell r="D2090" t="str">
            <v>A1.5191</v>
          </cell>
          <cell r="E2090" t="str">
            <v>A1.1706</v>
          </cell>
        </row>
        <row r="2091">
          <cell r="D2091" t="str">
            <v>A1.5192</v>
          </cell>
        </row>
        <row r="2092">
          <cell r="D2092" t="str">
            <v>A1.5193</v>
          </cell>
          <cell r="E2092" t="str">
            <v>A1.1678</v>
          </cell>
        </row>
        <row r="2093">
          <cell r="D2093" t="str">
            <v>A1.5194</v>
          </cell>
        </row>
        <row r="2094">
          <cell r="D2094" t="str">
            <v>A1.5195</v>
          </cell>
          <cell r="E2094" t="str">
            <v>A1.1681</v>
          </cell>
        </row>
        <row r="2095">
          <cell r="D2095" t="str">
            <v>A1.5196</v>
          </cell>
          <cell r="E2095" t="str">
            <v>A1.1816</v>
          </cell>
        </row>
        <row r="2096">
          <cell r="D2096" t="str">
            <v>A1.5197</v>
          </cell>
        </row>
        <row r="2097">
          <cell r="D2097" t="str">
            <v>A1.5198</v>
          </cell>
        </row>
        <row r="2098">
          <cell r="D2098" t="str">
            <v>A1.5199</v>
          </cell>
          <cell r="E2098" t="str">
            <v>A1.1973</v>
          </cell>
        </row>
        <row r="2099">
          <cell r="D2099" t="str">
            <v>A1.5200</v>
          </cell>
          <cell r="E2099" t="str">
            <v>A1.1974</v>
          </cell>
        </row>
        <row r="2100">
          <cell r="D2100" t="str">
            <v>A1.5201</v>
          </cell>
          <cell r="E2100" t="str">
            <v>A1.1975</v>
          </cell>
        </row>
        <row r="2101">
          <cell r="D2101" t="str">
            <v>A1.5202</v>
          </cell>
          <cell r="E2101" t="str">
            <v>A1.1301</v>
          </cell>
        </row>
        <row r="2102">
          <cell r="D2102" t="str">
            <v>A1.5203</v>
          </cell>
          <cell r="E2102" t="str">
            <v>A1.1515</v>
          </cell>
        </row>
        <row r="2103">
          <cell r="D2103" t="str">
            <v>A1.5203</v>
          </cell>
        </row>
        <row r="2104">
          <cell r="D2104" t="str">
            <v>A1.5204</v>
          </cell>
        </row>
        <row r="2105">
          <cell r="D2105" t="str">
            <v>A1.5204</v>
          </cell>
          <cell r="E2105" t="str">
            <v>A1.1711</v>
          </cell>
        </row>
        <row r="2106">
          <cell r="D2106" t="str">
            <v>A1.5205</v>
          </cell>
          <cell r="E2106" t="str">
            <v>A1.1151</v>
          </cell>
        </row>
        <row r="2107">
          <cell r="D2107" t="str">
            <v>A1.5206</v>
          </cell>
          <cell r="E2107" t="str">
            <v>A1.1687</v>
          </cell>
        </row>
        <row r="2108">
          <cell r="D2108" t="str">
            <v>A1.5206</v>
          </cell>
        </row>
        <row r="2109">
          <cell r="D2109" t="str">
            <v>A1.5207</v>
          </cell>
          <cell r="E2109" t="str">
            <v>A1.1284</v>
          </cell>
        </row>
        <row r="2110">
          <cell r="D2110" t="str">
            <v>A1.5207</v>
          </cell>
        </row>
        <row r="2111">
          <cell r="D2111" t="str">
            <v>A1.5208</v>
          </cell>
        </row>
        <row r="2112">
          <cell r="D2112" t="str">
            <v>A1.5209</v>
          </cell>
          <cell r="E2112" t="str">
            <v>A1.1961</v>
          </cell>
        </row>
        <row r="2113">
          <cell r="D2113" t="str">
            <v>A1.5210</v>
          </cell>
          <cell r="E2113" t="str">
            <v>A1.1508</v>
          </cell>
        </row>
        <row r="2114">
          <cell r="D2114" t="str">
            <v>A1.5210</v>
          </cell>
        </row>
        <row r="2115">
          <cell r="D2115" t="str">
            <v>A1.5211</v>
          </cell>
          <cell r="E2115" t="str">
            <v>A1.1650</v>
          </cell>
        </row>
        <row r="2116">
          <cell r="D2116" t="str">
            <v>A1.5212</v>
          </cell>
          <cell r="E2116" t="str">
            <v>A1.0915</v>
          </cell>
        </row>
        <row r="2117">
          <cell r="D2117" t="str">
            <v>A1.5213</v>
          </cell>
          <cell r="E2117" t="str">
            <v>A1.0761</v>
          </cell>
        </row>
        <row r="2118">
          <cell r="D2118" t="str">
            <v>A1.5214</v>
          </cell>
        </row>
        <row r="2119">
          <cell r="D2119" t="str">
            <v>A1.5215</v>
          </cell>
        </row>
        <row r="2120">
          <cell r="D2120" t="str">
            <v>A1.5215</v>
          </cell>
          <cell r="E2120" t="str">
            <v>A1.1450</v>
          </cell>
        </row>
        <row r="2121">
          <cell r="D2121" t="str">
            <v>A1.5216</v>
          </cell>
        </row>
        <row r="2122">
          <cell r="D2122" t="str">
            <v>A1.5217</v>
          </cell>
          <cell r="E2122" t="str">
            <v>A1.0386</v>
          </cell>
        </row>
        <row r="2123">
          <cell r="D2123" t="str">
            <v>A1.5217</v>
          </cell>
        </row>
        <row r="2124">
          <cell r="D2124" t="str">
            <v>A1.5218</v>
          </cell>
        </row>
        <row r="2125">
          <cell r="D2125" t="str">
            <v>A1.5219</v>
          </cell>
        </row>
        <row r="2126">
          <cell r="D2126" t="str">
            <v>A1.5220</v>
          </cell>
        </row>
        <row r="2127">
          <cell r="D2127" t="str">
            <v>A5.5221</v>
          </cell>
        </row>
        <row r="2128">
          <cell r="D2128" t="str">
            <v>A1.5222</v>
          </cell>
        </row>
        <row r="2129">
          <cell r="D2129" t="str">
            <v>A5.5223</v>
          </cell>
        </row>
        <row r="2130">
          <cell r="D2130" t="str">
            <v>A5.5224</v>
          </cell>
        </row>
        <row r="2131">
          <cell r="D2131" t="str">
            <v>A1.5225</v>
          </cell>
        </row>
        <row r="2132">
          <cell r="D2132" t="str">
            <v>A1.5226</v>
          </cell>
          <cell r="E2132" t="str">
            <v>A1.1923</v>
          </cell>
        </row>
        <row r="2133">
          <cell r="D2133" t="str">
            <v>A1.5227</v>
          </cell>
          <cell r="E2133" t="str">
            <v>A1.1826</v>
          </cell>
        </row>
        <row r="2134">
          <cell r="D2134" t="str">
            <v>A1.5228</v>
          </cell>
          <cell r="E2134" t="str">
            <v>A1.1680</v>
          </cell>
        </row>
        <row r="2135">
          <cell r="D2135" t="str">
            <v>A1.5229</v>
          </cell>
          <cell r="E2135" t="str">
            <v>A1.1322</v>
          </cell>
        </row>
        <row r="2136">
          <cell r="D2136" t="str">
            <v>A1.5229</v>
          </cell>
        </row>
        <row r="2137">
          <cell r="D2137" t="str">
            <v>A1.5230</v>
          </cell>
          <cell r="E2137" t="str">
            <v>A1.1908</v>
          </cell>
        </row>
        <row r="2138">
          <cell r="D2138" t="str">
            <v>A1.5231</v>
          </cell>
          <cell r="E2138" t="str">
            <v>A1.1721</v>
          </cell>
        </row>
        <row r="2139">
          <cell r="D2139" t="str">
            <v>A1.5232</v>
          </cell>
          <cell r="E2139" t="str">
            <v>A1.1909</v>
          </cell>
        </row>
        <row r="2140">
          <cell r="D2140" t="str">
            <v>A1.5233</v>
          </cell>
          <cell r="E2140" t="str">
            <v>A1.1918</v>
          </cell>
        </row>
        <row r="2141">
          <cell r="D2141" t="str">
            <v>A1.5234</v>
          </cell>
        </row>
        <row r="2142">
          <cell r="D2142" t="str">
            <v>A1.5235</v>
          </cell>
          <cell r="E2142" t="str">
            <v>A1.0853</v>
          </cell>
        </row>
        <row r="2143">
          <cell r="D2143" t="str">
            <v>A1.5236</v>
          </cell>
          <cell r="E2143" t="str">
            <v>A1.1814</v>
          </cell>
        </row>
        <row r="2144">
          <cell r="D2144" t="str">
            <v>A1.5237</v>
          </cell>
          <cell r="E2144" t="str">
            <v>A1.1596</v>
          </cell>
        </row>
        <row r="2145">
          <cell r="D2145" t="str">
            <v>A1.5238</v>
          </cell>
          <cell r="E2145" t="str">
            <v>A1.1520</v>
          </cell>
        </row>
        <row r="2146">
          <cell r="D2146" t="str">
            <v>A1.5239</v>
          </cell>
        </row>
        <row r="2147">
          <cell r="D2147" t="str">
            <v>A1.5239</v>
          </cell>
          <cell r="E2147" t="str">
            <v>A1.1421</v>
          </cell>
        </row>
        <row r="2148">
          <cell r="D2148" t="str">
            <v>A1.5240</v>
          </cell>
        </row>
        <row r="2149">
          <cell r="D2149" t="str">
            <v>A1.5240</v>
          </cell>
        </row>
        <row r="2150">
          <cell r="D2150" t="str">
            <v>A1.5241</v>
          </cell>
        </row>
        <row r="2151">
          <cell r="D2151" t="str">
            <v>A1.5241</v>
          </cell>
        </row>
        <row r="2152">
          <cell r="D2152" t="str">
            <v>A1.5242</v>
          </cell>
        </row>
        <row r="2153">
          <cell r="D2153" t="str">
            <v>A1.5242</v>
          </cell>
        </row>
        <row r="2154">
          <cell r="D2154" t="str">
            <v>A1.5243</v>
          </cell>
        </row>
        <row r="2155">
          <cell r="D2155" t="str">
            <v>A1.5243</v>
          </cell>
          <cell r="E2155" t="str">
            <v>A1.1143</v>
          </cell>
        </row>
        <row r="2156">
          <cell r="D2156" t="str">
            <v>A1.5244</v>
          </cell>
          <cell r="E2156" t="str">
            <v>A1.1299</v>
          </cell>
        </row>
        <row r="2157">
          <cell r="D2157" t="str">
            <v>A1.5245</v>
          </cell>
        </row>
        <row r="2158">
          <cell r="D2158" t="str">
            <v>A1.5246</v>
          </cell>
          <cell r="E2158" t="str">
            <v>A1.1073</v>
          </cell>
        </row>
        <row r="2159">
          <cell r="D2159" t="str">
            <v>A1.5247</v>
          </cell>
          <cell r="E2159" t="str">
            <v>A1.1109</v>
          </cell>
        </row>
        <row r="2160">
          <cell r="D2160" t="str">
            <v>A1.5248</v>
          </cell>
        </row>
        <row r="2161">
          <cell r="D2161" t="str">
            <v>A1.5249</v>
          </cell>
          <cell r="E2161" t="str">
            <v>A1.0722</v>
          </cell>
        </row>
        <row r="2162">
          <cell r="D2162" t="str">
            <v>A1.5250</v>
          </cell>
          <cell r="E2162" t="str">
            <v>A1.1175</v>
          </cell>
        </row>
        <row r="2163">
          <cell r="D2163" t="str">
            <v>A1.5251</v>
          </cell>
        </row>
        <row r="2164">
          <cell r="D2164" t="str">
            <v>A1.5251</v>
          </cell>
        </row>
        <row r="2165">
          <cell r="D2165" t="str">
            <v>A1.5252</v>
          </cell>
        </row>
        <row r="2166">
          <cell r="D2166" t="str">
            <v>A1.5252</v>
          </cell>
        </row>
        <row r="2167">
          <cell r="D2167" t="str">
            <v>A1.5253</v>
          </cell>
        </row>
        <row r="2168">
          <cell r="D2168" t="str">
            <v>A1.5254</v>
          </cell>
        </row>
        <row r="2169">
          <cell r="D2169" t="str">
            <v>A1.5255</v>
          </cell>
        </row>
        <row r="2170">
          <cell r="D2170" t="str">
            <v>A1.5256</v>
          </cell>
          <cell r="E2170" t="str">
            <v>A1.1378</v>
          </cell>
        </row>
        <row r="2171">
          <cell r="D2171" t="str">
            <v>A1.5257</v>
          </cell>
          <cell r="E2171" t="str">
            <v>A1.1379</v>
          </cell>
        </row>
        <row r="2172">
          <cell r="D2172" t="str">
            <v>A1.5258</v>
          </cell>
          <cell r="E2172" t="str">
            <v>A1.0578</v>
          </cell>
        </row>
        <row r="2173">
          <cell r="D2173" t="str">
            <v>A1.5259</v>
          </cell>
        </row>
        <row r="2174">
          <cell r="D2174" t="str">
            <v>A1.5260</v>
          </cell>
          <cell r="E2174" t="str">
            <v>A1.1769</v>
          </cell>
        </row>
        <row r="2175">
          <cell r="D2175" t="str">
            <v>A1.5261</v>
          </cell>
        </row>
        <row r="2176">
          <cell r="D2176" t="str">
            <v>A1.5262</v>
          </cell>
          <cell r="E2176" t="str">
            <v>A1.1303</v>
          </cell>
        </row>
        <row r="2177">
          <cell r="D2177" t="str">
            <v>A1.5263</v>
          </cell>
          <cell r="E2177" t="str">
            <v>A1.1649</v>
          </cell>
        </row>
        <row r="2178">
          <cell r="D2178" t="str">
            <v>A1.5264</v>
          </cell>
        </row>
        <row r="2179">
          <cell r="D2179" t="str">
            <v>A1.5265</v>
          </cell>
        </row>
        <row r="2180">
          <cell r="D2180" t="str">
            <v>A1.5266</v>
          </cell>
        </row>
        <row r="2181">
          <cell r="D2181" t="str">
            <v>A1.5267</v>
          </cell>
        </row>
        <row r="2182">
          <cell r="D2182" t="str">
            <v>A1.5268</v>
          </cell>
        </row>
        <row r="2183">
          <cell r="D2183" t="str">
            <v>A1.5269</v>
          </cell>
        </row>
        <row r="2184">
          <cell r="D2184" t="str">
            <v>A1.5270</v>
          </cell>
        </row>
        <row r="2185">
          <cell r="D2185" t="str">
            <v>A1.5270</v>
          </cell>
          <cell r="E2185" t="str">
            <v>A1.1127</v>
          </cell>
        </row>
        <row r="2186">
          <cell r="D2186" t="str">
            <v>A1.5270</v>
          </cell>
        </row>
        <row r="2187">
          <cell r="D2187" t="str">
            <v>A1.5270</v>
          </cell>
        </row>
        <row r="2188">
          <cell r="D2188" t="str">
            <v>A1.5270</v>
          </cell>
        </row>
        <row r="2189">
          <cell r="D2189" t="str">
            <v>A1.5271</v>
          </cell>
        </row>
        <row r="2190">
          <cell r="D2190" t="str">
            <v>A1.5272</v>
          </cell>
          <cell r="E2190" t="str">
            <v>A1.1289</v>
          </cell>
        </row>
        <row r="2191">
          <cell r="D2191" t="str">
            <v>A1.5272</v>
          </cell>
        </row>
        <row r="2192">
          <cell r="D2192" t="str">
            <v>A1.5273</v>
          </cell>
          <cell r="E2192" t="str">
            <v>A1.1542</v>
          </cell>
        </row>
        <row r="2193">
          <cell r="D2193" t="str">
            <v>A1.5274</v>
          </cell>
          <cell r="E2193" t="str">
            <v>A1.0833</v>
          </cell>
        </row>
        <row r="2194">
          <cell r="D2194" t="str">
            <v>A1.5275</v>
          </cell>
        </row>
        <row r="2195">
          <cell r="D2195" t="str">
            <v>A1.5276</v>
          </cell>
        </row>
        <row r="2196">
          <cell r="D2196" t="str">
            <v>A1.5277</v>
          </cell>
          <cell r="E2196" t="str">
            <v>A1.1488</v>
          </cell>
        </row>
        <row r="2197">
          <cell r="D2197" t="str">
            <v>A1.5278</v>
          </cell>
          <cell r="E2197" t="str">
            <v>A1.0906</v>
          </cell>
        </row>
        <row r="2198">
          <cell r="D2198" t="str">
            <v>A1.5279</v>
          </cell>
          <cell r="E2198" t="str">
            <v>A1.1924</v>
          </cell>
        </row>
        <row r="2199">
          <cell r="D2199" t="str">
            <v>A1.5280</v>
          </cell>
        </row>
        <row r="2200">
          <cell r="D2200" t="str">
            <v>A1.5280</v>
          </cell>
        </row>
        <row r="2201">
          <cell r="D2201" t="str">
            <v>A1.5310</v>
          </cell>
        </row>
        <row r="2202">
          <cell r="D2202" t="str">
            <v>A1.5311</v>
          </cell>
          <cell r="E2202" t="str">
            <v>A1.1694</v>
          </cell>
        </row>
        <row r="2203">
          <cell r="D2203" t="str">
            <v>A1.5312</v>
          </cell>
          <cell r="E2203" t="str">
            <v>A1.1894</v>
          </cell>
        </row>
        <row r="2204">
          <cell r="D2204" t="str">
            <v>A1.5313</v>
          </cell>
        </row>
        <row r="2205">
          <cell r="D2205" t="str">
            <v>A1.5313</v>
          </cell>
        </row>
        <row r="2206">
          <cell r="D2206" t="str">
            <v>A1.5313</v>
          </cell>
          <cell r="E2206" t="str">
            <v>A1.1648</v>
          </cell>
        </row>
        <row r="2207">
          <cell r="D2207" t="str">
            <v>A1.5313</v>
          </cell>
        </row>
        <row r="2208">
          <cell r="D2208" t="str">
            <v>A1.5313</v>
          </cell>
        </row>
        <row r="2209">
          <cell r="D2209" t="str">
            <v>A1.5314</v>
          </cell>
        </row>
        <row r="2210">
          <cell r="D2210" t="str">
            <v>A1.5314</v>
          </cell>
        </row>
        <row r="2211">
          <cell r="D2211" t="str">
            <v>A1.5315</v>
          </cell>
        </row>
        <row r="2212">
          <cell r="D2212" t="str">
            <v>A1.5316</v>
          </cell>
        </row>
        <row r="2213">
          <cell r="D2213" t="str">
            <v>A1.5316</v>
          </cell>
        </row>
        <row r="2214">
          <cell r="D2214" t="str">
            <v>A1.5316</v>
          </cell>
        </row>
        <row r="2215">
          <cell r="D2215" t="str">
            <v>A1.5316</v>
          </cell>
        </row>
        <row r="2216">
          <cell r="D2216" t="str">
            <v>A1.5317</v>
          </cell>
        </row>
        <row r="2217">
          <cell r="D2217" t="str">
            <v>A1.5317</v>
          </cell>
          <cell r="E2217" t="str">
            <v>A1.0307</v>
          </cell>
        </row>
        <row r="2218">
          <cell r="D2218" t="str">
            <v>A1.5317</v>
          </cell>
        </row>
        <row r="2219">
          <cell r="D2219" t="str">
            <v>A1.5317</v>
          </cell>
        </row>
        <row r="2220">
          <cell r="D2220" t="str">
            <v>A1.5317</v>
          </cell>
        </row>
        <row r="2221">
          <cell r="D2221" t="str">
            <v>A1.5317</v>
          </cell>
        </row>
        <row r="2222">
          <cell r="D2222" t="str">
            <v>A1.5317</v>
          </cell>
        </row>
        <row r="2223">
          <cell r="D2223" t="str">
            <v>A1.5318</v>
          </cell>
        </row>
        <row r="2224">
          <cell r="D2224" t="str">
            <v>A1.5319</v>
          </cell>
        </row>
        <row r="2225">
          <cell r="D2225" t="str">
            <v>A1.5320</v>
          </cell>
        </row>
        <row r="2226">
          <cell r="D2226" t="str">
            <v>A1.5320</v>
          </cell>
        </row>
        <row r="2227">
          <cell r="D2227" t="str">
            <v>A1.5321</v>
          </cell>
          <cell r="E2227" t="str">
            <v>A1.0699</v>
          </cell>
        </row>
        <row r="2228">
          <cell r="D2228" t="str">
            <v>A1.5321</v>
          </cell>
        </row>
        <row r="2229">
          <cell r="D2229" t="str">
            <v>A1.5322</v>
          </cell>
          <cell r="E2229" t="str">
            <v>A1.1746</v>
          </cell>
        </row>
        <row r="2230">
          <cell r="D2230" t="str">
            <v>A1.5323</v>
          </cell>
          <cell r="E2230" t="str">
            <v>A1.1252</v>
          </cell>
        </row>
        <row r="2231">
          <cell r="D2231" t="str">
            <v>A1.5324</v>
          </cell>
        </row>
        <row r="2232">
          <cell r="D2232" t="str">
            <v>A1.5325</v>
          </cell>
        </row>
        <row r="2233">
          <cell r="D2233" t="str">
            <v>A1.5326</v>
          </cell>
          <cell r="E2233" t="str">
            <v>A1.1811</v>
          </cell>
        </row>
        <row r="2234">
          <cell r="D2234" t="str">
            <v>A1.5327</v>
          </cell>
        </row>
        <row r="2235">
          <cell r="D2235" t="str">
            <v>A1.5328</v>
          </cell>
          <cell r="E2235" t="str">
            <v>A1.1511</v>
          </cell>
        </row>
        <row r="2236">
          <cell r="D2236" t="str">
            <v>A1.5328</v>
          </cell>
        </row>
        <row r="2237">
          <cell r="D2237" t="str">
            <v>A1.5329</v>
          </cell>
          <cell r="E2237" t="str">
            <v>A1.1512</v>
          </cell>
        </row>
        <row r="2238">
          <cell r="D2238" t="str">
            <v>A1.5329</v>
          </cell>
        </row>
        <row r="2239">
          <cell r="D2239" t="str">
            <v>A1.5330</v>
          </cell>
        </row>
        <row r="2240">
          <cell r="D2240" t="str">
            <v>A1.5330</v>
          </cell>
        </row>
        <row r="2241">
          <cell r="D2241" t="str">
            <v>A1.5330</v>
          </cell>
        </row>
        <row r="2242">
          <cell r="D2242" t="str">
            <v>A1.5331</v>
          </cell>
          <cell r="E2242" t="str">
            <v>A1.1666</v>
          </cell>
        </row>
        <row r="2243">
          <cell r="D2243" t="str">
            <v>A1.5331</v>
          </cell>
        </row>
        <row r="2244">
          <cell r="D2244" t="str">
            <v>A1.5332</v>
          </cell>
          <cell r="E2244" t="str">
            <v>A1.1063</v>
          </cell>
        </row>
        <row r="2245">
          <cell r="D2245" t="str">
            <v>A1.5333</v>
          </cell>
          <cell r="E2245" t="str">
            <v>A1.0850</v>
          </cell>
        </row>
        <row r="2246">
          <cell r="D2246" t="str">
            <v>A1.5334</v>
          </cell>
        </row>
        <row r="2247">
          <cell r="D2247" t="str">
            <v>A1.5335</v>
          </cell>
        </row>
        <row r="2248">
          <cell r="D2248" t="str">
            <v>A1.5336</v>
          </cell>
          <cell r="E2248" t="str">
            <v>A1.1495</v>
          </cell>
        </row>
        <row r="2249">
          <cell r="D2249" t="str">
            <v>A1.5337</v>
          </cell>
        </row>
        <row r="2250">
          <cell r="D2250" t="str">
            <v>A1.5338</v>
          </cell>
          <cell r="E2250" t="str">
            <v>A1.1886</v>
          </cell>
        </row>
        <row r="2251">
          <cell r="D2251" t="str">
            <v>A1.5339</v>
          </cell>
        </row>
        <row r="2252">
          <cell r="D2252" t="str">
            <v>A1.5340</v>
          </cell>
        </row>
        <row r="2253">
          <cell r="D2253" t="str">
            <v>A1.5341</v>
          </cell>
          <cell r="E2253" t="str">
            <v>A1.1709</v>
          </cell>
        </row>
        <row r="2254">
          <cell r="D2254" t="str">
            <v>A1.5341</v>
          </cell>
        </row>
        <row r="2255">
          <cell r="D2255" t="str">
            <v>A1.5342</v>
          </cell>
          <cell r="E2255" t="str">
            <v>A1.1212</v>
          </cell>
        </row>
        <row r="2256">
          <cell r="D2256" t="str">
            <v>A1.5343</v>
          </cell>
        </row>
        <row r="2257">
          <cell r="D2257" t="str">
            <v>A1.5344</v>
          </cell>
        </row>
        <row r="2258">
          <cell r="D2258" t="str">
            <v>A1.5345</v>
          </cell>
          <cell r="E2258" t="str">
            <v>A1.1703</v>
          </cell>
        </row>
        <row r="2259">
          <cell r="D2259" t="str">
            <v>A1.5346</v>
          </cell>
          <cell r="E2259" t="str">
            <v>A1.1765</v>
          </cell>
        </row>
        <row r="2260">
          <cell r="D2260" t="str">
            <v>A1.5346</v>
          </cell>
        </row>
        <row r="2261">
          <cell r="D2261" t="str">
            <v>A1.5347</v>
          </cell>
          <cell r="E2261" t="str">
            <v>A1.1374</v>
          </cell>
        </row>
        <row r="2262">
          <cell r="D2262" t="str">
            <v>A1.5348</v>
          </cell>
          <cell r="E2262" t="str">
            <v>A1.1285</v>
          </cell>
        </row>
        <row r="2263">
          <cell r="D2263" t="str">
            <v>A1.5349</v>
          </cell>
        </row>
        <row r="2264">
          <cell r="D2264" t="str">
            <v>A5.5350</v>
          </cell>
          <cell r="E2264" t="str">
            <v>A5.0344</v>
          </cell>
        </row>
        <row r="2265">
          <cell r="D2265" t="str">
            <v>A1.5351</v>
          </cell>
        </row>
        <row r="2266">
          <cell r="D2266" t="str">
            <v>A1.5352</v>
          </cell>
        </row>
        <row r="2267">
          <cell r="D2267" t="str">
            <v>A1.5353</v>
          </cell>
          <cell r="E2267" t="str">
            <v>A1.1430</v>
          </cell>
        </row>
        <row r="2268">
          <cell r="D2268" t="str">
            <v>A1.5353</v>
          </cell>
          <cell r="E2268" t="str">
            <v>A1.1430</v>
          </cell>
        </row>
        <row r="2269">
          <cell r="D2269" t="str">
            <v>A1.5354</v>
          </cell>
          <cell r="E2269" t="str">
            <v>A1.1455</v>
          </cell>
        </row>
        <row r="2270">
          <cell r="D2270" t="str">
            <v>A1.5355</v>
          </cell>
        </row>
        <row r="2271">
          <cell r="D2271" t="str">
            <v>A1.5356</v>
          </cell>
        </row>
        <row r="2272">
          <cell r="D2272" t="str">
            <v>A1.5357</v>
          </cell>
          <cell r="E2272" t="str">
            <v>A1.1906</v>
          </cell>
        </row>
        <row r="2273">
          <cell r="D2273" t="str">
            <v>A1.5358</v>
          </cell>
          <cell r="E2273" t="str">
            <v>A1.1907</v>
          </cell>
        </row>
        <row r="2274">
          <cell r="D2274" t="str">
            <v>A1.5359</v>
          </cell>
        </row>
        <row r="2275">
          <cell r="D2275" t="str">
            <v>A1.5360</v>
          </cell>
          <cell r="E2275" t="str">
            <v>A1.1494</v>
          </cell>
        </row>
        <row r="2276">
          <cell r="D2276" t="str">
            <v>A1.5361</v>
          </cell>
        </row>
        <row r="2277">
          <cell r="D2277" t="str">
            <v>A1.5361</v>
          </cell>
        </row>
        <row r="2278">
          <cell r="D2278" t="str">
            <v>A1.5361</v>
          </cell>
        </row>
        <row r="2279">
          <cell r="D2279" t="str">
            <v>A1.5361</v>
          </cell>
        </row>
        <row r="2280">
          <cell r="D2280" t="str">
            <v>A1.5362</v>
          </cell>
        </row>
        <row r="2281">
          <cell r="D2281" t="str">
            <v>A1.5363</v>
          </cell>
        </row>
        <row r="2282">
          <cell r="D2282" t="str">
            <v>A1.5364</v>
          </cell>
        </row>
        <row r="2283">
          <cell r="D2283" t="str">
            <v>A1.5365</v>
          </cell>
        </row>
        <row r="2284">
          <cell r="D2284" t="str">
            <v>A1.5366</v>
          </cell>
        </row>
        <row r="2285">
          <cell r="D2285" t="str">
            <v>A1.5367</v>
          </cell>
        </row>
        <row r="2286">
          <cell r="D2286" t="str">
            <v>A1.5367</v>
          </cell>
        </row>
        <row r="2287">
          <cell r="D2287" t="str">
            <v>A1.5368</v>
          </cell>
        </row>
        <row r="2288">
          <cell r="D2288" t="str">
            <v>A1.5369</v>
          </cell>
        </row>
        <row r="2289">
          <cell r="D2289" t="str">
            <v>A1.5370</v>
          </cell>
          <cell r="E2289" t="str">
            <v>A1.1599</v>
          </cell>
        </row>
        <row r="2290">
          <cell r="D2290" t="str">
            <v>A1.5370</v>
          </cell>
        </row>
        <row r="2291">
          <cell r="D2291" t="str">
            <v>A1.5371</v>
          </cell>
        </row>
        <row r="2292">
          <cell r="D2292" t="str">
            <v>A1.5372</v>
          </cell>
          <cell r="E2292" t="str">
            <v>A1.1060</v>
          </cell>
        </row>
        <row r="2293">
          <cell r="D2293" t="str">
            <v>A1.5372</v>
          </cell>
        </row>
        <row r="2294">
          <cell r="D2294" t="str">
            <v>A1.5373</v>
          </cell>
        </row>
        <row r="2295">
          <cell r="D2295" t="str">
            <v>A1.5374</v>
          </cell>
        </row>
        <row r="2296">
          <cell r="D2296" t="str">
            <v>A1.5375</v>
          </cell>
        </row>
        <row r="2297">
          <cell r="D2297" t="str">
            <v>A1.5375</v>
          </cell>
        </row>
        <row r="2298">
          <cell r="D2298" t="str">
            <v>A1.5376</v>
          </cell>
        </row>
        <row r="2299">
          <cell r="D2299" t="str">
            <v>A1.5376</v>
          </cell>
        </row>
        <row r="2300">
          <cell r="D2300" t="str">
            <v>A1.5377</v>
          </cell>
          <cell r="E2300" t="str">
            <v>A1.1476</v>
          </cell>
        </row>
        <row r="2301">
          <cell r="D2301" t="str">
            <v>A1.5377</v>
          </cell>
        </row>
        <row r="2302">
          <cell r="D2302" t="str">
            <v>A1.5378</v>
          </cell>
        </row>
        <row r="2303">
          <cell r="D2303" t="str">
            <v>A1.5379</v>
          </cell>
        </row>
        <row r="2304">
          <cell r="D2304" t="str">
            <v>A1.5380</v>
          </cell>
          <cell r="E2304" t="str">
            <v>A1.1915</v>
          </cell>
        </row>
        <row r="2305">
          <cell r="D2305" t="str">
            <v>A1.5381</v>
          </cell>
          <cell r="E2305" t="str">
            <v>A1.1641</v>
          </cell>
        </row>
        <row r="2306">
          <cell r="D2306" t="str">
            <v>A1.5382</v>
          </cell>
          <cell r="E2306" t="str">
            <v>A1.1294</v>
          </cell>
        </row>
        <row r="2307">
          <cell r="D2307" t="str">
            <v>A1.5383</v>
          </cell>
        </row>
        <row r="2308">
          <cell r="D2308" t="str">
            <v>A1.5384</v>
          </cell>
        </row>
        <row r="2309">
          <cell r="D2309" t="str">
            <v>A1.5385</v>
          </cell>
          <cell r="E2309" t="str">
            <v>A1.0688</v>
          </cell>
        </row>
        <row r="2310">
          <cell r="D2310" t="str">
            <v>A1.5385</v>
          </cell>
        </row>
        <row r="2311">
          <cell r="D2311" t="str">
            <v>A1.5385</v>
          </cell>
        </row>
        <row r="2312">
          <cell r="D2312" t="str">
            <v>A1.5386</v>
          </cell>
          <cell r="E2312" t="str">
            <v>A1.1308</v>
          </cell>
        </row>
        <row r="2313">
          <cell r="D2313" t="str">
            <v>A1.5386</v>
          </cell>
        </row>
        <row r="2314">
          <cell r="D2314" t="str">
            <v>A1.5387</v>
          </cell>
        </row>
        <row r="2315">
          <cell r="D2315" t="str">
            <v>A1.5388</v>
          </cell>
        </row>
        <row r="2316">
          <cell r="D2316" t="str">
            <v>A1.5388</v>
          </cell>
          <cell r="E2316" t="str">
            <v>A1.1313</v>
          </cell>
        </row>
        <row r="2317">
          <cell r="D2317" t="str">
            <v>A1.5389</v>
          </cell>
          <cell r="E2317" t="str">
            <v>A1.1368</v>
          </cell>
        </row>
        <row r="2318">
          <cell r="D2318" t="str">
            <v>A1.5390</v>
          </cell>
          <cell r="E2318" t="str">
            <v>A1.1651</v>
          </cell>
        </row>
        <row r="2319">
          <cell r="D2319" t="str">
            <v>A1.5391</v>
          </cell>
          <cell r="E2319" t="str">
            <v>A1.1144</v>
          </cell>
        </row>
        <row r="2320">
          <cell r="D2320" t="str">
            <v>A1.5392</v>
          </cell>
          <cell r="E2320" t="str">
            <v>A1.0908</v>
          </cell>
        </row>
        <row r="2321">
          <cell r="D2321" t="str">
            <v>A1.5392</v>
          </cell>
        </row>
        <row r="2322">
          <cell r="D2322" t="str">
            <v>A1.5393</v>
          </cell>
        </row>
        <row r="2323">
          <cell r="D2323" t="str">
            <v>A1.5393</v>
          </cell>
        </row>
        <row r="2324">
          <cell r="D2324" t="str">
            <v>A1.5394</v>
          </cell>
        </row>
        <row r="2325">
          <cell r="D2325" t="str">
            <v>A1.5395</v>
          </cell>
        </row>
        <row r="2326">
          <cell r="D2326" t="str">
            <v>A1.5396</v>
          </cell>
          <cell r="E2326" t="str">
            <v>A1.0125</v>
          </cell>
        </row>
        <row r="2327">
          <cell r="D2327" t="str">
            <v>A1.5396</v>
          </cell>
        </row>
        <row r="2328">
          <cell r="D2328" t="str">
            <v>A1.5397</v>
          </cell>
        </row>
        <row r="2329">
          <cell r="D2329" t="str">
            <v>A1.5397</v>
          </cell>
        </row>
        <row r="2330">
          <cell r="D2330" t="str">
            <v>A1.5398</v>
          </cell>
        </row>
        <row r="2331">
          <cell r="D2331" t="str">
            <v>A1.5399</v>
          </cell>
          <cell r="E2331" t="str">
            <v>A1.0082</v>
          </cell>
        </row>
        <row r="2332">
          <cell r="D2332" t="str">
            <v>A1.5399</v>
          </cell>
        </row>
        <row r="2333">
          <cell r="D2333" t="str">
            <v>A1.5399</v>
          </cell>
        </row>
        <row r="2334">
          <cell r="D2334" t="str">
            <v>A1.5399</v>
          </cell>
        </row>
        <row r="2335">
          <cell r="D2335" t="str">
            <v>A1.5399</v>
          </cell>
        </row>
        <row r="2336">
          <cell r="D2336" t="str">
            <v>A1.5399</v>
          </cell>
        </row>
        <row r="2337">
          <cell r="D2337" t="str">
            <v>A1.5399</v>
          </cell>
        </row>
        <row r="2338">
          <cell r="D2338" t="str">
            <v>A1.5400</v>
          </cell>
          <cell r="E2338" t="str">
            <v>A1.1554</v>
          </cell>
        </row>
        <row r="2339">
          <cell r="D2339" t="str">
            <v>A1.5400</v>
          </cell>
        </row>
        <row r="2340">
          <cell r="D2340" t="str">
            <v>A1.5401</v>
          </cell>
        </row>
        <row r="2341">
          <cell r="D2341" t="str">
            <v>A1.5402</v>
          </cell>
        </row>
        <row r="2342">
          <cell r="D2342" t="str">
            <v>A1.5403</v>
          </cell>
        </row>
        <row r="2343">
          <cell r="D2343" t="str">
            <v>A1.5403</v>
          </cell>
        </row>
        <row r="2344">
          <cell r="D2344" t="str">
            <v>A1.5404</v>
          </cell>
          <cell r="E2344" t="str">
            <v>A1.0037</v>
          </cell>
        </row>
        <row r="2345">
          <cell r="D2345" t="str">
            <v>A1.5404</v>
          </cell>
        </row>
        <row r="2346">
          <cell r="D2346" t="str">
            <v>A1.5405</v>
          </cell>
        </row>
        <row r="2347">
          <cell r="D2347" t="str">
            <v>A1.5405</v>
          </cell>
          <cell r="E2347" t="str">
            <v>A1.0742</v>
          </cell>
        </row>
        <row r="2348">
          <cell r="D2348" t="str">
            <v>A1.5405</v>
          </cell>
        </row>
        <row r="2349">
          <cell r="D2349" t="str">
            <v>A1.5405</v>
          </cell>
        </row>
        <row r="2350">
          <cell r="D2350" t="str">
            <v>A1.5405</v>
          </cell>
        </row>
        <row r="2351">
          <cell r="D2351" t="str">
            <v>A1.5406</v>
          </cell>
        </row>
        <row r="2352">
          <cell r="D2352" t="str">
            <v>A1.5407</v>
          </cell>
          <cell r="E2352" t="str">
            <v>A1.0169</v>
          </cell>
        </row>
        <row r="2353">
          <cell r="D2353" t="str">
            <v>A1.5407</v>
          </cell>
        </row>
        <row r="2354">
          <cell r="D2354" t="str">
            <v>A1.5408</v>
          </cell>
        </row>
        <row r="2355">
          <cell r="D2355" t="str">
            <v>A1.5408</v>
          </cell>
        </row>
        <row r="2356">
          <cell r="D2356" t="str">
            <v>A1.5408</v>
          </cell>
          <cell r="E2356" t="str">
            <v>A1.0685</v>
          </cell>
        </row>
        <row r="2357">
          <cell r="D2357" t="str">
            <v>A1.5408</v>
          </cell>
        </row>
        <row r="2358">
          <cell r="D2358" t="str">
            <v>A1.5408</v>
          </cell>
        </row>
        <row r="2359">
          <cell r="D2359" t="str">
            <v>A1.5409</v>
          </cell>
          <cell r="E2359" t="str">
            <v>A1.0228</v>
          </cell>
        </row>
        <row r="2360">
          <cell r="D2360" t="str">
            <v>A1.5409</v>
          </cell>
        </row>
        <row r="2361">
          <cell r="D2361" t="str">
            <v>A1.5409</v>
          </cell>
        </row>
        <row r="2362">
          <cell r="D2362" t="str">
            <v>A1.5409</v>
          </cell>
        </row>
        <row r="2363">
          <cell r="D2363" t="str">
            <v>A1.5410</v>
          </cell>
        </row>
        <row r="2364">
          <cell r="D2364" t="str">
            <v>A1.5411</v>
          </cell>
          <cell r="E2364" t="str">
            <v>A1.1413</v>
          </cell>
        </row>
        <row r="2365">
          <cell r="D2365" t="str">
            <v>A1.5411</v>
          </cell>
        </row>
        <row r="2366">
          <cell r="D2366" t="str">
            <v>A1.5412</v>
          </cell>
        </row>
        <row r="2367">
          <cell r="D2367" t="str">
            <v>A1.5413</v>
          </cell>
          <cell r="E2367" t="str">
            <v>A1.1772</v>
          </cell>
        </row>
        <row r="2368">
          <cell r="D2368" t="str">
            <v>A1.5414</v>
          </cell>
          <cell r="E2368" t="str">
            <v>A1.1773</v>
          </cell>
        </row>
        <row r="2369">
          <cell r="D2369" t="str">
            <v>A1.5415</v>
          </cell>
          <cell r="E2369" t="str">
            <v>A1.1629</v>
          </cell>
        </row>
        <row r="2370">
          <cell r="D2370" t="str">
            <v>A1.5416</v>
          </cell>
        </row>
        <row r="2371">
          <cell r="D2371" t="str">
            <v>A1.5417</v>
          </cell>
        </row>
        <row r="2372">
          <cell r="D2372" t="str">
            <v>A1.5418</v>
          </cell>
          <cell r="E2372" t="str">
            <v>A1.1985</v>
          </cell>
        </row>
        <row r="2373">
          <cell r="D2373" t="str">
            <v>A1.5419</v>
          </cell>
          <cell r="E2373" t="str">
            <v>A1.1981</v>
          </cell>
        </row>
        <row r="2374">
          <cell r="D2374" t="str">
            <v>A1.5420</v>
          </cell>
          <cell r="E2374" t="str">
            <v>A1.1983</v>
          </cell>
        </row>
        <row r="2375">
          <cell r="D2375" t="str">
            <v>A1.5421</v>
          </cell>
          <cell r="E2375" t="str">
            <v>A1.1984</v>
          </cell>
        </row>
        <row r="2376">
          <cell r="D2376" t="str">
            <v>A1.5422</v>
          </cell>
          <cell r="E2376" t="str">
            <v>A1.1982</v>
          </cell>
        </row>
        <row r="2377">
          <cell r="D2377" t="str">
            <v>A1.5423</v>
          </cell>
          <cell r="E2377" t="str">
            <v>A1.1997</v>
          </cell>
        </row>
        <row r="2378">
          <cell r="D2378" t="str">
            <v>A1.5424</v>
          </cell>
          <cell r="E2378" t="str">
            <v>A1.1553</v>
          </cell>
        </row>
        <row r="2379">
          <cell r="D2379" t="str">
            <v>A1.5424</v>
          </cell>
        </row>
        <row r="2380">
          <cell r="D2380" t="str">
            <v>A1.5425</v>
          </cell>
          <cell r="E2380" t="str">
            <v>A1.1551</v>
          </cell>
        </row>
        <row r="2381">
          <cell r="D2381" t="str">
            <v>A1.5425</v>
          </cell>
          <cell r="E2381" t="str">
            <v>A1.1551</v>
          </cell>
        </row>
        <row r="2382">
          <cell r="D2382" t="str">
            <v>A1.5425</v>
          </cell>
        </row>
        <row r="2383">
          <cell r="D2383" t="str">
            <v>A1.5426</v>
          </cell>
          <cell r="E2383" t="str">
            <v>A1.1971</v>
          </cell>
        </row>
        <row r="2384">
          <cell r="D2384" t="str">
            <v>A1.5427</v>
          </cell>
          <cell r="E2384" t="str">
            <v>A1.1630</v>
          </cell>
        </row>
        <row r="2385">
          <cell r="D2385" t="str">
            <v>A5.5428</v>
          </cell>
          <cell r="E2385" t="str">
            <v>A5.0277</v>
          </cell>
        </row>
        <row r="2386">
          <cell r="D2386" t="str">
            <v>A1.5429</v>
          </cell>
        </row>
        <row r="2387">
          <cell r="D2387" t="str">
            <v>A1.5430</v>
          </cell>
        </row>
        <row r="2388">
          <cell r="D2388" t="str">
            <v>A1.5728</v>
          </cell>
        </row>
        <row r="2389">
          <cell r="D2389" t="str">
            <v>A1.5431</v>
          </cell>
        </row>
        <row r="2390">
          <cell r="D2390" t="str">
            <v>A1.5431</v>
          </cell>
        </row>
        <row r="2391">
          <cell r="D2391" t="str">
            <v>A1.5432</v>
          </cell>
        </row>
        <row r="2392">
          <cell r="D2392" t="str">
            <v>A1.5433</v>
          </cell>
          <cell r="E2392" t="str">
            <v>A1.1391</v>
          </cell>
        </row>
        <row r="2393">
          <cell r="D2393" t="str">
            <v>A1.5434</v>
          </cell>
        </row>
        <row r="2394">
          <cell r="D2394" t="str">
            <v>A1.5434</v>
          </cell>
        </row>
        <row r="2395">
          <cell r="D2395" t="str">
            <v>A5.5435</v>
          </cell>
        </row>
        <row r="2396">
          <cell r="D2396" t="str">
            <v>A5.5436</v>
          </cell>
        </row>
        <row r="2397">
          <cell r="D2397" t="str">
            <v>A5.5437</v>
          </cell>
          <cell r="E2397" t="str">
            <v>A5.1235</v>
          </cell>
        </row>
        <row r="2398">
          <cell r="D2398" t="str">
            <v>A5.5438</v>
          </cell>
          <cell r="E2398" t="str">
            <v>A5.0805</v>
          </cell>
        </row>
        <row r="2399">
          <cell r="D2399" t="str">
            <v>A5.5439</v>
          </cell>
        </row>
        <row r="2400">
          <cell r="D2400" t="str">
            <v>A5.5440</v>
          </cell>
        </row>
        <row r="2401">
          <cell r="D2401" t="str">
            <v>A5.5441</v>
          </cell>
        </row>
        <row r="2402">
          <cell r="D2402" t="str">
            <v>A5.5442</v>
          </cell>
        </row>
        <row r="2403">
          <cell r="D2403" t="str">
            <v>A1.5443</v>
          </cell>
        </row>
        <row r="2404">
          <cell r="D2404" t="str">
            <v>A5.5443</v>
          </cell>
        </row>
        <row r="2405">
          <cell r="D2405" t="str">
            <v>A5.5444</v>
          </cell>
        </row>
        <row r="2406">
          <cell r="D2406" t="str">
            <v>A5.5445</v>
          </cell>
        </row>
        <row r="2407">
          <cell r="D2407" t="str">
            <v>A1.5446</v>
          </cell>
          <cell r="E2407" t="str">
            <v>A1.1937</v>
          </cell>
        </row>
        <row r="2408">
          <cell r="D2408" t="str">
            <v>A5.5447</v>
          </cell>
          <cell r="E2408" t="str">
            <v>A5.0803</v>
          </cell>
        </row>
        <row r="2409">
          <cell r="D2409" t="str">
            <v>A5.5447</v>
          </cell>
          <cell r="E2409" t="str">
            <v>A5.0803</v>
          </cell>
        </row>
        <row r="2410">
          <cell r="D2410" t="str">
            <v>A5.5447</v>
          </cell>
        </row>
        <row r="2411">
          <cell r="D2411" t="str">
            <v>A1.5448</v>
          </cell>
          <cell r="E2411" t="str">
            <v>A1.0127</v>
          </cell>
        </row>
        <row r="2412">
          <cell r="D2412" t="str">
            <v>A1.5448</v>
          </cell>
        </row>
        <row r="2413">
          <cell r="D2413" t="str">
            <v>A1.5449</v>
          </cell>
        </row>
        <row r="2414">
          <cell r="D2414" t="str">
            <v>A5.5449</v>
          </cell>
        </row>
        <row r="2415">
          <cell r="D2415" t="str">
            <v>A1.5450</v>
          </cell>
        </row>
        <row r="2416">
          <cell r="D2416" t="str">
            <v>A1.5451</v>
          </cell>
        </row>
        <row r="2417">
          <cell r="D2417" t="str">
            <v>A1.5451</v>
          </cell>
          <cell r="E2417" t="str">
            <v>A1.0941</v>
          </cell>
        </row>
        <row r="2418">
          <cell r="D2418" t="str">
            <v>A1.5451</v>
          </cell>
        </row>
        <row r="2419">
          <cell r="D2419" t="str">
            <v>A1.5452</v>
          </cell>
        </row>
        <row r="2420">
          <cell r="D2420" t="str">
            <v>A1.5453</v>
          </cell>
        </row>
        <row r="2421">
          <cell r="D2421" t="str">
            <v>A1.5454</v>
          </cell>
        </row>
        <row r="2422">
          <cell r="D2422" t="str">
            <v>A1.5455</v>
          </cell>
          <cell r="E2422" t="str">
            <v>A1.0366</v>
          </cell>
        </row>
        <row r="2423">
          <cell r="D2423" t="str">
            <v>A5.5456</v>
          </cell>
        </row>
        <row r="2424">
          <cell r="D2424" t="str">
            <v>A1.5457</v>
          </cell>
        </row>
        <row r="2425">
          <cell r="D2425" t="str">
            <v>A5.5457</v>
          </cell>
        </row>
        <row r="2426">
          <cell r="D2426" t="str">
            <v>A5.5458</v>
          </cell>
        </row>
        <row r="2427">
          <cell r="D2427" t="str">
            <v>A5.5459</v>
          </cell>
        </row>
        <row r="2428">
          <cell r="D2428" t="str">
            <v>A5.5460</v>
          </cell>
        </row>
        <row r="2429">
          <cell r="D2429" t="str">
            <v>A5.5461</v>
          </cell>
        </row>
        <row r="2430">
          <cell r="D2430" t="str">
            <v>A5.5462</v>
          </cell>
        </row>
        <row r="2431">
          <cell r="D2431" t="str">
            <v>A1.5463</v>
          </cell>
        </row>
        <row r="2432">
          <cell r="D2432" t="str">
            <v>A5.5463</v>
          </cell>
        </row>
        <row r="2433">
          <cell r="D2433" t="str">
            <v>A1.5464</v>
          </cell>
        </row>
        <row r="2434">
          <cell r="D2434" t="str">
            <v>A5.5464</v>
          </cell>
        </row>
        <row r="2435">
          <cell r="D2435" t="str">
            <v>A5.5464</v>
          </cell>
        </row>
        <row r="2436">
          <cell r="D2436" t="str">
            <v>A5.5465</v>
          </cell>
        </row>
        <row r="2437">
          <cell r="D2437" t="str">
            <v>A5.5466</v>
          </cell>
        </row>
        <row r="2438">
          <cell r="D2438" t="str">
            <v>A5.5467</v>
          </cell>
        </row>
        <row r="2439">
          <cell r="D2439" t="str">
            <v>A5.5467</v>
          </cell>
        </row>
        <row r="2440">
          <cell r="D2440" t="str">
            <v>A1.5468</v>
          </cell>
        </row>
        <row r="2441">
          <cell r="D2441" t="str">
            <v>A5.5468</v>
          </cell>
        </row>
        <row r="2442">
          <cell r="D2442" t="str">
            <v>A1.5469</v>
          </cell>
        </row>
        <row r="2443">
          <cell r="D2443" t="str">
            <v>A5.5469</v>
          </cell>
        </row>
        <row r="2444">
          <cell r="D2444" t="str">
            <v>A1.5470</v>
          </cell>
        </row>
        <row r="2445">
          <cell r="D2445" t="str">
            <v>A5.5470</v>
          </cell>
        </row>
        <row r="2446">
          <cell r="D2446" t="str">
            <v>A5.5471</v>
          </cell>
        </row>
        <row r="2447">
          <cell r="D2447" t="str">
            <v>A1.5472</v>
          </cell>
        </row>
        <row r="2448">
          <cell r="D2448" t="str">
            <v>A5.5472</v>
          </cell>
        </row>
        <row r="2449">
          <cell r="D2449" t="str">
            <v>A5.5473</v>
          </cell>
        </row>
        <row r="2450">
          <cell r="D2450" t="str">
            <v>A1.5474</v>
          </cell>
        </row>
        <row r="2451">
          <cell r="D2451" t="str">
            <v>A5.5474</v>
          </cell>
        </row>
        <row r="2452">
          <cell r="D2452" t="str">
            <v>A1.5475</v>
          </cell>
        </row>
        <row r="2453">
          <cell r="D2453" t="str">
            <v>A5.5475</v>
          </cell>
        </row>
        <row r="2454">
          <cell r="D2454" t="str">
            <v>A5.5476</v>
          </cell>
        </row>
        <row r="2455">
          <cell r="D2455" t="str">
            <v>A5.5477</v>
          </cell>
        </row>
        <row r="2456">
          <cell r="D2456" t="str">
            <v>A5.5478</v>
          </cell>
          <cell r="E2456" t="str">
            <v>A5.0009</v>
          </cell>
        </row>
        <row r="2457">
          <cell r="D2457" t="str">
            <v>A5.5479</v>
          </cell>
          <cell r="E2457" t="str">
            <v>A5.1118</v>
          </cell>
        </row>
        <row r="2458">
          <cell r="D2458" t="str">
            <v>A5.5480</v>
          </cell>
        </row>
        <row r="2459">
          <cell r="D2459" t="str">
            <v>A5.5481</v>
          </cell>
        </row>
        <row r="2460">
          <cell r="D2460" t="str">
            <v>A1.5482</v>
          </cell>
        </row>
        <row r="2461">
          <cell r="D2461" t="str">
            <v>A1.5483</v>
          </cell>
          <cell r="E2461" t="str">
            <v>A1.1516</v>
          </cell>
        </row>
        <row r="2462">
          <cell r="D2462" t="str">
            <v>A1.5484</v>
          </cell>
        </row>
        <row r="2463">
          <cell r="D2463" t="str">
            <v>A1.5485</v>
          </cell>
          <cell r="E2463" t="str">
            <v>A1.1473</v>
          </cell>
        </row>
        <row r="2464">
          <cell r="D2464" t="str">
            <v>A1.5486</v>
          </cell>
          <cell r="E2464" t="str">
            <v>A1.1286</v>
          </cell>
        </row>
        <row r="2465">
          <cell r="D2465" t="str">
            <v>A1.5486</v>
          </cell>
          <cell r="E2465" t="str">
            <v>A1.1286</v>
          </cell>
        </row>
        <row r="2466">
          <cell r="D2466" t="str">
            <v>A1.5487</v>
          </cell>
          <cell r="E2466" t="str">
            <v>A1.1278</v>
          </cell>
        </row>
        <row r="2467">
          <cell r="D2467" t="str">
            <v>A1.5488</v>
          </cell>
        </row>
        <row r="2468">
          <cell r="D2468" t="str">
            <v>A1.5489</v>
          </cell>
          <cell r="E2468" t="str">
            <v>A1.0112</v>
          </cell>
        </row>
        <row r="2469">
          <cell r="D2469" t="str">
            <v>A1.5490</v>
          </cell>
          <cell r="E2469" t="str">
            <v>A1.0563</v>
          </cell>
        </row>
        <row r="2470">
          <cell r="D2470" t="str">
            <v>A1.5491</v>
          </cell>
        </row>
        <row r="2471">
          <cell r="D2471" t="str">
            <v>A1.5491</v>
          </cell>
        </row>
        <row r="2472">
          <cell r="D2472" t="str">
            <v>A1.5491</v>
          </cell>
          <cell r="E2472" t="str">
            <v>A1.1241</v>
          </cell>
        </row>
        <row r="2473">
          <cell r="D2473" t="str">
            <v>A1.5492</v>
          </cell>
          <cell r="E2473" t="str">
            <v>A1.1007</v>
          </cell>
        </row>
        <row r="2474">
          <cell r="D2474" t="str">
            <v>A1.5493</v>
          </cell>
          <cell r="E2474" t="str">
            <v>A1.1766</v>
          </cell>
        </row>
        <row r="2475">
          <cell r="D2475" t="str">
            <v>A1.5494</v>
          </cell>
          <cell r="E2475" t="str">
            <v>A1.1674</v>
          </cell>
        </row>
        <row r="2476">
          <cell r="D2476" t="str">
            <v>A1.5495</v>
          </cell>
          <cell r="E2476" t="str">
            <v>A1.1242</v>
          </cell>
        </row>
        <row r="2477">
          <cell r="D2477" t="str">
            <v>A1.5496</v>
          </cell>
          <cell r="E2477" t="str">
            <v>A1.0891</v>
          </cell>
        </row>
        <row r="2478">
          <cell r="D2478" t="str">
            <v>A1.5497</v>
          </cell>
          <cell r="E2478" t="str">
            <v>A1.1223</v>
          </cell>
        </row>
        <row r="2479">
          <cell r="D2479" t="str">
            <v>A1.5498</v>
          </cell>
          <cell r="E2479" t="str">
            <v>A1.1627</v>
          </cell>
        </row>
        <row r="2480">
          <cell r="D2480" t="str">
            <v>A1.5499</v>
          </cell>
          <cell r="E2480" t="str">
            <v>A1.1637</v>
          </cell>
        </row>
        <row r="2481">
          <cell r="D2481" t="str">
            <v>A1.5500</v>
          </cell>
          <cell r="E2481" t="str">
            <v>A1.1356</v>
          </cell>
        </row>
        <row r="2482">
          <cell r="D2482" t="str">
            <v>A1.5501</v>
          </cell>
          <cell r="E2482" t="str">
            <v>A1.1562</v>
          </cell>
        </row>
        <row r="2483">
          <cell r="D2483" t="str">
            <v>A1.5502</v>
          </cell>
          <cell r="E2483" t="str">
            <v>A1.1563</v>
          </cell>
        </row>
        <row r="2484">
          <cell r="D2484" t="str">
            <v>A1.5503</v>
          </cell>
          <cell r="E2484" t="str">
            <v>A1.1370</v>
          </cell>
        </row>
        <row r="2485">
          <cell r="D2485" t="str">
            <v>A1.5504</v>
          </cell>
          <cell r="E2485" t="str">
            <v>A1.1514</v>
          </cell>
        </row>
        <row r="2486">
          <cell r="D2486" t="str">
            <v>A1.5505</v>
          </cell>
          <cell r="E2486" t="str">
            <v>A1.1839</v>
          </cell>
        </row>
        <row r="2487">
          <cell r="D2487" t="str">
            <v>A1.5729</v>
          </cell>
          <cell r="E2487" t="str">
            <v>A1.1167</v>
          </cell>
        </row>
        <row r="2488">
          <cell r="D2488" t="str">
            <v>A1.5506</v>
          </cell>
        </row>
        <row r="2489">
          <cell r="D2489" t="str">
            <v>A1.5507</v>
          </cell>
          <cell r="E2489" t="str">
            <v>A1.1290</v>
          </cell>
        </row>
        <row r="2490">
          <cell r="D2490" t="str">
            <v>A1.5508</v>
          </cell>
          <cell r="E2490" t="str">
            <v>A1.1522</v>
          </cell>
        </row>
        <row r="2491">
          <cell r="D2491" t="str">
            <v>A1.5509</v>
          </cell>
        </row>
        <row r="2492">
          <cell r="D2492" t="str">
            <v>A1.5510</v>
          </cell>
          <cell r="E2492" t="str">
            <v>A1.0166</v>
          </cell>
        </row>
        <row r="2493">
          <cell r="D2493" t="str">
            <v>A1.5511</v>
          </cell>
          <cell r="E2493" t="str">
            <v>A1.1823</v>
          </cell>
        </row>
        <row r="2494">
          <cell r="D2494" t="str">
            <v>A1.5512</v>
          </cell>
        </row>
        <row r="2495">
          <cell r="D2495" t="str">
            <v>A1.5513</v>
          </cell>
        </row>
        <row r="2496">
          <cell r="D2496" t="str">
            <v>A1.5514</v>
          </cell>
        </row>
        <row r="2497">
          <cell r="D2497" t="str">
            <v>A1.5515</v>
          </cell>
        </row>
        <row r="2498">
          <cell r="D2498" t="str">
            <v>A1.5515</v>
          </cell>
        </row>
        <row r="2499">
          <cell r="D2499" t="str">
            <v>A1.5516</v>
          </cell>
        </row>
        <row r="2500">
          <cell r="D2500" t="str">
            <v>A1.5517</v>
          </cell>
          <cell r="E2500" t="str">
            <v>A1.0060</v>
          </cell>
        </row>
        <row r="2501">
          <cell r="D2501" t="str">
            <v>A1.5517</v>
          </cell>
          <cell r="E2501" t="str">
            <v>A1.0060</v>
          </cell>
        </row>
        <row r="2502">
          <cell r="D2502" t="str">
            <v>A1.5518</v>
          </cell>
          <cell r="E2502" t="str">
            <v>A1.0921</v>
          </cell>
        </row>
        <row r="2503">
          <cell r="D2503" t="str">
            <v>A1.5518</v>
          </cell>
        </row>
        <row r="2504">
          <cell r="D2504" t="str">
            <v>A1.5519</v>
          </cell>
        </row>
        <row r="2505">
          <cell r="D2505" t="str">
            <v>A1.5519</v>
          </cell>
        </row>
        <row r="2506">
          <cell r="D2506" t="str">
            <v>A1.5520</v>
          </cell>
          <cell r="E2506" t="str">
            <v>A1.1845</v>
          </cell>
        </row>
        <row r="2507">
          <cell r="D2507" t="str">
            <v>A1.5520</v>
          </cell>
        </row>
        <row r="2508">
          <cell r="D2508" t="str">
            <v>A1.5521</v>
          </cell>
          <cell r="E2508" t="str">
            <v>A1.1624</v>
          </cell>
        </row>
        <row r="2509">
          <cell r="D2509" t="str">
            <v>A1.5522</v>
          </cell>
          <cell r="E2509" t="str">
            <v>A1.1472</v>
          </cell>
        </row>
        <row r="2510">
          <cell r="D2510" t="str">
            <v>A1.5522</v>
          </cell>
          <cell r="E2510" t="str">
            <v>A1.1472</v>
          </cell>
        </row>
        <row r="2511">
          <cell r="D2511" t="str">
            <v>A1.5523</v>
          </cell>
          <cell r="E2511" t="str">
            <v>A1.1656</v>
          </cell>
        </row>
        <row r="2512">
          <cell r="D2512" t="str">
            <v>A1.5523</v>
          </cell>
        </row>
        <row r="2513">
          <cell r="D2513" t="str">
            <v>A1.5524</v>
          </cell>
        </row>
        <row r="2514">
          <cell r="D2514" t="str">
            <v>A1.5525</v>
          </cell>
        </row>
        <row r="2515">
          <cell r="D2515" t="str">
            <v>A1.5526</v>
          </cell>
        </row>
        <row r="2516">
          <cell r="D2516" t="str">
            <v>A1.5527</v>
          </cell>
        </row>
        <row r="2517">
          <cell r="D2517" t="str">
            <v>A1.5527</v>
          </cell>
        </row>
        <row r="2518">
          <cell r="D2518" t="str">
            <v>A1.5528</v>
          </cell>
          <cell r="E2518" t="str">
            <v>A1.0910</v>
          </cell>
        </row>
        <row r="2519">
          <cell r="D2519" t="str">
            <v>A1.5529</v>
          </cell>
        </row>
        <row r="2520">
          <cell r="D2520" t="str">
            <v>A1.5530</v>
          </cell>
        </row>
        <row r="2521">
          <cell r="D2521" t="str">
            <v>A1.5531</v>
          </cell>
        </row>
        <row r="2522">
          <cell r="D2522" t="str">
            <v>A1.5532</v>
          </cell>
        </row>
        <row r="2523">
          <cell r="D2523" t="str">
            <v>A1.5532</v>
          </cell>
        </row>
        <row r="2524">
          <cell r="D2524" t="str">
            <v>A1.5532</v>
          </cell>
        </row>
        <row r="2525">
          <cell r="D2525" t="str">
            <v>A1.5533</v>
          </cell>
        </row>
        <row r="2526">
          <cell r="D2526" t="str">
            <v>A1.5534</v>
          </cell>
        </row>
        <row r="2527">
          <cell r="D2527" t="str">
            <v>A1.5534</v>
          </cell>
        </row>
        <row r="2528">
          <cell r="D2528" t="str">
            <v>A1.5535</v>
          </cell>
        </row>
        <row r="2529">
          <cell r="D2529" t="str">
            <v>A1.5535</v>
          </cell>
          <cell r="E2529" t="str">
            <v>A1.1443</v>
          </cell>
        </row>
        <row r="2530">
          <cell r="D2530" t="str">
            <v>A1.5536</v>
          </cell>
          <cell r="E2530" t="str">
            <v>A1.1168</v>
          </cell>
        </row>
        <row r="2531">
          <cell r="D2531" t="str">
            <v>A1.5537</v>
          </cell>
          <cell r="E2531" t="str">
            <v>A1.0942</v>
          </cell>
        </row>
        <row r="2532">
          <cell r="D2532" t="str">
            <v>A1.5538</v>
          </cell>
          <cell r="E2532" t="str">
            <v>A1.1969</v>
          </cell>
        </row>
        <row r="2533">
          <cell r="D2533" t="str">
            <v>A1.5539</v>
          </cell>
          <cell r="E2533" t="str">
            <v>A1.1330</v>
          </cell>
        </row>
        <row r="2534">
          <cell r="D2534" t="str">
            <v>A1.5540</v>
          </cell>
          <cell r="E2534" t="str">
            <v>A1.1256</v>
          </cell>
        </row>
        <row r="2535">
          <cell r="D2535" t="str">
            <v>A1.5541</v>
          </cell>
          <cell r="E2535" t="str">
            <v>A1.1418</v>
          </cell>
        </row>
        <row r="2536">
          <cell r="D2536" t="str">
            <v>A1.5542</v>
          </cell>
          <cell r="E2536" t="str">
            <v>A1.1880</v>
          </cell>
        </row>
        <row r="2537">
          <cell r="D2537" t="str">
            <v>A1.5543</v>
          </cell>
          <cell r="E2537" t="str">
            <v>A1.1970</v>
          </cell>
        </row>
        <row r="2538">
          <cell r="D2538" t="str">
            <v>A1.5544</v>
          </cell>
          <cell r="E2538" t="str">
            <v>A1.1558</v>
          </cell>
        </row>
        <row r="2539">
          <cell r="D2539" t="str">
            <v>A1.5545</v>
          </cell>
          <cell r="E2539" t="str">
            <v>A1.1657</v>
          </cell>
        </row>
        <row r="2540">
          <cell r="D2540" t="str">
            <v>A1.5546</v>
          </cell>
        </row>
        <row r="2541">
          <cell r="D2541" t="str">
            <v>A1.5546</v>
          </cell>
        </row>
        <row r="2542">
          <cell r="D2542" t="str">
            <v>A1.5546</v>
          </cell>
          <cell r="E2542" t="str">
            <v>A1.1350</v>
          </cell>
        </row>
        <row r="2543">
          <cell r="D2543" t="str">
            <v>A1.5546</v>
          </cell>
          <cell r="E2543" t="str">
            <v>A1.1350</v>
          </cell>
        </row>
        <row r="2544">
          <cell r="D2544" t="str">
            <v>A1.5546</v>
          </cell>
        </row>
        <row r="2545">
          <cell r="D2545" t="str">
            <v>A1.5547</v>
          </cell>
          <cell r="E2545" t="str">
            <v>A1.1897</v>
          </cell>
        </row>
        <row r="2546">
          <cell r="D2546" t="str">
            <v>A1.5548</v>
          </cell>
          <cell r="E2546" t="str">
            <v>A1.1708</v>
          </cell>
        </row>
        <row r="2547">
          <cell r="D2547" t="str">
            <v>A1.5549</v>
          </cell>
          <cell r="E2547" t="str">
            <v>A1.1756</v>
          </cell>
        </row>
        <row r="2548">
          <cell r="D2548" t="str">
            <v>A1.5550</v>
          </cell>
          <cell r="E2548" t="str">
            <v>A1.1435</v>
          </cell>
        </row>
        <row r="2549">
          <cell r="D2549" t="str">
            <v>A1.5551</v>
          </cell>
          <cell r="E2549" t="str">
            <v>A1.1449</v>
          </cell>
        </row>
        <row r="2550">
          <cell r="D2550" t="str">
            <v>A5.5552</v>
          </cell>
          <cell r="E2550" t="str">
            <v>A5.0363</v>
          </cell>
        </row>
        <row r="2551">
          <cell r="D2551" t="str">
            <v>A1.5553</v>
          </cell>
          <cell r="E2551" t="str">
            <v>A1.1608</v>
          </cell>
        </row>
        <row r="2552">
          <cell r="D2552" t="str">
            <v>A1.5554</v>
          </cell>
          <cell r="E2552" t="str">
            <v>A1.0948</v>
          </cell>
        </row>
        <row r="2553">
          <cell r="D2553" t="str">
            <v>A1.5555</v>
          </cell>
          <cell r="E2553" t="str">
            <v>A1.1331</v>
          </cell>
        </row>
        <row r="2554">
          <cell r="D2554" t="str">
            <v>A1.5556</v>
          </cell>
          <cell r="E2554" t="str">
            <v>A1.1347</v>
          </cell>
        </row>
        <row r="2555">
          <cell r="D2555" t="str">
            <v>A1.5556</v>
          </cell>
          <cell r="E2555" t="str">
            <v>A1.1347</v>
          </cell>
        </row>
        <row r="2556">
          <cell r="D2556" t="str">
            <v>A1.5556</v>
          </cell>
          <cell r="E2556" t="str">
            <v>A1.1347</v>
          </cell>
        </row>
        <row r="2557">
          <cell r="D2557" t="str">
            <v>A1.5557</v>
          </cell>
          <cell r="E2557" t="str">
            <v>A1.1250</v>
          </cell>
        </row>
        <row r="2558">
          <cell r="D2558" t="str">
            <v>A1.5557</v>
          </cell>
          <cell r="E2558" t="str">
            <v>A1.1250</v>
          </cell>
        </row>
        <row r="2559">
          <cell r="D2559" t="str">
            <v>A1.5558</v>
          </cell>
        </row>
        <row r="2560">
          <cell r="D2560" t="str">
            <v>A1.5558</v>
          </cell>
          <cell r="E2560" t="str">
            <v>A1.0720</v>
          </cell>
        </row>
        <row r="2561">
          <cell r="D2561" t="str">
            <v>A1.5559</v>
          </cell>
          <cell r="E2561" t="str">
            <v>A1.1933</v>
          </cell>
        </row>
        <row r="2562">
          <cell r="D2562" t="str">
            <v>A1.5560</v>
          </cell>
          <cell r="E2562" t="str">
            <v>A1.1478</v>
          </cell>
        </row>
        <row r="2563">
          <cell r="D2563" t="str">
            <v>A1.5561</v>
          </cell>
          <cell r="E2563" t="str">
            <v>A1.1533</v>
          </cell>
        </row>
        <row r="2564">
          <cell r="D2564" t="str">
            <v>A1.5562</v>
          </cell>
          <cell r="E2564" t="str">
            <v>A1.1625</v>
          </cell>
        </row>
        <row r="2565">
          <cell r="D2565" t="str">
            <v>A1.5562</v>
          </cell>
          <cell r="E2565" t="str">
            <v>A1.1625</v>
          </cell>
        </row>
        <row r="2566">
          <cell r="D2566" t="str">
            <v>A1.5562</v>
          </cell>
        </row>
        <row r="2567">
          <cell r="D2567" t="str">
            <v>A1.5563</v>
          </cell>
          <cell r="E2567" t="str">
            <v>A1.1707</v>
          </cell>
        </row>
        <row r="2568">
          <cell r="D2568" t="str">
            <v>A1.5564</v>
          </cell>
          <cell r="E2568" t="str">
            <v>A1.0574</v>
          </cell>
        </row>
        <row r="2569">
          <cell r="D2569" t="str">
            <v>A1.5564</v>
          </cell>
          <cell r="E2569" t="str">
            <v>A1.0574</v>
          </cell>
        </row>
        <row r="2570">
          <cell r="D2570" t="str">
            <v>A1.5565</v>
          </cell>
          <cell r="E2570" t="str">
            <v>A1.1589</v>
          </cell>
        </row>
        <row r="2571">
          <cell r="D2571" t="str">
            <v>A1.5566</v>
          </cell>
          <cell r="E2571" t="str">
            <v>A1.1504</v>
          </cell>
        </row>
        <row r="2572">
          <cell r="D2572" t="str">
            <v>A1.5567</v>
          </cell>
          <cell r="E2572" t="str">
            <v>A1.1614</v>
          </cell>
        </row>
        <row r="2573">
          <cell r="D2573" t="str">
            <v>A1.5568</v>
          </cell>
          <cell r="E2573" t="str">
            <v>A1.1575</v>
          </cell>
        </row>
        <row r="2574">
          <cell r="D2574" t="str">
            <v>A1.5569</v>
          </cell>
          <cell r="E2574" t="str">
            <v>A1.1659</v>
          </cell>
        </row>
        <row r="2575">
          <cell r="D2575" t="str">
            <v>A1.5570</v>
          </cell>
          <cell r="E2575" t="str">
            <v>A1.1652</v>
          </cell>
        </row>
        <row r="2576">
          <cell r="D2576" t="str">
            <v>A1.5571</v>
          </cell>
          <cell r="E2576" t="str">
            <v>A1.1671</v>
          </cell>
        </row>
        <row r="2577">
          <cell r="D2577" t="str">
            <v>A1.5572</v>
          </cell>
          <cell r="E2577" t="str">
            <v>A1.0396</v>
          </cell>
        </row>
        <row r="2578">
          <cell r="D2578" t="str">
            <v>A1.5572</v>
          </cell>
        </row>
        <row r="2579">
          <cell r="D2579" t="str">
            <v>A1.5573</v>
          </cell>
          <cell r="E2579" t="str">
            <v>A1.0448</v>
          </cell>
        </row>
        <row r="2580">
          <cell r="D2580" t="str">
            <v>A1.5574</v>
          </cell>
          <cell r="E2580" t="str">
            <v>A1.0927</v>
          </cell>
        </row>
        <row r="2581">
          <cell r="D2581" t="str">
            <v>A1.5575</v>
          </cell>
          <cell r="E2581" t="str">
            <v>A1.0848</v>
          </cell>
        </row>
        <row r="2582">
          <cell r="D2582" t="str">
            <v>A1.5576</v>
          </cell>
          <cell r="E2582" t="str">
            <v>A1.0426</v>
          </cell>
        </row>
        <row r="2583">
          <cell r="D2583" t="str">
            <v>A1.5577</v>
          </cell>
          <cell r="E2583" t="str">
            <v>A1.0893</v>
          </cell>
        </row>
        <row r="2584">
          <cell r="D2584" t="str">
            <v>A1.5578</v>
          </cell>
          <cell r="E2584" t="str">
            <v>A1.0894</v>
          </cell>
        </row>
        <row r="2585">
          <cell r="D2585" t="str">
            <v>A1.5579</v>
          </cell>
          <cell r="E2585" t="str">
            <v>A1.1497</v>
          </cell>
        </row>
        <row r="2586">
          <cell r="D2586" t="str">
            <v>A1.5579</v>
          </cell>
          <cell r="E2586" t="str">
            <v>A1.1497</v>
          </cell>
        </row>
        <row r="2587">
          <cell r="D2587" t="str">
            <v>A1.5580</v>
          </cell>
          <cell r="E2587" t="str">
            <v>A1.0981</v>
          </cell>
        </row>
        <row r="2588">
          <cell r="D2588" t="str">
            <v>A1.5581</v>
          </cell>
          <cell r="E2588" t="str">
            <v>A1.0561</v>
          </cell>
        </row>
        <row r="2589">
          <cell r="D2589" t="str">
            <v>A1.5582</v>
          </cell>
          <cell r="E2589" t="str">
            <v>A1.0666</v>
          </cell>
        </row>
        <row r="2590">
          <cell r="D2590" t="str">
            <v>A1.5583</v>
          </cell>
          <cell r="E2590" t="str">
            <v>A1.1088</v>
          </cell>
        </row>
        <row r="2591">
          <cell r="D2591" t="str">
            <v>A1.5584</v>
          </cell>
          <cell r="E2591" t="str">
            <v>A1.1302</v>
          </cell>
        </row>
        <row r="2592">
          <cell r="D2592" t="str">
            <v>A1.5585</v>
          </cell>
          <cell r="E2592" t="str">
            <v>A1.1224</v>
          </cell>
        </row>
        <row r="2593">
          <cell r="D2593" t="str">
            <v>A1.5586</v>
          </cell>
          <cell r="E2593" t="str">
            <v>A1.0100</v>
          </cell>
        </row>
        <row r="2594">
          <cell r="D2594" t="str">
            <v>A1.5587</v>
          </cell>
        </row>
        <row r="2595">
          <cell r="D2595" t="str">
            <v>A1.5587</v>
          </cell>
          <cell r="E2595" t="str">
            <v>A1.0602</v>
          </cell>
        </row>
        <row r="2596">
          <cell r="D2596" t="str">
            <v>A1.5588</v>
          </cell>
          <cell r="E2596" t="str">
            <v>A1.1106</v>
          </cell>
        </row>
        <row r="2597">
          <cell r="D2597" t="str">
            <v>A1.5589</v>
          </cell>
          <cell r="E2597" t="str">
            <v>A1.0467</v>
          </cell>
        </row>
        <row r="2598">
          <cell r="D2598" t="str">
            <v>A1.5590</v>
          </cell>
          <cell r="E2598" t="str">
            <v>A1.1283</v>
          </cell>
        </row>
        <row r="2599">
          <cell r="D2599" t="str">
            <v>A1.5591</v>
          </cell>
        </row>
        <row r="2600">
          <cell r="D2600" t="str">
            <v>A1.5591</v>
          </cell>
        </row>
        <row r="2601">
          <cell r="D2601" t="str">
            <v>A1.5591</v>
          </cell>
          <cell r="E2601" t="str">
            <v>A1.1665</v>
          </cell>
        </row>
        <row r="2602">
          <cell r="D2602" t="str">
            <v>A1.5592</v>
          </cell>
          <cell r="E2602" t="str">
            <v>A1.1247</v>
          </cell>
        </row>
        <row r="2603">
          <cell r="D2603" t="str">
            <v>A1.5593</v>
          </cell>
        </row>
        <row r="2604">
          <cell r="D2604" t="str">
            <v>A1.5593</v>
          </cell>
          <cell r="E2604" t="str">
            <v>A1.0628</v>
          </cell>
        </row>
        <row r="2605">
          <cell r="D2605" t="str">
            <v>A1.5594</v>
          </cell>
          <cell r="E2605" t="str">
            <v>A1.1255</v>
          </cell>
        </row>
        <row r="2606">
          <cell r="D2606" t="str">
            <v>A1.5595</v>
          </cell>
          <cell r="E2606" t="str">
            <v>A1.0965</v>
          </cell>
        </row>
        <row r="2607">
          <cell r="D2607" t="str">
            <v>A1.5596</v>
          </cell>
          <cell r="E2607" t="str">
            <v>A1.1104</v>
          </cell>
        </row>
        <row r="2608">
          <cell r="D2608" t="str">
            <v>A1.5597</v>
          </cell>
          <cell r="E2608" t="str">
            <v>A1.1160</v>
          </cell>
        </row>
        <row r="2609">
          <cell r="D2609" t="str">
            <v>A1.5598</v>
          </cell>
          <cell r="E2609" t="str">
            <v>A1.1159</v>
          </cell>
        </row>
        <row r="2610">
          <cell r="D2610" t="str">
            <v>A1.5599</v>
          </cell>
          <cell r="E2610" t="str">
            <v>A1.0212</v>
          </cell>
        </row>
        <row r="2611">
          <cell r="D2611" t="str">
            <v>A1.5600</v>
          </cell>
          <cell r="E2611" t="str">
            <v>A1.1154</v>
          </cell>
        </row>
        <row r="2612">
          <cell r="D2612" t="str">
            <v>A1.5601</v>
          </cell>
          <cell r="E2612" t="str">
            <v>A1.0933</v>
          </cell>
        </row>
        <row r="2613">
          <cell r="D2613" t="str">
            <v>A1.5602</v>
          </cell>
          <cell r="E2613" t="str">
            <v>A1.0444</v>
          </cell>
        </row>
        <row r="2614">
          <cell r="D2614" t="str">
            <v>A1.5603</v>
          </cell>
          <cell r="E2614" t="str">
            <v>A1.0996</v>
          </cell>
        </row>
        <row r="2615">
          <cell r="D2615" t="str">
            <v>A1.5604</v>
          </cell>
          <cell r="E2615" t="str">
            <v>A1.0182</v>
          </cell>
        </row>
        <row r="2616">
          <cell r="D2616" t="str">
            <v>A1.5605</v>
          </cell>
          <cell r="E2616" t="str">
            <v>A1.0997</v>
          </cell>
        </row>
        <row r="2617">
          <cell r="D2617" t="str">
            <v>A1.5606</v>
          </cell>
          <cell r="E2617" t="str">
            <v>A1.0183</v>
          </cell>
        </row>
        <row r="2618">
          <cell r="D2618" t="str">
            <v>A1.5607</v>
          </cell>
          <cell r="E2618" t="str">
            <v>A1.1770</v>
          </cell>
        </row>
        <row r="2619">
          <cell r="D2619" t="str">
            <v>A1.5608</v>
          </cell>
          <cell r="E2619" t="str">
            <v>A1.1755</v>
          </cell>
        </row>
        <row r="2620">
          <cell r="D2620" t="str">
            <v>A1.5609</v>
          </cell>
          <cell r="E2620" t="str">
            <v>A1.1398</v>
          </cell>
        </row>
        <row r="2621">
          <cell r="D2621" t="str">
            <v>A1.5610</v>
          </cell>
          <cell r="E2621" t="str">
            <v>A1.1419</v>
          </cell>
        </row>
        <row r="2622">
          <cell r="D2622" t="str">
            <v>A1.5611</v>
          </cell>
          <cell r="E2622" t="str">
            <v>A1.1178</v>
          </cell>
        </row>
        <row r="2623">
          <cell r="D2623" t="str">
            <v>A1.5612</v>
          </cell>
          <cell r="E2623" t="str">
            <v>A1.0328</v>
          </cell>
        </row>
        <row r="2624">
          <cell r="D2624" t="str">
            <v>A1.5613</v>
          </cell>
          <cell r="E2624" t="str">
            <v>A1.1685</v>
          </cell>
        </row>
        <row r="2625">
          <cell r="D2625" t="str">
            <v>A1.5614</v>
          </cell>
          <cell r="E2625" t="str">
            <v>A1.1456</v>
          </cell>
        </row>
        <row r="2626">
          <cell r="D2626" t="str">
            <v>A1.5615</v>
          </cell>
          <cell r="E2626" t="str">
            <v>A1.1485</v>
          </cell>
        </row>
        <row r="2627">
          <cell r="D2627" t="str">
            <v>A1.5616</v>
          </cell>
          <cell r="E2627" t="str">
            <v>A1.1484</v>
          </cell>
        </row>
        <row r="2628">
          <cell r="D2628" t="str">
            <v>A1.5617</v>
          </cell>
          <cell r="E2628" t="str">
            <v>A1.1357</v>
          </cell>
        </row>
        <row r="2629">
          <cell r="D2629" t="str">
            <v>A1.5618</v>
          </cell>
          <cell r="E2629" t="str">
            <v>A1.1595</v>
          </cell>
        </row>
        <row r="2630">
          <cell r="D2630" t="str">
            <v>A1.5619</v>
          </cell>
          <cell r="E2630" t="str">
            <v>A1.1789</v>
          </cell>
        </row>
        <row r="2631">
          <cell r="D2631" t="str">
            <v>A1.5620</v>
          </cell>
          <cell r="E2631" t="str">
            <v>A1.1604</v>
          </cell>
        </row>
        <row r="2632">
          <cell r="D2632" t="str">
            <v>A1.5621</v>
          </cell>
          <cell r="E2632" t="str">
            <v>A1.1609</v>
          </cell>
        </row>
        <row r="2633">
          <cell r="D2633" t="str">
            <v>A1.5622</v>
          </cell>
          <cell r="E2633" t="str">
            <v>A1.1358</v>
          </cell>
        </row>
        <row r="2634">
          <cell r="D2634" t="str">
            <v>A1.5623</v>
          </cell>
          <cell r="E2634" t="str">
            <v>A1.1571</v>
          </cell>
        </row>
        <row r="2635">
          <cell r="D2635" t="str">
            <v>A1.5624</v>
          </cell>
          <cell r="E2635" t="str">
            <v>A1.1691</v>
          </cell>
        </row>
        <row r="2636">
          <cell r="D2636" t="str">
            <v>A1.5625</v>
          </cell>
          <cell r="E2636" t="str">
            <v>A1.1424</v>
          </cell>
        </row>
        <row r="2637">
          <cell r="D2637" t="str">
            <v>A1.5626</v>
          </cell>
          <cell r="E2637" t="str">
            <v>A1.0575</v>
          </cell>
        </row>
        <row r="2638">
          <cell r="D2638" t="str">
            <v>A1.5627</v>
          </cell>
          <cell r="E2638" t="str">
            <v>A1.1620</v>
          </cell>
        </row>
        <row r="2639">
          <cell r="D2639" t="str">
            <v>A1.5628</v>
          </cell>
          <cell r="E2639" t="str">
            <v>A1.1425</v>
          </cell>
        </row>
        <row r="2640">
          <cell r="D2640" t="str">
            <v>A1.5629</v>
          </cell>
          <cell r="E2640" t="str">
            <v>A1.1426</v>
          </cell>
        </row>
        <row r="2641">
          <cell r="D2641" t="str">
            <v>A1.5630</v>
          </cell>
          <cell r="E2641" t="str">
            <v>A1.0576</v>
          </cell>
        </row>
        <row r="2642">
          <cell r="D2642" t="str">
            <v>A1.5631</v>
          </cell>
          <cell r="E2642" t="str">
            <v>A1.1644</v>
          </cell>
        </row>
        <row r="2643">
          <cell r="D2643" t="str">
            <v>A1.5632</v>
          </cell>
          <cell r="E2643" t="str">
            <v>A1.1882</v>
          </cell>
        </row>
        <row r="2644">
          <cell r="D2644" t="str">
            <v>A1.5633</v>
          </cell>
          <cell r="E2644" t="str">
            <v>A1.1645</v>
          </cell>
        </row>
        <row r="2645">
          <cell r="D2645" t="str">
            <v>A1.5634</v>
          </cell>
          <cell r="E2645" t="str">
            <v>A1.1883</v>
          </cell>
        </row>
        <row r="2646">
          <cell r="D2646" t="str">
            <v>A1.5635</v>
          </cell>
          <cell r="E2646" t="str">
            <v>A1.1693</v>
          </cell>
        </row>
        <row r="2647">
          <cell r="D2647" t="str">
            <v>A1.5636</v>
          </cell>
          <cell r="E2647" t="str">
            <v>A1.1692</v>
          </cell>
        </row>
        <row r="2648">
          <cell r="D2648" t="str">
            <v>A1.5637</v>
          </cell>
          <cell r="E2648" t="str">
            <v>A1.1902</v>
          </cell>
        </row>
        <row r="2649">
          <cell r="D2649" t="str">
            <v>A1.5638</v>
          </cell>
          <cell r="E2649" t="str">
            <v>A1.1684</v>
          </cell>
        </row>
        <row r="2650">
          <cell r="D2650" t="str">
            <v>A1.5639</v>
          </cell>
          <cell r="E2650" t="str">
            <v>A1.1527</v>
          </cell>
        </row>
        <row r="2651">
          <cell r="D2651" t="str">
            <v>A1.5640</v>
          </cell>
          <cell r="E2651" t="str">
            <v>A1.0583</v>
          </cell>
        </row>
        <row r="2652">
          <cell r="D2652" t="str">
            <v>A1.5641</v>
          </cell>
          <cell r="E2652" t="str">
            <v>A1.1002</v>
          </cell>
        </row>
        <row r="2653">
          <cell r="D2653" t="str">
            <v>A1.5642</v>
          </cell>
          <cell r="E2653" t="str">
            <v>A1.1198</v>
          </cell>
        </row>
        <row r="2654">
          <cell r="D2654" t="str">
            <v>A1.5643</v>
          </cell>
          <cell r="E2654" t="str">
            <v>A1.1699</v>
          </cell>
        </row>
        <row r="2655">
          <cell r="D2655" t="str">
            <v>A1.5644</v>
          </cell>
          <cell r="E2655" t="str">
            <v>A1.1623</v>
          </cell>
        </row>
        <row r="2656">
          <cell r="D2656" t="str">
            <v>A1.5645</v>
          </cell>
          <cell r="E2656" t="str">
            <v>A1.1586</v>
          </cell>
        </row>
        <row r="2657">
          <cell r="D2657" t="str">
            <v>A1.5646</v>
          </cell>
          <cell r="E2657" t="str">
            <v>A1.1682</v>
          </cell>
        </row>
        <row r="2658">
          <cell r="D2658" t="str">
            <v>A1.5647</v>
          </cell>
          <cell r="E2658" t="str">
            <v>A1.1874</v>
          </cell>
        </row>
        <row r="2659">
          <cell r="D2659" t="str">
            <v>A1.5648</v>
          </cell>
          <cell r="E2659" t="str">
            <v>A1.1873</v>
          </cell>
        </row>
        <row r="2660">
          <cell r="D2660" t="str">
            <v>A1.5649</v>
          </cell>
          <cell r="E2660" t="str">
            <v>A1.1875</v>
          </cell>
        </row>
        <row r="2661">
          <cell r="D2661" t="str">
            <v>A1.5650</v>
          </cell>
        </row>
        <row r="2662">
          <cell r="D2662" t="str">
            <v>A1.5651</v>
          </cell>
          <cell r="E2662" t="str">
            <v>A1.1226</v>
          </cell>
        </row>
        <row r="2663">
          <cell r="D2663" t="str">
            <v>A1.5651</v>
          </cell>
        </row>
        <row r="2664">
          <cell r="D2664" t="str">
            <v>A1.5652</v>
          </cell>
          <cell r="E2664" t="str">
            <v>A1.0907</v>
          </cell>
        </row>
        <row r="2665">
          <cell r="D2665" t="str">
            <v>A1.5653</v>
          </cell>
          <cell r="E2665" t="str">
            <v>A1.0806</v>
          </cell>
        </row>
        <row r="2666">
          <cell r="D2666" t="str">
            <v>A1.5654</v>
          </cell>
          <cell r="E2666" t="str">
            <v>A1.0834</v>
          </cell>
        </row>
        <row r="2667">
          <cell r="D2667" t="str">
            <v>A1.5655</v>
          </cell>
          <cell r="E2667" t="str">
            <v>A1.0819</v>
          </cell>
        </row>
        <row r="2668">
          <cell r="D2668" t="str">
            <v>A1.5656</v>
          </cell>
          <cell r="E2668" t="str">
            <v>A1.1587</v>
          </cell>
        </row>
        <row r="2669">
          <cell r="D2669" t="str">
            <v>A1.5657</v>
          </cell>
        </row>
        <row r="2670">
          <cell r="D2670" t="str">
            <v>A1.5658</v>
          </cell>
        </row>
        <row r="2671">
          <cell r="D2671" t="str">
            <v>A1.5658</v>
          </cell>
          <cell r="E2671" t="str">
            <v>A1.1683</v>
          </cell>
        </row>
        <row r="2672">
          <cell r="D2672" t="str">
            <v>A1.5659</v>
          </cell>
          <cell r="E2672" t="str">
            <v>A1.1736</v>
          </cell>
        </row>
        <row r="2673">
          <cell r="D2673" t="str">
            <v>A1.5660</v>
          </cell>
          <cell r="E2673" t="str">
            <v>A1.1820</v>
          </cell>
        </row>
        <row r="2674">
          <cell r="D2674" t="str">
            <v>A1.5661</v>
          </cell>
          <cell r="E2674" t="str">
            <v>A1.1821</v>
          </cell>
        </row>
        <row r="2675">
          <cell r="D2675" t="str">
            <v>A1.5662</v>
          </cell>
          <cell r="E2675" t="str">
            <v>A1.1866</v>
          </cell>
        </row>
        <row r="2676">
          <cell r="D2676" t="str">
            <v>A1.5663</v>
          </cell>
          <cell r="E2676" t="str">
            <v>A1.1867</v>
          </cell>
        </row>
        <row r="2677">
          <cell r="D2677" t="str">
            <v>A1.5664</v>
          </cell>
          <cell r="E2677" t="str">
            <v>A1.1722</v>
          </cell>
        </row>
        <row r="2678">
          <cell r="D2678" t="str">
            <v>A1.5665</v>
          </cell>
          <cell r="E2678" t="str">
            <v>A1.1956</v>
          </cell>
        </row>
        <row r="2679">
          <cell r="D2679" t="str">
            <v>A1.5666</v>
          </cell>
        </row>
        <row r="2680">
          <cell r="D2680" t="str">
            <v>A1.5667</v>
          </cell>
        </row>
        <row r="2681">
          <cell r="D2681" t="str">
            <v>A1.5668</v>
          </cell>
          <cell r="E2681" t="str">
            <v>A1.1416</v>
          </cell>
        </row>
        <row r="2682">
          <cell r="D2682" t="str">
            <v>A1.5668</v>
          </cell>
          <cell r="E2682" t="str">
            <v>A1.1416</v>
          </cell>
        </row>
        <row r="2683">
          <cell r="D2683" t="str">
            <v>A1.5668</v>
          </cell>
        </row>
        <row r="2684">
          <cell r="D2684" t="str">
            <v>A1.5669</v>
          </cell>
        </row>
        <row r="2685">
          <cell r="D2685" t="str">
            <v>A1.5669</v>
          </cell>
          <cell r="E2685" t="str">
            <v>A1.1266</v>
          </cell>
        </row>
        <row r="2686">
          <cell r="D2686" t="str">
            <v>A1.5669</v>
          </cell>
          <cell r="E2686" t="str">
            <v>A1.1266</v>
          </cell>
        </row>
        <row r="2687">
          <cell r="D2687" t="str">
            <v>A1.5669</v>
          </cell>
          <cell r="E2687" t="str">
            <v>A1.1266</v>
          </cell>
        </row>
        <row r="2688">
          <cell r="D2688" t="str">
            <v>A1.5670</v>
          </cell>
        </row>
        <row r="2689">
          <cell r="D2689" t="str">
            <v>A1.5671</v>
          </cell>
          <cell r="E2689" t="str">
            <v>A1.0566</v>
          </cell>
        </row>
        <row r="2690">
          <cell r="D2690" t="str">
            <v>A1.5672</v>
          </cell>
          <cell r="E2690" t="str">
            <v>A1.1585</v>
          </cell>
        </row>
        <row r="2691">
          <cell r="D2691" t="str">
            <v>A1.5673</v>
          </cell>
          <cell r="E2691" t="str">
            <v>A1.1583</v>
          </cell>
        </row>
        <row r="2692">
          <cell r="D2692" t="str">
            <v>A1.5673</v>
          </cell>
        </row>
        <row r="2693">
          <cell r="D2693" t="str">
            <v>A1.5674</v>
          </cell>
          <cell r="E2693" t="str">
            <v>A1.1578</v>
          </cell>
        </row>
        <row r="2694">
          <cell r="D2694" t="str">
            <v>A1.5674</v>
          </cell>
        </row>
        <row r="2695">
          <cell r="D2695" t="str">
            <v>A1.5675</v>
          </cell>
          <cell r="E2695" t="str">
            <v>A1.1576</v>
          </cell>
        </row>
        <row r="2696">
          <cell r="D2696" t="str">
            <v>A1.5675</v>
          </cell>
        </row>
        <row r="2697">
          <cell r="D2697" t="str">
            <v>A1.5676</v>
          </cell>
          <cell r="E2697" t="str">
            <v>A1.1584</v>
          </cell>
        </row>
        <row r="2698">
          <cell r="D2698" t="str">
            <v>A1.5677</v>
          </cell>
          <cell r="E2698" t="str">
            <v>A1.1580</v>
          </cell>
        </row>
        <row r="2699">
          <cell r="D2699" t="str">
            <v>A1.5678</v>
          </cell>
        </row>
        <row r="2700">
          <cell r="D2700" t="str">
            <v>A1.5679</v>
          </cell>
          <cell r="E2700" t="str">
            <v>A1.1941</v>
          </cell>
        </row>
        <row r="2701">
          <cell r="D2701" t="str">
            <v>A1.5680</v>
          </cell>
          <cell r="E2701" t="str">
            <v>A1.1774</v>
          </cell>
        </row>
        <row r="2702">
          <cell r="D2702" t="str">
            <v>A1.5681</v>
          </cell>
          <cell r="E2702" t="str">
            <v>A1.1577</v>
          </cell>
        </row>
        <row r="2703">
          <cell r="D2703" t="str">
            <v>A1.5682</v>
          </cell>
          <cell r="E2703" t="str">
            <v>A1.1581</v>
          </cell>
        </row>
        <row r="2704">
          <cell r="D2704" t="str">
            <v>A1.5683</v>
          </cell>
          <cell r="E2704" t="str">
            <v>A1.1579</v>
          </cell>
        </row>
        <row r="2705">
          <cell r="D2705" t="str">
            <v>A1.5684</v>
          </cell>
          <cell r="E2705" t="str">
            <v>A1.1582</v>
          </cell>
        </row>
        <row r="2706">
          <cell r="D2706" t="str">
            <v>A1.5685</v>
          </cell>
          <cell r="E2706" t="str">
            <v>A1.1621</v>
          </cell>
        </row>
        <row r="2707">
          <cell r="D2707" t="str">
            <v>A1.5686</v>
          </cell>
          <cell r="E2707" t="str">
            <v>A1.1643</v>
          </cell>
        </row>
        <row r="2708">
          <cell r="D2708" t="str">
            <v>A1.5687</v>
          </cell>
          <cell r="E2708" t="str">
            <v>A1.1616</v>
          </cell>
        </row>
        <row r="2709">
          <cell r="D2709" t="str">
            <v>A1.5688</v>
          </cell>
        </row>
        <row r="2710">
          <cell r="D2710" t="str">
            <v>A1.5689</v>
          </cell>
          <cell r="E2710" t="str">
            <v>A1.1538</v>
          </cell>
        </row>
        <row r="2711">
          <cell r="D2711" t="str">
            <v>A1.5690</v>
          </cell>
        </row>
        <row r="2712">
          <cell r="D2712" t="str">
            <v>A1.5691</v>
          </cell>
        </row>
        <row r="2713">
          <cell r="D2713" t="str">
            <v>A1.5692</v>
          </cell>
        </row>
        <row r="2714">
          <cell r="D2714" t="str">
            <v>A1.5693</v>
          </cell>
          <cell r="E2714" t="str">
            <v>A1.1673</v>
          </cell>
        </row>
        <row r="2715">
          <cell r="D2715" t="str">
            <v>A1.5694</v>
          </cell>
          <cell r="E2715" t="str">
            <v>A1.2201</v>
          </cell>
        </row>
        <row r="2716">
          <cell r="D2716" t="str">
            <v>A1.5695</v>
          </cell>
          <cell r="E2716" t="str">
            <v>A1.1541</v>
          </cell>
        </row>
        <row r="2717">
          <cell r="D2717" t="str">
            <v>A1.5696</v>
          </cell>
          <cell r="E2717" t="str">
            <v>A1.1539</v>
          </cell>
        </row>
        <row r="2718">
          <cell r="D2718" t="str">
            <v>A1.5697</v>
          </cell>
        </row>
        <row r="2719">
          <cell r="D2719" t="str">
            <v>A1.5698</v>
          </cell>
        </row>
        <row r="2720">
          <cell r="D2720" t="str">
            <v>A1.5699</v>
          </cell>
          <cell r="E2720" t="str">
            <v>A1.1540</v>
          </cell>
        </row>
        <row r="2721">
          <cell r="D2721" t="str">
            <v>A1.5700</v>
          </cell>
          <cell r="E2721" t="str">
            <v>A1.1534</v>
          </cell>
        </row>
        <row r="2722">
          <cell r="D2722" t="str">
            <v>A1.5701</v>
          </cell>
        </row>
        <row r="2723">
          <cell r="D2723" t="str">
            <v>A1.5702</v>
          </cell>
        </row>
        <row r="2724">
          <cell r="D2724" t="str">
            <v>A1.5703</v>
          </cell>
        </row>
        <row r="2725">
          <cell r="D2725" t="str">
            <v>A1.5704</v>
          </cell>
        </row>
        <row r="2726">
          <cell r="D2726" t="str">
            <v>A1.5705</v>
          </cell>
          <cell r="E2726" t="str">
            <v>A1.1962</v>
          </cell>
        </row>
        <row r="2727">
          <cell r="D2727" t="str">
            <v>A1.5706</v>
          </cell>
          <cell r="E2727" t="str">
            <v>A1.1503</v>
          </cell>
        </row>
        <row r="2728">
          <cell r="D2728" t="str">
            <v>A1.5706</v>
          </cell>
          <cell r="E2728" t="str">
            <v>A1.1503</v>
          </cell>
        </row>
        <row r="2729">
          <cell r="D2729" t="str">
            <v>A1.5707</v>
          </cell>
          <cell r="E2729" t="str">
            <v>A1.1525</v>
          </cell>
        </row>
        <row r="2730">
          <cell r="D2730" t="str">
            <v>A1.5707</v>
          </cell>
          <cell r="E2730" t="str">
            <v>A1.1525</v>
          </cell>
        </row>
        <row r="2731">
          <cell r="D2731" t="str">
            <v>A1.5708</v>
          </cell>
          <cell r="E2731" t="str">
            <v>A1.1597</v>
          </cell>
        </row>
        <row r="2732">
          <cell r="D2732" t="str">
            <v>A1.5708</v>
          </cell>
          <cell r="E2732" t="str">
            <v>A1.1597</v>
          </cell>
        </row>
        <row r="2733">
          <cell r="D2733" t="str">
            <v>A1.5709</v>
          </cell>
          <cell r="E2733" t="str">
            <v>A1.1549</v>
          </cell>
        </row>
        <row r="2734">
          <cell r="D2734" t="str">
            <v>A1.5709</v>
          </cell>
          <cell r="E2734" t="str">
            <v>A1.1549</v>
          </cell>
        </row>
        <row r="2735">
          <cell r="D2735" t="str">
            <v>A1.5711</v>
          </cell>
        </row>
        <row r="2736">
          <cell r="D2736" t="str">
            <v>A1.5711</v>
          </cell>
        </row>
        <row r="2737">
          <cell r="D2737" t="str">
            <v>A1.5711</v>
          </cell>
          <cell r="E2737" t="str">
            <v>A1.1594</v>
          </cell>
        </row>
        <row r="2738">
          <cell r="D2738" t="str">
            <v>A1.5711</v>
          </cell>
          <cell r="E2738" t="str">
            <v>A1.1594</v>
          </cell>
        </row>
        <row r="2739">
          <cell r="D2739" t="str">
            <v>A1.5712</v>
          </cell>
          <cell r="E2739" t="str">
            <v>A1.1668</v>
          </cell>
        </row>
        <row r="2740">
          <cell r="D2740" t="str">
            <v>A1.5713</v>
          </cell>
          <cell r="E2740" t="str">
            <v>A1.1669</v>
          </cell>
        </row>
        <row r="2741">
          <cell r="D2741" t="str">
            <v>A1.5714</v>
          </cell>
          <cell r="E2741" t="str">
            <v>A1.1670</v>
          </cell>
        </row>
        <row r="2742">
          <cell r="D2742" t="str">
            <v>A1.5715</v>
          </cell>
          <cell r="E2742" t="str">
            <v>A1.1672</v>
          </cell>
        </row>
        <row r="2743">
          <cell r="D2743" t="str">
            <v>A1.5716</v>
          </cell>
        </row>
        <row r="2744">
          <cell r="D2744" t="str">
            <v>A1.5717</v>
          </cell>
          <cell r="E2744" t="str">
            <v>A1.1469</v>
          </cell>
        </row>
        <row r="2745">
          <cell r="D2745" t="str">
            <v>A1.5717</v>
          </cell>
        </row>
        <row r="2746">
          <cell r="D2746" t="str">
            <v>A1.5718</v>
          </cell>
          <cell r="E2746" t="str">
            <v>A1.0234</v>
          </cell>
        </row>
        <row r="2747">
          <cell r="D2747" t="str">
            <v>A1.5719</v>
          </cell>
          <cell r="E2747" t="str">
            <v>A1.0294</v>
          </cell>
        </row>
        <row r="2748">
          <cell r="D2748" t="str">
            <v>A1.5720</v>
          </cell>
        </row>
        <row r="2749">
          <cell r="D2749" t="str">
            <v>A1.5720</v>
          </cell>
          <cell r="E2749" t="str">
            <v>A1.0634</v>
          </cell>
        </row>
        <row r="2750">
          <cell r="D2750" t="str">
            <v>A1.5721</v>
          </cell>
        </row>
        <row r="2751">
          <cell r="D2751" t="str">
            <v>A1.5722</v>
          </cell>
        </row>
        <row r="2752">
          <cell r="D2752" t="str">
            <v>A1.5723</v>
          </cell>
          <cell r="E2752" t="str">
            <v>A1.1767</v>
          </cell>
        </row>
        <row r="2753">
          <cell r="D2753" t="str">
            <v>A1.5724</v>
          </cell>
          <cell r="E2753" t="str">
            <v>A1.1642</v>
          </cell>
        </row>
        <row r="2754">
          <cell r="D2754" t="str">
            <v>A1.5730</v>
          </cell>
        </row>
        <row r="2755">
          <cell r="D2755" t="str">
            <v>A1.5731</v>
          </cell>
        </row>
        <row r="2756">
          <cell r="D2756" t="str">
            <v>A1.5732</v>
          </cell>
        </row>
        <row r="2757">
          <cell r="D2757" t="str">
            <v>A1.4443</v>
          </cell>
        </row>
        <row r="2758">
          <cell r="D2758" t="str">
            <v>A1.5680</v>
          </cell>
        </row>
        <row r="2759">
          <cell r="D2759" t="str">
            <v>A5.4882</v>
          </cell>
        </row>
        <row r="2760">
          <cell r="D2760" t="str">
            <v>A1.5733</v>
          </cell>
        </row>
        <row r="2761">
          <cell r="D2761" t="str">
            <v>A1.5734</v>
          </cell>
        </row>
        <row r="2762">
          <cell r="D2762" t="str">
            <v>A5.5735</v>
          </cell>
        </row>
        <row r="2763">
          <cell r="D2763" t="str">
            <v>A5.5736</v>
          </cell>
        </row>
        <row r="2764">
          <cell r="D2764" t="str">
            <v>A1.5737</v>
          </cell>
        </row>
        <row r="2765">
          <cell r="D2765" t="str">
            <v>A5.5738</v>
          </cell>
        </row>
        <row r="2766">
          <cell r="D2766" t="str">
            <v>A1.5739</v>
          </cell>
        </row>
        <row r="2767">
          <cell r="D2767" t="str">
            <v>A5.5739</v>
          </cell>
        </row>
        <row r="2768">
          <cell r="D2768" t="str">
            <v>A1.5740</v>
          </cell>
        </row>
        <row r="2769">
          <cell r="D2769" t="str">
            <v>A5.5740</v>
          </cell>
        </row>
        <row r="2770">
          <cell r="D2770" t="str">
            <v>A1.5507</v>
          </cell>
        </row>
        <row r="2771">
          <cell r="D2771" t="str">
            <v>A1.5741</v>
          </cell>
        </row>
        <row r="2772">
          <cell r="D2772" t="str">
            <v>A1.5742</v>
          </cell>
          <cell r="E2772" t="str">
            <v>A1.2202</v>
          </cell>
        </row>
        <row r="2773">
          <cell r="D2773" t="str">
            <v>A1.5743</v>
          </cell>
          <cell r="E2773" t="str">
            <v>A1.2203</v>
          </cell>
        </row>
        <row r="2774">
          <cell r="D2774" t="str">
            <v>A1.5744</v>
          </cell>
          <cell r="E2774" t="str">
            <v>A1.2204</v>
          </cell>
        </row>
        <row r="2775">
          <cell r="D2775" t="str">
            <v>A1.5745</v>
          </cell>
          <cell r="E2775" t="str">
            <v>A1.2205</v>
          </cell>
        </row>
        <row r="2776">
          <cell r="D2776" t="str">
            <v>A1.5746</v>
          </cell>
          <cell r="E2776" t="str">
            <v>A1.2206</v>
          </cell>
        </row>
        <row r="2777">
          <cell r="D2777" t="str">
            <v>A1.5747</v>
          </cell>
          <cell r="E2777" t="str">
            <v>A1.2207</v>
          </cell>
        </row>
        <row r="2778">
          <cell r="D2778" t="str">
            <v>A1.5748</v>
          </cell>
        </row>
        <row r="2779">
          <cell r="D2779" t="str">
            <v>A1.5749</v>
          </cell>
        </row>
        <row r="2780">
          <cell r="D2780" t="str">
            <v>A1.5750</v>
          </cell>
        </row>
        <row r="2781">
          <cell r="D2781" t="str">
            <v>A1.5751</v>
          </cell>
        </row>
        <row r="2782">
          <cell r="D2782" t="str">
            <v>A1.5752</v>
          </cell>
        </row>
        <row r="2783">
          <cell r="D2783" t="str">
            <v>A1.5717</v>
          </cell>
        </row>
        <row r="2784">
          <cell r="D2784" t="str">
            <v>A1.5760</v>
          </cell>
        </row>
        <row r="2785">
          <cell r="D2785" t="str">
            <v>A1.4582</v>
          </cell>
        </row>
        <row r="2786">
          <cell r="D2786" t="str">
            <v>A1.5761</v>
          </cell>
        </row>
        <row r="2787">
          <cell r="D2787" t="str">
            <v>A1.5762</v>
          </cell>
        </row>
        <row r="2788">
          <cell r="D2788" t="str">
            <v>F1.0001</v>
          </cell>
          <cell r="E2788" t="str">
            <v>Z1.0996</v>
          </cell>
        </row>
        <row r="2789">
          <cell r="D2789" t="str">
            <v>F1.0002</v>
          </cell>
          <cell r="E2789" t="str">
            <v>Z1.0163</v>
          </cell>
        </row>
        <row r="2790">
          <cell r="D2790" t="str">
            <v>F1.0006</v>
          </cell>
          <cell r="E2790" t="str">
            <v>Z1.1062</v>
          </cell>
        </row>
        <row r="2791">
          <cell r="D2791" t="str">
            <v>F1.0007</v>
          </cell>
          <cell r="E2791" t="str">
            <v>Z1.1063</v>
          </cell>
        </row>
        <row r="2792">
          <cell r="D2792" t="str">
            <v>F1.0008</v>
          </cell>
          <cell r="E2792" t="str">
            <v>Z1.0583</v>
          </cell>
        </row>
        <row r="2793">
          <cell r="D2793" t="str">
            <v>F1.0009</v>
          </cell>
          <cell r="E2793" t="str">
            <v>Z1.0584</v>
          </cell>
        </row>
        <row r="2794">
          <cell r="D2794" t="str">
            <v>F1.0010</v>
          </cell>
          <cell r="E2794" t="str">
            <v>Z1.0582</v>
          </cell>
        </row>
        <row r="2795">
          <cell r="D2795" t="str">
            <v>F1.0011</v>
          </cell>
          <cell r="E2795" t="str">
            <v>Z1.1325</v>
          </cell>
        </row>
        <row r="2796">
          <cell r="D2796" t="str">
            <v>F1.0012</v>
          </cell>
          <cell r="E2796" t="str">
            <v>Z1.0103</v>
          </cell>
        </row>
        <row r="2797">
          <cell r="D2797" t="str">
            <v>F1.0014</v>
          </cell>
          <cell r="E2797" t="str">
            <v>Z1.1326</v>
          </cell>
        </row>
        <row r="2798">
          <cell r="D2798" t="str">
            <v>F1.0015</v>
          </cell>
          <cell r="E2798" t="str">
            <v>Z1.0599</v>
          </cell>
        </row>
        <row r="2799">
          <cell r="D2799" t="str">
            <v>F5.0016</v>
          </cell>
          <cell r="E2799" t="str">
            <v>Z5.1455</v>
          </cell>
        </row>
        <row r="2800">
          <cell r="D2800" t="str">
            <v>F5.0017</v>
          </cell>
          <cell r="E2800" t="str">
            <v>Z5.1372</v>
          </cell>
        </row>
        <row r="2801">
          <cell r="D2801" t="str">
            <v>F5.0018</v>
          </cell>
          <cell r="E2801" t="str">
            <v>Z5.1373</v>
          </cell>
        </row>
        <row r="2802">
          <cell r="D2802" t="str">
            <v>F5.0019</v>
          </cell>
          <cell r="E2802" t="str">
            <v>Z5.0012</v>
          </cell>
        </row>
        <row r="2803">
          <cell r="D2803" t="str">
            <v>F5.0020</v>
          </cell>
          <cell r="E2803" t="str">
            <v>Z5.0013</v>
          </cell>
        </row>
        <row r="2804">
          <cell r="D2804" t="str">
            <v>F5.0021</v>
          </cell>
          <cell r="E2804" t="str">
            <v>Z5.0014</v>
          </cell>
        </row>
        <row r="2805">
          <cell r="D2805" t="str">
            <v>F5.0032</v>
          </cell>
          <cell r="E2805" t="str">
            <v>Z5.1476</v>
          </cell>
        </row>
        <row r="2806">
          <cell r="D2806" t="str">
            <v>F1.0049</v>
          </cell>
          <cell r="E2806" t="str">
            <v>Z1.1350</v>
          </cell>
        </row>
        <row r="2807">
          <cell r="D2807" t="str">
            <v>F1.0050</v>
          </cell>
          <cell r="E2807" t="str">
            <v>Z1.0121</v>
          </cell>
        </row>
        <row r="2808">
          <cell r="D2808" t="str">
            <v>F1.0051</v>
          </cell>
          <cell r="E2808" t="str">
            <v>Z1.0475</v>
          </cell>
        </row>
        <row r="2809">
          <cell r="D2809" t="str">
            <v>F1.0052</v>
          </cell>
          <cell r="E2809" t="str">
            <v>Z1.1648</v>
          </cell>
        </row>
        <row r="2810">
          <cell r="D2810" t="str">
            <v>F1.0053</v>
          </cell>
          <cell r="E2810" t="str">
            <v>Z1.0465</v>
          </cell>
        </row>
        <row r="2811">
          <cell r="D2811" t="str">
            <v>F1.0055</v>
          </cell>
          <cell r="E2811" t="str">
            <v>Z1.0182</v>
          </cell>
        </row>
        <row r="2812">
          <cell r="D2812" t="str">
            <v>F1.0056</v>
          </cell>
          <cell r="E2812" t="str">
            <v>Z1.0183</v>
          </cell>
        </row>
        <row r="2813">
          <cell r="D2813" t="str">
            <v>F1.0059</v>
          </cell>
          <cell r="E2813" t="str">
            <v>Z1.0576</v>
          </cell>
        </row>
        <row r="2814">
          <cell r="D2814" t="str">
            <v>F1.0060</v>
          </cell>
          <cell r="E2814" t="str">
            <v>Z1.0577</v>
          </cell>
        </row>
        <row r="2815">
          <cell r="D2815" t="str">
            <v>F1.0061</v>
          </cell>
          <cell r="E2815" t="str">
            <v>Z1.0641</v>
          </cell>
        </row>
        <row r="2816">
          <cell r="D2816" t="str">
            <v>F1.0065</v>
          </cell>
          <cell r="E2816" t="str">
            <v>Z1.0479</v>
          </cell>
        </row>
        <row r="2817">
          <cell r="D2817" t="str">
            <v>F1.0066</v>
          </cell>
          <cell r="E2817" t="str">
            <v>Z1.0478</v>
          </cell>
        </row>
        <row r="2818">
          <cell r="D2818" t="str">
            <v>F1.0067</v>
          </cell>
          <cell r="E2818" t="str">
            <v>Z1.0530</v>
          </cell>
        </row>
        <row r="2819">
          <cell r="D2819" t="str">
            <v>F1.0068</v>
          </cell>
          <cell r="E2819" t="str">
            <v>Z1.0476</v>
          </cell>
        </row>
        <row r="2820">
          <cell r="D2820" t="str">
            <v>F1.0069</v>
          </cell>
          <cell r="E2820" t="str">
            <v>Z1.0477</v>
          </cell>
        </row>
        <row r="2821">
          <cell r="D2821" t="str">
            <v>F1.0070</v>
          </cell>
          <cell r="E2821" t="str">
            <v>Z1.0531</v>
          </cell>
        </row>
        <row r="2822">
          <cell r="D2822" t="str">
            <v>F1.0071</v>
          </cell>
          <cell r="E2822" t="str">
            <v>Z1.0482</v>
          </cell>
        </row>
        <row r="2823">
          <cell r="D2823" t="str">
            <v>F1.0072</v>
          </cell>
          <cell r="E2823" t="str">
            <v>Z1.0481</v>
          </cell>
        </row>
        <row r="2824">
          <cell r="D2824" t="str">
            <v>F1.0073</v>
          </cell>
          <cell r="E2824" t="str">
            <v>Z1.0483</v>
          </cell>
        </row>
        <row r="2825">
          <cell r="D2825" t="str">
            <v>F1.0074</v>
          </cell>
          <cell r="E2825" t="str">
            <v>Z1.0480</v>
          </cell>
        </row>
        <row r="2826">
          <cell r="D2826" t="str">
            <v>F1.0075</v>
          </cell>
          <cell r="E2826" t="str">
            <v>Z1.0486</v>
          </cell>
        </row>
        <row r="2827">
          <cell r="D2827" t="str">
            <v>F1.0076</v>
          </cell>
          <cell r="E2827" t="str">
            <v>Z1.0275</v>
          </cell>
        </row>
        <row r="2828">
          <cell r="D2828" t="str">
            <v>F1.0077</v>
          </cell>
          <cell r="E2828" t="str">
            <v>Z1.0529</v>
          </cell>
        </row>
        <row r="2829">
          <cell r="D2829" t="str">
            <v>F1.0078</v>
          </cell>
          <cell r="E2829" t="str">
            <v>Z1.0528</v>
          </cell>
        </row>
        <row r="2830">
          <cell r="D2830" t="str">
            <v>F1.0079</v>
          </cell>
          <cell r="E2830" t="str">
            <v>Z1.0532</v>
          </cell>
        </row>
        <row r="2831">
          <cell r="D2831" t="str">
            <v>F1.0086</v>
          </cell>
          <cell r="E2831" t="str">
            <v>Z1.0108</v>
          </cell>
        </row>
        <row r="2832">
          <cell r="D2832" t="str">
            <v>F1.0087</v>
          </cell>
          <cell r="E2832" t="str">
            <v>Z1.0106</v>
          </cell>
        </row>
        <row r="2833">
          <cell r="D2833" t="str">
            <v>F1.0088</v>
          </cell>
          <cell r="E2833" t="str">
            <v>Z1.1061</v>
          </cell>
        </row>
        <row r="2834">
          <cell r="D2834" t="str">
            <v>F1.0089</v>
          </cell>
          <cell r="E2834" t="str">
            <v>Z1.0107</v>
          </cell>
        </row>
        <row r="2835">
          <cell r="D2835" t="str">
            <v>F5.0092</v>
          </cell>
          <cell r="E2835" t="str">
            <v>Z5.0015</v>
          </cell>
        </row>
        <row r="2836">
          <cell r="D2836" t="str">
            <v>F1.0094</v>
          </cell>
          <cell r="E2836" t="str">
            <v>Z1.0519</v>
          </cell>
        </row>
        <row r="2837">
          <cell r="D2837" t="str">
            <v>F1.0106</v>
          </cell>
          <cell r="E2837" t="str">
            <v>Z1.0287</v>
          </cell>
        </row>
        <row r="2838">
          <cell r="D2838" t="str">
            <v>F1.0109</v>
          </cell>
          <cell r="E2838" t="str">
            <v>Z1.0995</v>
          </cell>
        </row>
        <row r="2839">
          <cell r="D2839" t="str">
            <v>F1.0110</v>
          </cell>
          <cell r="E2839" t="str">
            <v>Z1.0993</v>
          </cell>
        </row>
        <row r="2840">
          <cell r="D2840" t="str">
            <v>F1.0113</v>
          </cell>
          <cell r="E2840" t="str">
            <v>Z1.0164</v>
          </cell>
        </row>
        <row r="2841">
          <cell r="D2841" t="str">
            <v>F1.0114</v>
          </cell>
          <cell r="E2841" t="str">
            <v>Z1.0165</v>
          </cell>
        </row>
        <row r="2842">
          <cell r="D2842" t="str">
            <v>F1.0115</v>
          </cell>
          <cell r="E2842" t="str">
            <v>Z1.0155</v>
          </cell>
        </row>
        <row r="2843">
          <cell r="D2843" t="str">
            <v>F1.0116</v>
          </cell>
          <cell r="E2843" t="str">
            <v>Z1.0324</v>
          </cell>
        </row>
        <row r="2844">
          <cell r="D2844" t="str">
            <v>F2.0009</v>
          </cell>
          <cell r="E2844" t="str">
            <v>Z2.188</v>
          </cell>
        </row>
        <row r="2845">
          <cell r="D2845" t="str">
            <v>F1.0123</v>
          </cell>
          <cell r="E2845" t="str">
            <v>Z1.0540</v>
          </cell>
        </row>
        <row r="2846">
          <cell r="D2846" t="str">
            <v>F1.0124</v>
          </cell>
          <cell r="E2846" t="str">
            <v>Z1.0541</v>
          </cell>
        </row>
        <row r="2847">
          <cell r="D2847" t="str">
            <v>F1.0125</v>
          </cell>
          <cell r="E2847" t="str">
            <v>Z1.0542</v>
          </cell>
        </row>
        <row r="2848">
          <cell r="D2848" t="str">
            <v>F1.0129</v>
          </cell>
          <cell r="E2848" t="str">
            <v>Z1.0508</v>
          </cell>
        </row>
        <row r="2849">
          <cell r="D2849" t="str">
            <v>F1.0130</v>
          </cell>
          <cell r="E2849" t="str">
            <v>Z1.0509</v>
          </cell>
        </row>
        <row r="2850">
          <cell r="D2850" t="str">
            <v>F1.0132</v>
          </cell>
          <cell r="E2850" t="str">
            <v>Z1.1322</v>
          </cell>
        </row>
        <row r="2851">
          <cell r="D2851" t="str">
            <v>F5.0133</v>
          </cell>
          <cell r="E2851" t="str">
            <v>Z5.0135</v>
          </cell>
        </row>
        <row r="2852">
          <cell r="D2852" t="str">
            <v>F5.0134</v>
          </cell>
          <cell r="E2852" t="str">
            <v>Z5.0068</v>
          </cell>
        </row>
        <row r="2853">
          <cell r="D2853" t="str">
            <v>F5.0135</v>
          </cell>
          <cell r="E2853" t="str">
            <v>Z5.0136</v>
          </cell>
        </row>
        <row r="2854">
          <cell r="D2854" t="str">
            <v>F5.0136</v>
          </cell>
          <cell r="E2854" t="str">
            <v>Z5.0070</v>
          </cell>
        </row>
        <row r="2855">
          <cell r="D2855" t="str">
            <v>F5.0137</v>
          </cell>
          <cell r="E2855" t="str">
            <v>Z5.0071</v>
          </cell>
        </row>
        <row r="2856">
          <cell r="D2856" t="str">
            <v>F5.0138</v>
          </cell>
          <cell r="E2856" t="str">
            <v>Z5.1477</v>
          </cell>
        </row>
        <row r="2857">
          <cell r="D2857" t="str">
            <v>F5.0139</v>
          </cell>
          <cell r="E2857" t="str">
            <v>Z5.1478</v>
          </cell>
        </row>
        <row r="2858">
          <cell r="D2858" t="str">
            <v>F5.0140</v>
          </cell>
          <cell r="E2858" t="str">
            <v>Z5.1479</v>
          </cell>
        </row>
        <row r="2859">
          <cell r="D2859" t="str">
            <v>F5.0141</v>
          </cell>
          <cell r="E2859" t="str">
            <v>Z5.1480</v>
          </cell>
        </row>
        <row r="2860">
          <cell r="D2860" t="str">
            <v>F5.0142</v>
          </cell>
          <cell r="E2860" t="str">
            <v>Z5.1481</v>
          </cell>
        </row>
        <row r="2861">
          <cell r="D2861" t="str">
            <v>F5.0143</v>
          </cell>
          <cell r="E2861" t="str">
            <v>Z5.1482</v>
          </cell>
        </row>
        <row r="2862">
          <cell r="D2862" t="str">
            <v>F1.0013</v>
          </cell>
          <cell r="E2862" t="str">
            <v>Z1.1327</v>
          </cell>
        </row>
        <row r="2863">
          <cell r="D2863" t="str">
            <v>F1.0144</v>
          </cell>
          <cell r="E2863" t="str">
            <v>Z1.1477</v>
          </cell>
        </row>
        <row r="2864">
          <cell r="D2864" t="str">
            <v>F1.0145</v>
          </cell>
          <cell r="E2864" t="str">
            <v>Z1.0466</v>
          </cell>
        </row>
        <row r="2865">
          <cell r="D2865" t="str">
            <v>F2.0012</v>
          </cell>
          <cell r="E2865" t="str">
            <v>Z2.307</v>
          </cell>
        </row>
        <row r="2866">
          <cell r="D2866" t="str">
            <v>F1.0154</v>
          </cell>
          <cell r="E2866" t="str">
            <v>Z1.0544</v>
          </cell>
        </row>
        <row r="2867">
          <cell r="D2867" t="str">
            <v>F1.0155</v>
          </cell>
          <cell r="E2867" t="str">
            <v>Z1.0346</v>
          </cell>
        </row>
        <row r="2868">
          <cell r="D2868" t="str">
            <v>F1.0156</v>
          </cell>
          <cell r="E2868" t="str">
            <v>Z1.0266</v>
          </cell>
        </row>
        <row r="2869">
          <cell r="D2869" t="str">
            <v>F1.0158</v>
          </cell>
          <cell r="E2869" t="str">
            <v>Z1.0545</v>
          </cell>
        </row>
        <row r="2870">
          <cell r="D2870" t="str">
            <v>F1.0159</v>
          </cell>
          <cell r="E2870" t="str">
            <v>Z1.0522</v>
          </cell>
        </row>
        <row r="2871">
          <cell r="D2871" t="str">
            <v>F1.0160</v>
          </cell>
          <cell r="E2871" t="str">
            <v>Z1.0523</v>
          </cell>
        </row>
        <row r="2872">
          <cell r="D2872" t="str">
            <v>F1.0161</v>
          </cell>
          <cell r="E2872" t="str">
            <v>Z1.0407</v>
          </cell>
        </row>
        <row r="2873">
          <cell r="D2873" t="str">
            <v>F1.0168</v>
          </cell>
          <cell r="E2873" t="str">
            <v>Z1.0601</v>
          </cell>
        </row>
        <row r="2874">
          <cell r="D2874" t="str">
            <v>F1.0169</v>
          </cell>
          <cell r="E2874" t="str">
            <v>Z1.0602</v>
          </cell>
        </row>
        <row r="2875">
          <cell r="D2875" t="str">
            <v>F1.0170</v>
          </cell>
          <cell r="E2875" t="str">
            <v>Z1.0538</v>
          </cell>
        </row>
        <row r="2876">
          <cell r="D2876" t="str">
            <v>F2.0013</v>
          </cell>
          <cell r="E2876" t="str">
            <v>Z2.346</v>
          </cell>
        </row>
        <row r="2877">
          <cell r="D2877" t="str">
            <v>F2.0014</v>
          </cell>
          <cell r="E2877" t="str">
            <v>Z2.348</v>
          </cell>
        </row>
        <row r="2878">
          <cell r="D2878" t="str">
            <v>F1.0189</v>
          </cell>
          <cell r="E2878" t="str">
            <v>Z1.0244</v>
          </cell>
        </row>
        <row r="2879">
          <cell r="D2879" t="str">
            <v>F1.0190</v>
          </cell>
          <cell r="E2879" t="str">
            <v>Z1.0243</v>
          </cell>
        </row>
        <row r="2880">
          <cell r="D2880" t="str">
            <v>F1.0191</v>
          </cell>
          <cell r="E2880" t="str">
            <v>Z1.0240</v>
          </cell>
        </row>
        <row r="2881">
          <cell r="D2881" t="str">
            <v>F1.0192</v>
          </cell>
          <cell r="E2881" t="str">
            <v>Z1.0205</v>
          </cell>
        </row>
        <row r="2882">
          <cell r="D2882" t="str">
            <v>F1.0200</v>
          </cell>
          <cell r="E2882" t="str">
            <v>Z1.0550</v>
          </cell>
        </row>
        <row r="2883">
          <cell r="D2883" t="str">
            <v>F1.0201</v>
          </cell>
          <cell r="E2883" t="str">
            <v>Z1.0419</v>
          </cell>
        </row>
        <row r="2884">
          <cell r="D2884" t="str">
            <v>F1.2115</v>
          </cell>
          <cell r="E2884" t="str">
            <v>Z1.1314</v>
          </cell>
        </row>
        <row r="2885">
          <cell r="D2885" t="str">
            <v>F1.0217</v>
          </cell>
          <cell r="E2885" t="str">
            <v>Z1.0457</v>
          </cell>
        </row>
        <row r="2886">
          <cell r="D2886" t="str">
            <v>F1.0218</v>
          </cell>
          <cell r="E2886" t="str">
            <v>Z1.0565</v>
          </cell>
        </row>
        <row r="2887">
          <cell r="D2887" t="str">
            <v>F1.0227</v>
          </cell>
          <cell r="E2887" t="str">
            <v>Z1.0102</v>
          </cell>
        </row>
        <row r="2888">
          <cell r="D2888" t="str">
            <v>F1.0228</v>
          </cell>
          <cell r="E2888" t="str">
            <v>Z1.0549</v>
          </cell>
        </row>
        <row r="2889">
          <cell r="D2889" t="str">
            <v>F1.0230</v>
          </cell>
          <cell r="E2889" t="str">
            <v>Z1.0338</v>
          </cell>
        </row>
        <row r="2890">
          <cell r="D2890" t="str">
            <v>F1.0231</v>
          </cell>
          <cell r="E2890" t="str">
            <v>Z1.0491</v>
          </cell>
        </row>
        <row r="2891">
          <cell r="D2891" t="str">
            <v>F1.0232</v>
          </cell>
          <cell r="E2891" t="str">
            <v>Z1.0492</v>
          </cell>
        </row>
        <row r="2892">
          <cell r="D2892" t="str">
            <v>F1.0233</v>
          </cell>
          <cell r="E2892" t="str">
            <v>Z1.0525</v>
          </cell>
        </row>
        <row r="2893">
          <cell r="D2893" t="str">
            <v>F1.0234</v>
          </cell>
          <cell r="E2893" t="str">
            <v>Z1.0328</v>
          </cell>
        </row>
        <row r="2894">
          <cell r="D2894" t="str">
            <v>F1.0235</v>
          </cell>
          <cell r="E2894" t="str">
            <v>Z1.0364</v>
          </cell>
        </row>
        <row r="2895">
          <cell r="D2895" t="str">
            <v>F1.0235</v>
          </cell>
          <cell r="E2895" t="str">
            <v>Z1.0364</v>
          </cell>
        </row>
        <row r="2896">
          <cell r="D2896" t="str">
            <v>F1.0236</v>
          </cell>
          <cell r="E2896" t="str">
            <v>Z1.1232</v>
          </cell>
        </row>
        <row r="2897">
          <cell r="D2897" t="str">
            <v>F1.0237</v>
          </cell>
          <cell r="E2897" t="str">
            <v>Z1.0137</v>
          </cell>
        </row>
        <row r="2898">
          <cell r="D2898" t="str">
            <v>F1.0238</v>
          </cell>
          <cell r="E2898" t="str">
            <v>Z1.0333</v>
          </cell>
        </row>
        <row r="2899">
          <cell r="D2899" t="str">
            <v>F1.0239</v>
          </cell>
          <cell r="E2899" t="str">
            <v>Z1.0172</v>
          </cell>
        </row>
        <row r="2900">
          <cell r="D2900" t="str">
            <v>F1.0240</v>
          </cell>
          <cell r="E2900" t="str">
            <v>Z1.0170</v>
          </cell>
        </row>
        <row r="2901">
          <cell r="D2901" t="str">
            <v>F1.0241</v>
          </cell>
          <cell r="E2901" t="str">
            <v>Z1.0171</v>
          </cell>
        </row>
        <row r="2902">
          <cell r="D2902" t="str">
            <v>F1.0242</v>
          </cell>
          <cell r="E2902" t="str">
            <v>Z1.0173</v>
          </cell>
        </row>
        <row r="2903">
          <cell r="D2903" t="str">
            <v>F1.2110</v>
          </cell>
          <cell r="E2903" t="str">
            <v>Z1.0174</v>
          </cell>
        </row>
        <row r="2904">
          <cell r="D2904" t="str">
            <v>F1.0243</v>
          </cell>
          <cell r="E2904" t="str">
            <v>Z1.0175</v>
          </cell>
        </row>
        <row r="2905">
          <cell r="D2905" t="str">
            <v>F1.0244</v>
          </cell>
          <cell r="E2905" t="str">
            <v>Z1.0169</v>
          </cell>
        </row>
        <row r="2906">
          <cell r="D2906" t="str">
            <v>F1.0245</v>
          </cell>
          <cell r="E2906" t="str">
            <v>Z1.0167</v>
          </cell>
        </row>
        <row r="2907">
          <cell r="D2907" t="str">
            <v>F1.0246</v>
          </cell>
          <cell r="E2907" t="str">
            <v>Z1.0166</v>
          </cell>
        </row>
        <row r="2908">
          <cell r="D2908" t="str">
            <v>F1.0247</v>
          </cell>
          <cell r="E2908" t="str">
            <v>Z1.0192</v>
          </cell>
        </row>
        <row r="2909">
          <cell r="D2909" t="str">
            <v>F1.0248</v>
          </cell>
          <cell r="E2909" t="str">
            <v>Z1.0191</v>
          </cell>
        </row>
        <row r="2910">
          <cell r="D2910" t="str">
            <v>F1.0249</v>
          </cell>
          <cell r="E2910" t="str">
            <v>Z1.0168</v>
          </cell>
        </row>
        <row r="2911">
          <cell r="D2911" t="str">
            <v>F1.0250</v>
          </cell>
          <cell r="E2911" t="str">
            <v>Z1.0222</v>
          </cell>
        </row>
        <row r="2912">
          <cell r="D2912" t="str">
            <v>F1.0250</v>
          </cell>
          <cell r="E2912" t="str">
            <v>Z1.0222</v>
          </cell>
        </row>
        <row r="2913">
          <cell r="D2913" t="str">
            <v>F1.0252</v>
          </cell>
          <cell r="E2913" t="str">
            <v>Z1.0653</v>
          </cell>
        </row>
        <row r="2914">
          <cell r="D2914" t="str">
            <v>F1.0254</v>
          </cell>
          <cell r="E2914" t="str">
            <v>Z1.0147</v>
          </cell>
        </row>
        <row r="2915">
          <cell r="D2915" t="str">
            <v>F1.0255</v>
          </cell>
          <cell r="E2915" t="str">
            <v>Z1.0270</v>
          </cell>
        </row>
        <row r="2916">
          <cell r="D2916" t="str">
            <v>F1.0257</v>
          </cell>
          <cell r="E2916" t="str">
            <v>Z1.0077</v>
          </cell>
        </row>
        <row r="2917">
          <cell r="D2917" t="str">
            <v>F1.0258</v>
          </cell>
          <cell r="E2917" t="str">
            <v>Z1.0395</v>
          </cell>
        </row>
        <row r="2918">
          <cell r="D2918" t="str">
            <v>F1.0259</v>
          </cell>
          <cell r="E2918" t="str">
            <v>Z1.0076</v>
          </cell>
        </row>
        <row r="2919">
          <cell r="D2919" t="str">
            <v>F1.0260</v>
          </cell>
          <cell r="E2919" t="str">
            <v>Z1.0394</v>
          </cell>
        </row>
        <row r="2920">
          <cell r="D2920" t="str">
            <v>F1.0261</v>
          </cell>
          <cell r="E2920" t="str">
            <v>Z1.0626</v>
          </cell>
        </row>
        <row r="2921">
          <cell r="D2921" t="str">
            <v>F1.0262</v>
          </cell>
          <cell r="E2921" t="str">
            <v>Z1.0362</v>
          </cell>
        </row>
        <row r="2922">
          <cell r="D2922" t="str">
            <v>F1.0263</v>
          </cell>
          <cell r="E2922" t="str">
            <v>Z1.0363</v>
          </cell>
        </row>
        <row r="2923">
          <cell r="D2923" t="str">
            <v>F1.0265</v>
          </cell>
          <cell r="E2923" t="str">
            <v>Z1.0261</v>
          </cell>
        </row>
        <row r="2924">
          <cell r="D2924" t="str">
            <v>F1.0266</v>
          </cell>
          <cell r="E2924" t="str">
            <v>Z1.0262</v>
          </cell>
        </row>
        <row r="2925">
          <cell r="D2925" t="str">
            <v>F1.0270</v>
          </cell>
          <cell r="E2925" t="str">
            <v>Z1.0444</v>
          </cell>
        </row>
        <row r="2926">
          <cell r="D2926" t="str">
            <v>F1.0271</v>
          </cell>
          <cell r="E2926" t="str">
            <v>Z1.0326</v>
          </cell>
        </row>
        <row r="2927">
          <cell r="D2927" t="str">
            <v>F1.0271</v>
          </cell>
          <cell r="E2927" t="str">
            <v>Z1.0326</v>
          </cell>
        </row>
        <row r="2928">
          <cell r="D2928" t="str">
            <v>F1.0272</v>
          </cell>
          <cell r="E2928" t="str">
            <v>Z1.0401</v>
          </cell>
        </row>
        <row r="2929">
          <cell r="D2929" t="str">
            <v>F1.0273</v>
          </cell>
          <cell r="E2929" t="str">
            <v>Z1.0273</v>
          </cell>
        </row>
        <row r="2930">
          <cell r="D2930" t="str">
            <v>F1.0274</v>
          </cell>
          <cell r="E2930" t="str">
            <v>Z1.0272</v>
          </cell>
        </row>
        <row r="2931">
          <cell r="D2931" t="str">
            <v>F1.0275</v>
          </cell>
          <cell r="E2931" t="str">
            <v>Z1.0321</v>
          </cell>
        </row>
        <row r="2932">
          <cell r="D2932" t="str">
            <v>F1.0396</v>
          </cell>
          <cell r="E2932" t="str">
            <v>Z1.0403</v>
          </cell>
        </row>
        <row r="2933">
          <cell r="D2933" t="str">
            <v>F1.0397</v>
          </cell>
          <cell r="E2933" t="str">
            <v>Z1.0159</v>
          </cell>
        </row>
        <row r="2934">
          <cell r="D2934" t="str">
            <v>F1.0398</v>
          </cell>
          <cell r="E2934" t="str">
            <v>Z1.0255</v>
          </cell>
        </row>
        <row r="2935">
          <cell r="D2935" t="str">
            <v>F1.0401</v>
          </cell>
          <cell r="E2935" t="str">
            <v>Z1.0083</v>
          </cell>
        </row>
        <row r="2936">
          <cell r="D2936" t="str">
            <v>F1.0403</v>
          </cell>
          <cell r="E2936" t="str">
            <v>Z1.0986</v>
          </cell>
        </row>
        <row r="2937">
          <cell r="D2937" t="str">
            <v>F1.0404</v>
          </cell>
          <cell r="E2937" t="str">
            <v>Z1.0006</v>
          </cell>
        </row>
        <row r="2938">
          <cell r="D2938" t="str">
            <v>F1.0406</v>
          </cell>
          <cell r="E2938" t="str">
            <v>Z1.0320</v>
          </cell>
        </row>
        <row r="2939">
          <cell r="D2939" t="str">
            <v>F1.0407</v>
          </cell>
          <cell r="E2939" t="str">
            <v>Z1.0424</v>
          </cell>
        </row>
        <row r="2940">
          <cell r="D2940" t="str">
            <v>F1.0408</v>
          </cell>
          <cell r="E2940" t="str">
            <v>Z1.0425</v>
          </cell>
        </row>
        <row r="2941">
          <cell r="D2941" t="str">
            <v>F1.0409</v>
          </cell>
          <cell r="E2941" t="str">
            <v>Z1.0426</v>
          </cell>
        </row>
        <row r="2942">
          <cell r="D2942" t="str">
            <v>F1.0410</v>
          </cell>
          <cell r="E2942" t="str">
            <v>Z1.0423</v>
          </cell>
        </row>
        <row r="2943">
          <cell r="D2943" t="str">
            <v>F2.0018</v>
          </cell>
          <cell r="E2943" t="str">
            <v>Z2.347</v>
          </cell>
        </row>
        <row r="2944">
          <cell r="D2944" t="str">
            <v>F1.0411</v>
          </cell>
          <cell r="E2944" t="str">
            <v>Z1.0435</v>
          </cell>
        </row>
        <row r="2945">
          <cell r="D2945" t="str">
            <v>F1.0412</v>
          </cell>
          <cell r="E2945" t="str">
            <v>Z1.0436</v>
          </cell>
        </row>
        <row r="2946">
          <cell r="D2946" t="str">
            <v>F1.0413</v>
          </cell>
          <cell r="E2946" t="str">
            <v>Z1.0452</v>
          </cell>
        </row>
        <row r="2947">
          <cell r="D2947" t="str">
            <v>F1.0414</v>
          </cell>
          <cell r="E2947" t="str">
            <v>Z1.0451</v>
          </cell>
        </row>
        <row r="2948">
          <cell r="D2948" t="str">
            <v>F1.0415</v>
          </cell>
          <cell r="E2948" t="str">
            <v>Z1.0448</v>
          </cell>
        </row>
        <row r="2949">
          <cell r="D2949" t="str">
            <v>F1.0416</v>
          </cell>
          <cell r="E2949" t="str">
            <v>Z1.0450</v>
          </cell>
        </row>
        <row r="2950">
          <cell r="D2950" t="str">
            <v>F1.0417</v>
          </cell>
          <cell r="E2950" t="str">
            <v>Z1.0449</v>
          </cell>
        </row>
        <row r="2951">
          <cell r="D2951" t="str">
            <v>F1.0418</v>
          </cell>
          <cell r="E2951" t="str">
            <v>Z1.0453</v>
          </cell>
        </row>
        <row r="2952">
          <cell r="D2952" t="str">
            <v>F1.0433</v>
          </cell>
          <cell r="E2952" t="str">
            <v>Z1.0359</v>
          </cell>
        </row>
        <row r="2953">
          <cell r="D2953" t="str">
            <v>F1.0435</v>
          </cell>
          <cell r="E2953" t="str">
            <v>Z1.0109</v>
          </cell>
        </row>
        <row r="2954">
          <cell r="D2954" t="str">
            <v>F2.0021</v>
          </cell>
          <cell r="E2954" t="str">
            <v>Z2.361</v>
          </cell>
        </row>
        <row r="2955">
          <cell r="D2955" t="str">
            <v>F1.0436</v>
          </cell>
          <cell r="E2955" t="str">
            <v>Z1.0319</v>
          </cell>
        </row>
        <row r="2956">
          <cell r="D2956" t="str">
            <v>F1.0437</v>
          </cell>
          <cell r="E2956" t="str">
            <v>Z1.0352</v>
          </cell>
        </row>
        <row r="2957">
          <cell r="D2957" t="str">
            <v>F1.0438</v>
          </cell>
          <cell r="E2957" t="str">
            <v>Z1.0548</v>
          </cell>
        </row>
        <row r="2958">
          <cell r="D2958" t="str">
            <v>F1.0439</v>
          </cell>
          <cell r="E2958" t="str">
            <v>Z1.0563</v>
          </cell>
        </row>
        <row r="2959">
          <cell r="D2959" t="str">
            <v>F1.0440</v>
          </cell>
          <cell r="E2959" t="str">
            <v>Z1.0564</v>
          </cell>
        </row>
        <row r="2960">
          <cell r="D2960" t="str">
            <v>F1.0441</v>
          </cell>
          <cell r="E2960" t="str">
            <v>Z1.0561</v>
          </cell>
        </row>
        <row r="2961">
          <cell r="D2961" t="str">
            <v>F1.0442</v>
          </cell>
          <cell r="E2961" t="str">
            <v>Z1.0560</v>
          </cell>
        </row>
        <row r="2962">
          <cell r="D2962" t="str">
            <v>F1.0443</v>
          </cell>
          <cell r="E2962" t="str">
            <v>Z1.0562</v>
          </cell>
        </row>
        <row r="2963">
          <cell r="D2963" t="str">
            <v>F1.0444</v>
          </cell>
          <cell r="E2963" t="str">
            <v>Z1.0558</v>
          </cell>
        </row>
        <row r="2964">
          <cell r="D2964" t="str">
            <v>F1.0445</v>
          </cell>
          <cell r="E2964" t="str">
            <v>Z1.0559</v>
          </cell>
        </row>
        <row r="2965">
          <cell r="D2965" t="str">
            <v>F1.0446</v>
          </cell>
          <cell r="E2965" t="str">
            <v>Z1.0556</v>
          </cell>
        </row>
        <row r="2966">
          <cell r="D2966" t="str">
            <v>F1.0447</v>
          </cell>
          <cell r="E2966" t="str">
            <v>Z1.0555</v>
          </cell>
        </row>
        <row r="2967">
          <cell r="D2967" t="str">
            <v>F1.0448</v>
          </cell>
          <cell r="E2967" t="str">
            <v>Z1.0557</v>
          </cell>
        </row>
        <row r="2968">
          <cell r="D2968" t="str">
            <v>F1.0701</v>
          </cell>
          <cell r="E2968" t="str">
            <v>Z1.0256</v>
          </cell>
        </row>
        <row r="2969">
          <cell r="D2969" t="str">
            <v>F1.0731</v>
          </cell>
          <cell r="E2969" t="str">
            <v>Z1.0274</v>
          </cell>
        </row>
        <row r="2970">
          <cell r="D2970" t="str">
            <v>F2.0022</v>
          </cell>
          <cell r="E2970" t="str">
            <v>Z2.274</v>
          </cell>
        </row>
        <row r="2971">
          <cell r="D2971" t="str">
            <v>F1.0732</v>
          </cell>
          <cell r="E2971" t="str">
            <v>Z1.0369</v>
          </cell>
        </row>
        <row r="2972">
          <cell r="D2972" t="str">
            <v>F1.0733</v>
          </cell>
          <cell r="E2972" t="str">
            <v>Z1.0329</v>
          </cell>
        </row>
        <row r="2973">
          <cell r="D2973" t="str">
            <v>F1.0751</v>
          </cell>
          <cell r="E2973" t="str">
            <v>Z1.0410</v>
          </cell>
        </row>
        <row r="2974">
          <cell r="D2974" t="str">
            <v>F1.0755</v>
          </cell>
          <cell r="E2974" t="str">
            <v>Z1.0250</v>
          </cell>
        </row>
        <row r="2975">
          <cell r="D2975" t="str">
            <v>F1.0756</v>
          </cell>
          <cell r="E2975" t="str">
            <v>Z1.0249</v>
          </cell>
        </row>
        <row r="2976">
          <cell r="D2976" t="str">
            <v>F1.0858</v>
          </cell>
          <cell r="E2976" t="str">
            <v>Z1.0571</v>
          </cell>
        </row>
        <row r="2977">
          <cell r="D2977" t="str">
            <v>F1.0888</v>
          </cell>
          <cell r="E2977" t="str">
            <v>Z1.0572</v>
          </cell>
        </row>
        <row r="2978">
          <cell r="D2978" t="str">
            <v>F1.0900</v>
          </cell>
          <cell r="E2978" t="str">
            <v>Z1.0190</v>
          </cell>
        </row>
        <row r="2979">
          <cell r="D2979" t="str">
            <v>F1.0939</v>
          </cell>
          <cell r="E2979" t="str">
            <v>Z1.0652</v>
          </cell>
        </row>
        <row r="2980">
          <cell r="D2980" t="str">
            <v>F1.0944</v>
          </cell>
          <cell r="E2980" t="str">
            <v>Z1.0587</v>
          </cell>
        </row>
        <row r="2981">
          <cell r="D2981" t="str">
            <v>F1.1000</v>
          </cell>
          <cell r="E2981" t="str">
            <v>Z1.0148</v>
          </cell>
        </row>
        <row r="2982">
          <cell r="D2982" t="str">
            <v>F1.1001</v>
          </cell>
          <cell r="E2982" t="str">
            <v>Z1.0594</v>
          </cell>
        </row>
        <row r="2983">
          <cell r="D2983" t="str">
            <v>F1.1001</v>
          </cell>
          <cell r="E2983" t="str">
            <v>Z1.0594</v>
          </cell>
        </row>
        <row r="2984">
          <cell r="D2984" t="str">
            <v>F1.1002</v>
          </cell>
          <cell r="E2984" t="str">
            <v>Z1.0099</v>
          </cell>
        </row>
        <row r="2985">
          <cell r="D2985" t="str">
            <v>F1.1005</v>
          </cell>
          <cell r="E2985" t="str">
            <v>Z1.0189</v>
          </cell>
        </row>
        <row r="2986">
          <cell r="D2986" t="str">
            <v>F2.0023</v>
          </cell>
          <cell r="E2986" t="str">
            <v>Z2.206</v>
          </cell>
        </row>
        <row r="2987">
          <cell r="D2987" t="str">
            <v>F2.0024</v>
          </cell>
          <cell r="E2987" t="str">
            <v>Z2.169</v>
          </cell>
        </row>
        <row r="2988">
          <cell r="D2988" t="str">
            <v>F1.1006</v>
          </cell>
          <cell r="E2988" t="str">
            <v>Z1.0367</v>
          </cell>
        </row>
        <row r="2989">
          <cell r="D2989" t="str">
            <v>F1.1008</v>
          </cell>
          <cell r="E2989" t="str">
            <v>Z1.0303</v>
          </cell>
        </row>
        <row r="2990">
          <cell r="D2990" t="str">
            <v>F1.1009</v>
          </cell>
          <cell r="E2990" t="str">
            <v>Z1.0302</v>
          </cell>
        </row>
        <row r="2991">
          <cell r="D2991" t="str">
            <v>F1.1013</v>
          </cell>
          <cell r="E2991" t="str">
            <v>Z1.0474</v>
          </cell>
        </row>
        <row r="2992">
          <cell r="D2992" t="str">
            <v>F1.1014</v>
          </cell>
          <cell r="E2992" t="str">
            <v>Z1.0989</v>
          </cell>
        </row>
        <row r="2993">
          <cell r="D2993" t="str">
            <v>F1.1015</v>
          </cell>
          <cell r="E2993" t="str">
            <v>Z1.0184</v>
          </cell>
        </row>
        <row r="2994">
          <cell r="D2994" t="str">
            <v>F1.1016</v>
          </cell>
          <cell r="E2994" t="str">
            <v>Z1.0412</v>
          </cell>
        </row>
        <row r="2995">
          <cell r="D2995" t="str">
            <v>F1.1017</v>
          </cell>
          <cell r="E2995" t="str">
            <v>Z1.0242</v>
          </cell>
        </row>
        <row r="2996">
          <cell r="D2996" t="str">
            <v>F1.1018</v>
          </cell>
          <cell r="E2996" t="str">
            <v>Z1.0241</v>
          </cell>
        </row>
        <row r="2997">
          <cell r="D2997" t="str">
            <v>F1.1035</v>
          </cell>
          <cell r="E2997" t="str">
            <v>Z1.0005</v>
          </cell>
        </row>
        <row r="2998">
          <cell r="D2998" t="str">
            <v>F1.1038</v>
          </cell>
          <cell r="E2998" t="str">
            <v>Z1.0985</v>
          </cell>
        </row>
        <row r="2999">
          <cell r="D2999" t="str">
            <v>F1.1039</v>
          </cell>
          <cell r="E2999" t="str">
            <v>Z1.0446</v>
          </cell>
        </row>
        <row r="3000">
          <cell r="D3000" t="str">
            <v>F5.1040</v>
          </cell>
          <cell r="E3000" t="str">
            <v>Z5.0547</v>
          </cell>
        </row>
        <row r="3001">
          <cell r="D3001" t="str">
            <v>F1.1041</v>
          </cell>
          <cell r="E3001" t="str">
            <v>Z1.0348</v>
          </cell>
        </row>
        <row r="3002">
          <cell r="D3002" t="str">
            <v>F1.1042</v>
          </cell>
          <cell r="E3002" t="str">
            <v>Z1.0537</v>
          </cell>
        </row>
        <row r="3003">
          <cell r="D3003" t="str">
            <v>F1.1043</v>
          </cell>
          <cell r="E3003" t="str">
            <v>Z1.0349</v>
          </cell>
        </row>
        <row r="3004">
          <cell r="D3004" t="str">
            <v>F2.0025</v>
          </cell>
          <cell r="E3004" t="str">
            <v>Z2.217</v>
          </cell>
        </row>
        <row r="3005">
          <cell r="D3005" t="str">
            <v>F1.1045</v>
          </cell>
          <cell r="E3005" t="str">
            <v>Z1.0535</v>
          </cell>
        </row>
        <row r="3006">
          <cell r="D3006" t="str">
            <v>F1.1045</v>
          </cell>
          <cell r="E3006" t="str">
            <v>Z1.0535</v>
          </cell>
        </row>
        <row r="3007">
          <cell r="D3007" t="str">
            <v>F1.1046</v>
          </cell>
          <cell r="E3007" t="str">
            <v>Z1.0078</v>
          </cell>
        </row>
        <row r="3008">
          <cell r="D3008" t="str">
            <v>F1.1047</v>
          </cell>
          <cell r="E3008" t="str">
            <v>Z1.0396</v>
          </cell>
        </row>
        <row r="3009">
          <cell r="D3009" t="str">
            <v>F1.1051</v>
          </cell>
          <cell r="E3009" t="str">
            <v>Z1.0521</v>
          </cell>
        </row>
        <row r="3010">
          <cell r="D3010" t="str">
            <v>F1.1051</v>
          </cell>
          <cell r="E3010" t="str">
            <v>Z1.0521</v>
          </cell>
        </row>
        <row r="3011">
          <cell r="D3011" t="str">
            <v>F1.1067</v>
          </cell>
          <cell r="E3011" t="str">
            <v>Z1.0368</v>
          </cell>
        </row>
        <row r="3012">
          <cell r="D3012" t="str">
            <v>F1.1072</v>
          </cell>
          <cell r="E3012" t="str">
            <v>Z1.0502</v>
          </cell>
        </row>
        <row r="3013">
          <cell r="D3013" t="str">
            <v>F1.1077</v>
          </cell>
          <cell r="E3013" t="str">
            <v>Z1.0506</v>
          </cell>
        </row>
        <row r="3014">
          <cell r="D3014" t="str">
            <v>F1.1078</v>
          </cell>
          <cell r="E3014" t="str">
            <v>Z1.0539</v>
          </cell>
        </row>
        <row r="3015">
          <cell r="D3015" t="str">
            <v>F1.1079</v>
          </cell>
          <cell r="E3015" t="str">
            <v>Z1.0507</v>
          </cell>
        </row>
        <row r="3016">
          <cell r="D3016" t="str">
            <v>F2.0026</v>
          </cell>
          <cell r="E3016" t="str">
            <v>Z2.344</v>
          </cell>
        </row>
        <row r="3017">
          <cell r="D3017" t="str">
            <v>F1.1082</v>
          </cell>
          <cell r="E3017" t="str">
            <v>Z1.0292</v>
          </cell>
        </row>
        <row r="3018">
          <cell r="D3018" t="str">
            <v>F1.1083</v>
          </cell>
          <cell r="E3018" t="str">
            <v>Z1.0514</v>
          </cell>
        </row>
        <row r="3019">
          <cell r="D3019" t="str">
            <v>F1.1084</v>
          </cell>
          <cell r="E3019" t="str">
            <v>Z1.0515</v>
          </cell>
        </row>
        <row r="3020">
          <cell r="D3020" t="str">
            <v>F2.0029</v>
          </cell>
          <cell r="E3020" t="str">
            <v>Z2.349</v>
          </cell>
        </row>
        <row r="3021">
          <cell r="D3021" t="str">
            <v>F1.1086</v>
          </cell>
          <cell r="E3021" t="str">
            <v>Z1.0455</v>
          </cell>
        </row>
        <row r="3022">
          <cell r="D3022" t="str">
            <v>F1.1087</v>
          </cell>
          <cell r="E3022" t="str">
            <v>Z1.0638</v>
          </cell>
        </row>
        <row r="3023">
          <cell r="D3023" t="str">
            <v>F1.1088</v>
          </cell>
          <cell r="E3023" t="str">
            <v>Z1.0634</v>
          </cell>
        </row>
        <row r="3024">
          <cell r="D3024" t="str">
            <v>F1.1089</v>
          </cell>
          <cell r="E3024" t="str">
            <v>Z1.0636</v>
          </cell>
        </row>
        <row r="3025">
          <cell r="D3025" t="str">
            <v>F1.1090</v>
          </cell>
          <cell r="E3025" t="str">
            <v>Z1.0635</v>
          </cell>
        </row>
        <row r="3026">
          <cell r="D3026" t="str">
            <v>F1.1091</v>
          </cell>
          <cell r="E3026" t="str">
            <v>Z1.0637</v>
          </cell>
        </row>
        <row r="3027">
          <cell r="D3027" t="str">
            <v>F1.1104</v>
          </cell>
          <cell r="E3027" t="str">
            <v>Z1.0181</v>
          </cell>
        </row>
        <row r="3028">
          <cell r="D3028" t="str">
            <v>F1.1104</v>
          </cell>
          <cell r="E3028" t="str">
            <v>Z1.0181</v>
          </cell>
        </row>
        <row r="3029">
          <cell r="D3029" t="str">
            <v>F1.1105</v>
          </cell>
          <cell r="E3029" t="str">
            <v>Z1.0075</v>
          </cell>
        </row>
        <row r="3030">
          <cell r="D3030" t="str">
            <v>F1.1106</v>
          </cell>
          <cell r="E3030" t="str">
            <v>Z1.0393</v>
          </cell>
        </row>
        <row r="3031">
          <cell r="D3031" t="str">
            <v>F1.1107</v>
          </cell>
          <cell r="E3031" t="str">
            <v>Z1.0074</v>
          </cell>
        </row>
        <row r="3032">
          <cell r="D3032" t="str">
            <v>F1.1108</v>
          </cell>
          <cell r="E3032" t="str">
            <v>Z1.0392</v>
          </cell>
        </row>
        <row r="3033">
          <cell r="D3033" t="str">
            <v>F1.1111</v>
          </cell>
          <cell r="E3033" t="str">
            <v>Z1.0516</v>
          </cell>
        </row>
        <row r="3034">
          <cell r="D3034" t="str">
            <v>F1.1112</v>
          </cell>
          <cell r="E3034" t="str">
            <v>Z1.0517</v>
          </cell>
        </row>
        <row r="3035">
          <cell r="D3035" t="str">
            <v>F1.1113</v>
          </cell>
          <cell r="E3035" t="str">
            <v>Z1.0518</v>
          </cell>
        </row>
        <row r="3036">
          <cell r="D3036" t="str">
            <v>F1.1153</v>
          </cell>
          <cell r="E3036" t="str">
            <v>Z1.0574</v>
          </cell>
        </row>
        <row r="3037">
          <cell r="D3037" t="str">
            <v>F1.1154</v>
          </cell>
          <cell r="E3037" t="str">
            <v>Z1.0616</v>
          </cell>
        </row>
        <row r="3038">
          <cell r="D3038" t="str">
            <v>F1.1159</v>
          </cell>
          <cell r="E3038" t="str">
            <v>Z1.0427</v>
          </cell>
        </row>
        <row r="3039">
          <cell r="D3039" t="str">
            <v>F1.1160</v>
          </cell>
          <cell r="E3039" t="str">
            <v>Z1.0387</v>
          </cell>
        </row>
        <row r="3040">
          <cell r="D3040" t="str">
            <v>F1.1161</v>
          </cell>
          <cell r="E3040" t="str">
            <v>Z1.0386</v>
          </cell>
        </row>
        <row r="3041">
          <cell r="D3041" t="str">
            <v>F1.1166</v>
          </cell>
          <cell r="E3041" t="str">
            <v>Z1.0004</v>
          </cell>
        </row>
        <row r="3042">
          <cell r="D3042" t="str">
            <v>F1.1167</v>
          </cell>
          <cell r="E3042" t="str">
            <v>Z1.0003</v>
          </cell>
        </row>
        <row r="3043">
          <cell r="D3043" t="str">
            <v>F1.1170</v>
          </cell>
          <cell r="E3043" t="str">
            <v>Z1.0246</v>
          </cell>
        </row>
        <row r="3044">
          <cell r="D3044" t="str">
            <v>F1.1171</v>
          </cell>
          <cell r="E3044" t="str">
            <v>Z1.0245</v>
          </cell>
        </row>
        <row r="3045">
          <cell r="D3045" t="str">
            <v>F1.1178</v>
          </cell>
          <cell r="E3045" t="str">
            <v>Z1.0598</v>
          </cell>
        </row>
        <row r="3046">
          <cell r="D3046" t="str">
            <v>F1.1179</v>
          </cell>
          <cell r="E3046" t="str">
            <v>Z1.0421</v>
          </cell>
        </row>
        <row r="3047">
          <cell r="D3047" t="str">
            <v>F1.1180</v>
          </cell>
          <cell r="E3047" t="str">
            <v>Z1.0445</v>
          </cell>
        </row>
        <row r="3048">
          <cell r="D3048" t="str">
            <v>F1.1181</v>
          </cell>
          <cell r="E3048" t="str">
            <v>Z1.0640</v>
          </cell>
        </row>
        <row r="3049">
          <cell r="D3049" t="str">
            <v>F1.1182</v>
          </cell>
          <cell r="E3049" t="str">
            <v>Z1.0546</v>
          </cell>
        </row>
        <row r="3050">
          <cell r="D3050" t="str">
            <v>F1.1189</v>
          </cell>
          <cell r="E3050" t="str">
            <v>Z1.0283</v>
          </cell>
        </row>
        <row r="3051">
          <cell r="D3051" t="str">
            <v>F1.1190</v>
          </cell>
          <cell r="E3051" t="str">
            <v>Z1.0284</v>
          </cell>
        </row>
        <row r="3052">
          <cell r="D3052" t="str">
            <v>F1.1191</v>
          </cell>
          <cell r="E3052" t="str">
            <v>Z1.0186</v>
          </cell>
        </row>
        <row r="3053">
          <cell r="D3053" t="str">
            <v>F1.1192</v>
          </cell>
          <cell r="E3053" t="str">
            <v>Z1.0573</v>
          </cell>
        </row>
        <row r="3054">
          <cell r="D3054" t="str">
            <v>F1.1193</v>
          </cell>
          <cell r="E3054" t="str">
            <v>Z1.0187</v>
          </cell>
        </row>
        <row r="3055">
          <cell r="D3055" t="str">
            <v>F1.1194</v>
          </cell>
          <cell r="E3055" t="str">
            <v>Z1.0157</v>
          </cell>
        </row>
        <row r="3056">
          <cell r="D3056" t="str">
            <v>F1.2111</v>
          </cell>
          <cell r="E3056" t="str">
            <v>Z1.0156</v>
          </cell>
        </row>
        <row r="3057">
          <cell r="D3057" t="str">
            <v>F1.1195</v>
          </cell>
          <cell r="E3057" t="str">
            <v>Z1.0510</v>
          </cell>
        </row>
        <row r="3058">
          <cell r="D3058" t="str">
            <v>F1.1196</v>
          </cell>
          <cell r="E3058" t="str">
            <v>Z1.0456</v>
          </cell>
        </row>
        <row r="3059">
          <cell r="D3059" t="str">
            <v>F1.1197</v>
          </cell>
          <cell r="E3059" t="str">
            <v>Z1.0247</v>
          </cell>
        </row>
        <row r="3060">
          <cell r="D3060" t="str">
            <v>F2.0034</v>
          </cell>
          <cell r="E3060" t="str">
            <v>Z2.267</v>
          </cell>
        </row>
        <row r="3061">
          <cell r="D3061" t="str">
            <v>F1.1205</v>
          </cell>
          <cell r="E3061" t="str">
            <v>Z1.0358</v>
          </cell>
        </row>
        <row r="3062">
          <cell r="D3062" t="str">
            <v>F1.1209</v>
          </cell>
          <cell r="E3062" t="str">
            <v>Z1.0389</v>
          </cell>
        </row>
        <row r="3063">
          <cell r="D3063" t="str">
            <v>F1.1210</v>
          </cell>
          <cell r="E3063" t="str">
            <v>Z1.0390</v>
          </cell>
        </row>
        <row r="3064">
          <cell r="D3064" t="str">
            <v>F1.1219</v>
          </cell>
          <cell r="E3064" t="str">
            <v>Z1.0468</v>
          </cell>
        </row>
        <row r="3065">
          <cell r="D3065" t="str">
            <v>F1.1223</v>
          </cell>
          <cell r="E3065" t="str">
            <v>Z1.0493</v>
          </cell>
        </row>
        <row r="3066">
          <cell r="D3066" t="str">
            <v>F1.1224</v>
          </cell>
          <cell r="E3066" t="str">
            <v>Z1.0471</v>
          </cell>
        </row>
        <row r="3067">
          <cell r="D3067" t="str">
            <v>F1.1225</v>
          </cell>
          <cell r="E3067" t="str">
            <v>Z1.0472</v>
          </cell>
        </row>
        <row r="3068">
          <cell r="D3068" t="str">
            <v>F1.1226</v>
          </cell>
          <cell r="E3068" t="str">
            <v>Z1.0566</v>
          </cell>
        </row>
        <row r="3069">
          <cell r="D3069" t="str">
            <v>F1.1227</v>
          </cell>
          <cell r="E3069" t="str">
            <v>Z1.0010</v>
          </cell>
        </row>
        <row r="3070">
          <cell r="D3070" t="str">
            <v>F1.1228</v>
          </cell>
          <cell r="E3070" t="str">
            <v>Z1.0603</v>
          </cell>
        </row>
        <row r="3071">
          <cell r="D3071" t="str">
            <v>F1.1229</v>
          </cell>
          <cell r="E3071" t="str">
            <v>Z1.0385</v>
          </cell>
        </row>
        <row r="3072">
          <cell r="D3072" t="str">
            <v>F1.1234</v>
          </cell>
          <cell r="E3072" t="str">
            <v>Z1.0248</v>
          </cell>
        </row>
        <row r="3073">
          <cell r="D3073" t="str">
            <v>F1.1235</v>
          </cell>
          <cell r="E3073" t="str">
            <v>Z1.0463</v>
          </cell>
        </row>
        <row r="3074">
          <cell r="D3074" t="str">
            <v>F1.1238</v>
          </cell>
          <cell r="E3074" t="str">
            <v>Z1.0593</v>
          </cell>
        </row>
        <row r="3075">
          <cell r="D3075" t="str">
            <v>F1.1239</v>
          </cell>
          <cell r="E3075" t="str">
            <v>Z1.0591</v>
          </cell>
        </row>
        <row r="3076">
          <cell r="D3076" t="str">
            <v>F1.1240</v>
          </cell>
          <cell r="E3076" t="str">
            <v>Z1.0178</v>
          </cell>
        </row>
        <row r="3077">
          <cell r="D3077" t="str">
            <v>F1.1246</v>
          </cell>
          <cell r="E3077" t="str">
            <v>Z1.0536</v>
          </cell>
        </row>
        <row r="3078">
          <cell r="D3078" t="str">
            <v>F1.1247</v>
          </cell>
          <cell r="E3078" t="str">
            <v>Z1.0464</v>
          </cell>
        </row>
        <row r="3079">
          <cell r="D3079" t="str">
            <v>F1.1248</v>
          </cell>
          <cell r="E3079" t="str">
            <v>Z1.0408</v>
          </cell>
        </row>
        <row r="3080">
          <cell r="D3080" t="str">
            <v>F1.1249</v>
          </cell>
          <cell r="E3080" t="str">
            <v>Z1.1564</v>
          </cell>
        </row>
        <row r="3081">
          <cell r="D3081" t="str">
            <v>F1.1249</v>
          </cell>
          <cell r="E3081" t="str">
            <v>Z1.1564</v>
          </cell>
        </row>
        <row r="3082">
          <cell r="D3082" t="str">
            <v>F1.1250</v>
          </cell>
          <cell r="E3082" t="str">
            <v>Z1.0073</v>
          </cell>
        </row>
        <row r="3083">
          <cell r="D3083" t="str">
            <v>F1.1256</v>
          </cell>
          <cell r="E3083" t="str">
            <v>Z1.0366</v>
          </cell>
        </row>
        <row r="3084">
          <cell r="D3084" t="str">
            <v>F1.1257</v>
          </cell>
          <cell r="E3084" t="str">
            <v>Z1.0293</v>
          </cell>
        </row>
        <row r="3085">
          <cell r="D3085" t="str">
            <v>F1.1258</v>
          </cell>
          <cell r="E3085" t="str">
            <v>Z1.0239</v>
          </cell>
        </row>
        <row r="3086">
          <cell r="D3086" t="str">
            <v>F2.0035</v>
          </cell>
          <cell r="E3086" t="str">
            <v>Z2.245</v>
          </cell>
        </row>
        <row r="3087">
          <cell r="D3087" t="str">
            <v>F1.1260</v>
          </cell>
          <cell r="E3087" t="str">
            <v>Z1.0592</v>
          </cell>
        </row>
        <row r="3088">
          <cell r="D3088" t="str">
            <v>F1.1261</v>
          </cell>
          <cell r="E3088" t="str">
            <v>Z1.0595</v>
          </cell>
        </row>
        <row r="3089">
          <cell r="D3089" t="str">
            <v>F1.1262</v>
          </cell>
          <cell r="E3089" t="str">
            <v>Z1.0596</v>
          </cell>
        </row>
        <row r="3090">
          <cell r="D3090" t="str">
            <v>F1.1263</v>
          </cell>
          <cell r="E3090" t="str">
            <v>Z1.0294</v>
          </cell>
        </row>
        <row r="3091">
          <cell r="D3091" t="str">
            <v>F1.1268</v>
          </cell>
          <cell r="E3091" t="str">
            <v>Z1.0112</v>
          </cell>
        </row>
        <row r="3092">
          <cell r="D3092" t="str">
            <v>F1.1271</v>
          </cell>
          <cell r="E3092" t="str">
            <v>Z1.1316</v>
          </cell>
        </row>
        <row r="3093">
          <cell r="D3093" t="str">
            <v>F1.1272</v>
          </cell>
          <cell r="E3093" t="str">
            <v>Z1.1347</v>
          </cell>
        </row>
        <row r="3094">
          <cell r="D3094" t="str">
            <v>F1.1273</v>
          </cell>
          <cell r="E3094" t="str">
            <v>Z1.1315</v>
          </cell>
        </row>
        <row r="3095">
          <cell r="D3095" t="str">
            <v>F1.1274</v>
          </cell>
          <cell r="E3095" t="str">
            <v>Z1.1317</v>
          </cell>
        </row>
        <row r="3096">
          <cell r="D3096" t="str">
            <v>F1.1275</v>
          </cell>
          <cell r="E3096" t="str">
            <v>Z1.1344</v>
          </cell>
        </row>
        <row r="3097">
          <cell r="D3097" t="str">
            <v>F5.1276</v>
          </cell>
          <cell r="E3097" t="str">
            <v>Z5.0039</v>
          </cell>
        </row>
        <row r="3098">
          <cell r="D3098" t="str">
            <v>F5.1277</v>
          </cell>
          <cell r="E3098" t="str">
            <v>Z5.0037</v>
          </cell>
        </row>
        <row r="3099">
          <cell r="D3099" t="str">
            <v>F5.1278</v>
          </cell>
          <cell r="E3099" t="str">
            <v>Z5.1483</v>
          </cell>
        </row>
        <row r="3100">
          <cell r="D3100" t="str">
            <v>F5.1279</v>
          </cell>
          <cell r="E3100" t="str">
            <v>Z5.0038</v>
          </cell>
        </row>
        <row r="3101">
          <cell r="D3101" t="str">
            <v>F5.1280</v>
          </cell>
          <cell r="E3101" t="str">
            <v>Z5.1484</v>
          </cell>
        </row>
        <row r="3102">
          <cell r="D3102" t="str">
            <v>F1.1282</v>
          </cell>
          <cell r="E3102" t="str">
            <v>Z1.0251</v>
          </cell>
        </row>
        <row r="3103">
          <cell r="D3103" t="str">
            <v>F1.1285</v>
          </cell>
          <cell r="E3103" t="str">
            <v>Z1.0409</v>
          </cell>
        </row>
        <row r="3104">
          <cell r="D3104" t="str">
            <v>F1.1288</v>
          </cell>
          <cell r="E3104" t="str">
            <v>Z1.0289</v>
          </cell>
        </row>
        <row r="3105">
          <cell r="D3105" t="str">
            <v>F1.1289</v>
          </cell>
          <cell r="E3105" t="str">
            <v>Z1.0288</v>
          </cell>
        </row>
        <row r="3106">
          <cell r="D3106" t="str">
            <v>F1.1290</v>
          </cell>
          <cell r="E3106" t="str">
            <v>Z1.0581</v>
          </cell>
        </row>
        <row r="3107">
          <cell r="D3107" t="str">
            <v>F1.1291</v>
          </cell>
          <cell r="E3107" t="str">
            <v>Z1.0600</v>
          </cell>
        </row>
        <row r="3108">
          <cell r="D3108" t="str">
            <v>F1.1292</v>
          </cell>
          <cell r="E3108" t="str">
            <v>Z1.0513</v>
          </cell>
        </row>
        <row r="3109">
          <cell r="D3109" t="str">
            <v>F1.1294</v>
          </cell>
          <cell r="E3109" t="str">
            <v>Z1.0223</v>
          </cell>
        </row>
        <row r="3110">
          <cell r="D3110" t="str">
            <v>F1.1297</v>
          </cell>
          <cell r="E3110" t="str">
            <v>Z1.0357</v>
          </cell>
        </row>
        <row r="3111">
          <cell r="D3111" t="str">
            <v>F1.1298</v>
          </cell>
          <cell r="E3111" t="str">
            <v>Z1.0225</v>
          </cell>
        </row>
        <row r="3112">
          <cell r="D3112" t="str">
            <v>F1.1298</v>
          </cell>
          <cell r="E3112" t="str">
            <v>Z1.0225</v>
          </cell>
        </row>
        <row r="3113">
          <cell r="D3113" t="str">
            <v>F1.1301</v>
          </cell>
          <cell r="E3113" t="str">
            <v>Z1.0271</v>
          </cell>
        </row>
        <row r="3114">
          <cell r="D3114" t="str">
            <v>F1.1302</v>
          </cell>
          <cell r="E3114" t="str">
            <v>Z1.0433</v>
          </cell>
        </row>
        <row r="3115">
          <cell r="D3115" t="str">
            <v>F1.1303</v>
          </cell>
          <cell r="E3115" t="str">
            <v>Z1.0411</v>
          </cell>
        </row>
        <row r="3116">
          <cell r="D3116" t="str">
            <v>F1.1304</v>
          </cell>
          <cell r="E3116" t="str">
            <v>Z1.0384</v>
          </cell>
        </row>
        <row r="3117">
          <cell r="D3117" t="str">
            <v>F1.1305</v>
          </cell>
          <cell r="E3117" t="str">
            <v>Z1.0420</v>
          </cell>
        </row>
        <row r="3118">
          <cell r="D3118" t="str">
            <v>F1.1324</v>
          </cell>
          <cell r="E3118" t="str">
            <v>Z1.0604</v>
          </cell>
        </row>
        <row r="3119">
          <cell r="D3119" t="str">
            <v>F1.1326</v>
          </cell>
          <cell r="E3119" t="str">
            <v>Z1.0499</v>
          </cell>
        </row>
        <row r="3120">
          <cell r="D3120" t="str">
            <v>F1.1327</v>
          </cell>
          <cell r="E3120" t="str">
            <v>Z1.0501</v>
          </cell>
        </row>
        <row r="3121">
          <cell r="D3121" t="str">
            <v>F1.1328</v>
          </cell>
          <cell r="E3121" t="str">
            <v>Z1.0497</v>
          </cell>
        </row>
        <row r="3122">
          <cell r="D3122" t="str">
            <v>F1.1329</v>
          </cell>
          <cell r="E3122" t="str">
            <v>Z1.0498</v>
          </cell>
        </row>
        <row r="3123">
          <cell r="D3123" t="str">
            <v>F1.1330</v>
          </cell>
          <cell r="E3123" t="str">
            <v>Z1.0500</v>
          </cell>
        </row>
        <row r="3124">
          <cell r="D3124" t="str">
            <v>F1.1331</v>
          </cell>
          <cell r="E3124" t="str">
            <v>Z1.0575</v>
          </cell>
        </row>
        <row r="3125">
          <cell r="D3125" t="str">
            <v>F1.1340</v>
          </cell>
          <cell r="E3125" t="str">
            <v>Z1.0267</v>
          </cell>
        </row>
        <row r="3126">
          <cell r="D3126" t="str">
            <v>F1.1376</v>
          </cell>
          <cell r="E3126" t="str">
            <v>Z1.1320</v>
          </cell>
        </row>
        <row r="3127">
          <cell r="D3127" t="str">
            <v>F1.1377</v>
          </cell>
          <cell r="E3127" t="str">
            <v>Z1.1371</v>
          </cell>
        </row>
        <row r="3128">
          <cell r="D3128" t="str">
            <v>F1.1378</v>
          </cell>
          <cell r="E3128" t="str">
            <v>Z1.2302</v>
          </cell>
        </row>
        <row r="3129">
          <cell r="D3129" t="str">
            <v>F1.1379</v>
          </cell>
          <cell r="E3129" t="str">
            <v>Z1.0008</v>
          </cell>
        </row>
        <row r="3130">
          <cell r="D3130" t="str">
            <v>F2.0038</v>
          </cell>
          <cell r="E3130" t="str">
            <v>Z2.342</v>
          </cell>
        </row>
        <row r="3131">
          <cell r="D3131" t="str">
            <v>F1.1384</v>
          </cell>
          <cell r="E3131" t="str">
            <v>Z1.0589</v>
          </cell>
        </row>
        <row r="3132">
          <cell r="D3132" t="str">
            <v>F1.1385</v>
          </cell>
          <cell r="E3132" t="str">
            <v>Z1.0590</v>
          </cell>
        </row>
        <row r="3133">
          <cell r="D3133" t="str">
            <v>F2.0043</v>
          </cell>
          <cell r="E3133" t="str">
            <v>Z2.214</v>
          </cell>
        </row>
        <row r="3134">
          <cell r="D3134" t="str">
            <v>F2.0046</v>
          </cell>
          <cell r="E3134" t="str">
            <v>Z2.382</v>
          </cell>
        </row>
        <row r="3135">
          <cell r="D3135" t="str">
            <v>F1.1387</v>
          </cell>
          <cell r="E3135" t="str">
            <v>Z1.1334</v>
          </cell>
        </row>
        <row r="3136">
          <cell r="D3136" t="str">
            <v>F2.0047</v>
          </cell>
          <cell r="E3136" t="str">
            <v>Z2.152</v>
          </cell>
        </row>
        <row r="3137">
          <cell r="D3137" t="str">
            <v>F1.1388</v>
          </cell>
          <cell r="E3137" t="str">
            <v>Z1.0031</v>
          </cell>
        </row>
        <row r="3138">
          <cell r="D3138" t="str">
            <v>F1.1389</v>
          </cell>
          <cell r="E3138" t="str">
            <v>Z1.0991</v>
          </cell>
        </row>
        <row r="3139">
          <cell r="D3139" t="str">
            <v>F2.0048</v>
          </cell>
          <cell r="E3139" t="str">
            <v>Z2.227</v>
          </cell>
        </row>
        <row r="3140">
          <cell r="D3140" t="str">
            <v>F2.0050</v>
          </cell>
          <cell r="E3140" t="str">
            <v>Z2.228</v>
          </cell>
        </row>
        <row r="3141">
          <cell r="D3141" t="str">
            <v>F2.0053</v>
          </cell>
          <cell r="E3141" t="str">
            <v>Z2.251</v>
          </cell>
        </row>
        <row r="3142">
          <cell r="D3142" t="str">
            <v>F2.0056</v>
          </cell>
          <cell r="E3142" t="str">
            <v>Z2.227</v>
          </cell>
        </row>
        <row r="3143">
          <cell r="D3143" t="str">
            <v>F2.0059</v>
          </cell>
          <cell r="E3143" t="str">
            <v>Z2.228</v>
          </cell>
        </row>
        <row r="3144">
          <cell r="D3144" t="str">
            <v>F1.1390</v>
          </cell>
          <cell r="E3144" t="str">
            <v>Z1.1645</v>
          </cell>
        </row>
        <row r="3145">
          <cell r="D3145" t="str">
            <v>F5.1393</v>
          </cell>
          <cell r="E3145" t="str">
            <v>Z5.1336</v>
          </cell>
        </row>
        <row r="3146">
          <cell r="D3146" t="str">
            <v>F1.1398</v>
          </cell>
          <cell r="E3146" t="str">
            <v>Z1.0400</v>
          </cell>
        </row>
        <row r="3147">
          <cell r="D3147" t="str">
            <v>F1.1399</v>
          </cell>
          <cell r="E3147" t="str">
            <v>Z1.0430</v>
          </cell>
        </row>
        <row r="3148">
          <cell r="D3148" t="str">
            <v>F1.1400</v>
          </cell>
          <cell r="E3148" t="str">
            <v>Z1.1330</v>
          </cell>
        </row>
        <row r="3149">
          <cell r="D3149" t="str">
            <v>F1.1401</v>
          </cell>
          <cell r="E3149" t="str">
            <v>Z1.1331</v>
          </cell>
        </row>
        <row r="3150">
          <cell r="D3150" t="str">
            <v>F1.1402</v>
          </cell>
          <cell r="E3150" t="str">
            <v>Z1.1332</v>
          </cell>
        </row>
        <row r="3151">
          <cell r="D3151" t="str">
            <v>F1.1403</v>
          </cell>
          <cell r="E3151" t="str">
            <v>Z1.1333</v>
          </cell>
        </row>
        <row r="3152">
          <cell r="D3152" t="str">
            <v>F1.1404</v>
          </cell>
          <cell r="E3152" t="str">
            <v>Z1.0440</v>
          </cell>
        </row>
        <row r="3153">
          <cell r="D3153" t="str">
            <v>F1.1405</v>
          </cell>
          <cell r="E3153" t="str">
            <v>Z1.0631</v>
          </cell>
        </row>
        <row r="3154">
          <cell r="D3154" t="str">
            <v>F1.1406</v>
          </cell>
          <cell r="E3154" t="str">
            <v>Z1.0441</v>
          </cell>
        </row>
        <row r="3155">
          <cell r="D3155" t="str">
            <v>F1.1407</v>
          </cell>
          <cell r="E3155" t="str">
            <v>Z1.0485</v>
          </cell>
        </row>
        <row r="3156">
          <cell r="D3156" t="str">
            <v>F1.1408</v>
          </cell>
          <cell r="E3156" t="str">
            <v>Z1.0454</v>
          </cell>
        </row>
        <row r="3157">
          <cell r="D3157" t="str">
            <v>F5.1410</v>
          </cell>
          <cell r="E3157" t="str">
            <v>Z5.1337</v>
          </cell>
        </row>
        <row r="3158">
          <cell r="D3158" t="str">
            <v>F1.1418</v>
          </cell>
          <cell r="E3158" t="str">
            <v>Z1.0633</v>
          </cell>
        </row>
        <row r="3159">
          <cell r="D3159" t="str">
            <v>F1.1419</v>
          </cell>
          <cell r="E3159" t="str">
            <v>Z1.0632</v>
          </cell>
        </row>
        <row r="3160">
          <cell r="D3160" t="str">
            <v>F1.1426</v>
          </cell>
          <cell r="E3160" t="str">
            <v>Z1.0527</v>
          </cell>
        </row>
        <row r="3161">
          <cell r="D3161" t="str">
            <v>F1.1427</v>
          </cell>
          <cell r="E3161" t="str">
            <v>Z1.0526</v>
          </cell>
        </row>
        <row r="3162">
          <cell r="D3162" t="str">
            <v>F1.1428</v>
          </cell>
          <cell r="E3162" t="str">
            <v>Z1.0391</v>
          </cell>
        </row>
        <row r="3163">
          <cell r="D3163" t="str">
            <v>F1.1430</v>
          </cell>
          <cell r="E3163" t="str">
            <v>Z1.0520</v>
          </cell>
        </row>
        <row r="3164">
          <cell r="D3164" t="str">
            <v>F2.0073</v>
          </cell>
          <cell r="E3164" t="str">
            <v>Z2.210</v>
          </cell>
        </row>
        <row r="3165">
          <cell r="D3165" t="str">
            <v>F1.1431</v>
          </cell>
          <cell r="E3165" t="str">
            <v>Z1.0231</v>
          </cell>
        </row>
        <row r="3166">
          <cell r="D3166" t="str">
            <v>F1.1432</v>
          </cell>
          <cell r="E3166" t="str">
            <v>Z1.0230</v>
          </cell>
        </row>
        <row r="3167">
          <cell r="D3167" t="str">
            <v>F2.0074</v>
          </cell>
          <cell r="E3167" t="str">
            <v>Z2.161</v>
          </cell>
        </row>
        <row r="3169">
          <cell r="D3169" t="str">
            <v>F1.1434</v>
          </cell>
          <cell r="E3169" t="str">
            <v>Z1.0176</v>
          </cell>
        </row>
        <row r="3170">
          <cell r="D3170" t="str">
            <v>F2.0076</v>
          </cell>
          <cell r="E3170" t="str">
            <v>Z2.354</v>
          </cell>
        </row>
        <row r="3171">
          <cell r="D3171" t="str">
            <v>F2.0076</v>
          </cell>
          <cell r="E3171" t="str">
            <v>Z2.354</v>
          </cell>
        </row>
        <row r="3172">
          <cell r="D3172" t="str">
            <v>F1.1435</v>
          </cell>
          <cell r="E3172" t="str">
            <v>Z1.1915</v>
          </cell>
        </row>
        <row r="3173">
          <cell r="D3173" t="str">
            <v>F1.1435</v>
          </cell>
          <cell r="E3173" t="str">
            <v>Z1.1915</v>
          </cell>
        </row>
        <row r="3174">
          <cell r="D3174" t="str">
            <v>F1.1441</v>
          </cell>
          <cell r="E3174" t="str">
            <v>Z1.1672</v>
          </cell>
        </row>
        <row r="3175">
          <cell r="D3175" t="str">
            <v>F1.1441</v>
          </cell>
          <cell r="E3175" t="str">
            <v>Z1.1672</v>
          </cell>
        </row>
        <row r="3176">
          <cell r="D3176" t="str">
            <v>F1.1443</v>
          </cell>
          <cell r="E3176" t="str">
            <v>Z1.1654</v>
          </cell>
        </row>
        <row r="3177">
          <cell r="D3177" t="str">
            <v>F1.1444</v>
          </cell>
          <cell r="E3177" t="str">
            <v>Z1.1806</v>
          </cell>
        </row>
        <row r="3178">
          <cell r="D3178" t="str">
            <v>F1.1444</v>
          </cell>
          <cell r="E3178" t="str">
            <v>Z1.1806</v>
          </cell>
        </row>
        <row r="3179">
          <cell r="D3179" t="str">
            <v>F1.1445</v>
          </cell>
          <cell r="E3179" t="str">
            <v>Z1.1652</v>
          </cell>
        </row>
        <row r="3180">
          <cell r="D3180" t="str">
            <v>F1.1445</v>
          </cell>
          <cell r="E3180" t="str">
            <v>Z1.1652</v>
          </cell>
        </row>
        <row r="3181">
          <cell r="D3181" t="str">
            <v>F2.0078</v>
          </cell>
          <cell r="E3181" t="str">
            <v>Z2.239</v>
          </cell>
        </row>
        <row r="3182">
          <cell r="D3182" t="str">
            <v>F2.0079</v>
          </cell>
          <cell r="E3182" t="str">
            <v>Z2.374</v>
          </cell>
        </row>
        <row r="3183">
          <cell r="D3183" t="str">
            <v>F2.0080</v>
          </cell>
          <cell r="E3183" t="str">
            <v>Z2.376</v>
          </cell>
        </row>
        <row r="3184">
          <cell r="D3184" t="str">
            <v>F2.0081</v>
          </cell>
          <cell r="E3184" t="str">
            <v>Z2.375</v>
          </cell>
        </row>
        <row r="3185">
          <cell r="D3185" t="str">
            <v>F2.0082</v>
          </cell>
          <cell r="E3185" t="str">
            <v>Z2.343</v>
          </cell>
        </row>
        <row r="3186">
          <cell r="D3186" t="str">
            <v>F1.1448</v>
          </cell>
          <cell r="E3186" t="str">
            <v>Z1.0036</v>
          </cell>
        </row>
        <row r="3187">
          <cell r="D3187" t="str">
            <v>F1.1449</v>
          </cell>
          <cell r="E3187" t="str">
            <v>Z1.0056</v>
          </cell>
        </row>
        <row r="3188">
          <cell r="D3188" t="str">
            <v>F2.0084</v>
          </cell>
          <cell r="E3188" t="str">
            <v>Z2.249</v>
          </cell>
        </row>
        <row r="3189">
          <cell r="D3189" t="str">
            <v>F1.1501</v>
          </cell>
          <cell r="E3189" t="str">
            <v>Z1.0534</v>
          </cell>
        </row>
        <row r="3190">
          <cell r="D3190" t="str">
            <v>F2.0086</v>
          </cell>
          <cell r="E3190" t="str">
            <v>Z2.179</v>
          </cell>
        </row>
        <row r="3191">
          <cell r="D3191" t="str">
            <v>F1.1503</v>
          </cell>
          <cell r="E3191" t="str">
            <v>Z1.0193</v>
          </cell>
        </row>
        <row r="3192">
          <cell r="D3192" t="str">
            <v>F2.0087</v>
          </cell>
          <cell r="E3192" t="str">
            <v>Z2.192</v>
          </cell>
        </row>
        <row r="3193">
          <cell r="D3193" t="str">
            <v>F1.1504</v>
          </cell>
          <cell r="E3193" t="str">
            <v>Z1.0612</v>
          </cell>
        </row>
        <row r="3194">
          <cell r="D3194" t="str">
            <v>F1.1505</v>
          </cell>
          <cell r="E3194" t="str">
            <v>Z1.1313</v>
          </cell>
        </row>
        <row r="3195">
          <cell r="D3195" t="str">
            <v>F1.1506</v>
          </cell>
          <cell r="E3195" t="str">
            <v>Z1.0378</v>
          </cell>
        </row>
        <row r="3196">
          <cell r="D3196" t="str">
            <v>F1.1508</v>
          </cell>
          <cell r="E3196" t="str">
            <v>Z1.0642</v>
          </cell>
        </row>
        <row r="3197">
          <cell r="D3197" t="str">
            <v>F1.1509</v>
          </cell>
          <cell r="E3197" t="str">
            <v>Z1.0611</v>
          </cell>
        </row>
        <row r="3198">
          <cell r="D3198" t="str">
            <v>F2.0089</v>
          </cell>
          <cell r="E3198" t="str">
            <v>Z2.302</v>
          </cell>
        </row>
        <row r="3199">
          <cell r="D3199" t="str">
            <v>F1.1510</v>
          </cell>
          <cell r="E3199" t="str">
            <v>Z1.0404</v>
          </cell>
        </row>
        <row r="3200">
          <cell r="D3200" t="str">
            <v>F1.1511</v>
          </cell>
          <cell r="E3200" t="str">
            <v>Z1.0405</v>
          </cell>
        </row>
        <row r="3201">
          <cell r="D3201" t="str">
            <v>F1.1512</v>
          </cell>
          <cell r="E3201" t="str">
            <v>Z1.0406</v>
          </cell>
        </row>
        <row r="3202">
          <cell r="D3202" t="str">
            <v>F2.0090</v>
          </cell>
          <cell r="E3202" t="str">
            <v>Z2.364</v>
          </cell>
        </row>
        <row r="3203">
          <cell r="D3203" t="str">
            <v>F2.0091</v>
          </cell>
          <cell r="E3203" t="str">
            <v>Z2.365</v>
          </cell>
        </row>
        <row r="3204">
          <cell r="D3204" t="str">
            <v>F2.0092</v>
          </cell>
          <cell r="E3204" t="str">
            <v>Z2.366</v>
          </cell>
        </row>
        <row r="3205">
          <cell r="D3205" t="str">
            <v>F2.0095</v>
          </cell>
          <cell r="E3205" t="str">
            <v>Z2.355</v>
          </cell>
        </row>
        <row r="3206">
          <cell r="D3206" t="str">
            <v>F2.0096</v>
          </cell>
          <cell r="E3206" t="str">
            <v>Z2.208</v>
          </cell>
        </row>
        <row r="3207">
          <cell r="D3207" t="str">
            <v>F2.0097</v>
          </cell>
          <cell r="E3207" t="str">
            <v>Z2.357</v>
          </cell>
        </row>
        <row r="3208">
          <cell r="D3208" t="str">
            <v>F2.0098</v>
          </cell>
          <cell r="E3208" t="str">
            <v>Z2.356</v>
          </cell>
        </row>
        <row r="3209">
          <cell r="D3209" t="str">
            <v>F1.1515</v>
          </cell>
          <cell r="E3209" t="str">
            <v>Z1.1624</v>
          </cell>
        </row>
        <row r="3210">
          <cell r="D3210" t="str">
            <v>F1.1516</v>
          </cell>
          <cell r="E3210" t="str">
            <v>Z1.1649</v>
          </cell>
        </row>
        <row r="3211">
          <cell r="D3211" t="str">
            <v>F1.1516</v>
          </cell>
          <cell r="E3211" t="str">
            <v>Z1.1649</v>
          </cell>
        </row>
        <row r="3212">
          <cell r="D3212" t="str">
            <v>F1.1517</v>
          </cell>
          <cell r="E3212" t="str">
            <v>Z1.0397</v>
          </cell>
        </row>
        <row r="3213">
          <cell r="D3213" t="str">
            <v>F1.1518</v>
          </cell>
          <cell r="E3213" t="str">
            <v>Z1.0443</v>
          </cell>
        </row>
        <row r="3214">
          <cell r="D3214" t="str">
            <v>F1.1522</v>
          </cell>
          <cell r="E3214" t="str">
            <v>Z1.0567</v>
          </cell>
        </row>
        <row r="3215">
          <cell r="D3215" t="str">
            <v>F1.1523</v>
          </cell>
          <cell r="E3215" t="str">
            <v>Z1.0622</v>
          </cell>
        </row>
        <row r="3216">
          <cell r="D3216" t="str">
            <v>F1.1524</v>
          </cell>
          <cell r="E3216" t="str">
            <v>Z1.0226</v>
          </cell>
        </row>
        <row r="3217">
          <cell r="D3217" t="str">
            <v>F1.1525</v>
          </cell>
          <cell r="E3217" t="str">
            <v>Z1.0228</v>
          </cell>
        </row>
        <row r="3218">
          <cell r="D3218" t="str">
            <v>F1.1525</v>
          </cell>
          <cell r="E3218" t="str">
            <v>Z1.0228</v>
          </cell>
        </row>
        <row r="3219">
          <cell r="D3219" t="str">
            <v>F1.1529</v>
          </cell>
          <cell r="E3219" t="str">
            <v>Z1.0094</v>
          </cell>
        </row>
        <row r="3220">
          <cell r="D3220" t="str">
            <v>F2.0099</v>
          </cell>
          <cell r="E3220" t="str">
            <v>Z2.377</v>
          </cell>
        </row>
        <row r="3221">
          <cell r="E3221" t="str">
            <v>Z3.218</v>
          </cell>
        </row>
        <row r="3222">
          <cell r="D3222" t="str">
            <v>F2.0103</v>
          </cell>
          <cell r="E3222" t="str">
            <v>Z2.215</v>
          </cell>
        </row>
        <row r="3223">
          <cell r="D3223" t="str">
            <v>F2.0107</v>
          </cell>
          <cell r="E3223" t="str">
            <v>Z2.233</v>
          </cell>
        </row>
        <row r="3224">
          <cell r="D3224" t="str">
            <v>F2.0107</v>
          </cell>
          <cell r="E3224" t="str">
            <v>Z2.233</v>
          </cell>
        </row>
        <row r="3225">
          <cell r="D3225" t="str">
            <v>F2.0109</v>
          </cell>
          <cell r="E3225" t="str">
            <v>Z2.234</v>
          </cell>
        </row>
        <row r="3226">
          <cell r="D3226" t="str">
            <v>F2.0109</v>
          </cell>
          <cell r="E3226" t="str">
            <v>Z2.234</v>
          </cell>
        </row>
        <row r="3227">
          <cell r="D3227" t="str">
            <v>F2.0114</v>
          </cell>
          <cell r="E3227" t="str">
            <v>Z2.216</v>
          </cell>
        </row>
        <row r="3228">
          <cell r="D3228" t="str">
            <v>F2.0114</v>
          </cell>
          <cell r="E3228" t="str">
            <v>Z2.216</v>
          </cell>
        </row>
        <row r="3229">
          <cell r="D3229" t="str">
            <v>F2.0115</v>
          </cell>
          <cell r="E3229" t="str">
            <v>Z2.138</v>
          </cell>
        </row>
        <row r="3230">
          <cell r="D3230" t="str">
            <v>F2.0115</v>
          </cell>
          <cell r="E3230" t="str">
            <v>Z2.138</v>
          </cell>
        </row>
        <row r="3231">
          <cell r="D3231" t="str">
            <v>F2.0116</v>
          </cell>
          <cell r="E3231" t="str">
            <v>Z2.226</v>
          </cell>
        </row>
        <row r="3232">
          <cell r="D3232" t="str">
            <v>F2.0121</v>
          </cell>
          <cell r="E3232" t="str">
            <v>Z2.369</v>
          </cell>
        </row>
        <row r="3233">
          <cell r="D3233" t="str">
            <v>F2.0122</v>
          </cell>
          <cell r="E3233" t="str">
            <v>Z2.237</v>
          </cell>
        </row>
        <row r="3234">
          <cell r="D3234" t="str">
            <v>F2.0126</v>
          </cell>
          <cell r="E3234" t="str">
            <v>Z2.213</v>
          </cell>
        </row>
        <row r="3235">
          <cell r="D3235" t="str">
            <v>F1.1532</v>
          </cell>
          <cell r="E3235" t="str">
            <v>Z1.0437</v>
          </cell>
        </row>
        <row r="3236">
          <cell r="D3236" t="str">
            <v>F1.1534</v>
          </cell>
          <cell r="E3236" t="str">
            <v>Z1.0629</v>
          </cell>
        </row>
        <row r="3237">
          <cell r="D3237" t="str">
            <v>F1.1535</v>
          </cell>
          <cell r="E3237" t="str">
            <v>Z1.0628</v>
          </cell>
        </row>
        <row r="3238">
          <cell r="D3238" t="str">
            <v>F1.1536</v>
          </cell>
          <cell r="E3238" t="str">
            <v>Z1.0568</v>
          </cell>
        </row>
        <row r="3239">
          <cell r="D3239" t="str">
            <v>F1.1537</v>
          </cell>
          <cell r="E3239" t="str">
            <v>Z1.0639</v>
          </cell>
        </row>
        <row r="3240">
          <cell r="D3240" t="str">
            <v>F1.1538</v>
          </cell>
          <cell r="E3240" t="str">
            <v>Z1.0625</v>
          </cell>
        </row>
        <row r="3241">
          <cell r="D3241" t="str">
            <v>F1.1539</v>
          </cell>
          <cell r="E3241" t="str">
            <v>Z1.0570</v>
          </cell>
        </row>
        <row r="3242">
          <cell r="D3242" t="str">
            <v>F1.1540</v>
          </cell>
          <cell r="E3242" t="str">
            <v>Z1.0177</v>
          </cell>
        </row>
        <row r="3243">
          <cell r="D3243" t="str">
            <v>F2.0132</v>
          </cell>
          <cell r="E3243" t="str">
            <v>Z2.337</v>
          </cell>
        </row>
        <row r="3244">
          <cell r="D3244" t="str">
            <v>F1.1543</v>
          </cell>
          <cell r="E3244" t="str">
            <v>Z1.0579</v>
          </cell>
        </row>
        <row r="3245">
          <cell r="D3245" t="str">
            <v>F1.1546</v>
          </cell>
          <cell r="E3245" t="str">
            <v>Z1.1774</v>
          </cell>
        </row>
        <row r="3246">
          <cell r="D3246" t="str">
            <v>F1.1547</v>
          </cell>
          <cell r="E3246" t="str">
            <v>Z1.1657</v>
          </cell>
        </row>
        <row r="3247">
          <cell r="D3247" t="str">
            <v>F1.1548</v>
          </cell>
          <cell r="E3247" t="str">
            <v>Z1.0533</v>
          </cell>
        </row>
        <row r="3248">
          <cell r="D3248" t="str">
            <v>F1.1551</v>
          </cell>
          <cell r="E3248" t="str">
            <v>Z1.0621</v>
          </cell>
        </row>
        <row r="3249">
          <cell r="D3249" t="str">
            <v>F1.1555</v>
          </cell>
          <cell r="E3249" t="str">
            <v>Z1.1339</v>
          </cell>
        </row>
        <row r="3250">
          <cell r="D3250" t="str">
            <v>F1.1556</v>
          </cell>
          <cell r="E3250" t="str">
            <v>Z1.0418</v>
          </cell>
        </row>
        <row r="3251">
          <cell r="D3251" t="str">
            <v>F1.1557</v>
          </cell>
          <cell r="E3251" t="str">
            <v>Z1.0276</v>
          </cell>
        </row>
        <row r="3252">
          <cell r="D3252" t="str">
            <v>F1.1558</v>
          </cell>
          <cell r="E3252" t="str">
            <v>Z1.0200</v>
          </cell>
        </row>
        <row r="3253">
          <cell r="D3253" t="str">
            <v>F1.1559</v>
          </cell>
          <cell r="E3253" t="str">
            <v>Z1.0201</v>
          </cell>
        </row>
        <row r="3254">
          <cell r="D3254" t="str">
            <v>F1.1560</v>
          </cell>
          <cell r="E3254" t="str">
            <v>Z1.0627</v>
          </cell>
        </row>
        <row r="3255">
          <cell r="D3255" t="str">
            <v>F1.1561</v>
          </cell>
          <cell r="E3255" t="str">
            <v>Z1.0470</v>
          </cell>
        </row>
        <row r="3256">
          <cell r="D3256" t="str">
            <v>F1.1562</v>
          </cell>
          <cell r="E3256" t="str">
            <v>Z1.0488</v>
          </cell>
        </row>
        <row r="3257">
          <cell r="D3257" t="str">
            <v>F1.1563</v>
          </cell>
          <cell r="E3257" t="str">
            <v>Z1.0490</v>
          </cell>
        </row>
        <row r="3258">
          <cell r="D3258" t="str">
            <v>F1.1564</v>
          </cell>
          <cell r="E3258" t="str">
            <v>Z1.0489</v>
          </cell>
        </row>
        <row r="3259">
          <cell r="D3259" t="str">
            <v>F1.1565</v>
          </cell>
          <cell r="E3259" t="str">
            <v>Z1.0265</v>
          </cell>
        </row>
        <row r="3260">
          <cell r="D3260" t="str">
            <v>F1.1567</v>
          </cell>
          <cell r="E3260" t="str">
            <v>Z1.0370</v>
          </cell>
        </row>
        <row r="3261">
          <cell r="D3261" t="str">
            <v>F1.1572</v>
          </cell>
          <cell r="E3261" t="str">
            <v>Z1.0524</v>
          </cell>
        </row>
        <row r="3262">
          <cell r="D3262" t="str">
            <v>F1.1573</v>
          </cell>
          <cell r="E3262" t="str">
            <v>Z1.0285</v>
          </cell>
        </row>
        <row r="3263">
          <cell r="D3263" t="str">
            <v>F1.1577</v>
          </cell>
          <cell r="E3263" t="str">
            <v>Z1.0204</v>
          </cell>
        </row>
        <row r="3264">
          <cell r="D3264" t="str">
            <v>F2.0136</v>
          </cell>
          <cell r="E3264" t="str">
            <v>Z2.111</v>
          </cell>
        </row>
        <row r="3265">
          <cell r="D3265" t="str">
            <v>F1.1579</v>
          </cell>
          <cell r="E3265" t="str">
            <v>Z1.1949</v>
          </cell>
        </row>
        <row r="3266">
          <cell r="D3266" t="str">
            <v>F1.1581</v>
          </cell>
          <cell r="E3266" t="str">
            <v>Z1.0234</v>
          </cell>
        </row>
        <row r="3267">
          <cell r="D3267" t="str">
            <v>F1.1582</v>
          </cell>
          <cell r="E3267" t="str">
            <v>Z1.0597</v>
          </cell>
        </row>
        <row r="3268">
          <cell r="D3268" t="str">
            <v>F1.1583</v>
          </cell>
          <cell r="E3268" t="str">
            <v>Z1.0619</v>
          </cell>
        </row>
        <row r="3269">
          <cell r="D3269" t="str">
            <v>F1.1584</v>
          </cell>
          <cell r="E3269" t="str">
            <v>Z1.0495</v>
          </cell>
        </row>
        <row r="3270">
          <cell r="D3270" t="str">
            <v>F1.1585</v>
          </cell>
          <cell r="E3270" t="str">
            <v>Z1.0494</v>
          </cell>
        </row>
        <row r="3271">
          <cell r="D3271" t="str">
            <v>F1.1586</v>
          </cell>
          <cell r="E3271" t="str">
            <v>Z1.0609</v>
          </cell>
        </row>
        <row r="3272">
          <cell r="D3272" t="str">
            <v>F1.1587</v>
          </cell>
          <cell r="E3272" t="str">
            <v>Z1.0467</v>
          </cell>
        </row>
        <row r="3273">
          <cell r="D3273" t="str">
            <v>F1.1588</v>
          </cell>
          <cell r="E3273" t="str">
            <v>Z1.0623</v>
          </cell>
        </row>
        <row r="3274">
          <cell r="D3274" t="str">
            <v>F1.1589</v>
          </cell>
          <cell r="E3274" t="str">
            <v>Z1.0552</v>
          </cell>
        </row>
        <row r="3275">
          <cell r="D3275" t="str">
            <v>F1.1590</v>
          </cell>
          <cell r="E3275" t="str">
            <v>Z1.0551</v>
          </cell>
        </row>
        <row r="3276">
          <cell r="D3276" t="str">
            <v>F1.1591</v>
          </cell>
          <cell r="E3276" t="str">
            <v>Z1.0496</v>
          </cell>
        </row>
        <row r="3277">
          <cell r="D3277" t="str">
            <v>F1.1592</v>
          </cell>
          <cell r="E3277" t="str">
            <v>Z1.0608</v>
          </cell>
        </row>
        <row r="3278">
          <cell r="D3278" t="str">
            <v>F1.1593</v>
          </cell>
          <cell r="E3278" t="str">
            <v>Z1.0605</v>
          </cell>
        </row>
        <row r="3279">
          <cell r="D3279" t="str">
            <v>F1.1594</v>
          </cell>
          <cell r="E3279" t="str">
            <v>Z1.0586</v>
          </cell>
        </row>
        <row r="3280">
          <cell r="D3280" t="str">
            <v>F1.1594</v>
          </cell>
          <cell r="E3280" t="str">
            <v>Z1.0586</v>
          </cell>
        </row>
        <row r="3281">
          <cell r="D3281" t="str">
            <v>F1.1595</v>
          </cell>
          <cell r="E3281" t="str">
            <v>Z1.0484</v>
          </cell>
        </row>
        <row r="3282">
          <cell r="D3282" t="str">
            <v>F1.1596</v>
          </cell>
          <cell r="E3282" t="str">
            <v>Z1.0624</v>
          </cell>
        </row>
        <row r="3283">
          <cell r="D3283" t="str">
            <v>F1.1597</v>
          </cell>
          <cell r="E3283" t="str">
            <v>Z1.0344</v>
          </cell>
        </row>
        <row r="3284">
          <cell r="D3284" t="str">
            <v>F1.1598</v>
          </cell>
          <cell r="E3284" t="str">
            <v>Z1.0340</v>
          </cell>
        </row>
        <row r="3285">
          <cell r="D3285" t="str">
            <v>F1.1599</v>
          </cell>
          <cell r="E3285" t="str">
            <v>Z1.0345</v>
          </cell>
        </row>
        <row r="3286">
          <cell r="D3286" t="str">
            <v>F1.1600</v>
          </cell>
          <cell r="E3286" t="str">
            <v>Z1.0341</v>
          </cell>
        </row>
        <row r="3287">
          <cell r="D3287" t="str">
            <v>F1.1601</v>
          </cell>
          <cell r="E3287" t="str">
            <v>Z2.345</v>
          </cell>
        </row>
        <row r="3288">
          <cell r="D3288" t="str">
            <v>F1.1605</v>
          </cell>
          <cell r="E3288" t="str">
            <v>Z1.0388</v>
          </cell>
        </row>
        <row r="3289">
          <cell r="D3289" t="str">
            <v>F1.1606</v>
          </cell>
          <cell r="E3289" t="str">
            <v>Z1.0380</v>
          </cell>
        </row>
        <row r="3290">
          <cell r="D3290" t="str">
            <v>F1.1607</v>
          </cell>
          <cell r="E3290" t="str">
            <v>Z1.0377</v>
          </cell>
        </row>
        <row r="3291">
          <cell r="D3291" t="str">
            <v>F1.1608</v>
          </cell>
          <cell r="E3291" t="str">
            <v>Z1.0554</v>
          </cell>
        </row>
        <row r="3292">
          <cell r="D3292" t="str">
            <v>F1.1609</v>
          </cell>
          <cell r="E3292" t="str">
            <v>Z1.0160</v>
          </cell>
        </row>
        <row r="3293">
          <cell r="D3293" t="str">
            <v>F2.0140</v>
          </cell>
          <cell r="E3293" t="str">
            <v>Z2.195</v>
          </cell>
        </row>
        <row r="3294">
          <cell r="D3294" t="str">
            <v>F1.1613</v>
          </cell>
          <cell r="E3294" t="str">
            <v>Z1.1595</v>
          </cell>
        </row>
        <row r="3295">
          <cell r="D3295" t="str">
            <v>F1.1614</v>
          </cell>
          <cell r="E3295" t="str">
            <v>Z1.0383</v>
          </cell>
        </row>
        <row r="3296">
          <cell r="D3296" t="str">
            <v>F1.1615</v>
          </cell>
          <cell r="E3296" t="str">
            <v>Z1.0381</v>
          </cell>
        </row>
        <row r="3297">
          <cell r="D3297" t="str">
            <v>F1.1632</v>
          </cell>
          <cell r="E3297" t="str">
            <v>Z1.0588</v>
          </cell>
        </row>
        <row r="3298">
          <cell r="D3298" t="str">
            <v>F1.1633</v>
          </cell>
          <cell r="E3298" t="str">
            <v>Z1.0543</v>
          </cell>
        </row>
        <row r="3299">
          <cell r="D3299" t="str">
            <v>F1.1634</v>
          </cell>
          <cell r="E3299" t="str">
            <v>Z1.0398</v>
          </cell>
        </row>
        <row r="3300">
          <cell r="D3300" t="str">
            <v>F1.1638</v>
          </cell>
          <cell r="E3300" t="str">
            <v>Z1.0373</v>
          </cell>
        </row>
        <row r="3301">
          <cell r="D3301" t="str">
            <v>F1.1640</v>
          </cell>
          <cell r="E3301" t="str">
            <v>Z1.0085</v>
          </cell>
        </row>
        <row r="3302">
          <cell r="D3302" t="str">
            <v>F1.1641</v>
          </cell>
          <cell r="E3302" t="str">
            <v>Z1.0013</v>
          </cell>
        </row>
        <row r="3303">
          <cell r="D3303" t="str">
            <v>F1.1642</v>
          </cell>
          <cell r="E3303" t="str">
            <v>Z1.0580</v>
          </cell>
        </row>
        <row r="3304">
          <cell r="D3304" t="str">
            <v>F2.0143</v>
          </cell>
          <cell r="E3304" t="str">
            <v>Z2.132</v>
          </cell>
        </row>
        <row r="3305">
          <cell r="D3305" t="str">
            <v>F2.0144</v>
          </cell>
          <cell r="E3305" t="str">
            <v>Z2.186</v>
          </cell>
        </row>
        <row r="3306">
          <cell r="D3306" t="str">
            <v>F1.1646</v>
          </cell>
          <cell r="E3306" t="str">
            <v>Z1.0235</v>
          </cell>
        </row>
        <row r="3307">
          <cell r="D3307" t="str">
            <v>F1.1647</v>
          </cell>
          <cell r="E3307" t="str">
            <v>Z1.0432</v>
          </cell>
        </row>
        <row r="3308">
          <cell r="D3308" t="str">
            <v>F1.1648</v>
          </cell>
          <cell r="E3308" t="str">
            <v>Z1.0431</v>
          </cell>
        </row>
        <row r="3309">
          <cell r="D3309" t="str">
            <v>F1.1649</v>
          </cell>
          <cell r="E3309" t="str">
            <v>Z1.0415</v>
          </cell>
        </row>
        <row r="3310">
          <cell r="D3310" t="str">
            <v>F1.1652</v>
          </cell>
          <cell r="E3310" t="str">
            <v>Z1.0311</v>
          </cell>
        </row>
        <row r="3311">
          <cell r="D3311" t="str">
            <v>F1.1653</v>
          </cell>
          <cell r="E3311" t="str">
            <v>Z1.0310</v>
          </cell>
        </row>
        <row r="3312">
          <cell r="D3312" t="str">
            <v>F1.1654</v>
          </cell>
          <cell r="E3312" t="str">
            <v>Z1.0429</v>
          </cell>
        </row>
        <row r="3313">
          <cell r="D3313" t="str">
            <v>F1.1655</v>
          </cell>
          <cell r="E3313" t="str">
            <v>Z1.0438</v>
          </cell>
        </row>
        <row r="3314">
          <cell r="D3314" t="str">
            <v>F1.1656</v>
          </cell>
          <cell r="E3314" t="str">
            <v>Z1.0505</v>
          </cell>
        </row>
        <row r="3315">
          <cell r="D3315" t="str">
            <v>F1.1657</v>
          </cell>
          <cell r="E3315" t="str">
            <v>Z1.0220</v>
          </cell>
        </row>
        <row r="3316">
          <cell r="D3316" t="str">
            <v>F1.1658</v>
          </cell>
          <cell r="E3316" t="str">
            <v>Z1.0308</v>
          </cell>
        </row>
        <row r="3317">
          <cell r="D3317" t="str">
            <v>F1.1659</v>
          </cell>
          <cell r="E3317" t="str">
            <v>Z1.0307</v>
          </cell>
        </row>
        <row r="3318">
          <cell r="D3318" t="str">
            <v>F1.1660</v>
          </cell>
          <cell r="E3318" t="str">
            <v>Z1.0304</v>
          </cell>
        </row>
        <row r="3319">
          <cell r="D3319" t="str">
            <v>F1.1661</v>
          </cell>
          <cell r="E3319" t="str">
            <v>Z1.0306</v>
          </cell>
        </row>
        <row r="3320">
          <cell r="D3320" t="str">
            <v>F1.1662</v>
          </cell>
          <cell r="E3320" t="str">
            <v>Z1.0312</v>
          </cell>
        </row>
        <row r="3321">
          <cell r="D3321" t="str">
            <v>F1.1663</v>
          </cell>
          <cell r="E3321" t="str">
            <v>Z1.0305</v>
          </cell>
        </row>
        <row r="3322">
          <cell r="D3322" t="str">
            <v>F1.1664</v>
          </cell>
          <cell r="E3322" t="str">
            <v>Z1.0313</v>
          </cell>
        </row>
        <row r="3323">
          <cell r="D3323" t="str">
            <v>F1.1665</v>
          </cell>
          <cell r="E3323" t="str">
            <v>Z1.0309</v>
          </cell>
        </row>
        <row r="3324">
          <cell r="D3324" t="str">
            <v>F1.1666</v>
          </cell>
          <cell r="E3324" t="str">
            <v>Z1.0439</v>
          </cell>
        </row>
        <row r="3325">
          <cell r="D3325" t="str">
            <v>F1.1668</v>
          </cell>
          <cell r="E3325" t="str">
            <v>Z1.0442</v>
          </cell>
        </row>
        <row r="3326">
          <cell r="D3326" t="str">
            <v>F1.1681</v>
          </cell>
          <cell r="E3326" t="str">
            <v>Z1.0277</v>
          </cell>
        </row>
        <row r="3327">
          <cell r="D3327" t="str">
            <v>F1.1682</v>
          </cell>
          <cell r="E3327" t="str">
            <v>Z1.0236</v>
          </cell>
        </row>
        <row r="3328">
          <cell r="D3328" t="str">
            <v>F1.1683</v>
          </cell>
          <cell r="E3328" t="str">
            <v>Z1.0232</v>
          </cell>
        </row>
        <row r="3329">
          <cell r="D3329" t="str">
            <v>F2.0146</v>
          </cell>
          <cell r="E3329" t="str">
            <v>Z2.351</v>
          </cell>
        </row>
        <row r="3330">
          <cell r="D3330" t="str">
            <v>F2.0147</v>
          </cell>
          <cell r="E3330" t="str">
            <v>Z2.352</v>
          </cell>
        </row>
        <row r="3331">
          <cell r="D3331" t="str">
            <v>F2.0148</v>
          </cell>
          <cell r="E3331" t="str">
            <v>Z2.353</v>
          </cell>
        </row>
        <row r="3332">
          <cell r="D3332" t="str">
            <v>F2.0149</v>
          </cell>
          <cell r="E3332" t="str">
            <v>Z2.350</v>
          </cell>
        </row>
        <row r="3333">
          <cell r="D3333" t="str">
            <v>F1.1713</v>
          </cell>
          <cell r="E3333" t="str">
            <v>Z1.0371</v>
          </cell>
        </row>
        <row r="3334">
          <cell r="D3334" t="str">
            <v>F1.1714</v>
          </cell>
          <cell r="E3334" t="str">
            <v>Z1.0553</v>
          </cell>
        </row>
        <row r="3335">
          <cell r="D3335" t="str">
            <v>F1.1715</v>
          </cell>
          <cell r="E3335" t="str">
            <v>Z1.0610</v>
          </cell>
        </row>
        <row r="3336">
          <cell r="D3336" t="str">
            <v>F1.1722</v>
          </cell>
          <cell r="E3336" t="str">
            <v>Z1.0150</v>
          </cell>
        </row>
        <row r="3337">
          <cell r="D3337" t="str">
            <v>F1.1723</v>
          </cell>
          <cell r="E3337" t="str">
            <v>Z1.0151</v>
          </cell>
        </row>
        <row r="3338">
          <cell r="D3338" t="str">
            <v>F1.1724</v>
          </cell>
          <cell r="E3338" t="str">
            <v>Z1.0152</v>
          </cell>
        </row>
        <row r="3339">
          <cell r="D3339" t="str">
            <v>F1.1725</v>
          </cell>
          <cell r="E3339" t="str">
            <v>Z1.0434</v>
          </cell>
        </row>
        <row r="3340">
          <cell r="D3340" t="str">
            <v>F1.1726</v>
          </cell>
          <cell r="E3340" t="str">
            <v>Z1.0422</v>
          </cell>
        </row>
        <row r="3341">
          <cell r="D3341" t="str">
            <v>F1.1727</v>
          </cell>
          <cell r="E3341" t="str">
            <v>Z1.0585</v>
          </cell>
        </row>
        <row r="3342">
          <cell r="D3342" t="str">
            <v>F1.1728</v>
          </cell>
          <cell r="E3342" t="str">
            <v>Z1.0416</v>
          </cell>
        </row>
        <row r="3343">
          <cell r="D3343" t="str">
            <v>F1.1729</v>
          </cell>
          <cell r="E3343" t="str">
            <v>Z1.0417</v>
          </cell>
        </row>
        <row r="3344">
          <cell r="D3344" t="str">
            <v>F1.1730</v>
          </cell>
          <cell r="E3344" t="str">
            <v>Z1.0578</v>
          </cell>
        </row>
        <row r="3345">
          <cell r="D3345" t="str">
            <v>F1.1731</v>
          </cell>
          <cell r="E3345" t="str">
            <v>Z1.0080</v>
          </cell>
        </row>
        <row r="3346">
          <cell r="D3346" t="str">
            <v>F1.1732</v>
          </cell>
          <cell r="E3346" t="str">
            <v>Z1.0179</v>
          </cell>
        </row>
        <row r="3347">
          <cell r="D3347" t="str">
            <v>F1.1733</v>
          </cell>
          <cell r="E3347" t="str">
            <v>Z1.0260</v>
          </cell>
        </row>
        <row r="3348">
          <cell r="D3348" t="str">
            <v>F1.1734</v>
          </cell>
          <cell r="E3348" t="str">
            <v>Z1.0154</v>
          </cell>
        </row>
        <row r="3349">
          <cell r="D3349" t="str">
            <v>F1.1735</v>
          </cell>
          <cell r="E3349" t="str">
            <v>Z1.0089</v>
          </cell>
        </row>
        <row r="3350">
          <cell r="D3350" t="str">
            <v>F1.1735</v>
          </cell>
          <cell r="E3350" t="str">
            <v>Z1.0089</v>
          </cell>
        </row>
        <row r="3351">
          <cell r="D3351" t="str">
            <v>F2.0156</v>
          </cell>
          <cell r="E3351" t="str">
            <v>Z2.295</v>
          </cell>
        </row>
        <row r="3352">
          <cell r="D3352" t="str">
            <v>F2.0156</v>
          </cell>
          <cell r="E3352" t="str">
            <v>Z2.370</v>
          </cell>
        </row>
        <row r="3353">
          <cell r="D3353" t="str">
            <v>F2.0157</v>
          </cell>
          <cell r="E3353" t="str">
            <v>Z2.229</v>
          </cell>
        </row>
        <row r="3354">
          <cell r="D3354" t="str">
            <v>F2.0157</v>
          </cell>
          <cell r="E3354" t="str">
            <v>Z2.229</v>
          </cell>
        </row>
        <row r="3355">
          <cell r="D3355" t="str">
            <v>F1.1736</v>
          </cell>
          <cell r="E3355" t="str">
            <v>Z1.0253</v>
          </cell>
        </row>
        <row r="3356">
          <cell r="D3356" t="str">
            <v>F1.1736</v>
          </cell>
          <cell r="E3356" t="str">
            <v>Z1.0253</v>
          </cell>
        </row>
        <row r="3357">
          <cell r="D3357" t="str">
            <v>F1.1737</v>
          </cell>
          <cell r="E3357" t="str">
            <v>Z1.0376</v>
          </cell>
        </row>
        <row r="3358">
          <cell r="D3358" t="str">
            <v>F1.1738</v>
          </cell>
          <cell r="E3358" t="str">
            <v>Z1.0229</v>
          </cell>
        </row>
        <row r="3359">
          <cell r="D3359" t="str">
            <v>F2.0159</v>
          </cell>
          <cell r="E3359" t="str">
            <v>Z2.381</v>
          </cell>
        </row>
        <row r="3360">
          <cell r="D3360" t="str">
            <v>F2.0161</v>
          </cell>
          <cell r="E3360" t="str">
            <v>Z2.362</v>
          </cell>
        </row>
        <row r="3361">
          <cell r="D3361" t="str">
            <v>F2.0162</v>
          </cell>
          <cell r="E3361" t="str">
            <v>Z2.363</v>
          </cell>
        </row>
        <row r="3362">
          <cell r="D3362" t="str">
            <v>F1.1748</v>
          </cell>
          <cell r="E3362" t="str">
            <v>Z1.0413</v>
          </cell>
        </row>
        <row r="3363">
          <cell r="D3363" t="str">
            <v>F2.0166</v>
          </cell>
          <cell r="E3363" t="str">
            <v>Z2.378</v>
          </cell>
        </row>
        <row r="3364">
          <cell r="D3364" t="str">
            <v>F2.0167</v>
          </cell>
          <cell r="E3364" t="str">
            <v>Z2.379</v>
          </cell>
        </row>
        <row r="3365">
          <cell r="D3365" t="str">
            <v>F2.0168</v>
          </cell>
          <cell r="E3365" t="str">
            <v>Z2.380</v>
          </cell>
        </row>
        <row r="3366">
          <cell r="D3366" t="str">
            <v>F1.1749</v>
          </cell>
          <cell r="E3366" t="str">
            <v>Z1.0145</v>
          </cell>
        </row>
        <row r="3367">
          <cell r="D3367" t="str">
            <v>F2.0170</v>
          </cell>
          <cell r="E3367" t="str">
            <v>Z2.304</v>
          </cell>
        </row>
        <row r="3368">
          <cell r="D3368" t="str">
            <v>F1.1753</v>
          </cell>
          <cell r="E3368" t="str">
            <v>Z1.0613</v>
          </cell>
        </row>
        <row r="3369">
          <cell r="D3369" t="str">
            <v>F1.1754</v>
          </cell>
          <cell r="E3369" t="str">
            <v>Z1.0614</v>
          </cell>
        </row>
        <row r="3370">
          <cell r="D3370" t="str">
            <v>F1.1755</v>
          </cell>
          <cell r="E3370" t="str">
            <v>Z1.0615</v>
          </cell>
        </row>
        <row r="3371">
          <cell r="D3371" t="str">
            <v>F1.1756</v>
          </cell>
          <cell r="E3371" t="str">
            <v>Z1.0569</v>
          </cell>
        </row>
        <row r="3372">
          <cell r="D3372" t="str">
            <v>F1.1758</v>
          </cell>
          <cell r="E3372" t="str">
            <v>Z1.0233</v>
          </cell>
        </row>
        <row r="3373">
          <cell r="D3373" t="str">
            <v>F2.0172</v>
          </cell>
          <cell r="E3373" t="str">
            <v>Z2.372</v>
          </cell>
        </row>
        <row r="3374">
          <cell r="D3374" t="str">
            <v>F2.0173</v>
          </cell>
          <cell r="E3374" t="str">
            <v>Z2.373</v>
          </cell>
        </row>
        <row r="3375">
          <cell r="D3375" t="str">
            <v>F1.1801</v>
          </cell>
          <cell r="E3375" t="str">
            <v>Z1.0399</v>
          </cell>
        </row>
        <row r="3376">
          <cell r="D3376" t="str">
            <v>F2.0179</v>
          </cell>
          <cell r="E3376" t="str">
            <v>Z2.211</v>
          </cell>
        </row>
        <row r="3377">
          <cell r="D3377" t="str">
            <v>F2.0180</v>
          </cell>
          <cell r="E3377" t="str">
            <v>Z2.140</v>
          </cell>
        </row>
        <row r="3378">
          <cell r="D3378" t="str">
            <v>F2.0181</v>
          </cell>
          <cell r="E3378" t="str">
            <v>Z2.119</v>
          </cell>
        </row>
        <row r="3379">
          <cell r="D3379" t="str">
            <v>F2.0182</v>
          </cell>
          <cell r="E3379" t="str">
            <v>Z2.009</v>
          </cell>
        </row>
        <row r="3380">
          <cell r="E3380" t="str">
            <v>Z3.207</v>
          </cell>
        </row>
        <row r="3382">
          <cell r="E3382" t="str">
            <v>Z3.129</v>
          </cell>
        </row>
        <row r="3383">
          <cell r="D3383" t="str">
            <v>F2.0183</v>
          </cell>
          <cell r="E3383" t="str">
            <v>Z2.207</v>
          </cell>
        </row>
        <row r="3384">
          <cell r="D3384" t="str">
            <v>F2.0184</v>
          </cell>
          <cell r="E3384" t="str">
            <v>Z2.131</v>
          </cell>
        </row>
        <row r="3385">
          <cell r="D3385" t="str">
            <v>F2.0185</v>
          </cell>
          <cell r="E3385" t="str">
            <v>Z2.005</v>
          </cell>
        </row>
        <row r="3386">
          <cell r="D3386" t="str">
            <v>F2.0186</v>
          </cell>
          <cell r="E3386" t="str">
            <v>Z2.127</v>
          </cell>
        </row>
        <row r="3387">
          <cell r="D3387" t="str">
            <v>F2.0187</v>
          </cell>
          <cell r="E3387" t="str">
            <v>Z2.209</v>
          </cell>
        </row>
        <row r="3388">
          <cell r="D3388" t="str">
            <v>F1.1804</v>
          </cell>
          <cell r="E3388" t="str">
            <v>Z1.0087</v>
          </cell>
        </row>
        <row r="3389">
          <cell r="D3389" t="str">
            <v>F2.0189</v>
          </cell>
          <cell r="E3389" t="str">
            <v>Z2.113</v>
          </cell>
        </row>
        <row r="3390">
          <cell r="D3390" t="str">
            <v>F2.0190</v>
          </cell>
          <cell r="E3390" t="str">
            <v>Z2.103</v>
          </cell>
        </row>
        <row r="3391">
          <cell r="D3391" t="str">
            <v>F2.0191</v>
          </cell>
          <cell r="E3391" t="str">
            <v>Z2.202</v>
          </cell>
        </row>
        <row r="3392">
          <cell r="D3392" t="str">
            <v>F2.0192</v>
          </cell>
          <cell r="E3392" t="str">
            <v>Z2.197</v>
          </cell>
        </row>
        <row r="3393">
          <cell r="D3393" t="str">
            <v>F2.0193</v>
          </cell>
          <cell r="E3393" t="str">
            <v>Z2.200</v>
          </cell>
        </row>
        <row r="3394">
          <cell r="D3394" t="str">
            <v>F2.0194</v>
          </cell>
          <cell r="E3394" t="str">
            <v>Z2.201</v>
          </cell>
        </row>
        <row r="3395">
          <cell r="D3395" t="str">
            <v>F2.0195</v>
          </cell>
          <cell r="E3395" t="str">
            <v>Z2.199</v>
          </cell>
        </row>
        <row r="3396">
          <cell r="D3396" t="str">
            <v>F2.0196</v>
          </cell>
          <cell r="E3396" t="str">
            <v>Z2.205</v>
          </cell>
        </row>
        <row r="3397">
          <cell r="D3397" t="str">
            <v>F2.0197</v>
          </cell>
          <cell r="E3397" t="str">
            <v>Z2.204</v>
          </cell>
        </row>
        <row r="3398">
          <cell r="D3398" t="str">
            <v>F2.0198</v>
          </cell>
          <cell r="E3398" t="str">
            <v>Z2.203</v>
          </cell>
        </row>
        <row r="3399">
          <cell r="D3399" t="str">
            <v>F2.0199</v>
          </cell>
          <cell r="E3399" t="str">
            <v>Z2.198</v>
          </cell>
        </row>
        <row r="3400">
          <cell r="D3400" t="str">
            <v>F2.0200</v>
          </cell>
          <cell r="E3400" t="str">
            <v>Z2.196</v>
          </cell>
        </row>
        <row r="3401">
          <cell r="D3401" t="str">
            <v>F2.0201</v>
          </cell>
          <cell r="E3401" t="str">
            <v>Z2.157</v>
          </cell>
        </row>
        <row r="3402">
          <cell r="D3402" t="str">
            <v>F2.0201</v>
          </cell>
          <cell r="E3402" t="str">
            <v>Z2.157</v>
          </cell>
        </row>
        <row r="3403">
          <cell r="D3403" t="str">
            <v>F1.1805</v>
          </cell>
          <cell r="E3403" t="str">
            <v>Z1.0372</v>
          </cell>
        </row>
        <row r="3404">
          <cell r="D3404" t="str">
            <v>F1.1869</v>
          </cell>
          <cell r="E3404" t="str">
            <v>Z1.0336</v>
          </cell>
        </row>
        <row r="3405">
          <cell r="D3405" t="str">
            <v>F1.1870</v>
          </cell>
          <cell r="E3405" t="str">
            <v>Z1.0630</v>
          </cell>
        </row>
        <row r="3406">
          <cell r="D3406" t="str">
            <v>F1.1871</v>
          </cell>
          <cell r="E3406" t="str">
            <v>Z1.0618</v>
          </cell>
        </row>
        <row r="3407">
          <cell r="D3407" t="str">
            <v>F1.1872</v>
          </cell>
          <cell r="E3407" t="str">
            <v>Z1.0617</v>
          </cell>
        </row>
        <row r="3408">
          <cell r="D3408" t="str">
            <v>F1.1873</v>
          </cell>
          <cell r="E3408" t="str">
            <v>Z1.0504</v>
          </cell>
        </row>
        <row r="3409">
          <cell r="D3409" t="str">
            <v>F1.1874</v>
          </cell>
          <cell r="E3409" t="str">
            <v>Z1.0512</v>
          </cell>
        </row>
        <row r="3410">
          <cell r="D3410" t="str">
            <v>F1.1875</v>
          </cell>
          <cell r="E3410" t="str">
            <v>Z1.0503</v>
          </cell>
        </row>
        <row r="3411">
          <cell r="D3411" t="str">
            <v>F1.1876</v>
          </cell>
          <cell r="E3411" t="str">
            <v>Z1.0511</v>
          </cell>
        </row>
        <row r="3412">
          <cell r="D3412" t="str">
            <v>F1.1878</v>
          </cell>
          <cell r="E3412" t="str">
            <v>Z1.0379</v>
          </cell>
        </row>
        <row r="3413">
          <cell r="D3413" t="str">
            <v>F1.1879</v>
          </cell>
          <cell r="E3413" t="str">
            <v>Z1.0335</v>
          </cell>
        </row>
        <row r="3414">
          <cell r="D3414" t="str">
            <v>F1.1880</v>
          </cell>
          <cell r="E3414" t="str">
            <v>Z1.0144</v>
          </cell>
        </row>
        <row r="3415">
          <cell r="D3415" t="str">
            <v>F1.1881</v>
          </cell>
          <cell r="E3415" t="str">
            <v>Z1.0353</v>
          </cell>
        </row>
        <row r="3416">
          <cell r="D3416" t="str">
            <v>F2.0206</v>
          </cell>
          <cell r="E3416" t="str">
            <v>Z2.247</v>
          </cell>
        </row>
        <row r="3417">
          <cell r="D3417" t="str">
            <v>F1.1882</v>
          </cell>
          <cell r="E3417" t="str">
            <v>Z1.0033</v>
          </cell>
        </row>
        <row r="3418">
          <cell r="D3418" t="str">
            <v>F1.1883</v>
          </cell>
          <cell r="E3418" t="str">
            <v>Z1.1308</v>
          </cell>
        </row>
        <row r="3419">
          <cell r="D3419" t="str">
            <v>F2.0207</v>
          </cell>
          <cell r="E3419" t="str">
            <v>Z2.300</v>
          </cell>
        </row>
        <row r="3420">
          <cell r="D3420" t="str">
            <v>F1.1884</v>
          </cell>
          <cell r="E3420" t="str">
            <v>Z1.1328</v>
          </cell>
        </row>
        <row r="3421">
          <cell r="D3421" t="str">
            <v>F1.1885</v>
          </cell>
          <cell r="E3421" t="str">
            <v>Z1.0487</v>
          </cell>
        </row>
        <row r="3422">
          <cell r="D3422" t="str">
            <v>F1.1886</v>
          </cell>
          <cell r="E3422" t="str">
            <v>Z1.0374</v>
          </cell>
        </row>
        <row r="3423">
          <cell r="D3423" t="str">
            <v>F2.0210</v>
          </cell>
          <cell r="E3423" t="str">
            <v>Z2.303</v>
          </cell>
        </row>
        <row r="3424">
          <cell r="D3424" t="str">
            <v>F1.1887</v>
          </cell>
          <cell r="E3424" t="str">
            <v>Z1.0202</v>
          </cell>
        </row>
        <row r="3425">
          <cell r="D3425" t="str">
            <v>F2.0211</v>
          </cell>
          <cell r="E3425" t="str">
            <v>Z2.367</v>
          </cell>
        </row>
        <row r="3426">
          <cell r="D3426" t="str">
            <v>F2.0212</v>
          </cell>
          <cell r="E3426" t="str">
            <v>Z2.190</v>
          </cell>
        </row>
        <row r="3427">
          <cell r="D3427" t="str">
            <v>F2.0216</v>
          </cell>
          <cell r="E3427" t="str">
            <v>Z2.358</v>
          </cell>
        </row>
        <row r="3428">
          <cell r="D3428" t="str">
            <v>F2.0217</v>
          </cell>
          <cell r="E3428" t="str">
            <v>Z2.360</v>
          </cell>
        </row>
        <row r="3429">
          <cell r="D3429" t="str">
            <v>F2.0229</v>
          </cell>
          <cell r="E3429" t="str">
            <v>Z2.187</v>
          </cell>
        </row>
        <row r="3430">
          <cell r="D3430" t="str">
            <v>F1.1955</v>
          </cell>
          <cell r="E3430" t="str">
            <v>Z1.0607</v>
          </cell>
        </row>
        <row r="3431">
          <cell r="D3431" t="str">
            <v>F1.1956</v>
          </cell>
          <cell r="E3431" t="str">
            <v>Z1.1533</v>
          </cell>
        </row>
        <row r="3432">
          <cell r="D3432" t="str">
            <v>F1.1957</v>
          </cell>
          <cell r="E3432" t="str">
            <v>Z1.1651</v>
          </cell>
        </row>
        <row r="3433">
          <cell r="D3433" t="str">
            <v>F2.0234</v>
          </cell>
          <cell r="E3433" t="str">
            <v>Z2.368</v>
          </cell>
        </row>
        <row r="3434">
          <cell r="D3434" t="str">
            <v>F2.0235</v>
          </cell>
          <cell r="E3434" t="str">
            <v>Z2.301</v>
          </cell>
        </row>
        <row r="3435">
          <cell r="D3435" t="str">
            <v>F1.2104</v>
          </cell>
          <cell r="E3435" t="str">
            <v>Z1.1323</v>
          </cell>
        </row>
        <row r="3436">
          <cell r="D3436" t="str">
            <v>F1.2105</v>
          </cell>
          <cell r="E3436" t="str">
            <v>Z1.0473</v>
          </cell>
        </row>
        <row r="3437">
          <cell r="D3437" t="str">
            <v>F1.2107</v>
          </cell>
          <cell r="E3437" t="str">
            <v>Z1.0620</v>
          </cell>
        </row>
        <row r="3438">
          <cell r="D3438" t="str">
            <v>F1.2108</v>
          </cell>
          <cell r="E3438" t="str">
            <v>Z1.0606</v>
          </cell>
        </row>
        <row r="3439">
          <cell r="D3439" t="str">
            <v>F1.2109</v>
          </cell>
          <cell r="E3439" t="str">
            <v>Z1.0188</v>
          </cell>
        </row>
        <row r="3440">
          <cell r="D3440" t="str">
            <v>F2.0239</v>
          </cell>
          <cell r="E3440" t="str">
            <v>Z2.383</v>
          </cell>
        </row>
        <row r="3441">
          <cell r="D3441" t="str">
            <v>F2.0240</v>
          </cell>
          <cell r="E3441" t="str">
            <v>Z2.384</v>
          </cell>
        </row>
        <row r="3442">
          <cell r="D3442" t="str">
            <v>F1.2117</v>
          </cell>
        </row>
        <row r="3443">
          <cell r="D3443" t="str">
            <v>F1.2118</v>
          </cell>
        </row>
        <row r="3444">
          <cell r="D3444" t="str">
            <v>F3.0004</v>
          </cell>
          <cell r="E3444" t="str">
            <v>Z1.2409</v>
          </cell>
        </row>
        <row r="3445">
          <cell r="D3445" t="str">
            <v>F3.0005</v>
          </cell>
          <cell r="E3445" t="str">
            <v>Z1.2464</v>
          </cell>
        </row>
        <row r="3446">
          <cell r="D3446" t="str">
            <v>F3.0006</v>
          </cell>
          <cell r="E3446" t="str">
            <v>Z1.2019</v>
          </cell>
        </row>
        <row r="3447">
          <cell r="D3447" t="str">
            <v>F3.0007</v>
          </cell>
          <cell r="E3447" t="str">
            <v>Z1.1881</v>
          </cell>
        </row>
        <row r="3448">
          <cell r="D3448" t="str">
            <v>F3.0008</v>
          </cell>
          <cell r="E3448" t="str">
            <v>Z1.1933</v>
          </cell>
        </row>
        <row r="3449">
          <cell r="D3449" t="str">
            <v>F3.0009</v>
          </cell>
          <cell r="E3449" t="str">
            <v>Z1.2183</v>
          </cell>
        </row>
        <row r="3450">
          <cell r="D3450" t="str">
            <v>F3.0009</v>
          </cell>
          <cell r="E3450" t="str">
            <v>Z1.2183</v>
          </cell>
        </row>
        <row r="3451">
          <cell r="D3451" t="str">
            <v>F3.0012</v>
          </cell>
          <cell r="E3451" t="str">
            <v>Z1.2266</v>
          </cell>
        </row>
        <row r="3452">
          <cell r="D3452" t="str">
            <v>F3.0012</v>
          </cell>
          <cell r="E3452" t="str">
            <v>Z1.2266</v>
          </cell>
        </row>
        <row r="3453">
          <cell r="D3453" t="str">
            <v>F3.0013</v>
          </cell>
          <cell r="E3453" t="str">
            <v>Z1.2153</v>
          </cell>
        </row>
        <row r="3454">
          <cell r="D3454" t="str">
            <v>F3.0014</v>
          </cell>
          <cell r="E3454" t="str">
            <v>Z1.2267</v>
          </cell>
        </row>
        <row r="3455">
          <cell r="D3455" t="str">
            <v>F3.0014</v>
          </cell>
          <cell r="E3455" t="str">
            <v>Z1.2267</v>
          </cell>
        </row>
        <row r="3456">
          <cell r="D3456" t="str">
            <v>F3.0015</v>
          </cell>
          <cell r="E3456" t="str">
            <v>Z1.2226</v>
          </cell>
        </row>
        <row r="3457">
          <cell r="D3457" t="str">
            <v>F3.0016</v>
          </cell>
          <cell r="E3457" t="str">
            <v>Z1.2227</v>
          </cell>
        </row>
        <row r="3458">
          <cell r="D3458" t="str">
            <v>F3.0021</v>
          </cell>
          <cell r="E3458" t="str">
            <v>Z1.1882</v>
          </cell>
        </row>
        <row r="3459">
          <cell r="D3459" t="str">
            <v>F3.0022</v>
          </cell>
          <cell r="E3459" t="str">
            <v>Z1.1913</v>
          </cell>
        </row>
        <row r="3460">
          <cell r="D3460" t="str">
            <v>F3.0028</v>
          </cell>
          <cell r="E3460" t="str">
            <v>Z1.1883</v>
          </cell>
        </row>
        <row r="3461">
          <cell r="D3461" t="str">
            <v>F3.0029</v>
          </cell>
          <cell r="E3461" t="str">
            <v>Z1.1885</v>
          </cell>
        </row>
        <row r="3462">
          <cell r="D3462" t="str">
            <v>F3.0031</v>
          </cell>
          <cell r="E3462" t="str">
            <v>Z1.2127</v>
          </cell>
        </row>
        <row r="3463">
          <cell r="D3463" t="str">
            <v>F3.0032</v>
          </cell>
          <cell r="E3463" t="str">
            <v>Z1.2093</v>
          </cell>
        </row>
        <row r="3464">
          <cell r="D3464" t="str">
            <v>F3.0033</v>
          </cell>
          <cell r="E3464" t="str">
            <v>Z1.2193</v>
          </cell>
        </row>
        <row r="3465">
          <cell r="D3465" t="str">
            <v>F3.0034</v>
          </cell>
          <cell r="E3465" t="str">
            <v>Z1.2236</v>
          </cell>
        </row>
        <row r="3466">
          <cell r="D3466" t="str">
            <v>F3.0035</v>
          </cell>
          <cell r="E3466" t="str">
            <v>Z1.2235</v>
          </cell>
        </row>
        <row r="3467">
          <cell r="D3467" t="str">
            <v>F3.0036</v>
          </cell>
          <cell r="E3467" t="str">
            <v>Z1.2237</v>
          </cell>
        </row>
        <row r="3468">
          <cell r="D3468" t="str">
            <v>F3.0037</v>
          </cell>
          <cell r="E3468" t="str">
            <v>Z1.2202</v>
          </cell>
        </row>
        <row r="3469">
          <cell r="D3469" t="str">
            <v>F3.0038</v>
          </cell>
          <cell r="E3469" t="str">
            <v>Z1.2059</v>
          </cell>
        </row>
        <row r="3470">
          <cell r="D3470" t="str">
            <v>F3.0039</v>
          </cell>
          <cell r="E3470" t="str">
            <v>Z1.1988</v>
          </cell>
        </row>
        <row r="3471">
          <cell r="D3471" t="str">
            <v>F3.0040</v>
          </cell>
          <cell r="E3471" t="str">
            <v>Z1.2125</v>
          </cell>
        </row>
        <row r="3472">
          <cell r="D3472" t="str">
            <v>F3.0045</v>
          </cell>
          <cell r="E3472" t="str">
            <v>Z1.2182</v>
          </cell>
        </row>
        <row r="3473">
          <cell r="D3473" t="str">
            <v>F3.0045</v>
          </cell>
          <cell r="E3473" t="str">
            <v>Z1.2182</v>
          </cell>
        </row>
        <row r="3474">
          <cell r="D3474" t="str">
            <v>F3.0046</v>
          </cell>
          <cell r="E3474" t="str">
            <v>Z1.1964</v>
          </cell>
        </row>
        <row r="3475">
          <cell r="D3475" t="str">
            <v>F3.0047</v>
          </cell>
          <cell r="E3475" t="str">
            <v>Z1.2033</v>
          </cell>
        </row>
        <row r="3476">
          <cell r="D3476" t="str">
            <v>F3.0048</v>
          </cell>
          <cell r="E3476" t="str">
            <v>Z1.1886</v>
          </cell>
        </row>
        <row r="3477">
          <cell r="D3477" t="str">
            <v>F3.0049</v>
          </cell>
          <cell r="E3477" t="str">
            <v>Z1.1884</v>
          </cell>
        </row>
        <row r="3478">
          <cell r="D3478" t="str">
            <v>F3.0050</v>
          </cell>
          <cell r="E3478" t="str">
            <v>Z3.227</v>
          </cell>
        </row>
        <row r="3479">
          <cell r="D3479" t="str">
            <v>F3.0057</v>
          </cell>
          <cell r="E3479" t="str">
            <v>Z1.2002</v>
          </cell>
        </row>
        <row r="3480">
          <cell r="D3480" t="str">
            <v>F3.0058</v>
          </cell>
          <cell r="E3480" t="str">
            <v>Z1.2001</v>
          </cell>
        </row>
        <row r="3481">
          <cell r="D3481" t="str">
            <v>F3.0059</v>
          </cell>
          <cell r="E3481" t="str">
            <v>Z1.2184</v>
          </cell>
        </row>
        <row r="3482">
          <cell r="D3482" t="str">
            <v>F3.0059</v>
          </cell>
          <cell r="E3482" t="str">
            <v>Z1.2184</v>
          </cell>
        </row>
        <row r="3483">
          <cell r="D3483" t="str">
            <v>F3.0060</v>
          </cell>
          <cell r="E3483" t="str">
            <v>Z1.2279</v>
          </cell>
        </row>
        <row r="3484">
          <cell r="D3484" t="str">
            <v>F3.0062</v>
          </cell>
          <cell r="E3484" t="str">
            <v>Z1.1926</v>
          </cell>
        </row>
        <row r="3485">
          <cell r="D3485" t="str">
            <v>F3.0063</v>
          </cell>
          <cell r="E3485" t="str">
            <v>Z1.2288</v>
          </cell>
        </row>
        <row r="3486">
          <cell r="D3486" t="str">
            <v>F3.0064</v>
          </cell>
          <cell r="E3486" t="str">
            <v>Z1.2289</v>
          </cell>
        </row>
        <row r="3487">
          <cell r="D3487" t="str">
            <v>F3.0065</v>
          </cell>
          <cell r="E3487" t="str">
            <v>Z1.1959</v>
          </cell>
        </row>
        <row r="3488">
          <cell r="D3488" t="str">
            <v>F3.0066</v>
          </cell>
          <cell r="E3488" t="str">
            <v>Z1.1960</v>
          </cell>
        </row>
        <row r="3489">
          <cell r="D3489" t="str">
            <v>F3.0067</v>
          </cell>
          <cell r="E3489" t="str">
            <v>Z1.2249</v>
          </cell>
        </row>
        <row r="3490">
          <cell r="D3490" t="str">
            <v>F3.0068</v>
          </cell>
          <cell r="E3490" t="str">
            <v>Z1.2329</v>
          </cell>
        </row>
        <row r="3491">
          <cell r="D3491" t="str">
            <v>F3.0069</v>
          </cell>
          <cell r="E3491" t="str">
            <v>Z1.2016</v>
          </cell>
        </row>
        <row r="3492">
          <cell r="D3492" t="str">
            <v>F3.0070</v>
          </cell>
          <cell r="E3492" t="str">
            <v>Z1.2316</v>
          </cell>
        </row>
        <row r="3493">
          <cell r="D3493" t="str">
            <v>F3.0072</v>
          </cell>
          <cell r="E3493" t="str">
            <v>Z1.2103</v>
          </cell>
        </row>
        <row r="3494">
          <cell r="D3494" t="str">
            <v>F3.0073</v>
          </cell>
          <cell r="E3494" t="str">
            <v>Z1.2105</v>
          </cell>
        </row>
        <row r="3495">
          <cell r="D3495" t="str">
            <v>F3.0074</v>
          </cell>
          <cell r="E3495" t="str">
            <v>Z1.2462</v>
          </cell>
        </row>
        <row r="3496">
          <cell r="D3496" t="str">
            <v>F3.0075</v>
          </cell>
          <cell r="E3496" t="str">
            <v>Z1.2456</v>
          </cell>
        </row>
        <row r="3497">
          <cell r="D3497" t="str">
            <v>F3.0076</v>
          </cell>
          <cell r="E3497" t="str">
            <v>Z1.2174</v>
          </cell>
        </row>
        <row r="3498">
          <cell r="D3498" t="str">
            <v>F3.0076</v>
          </cell>
          <cell r="E3498" t="str">
            <v>Z1.2174</v>
          </cell>
        </row>
        <row r="3499">
          <cell r="D3499" t="str">
            <v>F3.0077</v>
          </cell>
          <cell r="E3499" t="str">
            <v>Z1.2029</v>
          </cell>
        </row>
        <row r="3500">
          <cell r="D3500" t="str">
            <v>F3.0078</v>
          </cell>
          <cell r="E3500" t="str">
            <v>Z1.1997</v>
          </cell>
        </row>
        <row r="3501">
          <cell r="D3501" t="str">
            <v>F3.0079</v>
          </cell>
          <cell r="E3501" t="str">
            <v>Z1.2420</v>
          </cell>
        </row>
        <row r="3502">
          <cell r="D3502" t="str">
            <v>F3.0080</v>
          </cell>
          <cell r="E3502" t="str">
            <v>Z1.2120</v>
          </cell>
        </row>
        <row r="3503">
          <cell r="D3503" t="str">
            <v>F3.0081</v>
          </cell>
          <cell r="E3503" t="str">
            <v>Z1.2021</v>
          </cell>
        </row>
        <row r="3504">
          <cell r="D3504" t="str">
            <v>F3.0082</v>
          </cell>
          <cell r="E3504" t="str">
            <v>Z1.2336</v>
          </cell>
        </row>
        <row r="3505">
          <cell r="D3505" t="str">
            <v>F3.0083</v>
          </cell>
          <cell r="E3505" t="str">
            <v>Z1.2467</v>
          </cell>
        </row>
        <row r="3506">
          <cell r="D3506" t="str">
            <v>F3.0084</v>
          </cell>
          <cell r="E3506" t="str">
            <v>Z1.2357</v>
          </cell>
        </row>
        <row r="3507">
          <cell r="D3507" t="str">
            <v>F3.0086</v>
          </cell>
          <cell r="E3507" t="str">
            <v>Z1.2440</v>
          </cell>
        </row>
        <row r="3508">
          <cell r="D3508" t="str">
            <v>F3.0087</v>
          </cell>
          <cell r="E3508" t="str">
            <v>Z1.2344</v>
          </cell>
        </row>
        <row r="3509">
          <cell r="D3509" t="str">
            <v>F3.0089</v>
          </cell>
          <cell r="E3509" t="str">
            <v>Z1.2064</v>
          </cell>
        </row>
        <row r="3510">
          <cell r="D3510" t="str">
            <v>F3.0090</v>
          </cell>
          <cell r="E3510" t="str">
            <v>Z1.2312</v>
          </cell>
        </row>
        <row r="3511">
          <cell r="D3511" t="str">
            <v>F3.0091</v>
          </cell>
          <cell r="E3511" t="str">
            <v>Z1.2359</v>
          </cell>
        </row>
        <row r="3512">
          <cell r="D3512" t="str">
            <v>F3.0092</v>
          </cell>
          <cell r="E3512" t="str">
            <v>Z1.2488</v>
          </cell>
        </row>
        <row r="3513">
          <cell r="D3513" t="str">
            <v>F3.0093</v>
          </cell>
          <cell r="E3513" t="str">
            <v>Z1.2362</v>
          </cell>
        </row>
        <row r="3514">
          <cell r="D3514" t="str">
            <v>F3.0094</v>
          </cell>
          <cell r="E3514" t="str">
            <v>Z1.2394</v>
          </cell>
        </row>
        <row r="3515">
          <cell r="D3515" t="str">
            <v>F3.0095</v>
          </cell>
          <cell r="E3515" t="str">
            <v>Z1.2368</v>
          </cell>
        </row>
        <row r="3516">
          <cell r="D3516" t="str">
            <v>F3.0096</v>
          </cell>
          <cell r="E3516" t="str">
            <v>Z1.2449</v>
          </cell>
        </row>
        <row r="3517">
          <cell r="D3517" t="str">
            <v>F3.0097</v>
          </cell>
          <cell r="E3517" t="str">
            <v>Z1.1753</v>
          </cell>
        </row>
        <row r="3518">
          <cell r="D3518" t="str">
            <v>F3.0098</v>
          </cell>
          <cell r="E3518" t="str">
            <v>Z1.1817</v>
          </cell>
        </row>
        <row r="3519">
          <cell r="D3519" t="str">
            <v>F3.0099</v>
          </cell>
          <cell r="E3519" t="str">
            <v>Z1.2452</v>
          </cell>
        </row>
        <row r="3520">
          <cell r="D3520" t="str">
            <v>F3.0100</v>
          </cell>
          <cell r="E3520" t="str">
            <v>Z1.2470</v>
          </cell>
        </row>
        <row r="3521">
          <cell r="D3521" t="str">
            <v>F3.0101</v>
          </cell>
          <cell r="E3521" t="str">
            <v>Z1.2220</v>
          </cell>
        </row>
        <row r="3522">
          <cell r="D3522" t="str">
            <v>F3.0102</v>
          </cell>
          <cell r="E3522" t="str">
            <v>Z1.2096</v>
          </cell>
        </row>
        <row r="3523">
          <cell r="D3523" t="str">
            <v>F3.0103</v>
          </cell>
          <cell r="E3523" t="str">
            <v>Z1.2376</v>
          </cell>
        </row>
        <row r="3524">
          <cell r="D3524" t="str">
            <v>F3.0105</v>
          </cell>
          <cell r="E3524" t="str">
            <v>Z1.2325</v>
          </cell>
        </row>
        <row r="3525">
          <cell r="D3525" t="str">
            <v>F3.0106</v>
          </cell>
          <cell r="E3525" t="str">
            <v>Z1.2514</v>
          </cell>
        </row>
        <row r="3526">
          <cell r="D3526" t="str">
            <v>F3.0107</v>
          </cell>
          <cell r="E3526" t="str">
            <v>Z1.1873</v>
          </cell>
        </row>
        <row r="3527">
          <cell r="D3527" t="str">
            <v>F3.0108</v>
          </cell>
          <cell r="E3527" t="str">
            <v>Z1.2304</v>
          </cell>
        </row>
        <row r="3528">
          <cell r="D3528" t="str">
            <v>F3.0109</v>
          </cell>
          <cell r="E3528" t="str">
            <v>Z1.2473</v>
          </cell>
        </row>
        <row r="3529">
          <cell r="D3529" t="str">
            <v>F3.0111</v>
          </cell>
          <cell r="E3529" t="str">
            <v>Z1.2195</v>
          </cell>
        </row>
        <row r="3530">
          <cell r="D3530" t="str">
            <v>F3.0112</v>
          </cell>
          <cell r="E3530" t="str">
            <v>Z1.2383</v>
          </cell>
        </row>
        <row r="3531">
          <cell r="D3531" t="str">
            <v>F3.0113</v>
          </cell>
          <cell r="E3531" t="str">
            <v>Z1.2479</v>
          </cell>
        </row>
        <row r="3532">
          <cell r="D3532" t="str">
            <v>F3.0114</v>
          </cell>
          <cell r="E3532" t="str">
            <v>Z1.2307</v>
          </cell>
        </row>
        <row r="3533">
          <cell r="D3533" t="str">
            <v>F3.0115</v>
          </cell>
          <cell r="E3533" t="str">
            <v>Z1.2242</v>
          </cell>
        </row>
        <row r="3534">
          <cell r="D3534" t="str">
            <v>F3.0116</v>
          </cell>
          <cell r="E3534" t="str">
            <v>Z1.2248</v>
          </cell>
        </row>
        <row r="3535">
          <cell r="D3535" t="str">
            <v>F3.0117</v>
          </cell>
          <cell r="E3535" t="str">
            <v>Z1.2018</v>
          </cell>
        </row>
        <row r="3536">
          <cell r="D3536" t="str">
            <v>F3.0118</v>
          </cell>
          <cell r="E3536" t="str">
            <v>Z1.2373</v>
          </cell>
        </row>
        <row r="3537">
          <cell r="D3537" t="str">
            <v>F3.0119</v>
          </cell>
          <cell r="E3537" t="str">
            <v>Z1.2455</v>
          </cell>
        </row>
        <row r="3538">
          <cell r="D3538" t="str">
            <v>F3.0120</v>
          </cell>
          <cell r="E3538" t="str">
            <v>Z1.2244</v>
          </cell>
        </row>
        <row r="3539">
          <cell r="D3539" t="str">
            <v>F3.0121</v>
          </cell>
          <cell r="E3539" t="str">
            <v>Z1.2296</v>
          </cell>
        </row>
        <row r="3540">
          <cell r="D3540" t="str">
            <v>F3.0122</v>
          </cell>
          <cell r="E3540" t="str">
            <v>Z1.2194</v>
          </cell>
        </row>
        <row r="3541">
          <cell r="D3541" t="str">
            <v>F3.0123</v>
          </cell>
          <cell r="E3541" t="str">
            <v>Z1.2381</v>
          </cell>
        </row>
        <row r="3542">
          <cell r="D3542" t="str">
            <v>F3.0124</v>
          </cell>
          <cell r="E3542" t="str">
            <v>Z1.2094</v>
          </cell>
        </row>
        <row r="3543">
          <cell r="D3543" t="str">
            <v>F3.0125</v>
          </cell>
          <cell r="E3543" t="str">
            <v>Z1.2379</v>
          </cell>
        </row>
        <row r="3544">
          <cell r="D3544" t="str">
            <v>F3.0126</v>
          </cell>
          <cell r="E3544" t="str">
            <v>Z1.2231</v>
          </cell>
        </row>
        <row r="3545">
          <cell r="D3545" t="str">
            <v>F3.0127</v>
          </cell>
          <cell r="E3545" t="str">
            <v>Z1.2219</v>
          </cell>
        </row>
        <row r="3546">
          <cell r="D3546" t="str">
            <v>F3.0128</v>
          </cell>
          <cell r="E3546" t="str">
            <v>Z1.2291</v>
          </cell>
        </row>
        <row r="3547">
          <cell r="D3547" t="str">
            <v>F3.0129</v>
          </cell>
          <cell r="E3547" t="str">
            <v>Z1.2097</v>
          </cell>
        </row>
        <row r="3548">
          <cell r="D3548" t="str">
            <v>F3.0130</v>
          </cell>
          <cell r="E3548" t="str">
            <v>Z1.2025</v>
          </cell>
        </row>
        <row r="3549">
          <cell r="D3549" t="str">
            <v>F3.0131</v>
          </cell>
          <cell r="E3549" t="str">
            <v>Z1.2031</v>
          </cell>
        </row>
        <row r="3550">
          <cell r="D3550" t="str">
            <v>F3.0132</v>
          </cell>
          <cell r="E3550" t="str">
            <v>Z1.2104</v>
          </cell>
        </row>
        <row r="3551">
          <cell r="D3551" t="str">
            <v>F3.0133</v>
          </cell>
          <cell r="E3551" t="str">
            <v>Z1.2239</v>
          </cell>
        </row>
        <row r="3552">
          <cell r="D3552" t="str">
            <v>F3.0134</v>
          </cell>
          <cell r="E3552" t="str">
            <v>Z1.2319</v>
          </cell>
        </row>
        <row r="3553">
          <cell r="D3553" t="str">
            <v>F3.0135</v>
          </cell>
          <cell r="E3553" t="str">
            <v>Z1.2482</v>
          </cell>
        </row>
        <row r="3554">
          <cell r="D3554" t="str">
            <v>F3.0136</v>
          </cell>
          <cell r="E3554" t="str">
            <v>Z1.2481</v>
          </cell>
        </row>
        <row r="3555">
          <cell r="D3555" t="str">
            <v>F3.0137</v>
          </cell>
          <cell r="E3555" t="str">
            <v>Z1.2458</v>
          </cell>
        </row>
        <row r="3556">
          <cell r="D3556" t="str">
            <v>F3.0138</v>
          </cell>
          <cell r="E3556" t="str">
            <v>Z1.2265</v>
          </cell>
        </row>
        <row r="3557">
          <cell r="D3557" t="str">
            <v>F3.0139</v>
          </cell>
          <cell r="E3557" t="str">
            <v>Z1.2176</v>
          </cell>
        </row>
        <row r="3558">
          <cell r="D3558" t="str">
            <v>F3.0140</v>
          </cell>
          <cell r="E3558" t="str">
            <v>Z1.2180</v>
          </cell>
        </row>
        <row r="3559">
          <cell r="D3559" t="str">
            <v>F3.0141</v>
          </cell>
          <cell r="E3559" t="str">
            <v>Z1.2192</v>
          </cell>
        </row>
        <row r="3560">
          <cell r="D3560" t="str">
            <v>F3.0142</v>
          </cell>
          <cell r="E3560" t="str">
            <v>Z1.2190</v>
          </cell>
        </row>
        <row r="3561">
          <cell r="D3561" t="str">
            <v>F3.0143</v>
          </cell>
          <cell r="E3561" t="str">
            <v>Z1.2212</v>
          </cell>
        </row>
        <row r="3562">
          <cell r="D3562" t="str">
            <v>F3.0144</v>
          </cell>
          <cell r="E3562" t="str">
            <v>Z1.2264</v>
          </cell>
        </row>
        <row r="3563">
          <cell r="D3563" t="str">
            <v>F3.0145</v>
          </cell>
          <cell r="E3563" t="str">
            <v>Z1.2295</v>
          </cell>
        </row>
        <row r="3564">
          <cell r="D3564" t="str">
            <v>F3.0146</v>
          </cell>
          <cell r="E3564" t="str">
            <v>Z1.2057</v>
          </cell>
        </row>
        <row r="3565">
          <cell r="D3565" t="str">
            <v>F3.0147</v>
          </cell>
          <cell r="E3565" t="str">
            <v>Z1.2146</v>
          </cell>
        </row>
        <row r="3566">
          <cell r="D3566" t="str">
            <v>F3.0148</v>
          </cell>
          <cell r="E3566" t="str">
            <v>Z1.2350</v>
          </cell>
        </row>
        <row r="3567">
          <cell r="D3567" t="str">
            <v>F3.0149</v>
          </cell>
          <cell r="E3567" t="str">
            <v>Z2.359</v>
          </cell>
        </row>
        <row r="3568">
          <cell r="D3568" t="str">
            <v>F3.0151</v>
          </cell>
          <cell r="E3568" t="str">
            <v>Z1.2063</v>
          </cell>
        </row>
        <row r="3569">
          <cell r="D3569" t="str">
            <v>F3.0152</v>
          </cell>
          <cell r="E3569" t="str">
            <v>Z1.2263</v>
          </cell>
        </row>
        <row r="3570">
          <cell r="D3570" t="str">
            <v>F3.0153</v>
          </cell>
          <cell r="E3570" t="str">
            <v>Z1.2262</v>
          </cell>
        </row>
        <row r="3571">
          <cell r="D3571" t="str">
            <v>F3.0154</v>
          </cell>
          <cell r="E3571" t="str">
            <v>Z1.2173</v>
          </cell>
        </row>
        <row r="3572">
          <cell r="D3572" t="str">
            <v>F3.0155</v>
          </cell>
          <cell r="E3572" t="str">
            <v>Z1.2179</v>
          </cell>
        </row>
        <row r="3573">
          <cell r="D3573" t="str">
            <v>F3.0156</v>
          </cell>
          <cell r="E3573" t="str">
            <v>Z1.2189</v>
          </cell>
        </row>
        <row r="3574">
          <cell r="D3574" t="str">
            <v>F3.0157</v>
          </cell>
          <cell r="E3574" t="str">
            <v>Z1.2211</v>
          </cell>
        </row>
        <row r="3575">
          <cell r="D3575" t="str">
            <v>F3.0158</v>
          </cell>
          <cell r="E3575" t="str">
            <v>Z1.2191</v>
          </cell>
        </row>
        <row r="3576">
          <cell r="D3576" t="str">
            <v>F3.0159</v>
          </cell>
          <cell r="E3576" t="str">
            <v>Z1.2294</v>
          </cell>
        </row>
        <row r="3577">
          <cell r="D3577" t="str">
            <v>F3.0160</v>
          </cell>
          <cell r="E3577" t="str">
            <v>Z1.2215</v>
          </cell>
        </row>
        <row r="3578">
          <cell r="D3578" t="str">
            <v>F3.0161</v>
          </cell>
          <cell r="E3578" t="str">
            <v>Z1.2241</v>
          </cell>
        </row>
        <row r="3579">
          <cell r="D3579" t="str">
            <v>F3.0162</v>
          </cell>
          <cell r="E3579" t="str">
            <v>Z1.2145</v>
          </cell>
        </row>
        <row r="3580">
          <cell r="D3580" t="str">
            <v>F3.0163</v>
          </cell>
          <cell r="E3580" t="str">
            <v>Z1.2261</v>
          </cell>
        </row>
        <row r="3581">
          <cell r="D3581" t="str">
            <v>F3.0164</v>
          </cell>
          <cell r="E3581" t="str">
            <v>Z1.2311</v>
          </cell>
        </row>
        <row r="3582">
          <cell r="D3582" t="str">
            <v>F3.0165</v>
          </cell>
          <cell r="E3582" t="str">
            <v>Z1.2314</v>
          </cell>
        </row>
        <row r="3583">
          <cell r="D3583" t="str">
            <v>F3.0166</v>
          </cell>
          <cell r="E3583" t="str">
            <v>Z1.2315</v>
          </cell>
        </row>
        <row r="3584">
          <cell r="D3584" t="str">
            <v>F3.0167</v>
          </cell>
          <cell r="E3584" t="str">
            <v>Z1.2243</v>
          </cell>
        </row>
        <row r="3585">
          <cell r="D3585" t="str">
            <v>F3.0168</v>
          </cell>
          <cell r="E3585" t="str">
            <v>Z1.2318</v>
          </cell>
        </row>
        <row r="3586">
          <cell r="D3586" t="str">
            <v>F3.0169</v>
          </cell>
          <cell r="E3586" t="str">
            <v>Z1.2185</v>
          </cell>
        </row>
        <row r="3587">
          <cell r="D3587" t="str">
            <v>F3.0170</v>
          </cell>
          <cell r="E3587" t="str">
            <v>Z2.136</v>
          </cell>
        </row>
        <row r="3588">
          <cell r="D3588" t="str">
            <v>F3.0171</v>
          </cell>
          <cell r="E3588" t="str">
            <v>Z2.142</v>
          </cell>
        </row>
        <row r="3589">
          <cell r="D3589" t="str">
            <v>F3.0173</v>
          </cell>
          <cell r="E3589" t="str">
            <v>Z1.2245</v>
          </cell>
        </row>
        <row r="3590">
          <cell r="D3590" t="str">
            <v>F3.0174</v>
          </cell>
          <cell r="E3590" t="str">
            <v>Z1.2221</v>
          </cell>
        </row>
        <row r="3591">
          <cell r="D3591" t="str">
            <v>F3.0175</v>
          </cell>
          <cell r="E3591" t="str">
            <v>Z2.340</v>
          </cell>
        </row>
        <row r="3592">
          <cell r="D3592" t="str">
            <v>F3.0176</v>
          </cell>
          <cell r="E3592" t="str">
            <v>Z2.338</v>
          </cell>
        </row>
        <row r="3593">
          <cell r="D3593" t="str">
            <v>F3.0177</v>
          </cell>
          <cell r="E3593" t="str">
            <v>Z1.2287</v>
          </cell>
        </row>
        <row r="3594">
          <cell r="D3594" t="str">
            <v>F3.0178</v>
          </cell>
          <cell r="E3594" t="str">
            <v>Z1.2281</v>
          </cell>
        </row>
        <row r="3595">
          <cell r="D3595" t="str">
            <v>F3.0179</v>
          </cell>
          <cell r="E3595" t="str">
            <v>Z1.2229</v>
          </cell>
        </row>
        <row r="3596">
          <cell r="D3596" t="str">
            <v>F3.0180</v>
          </cell>
          <cell r="E3596" t="str">
            <v>Z1.2322</v>
          </cell>
        </row>
        <row r="3597">
          <cell r="D3597" t="str">
            <v>F3.0181</v>
          </cell>
          <cell r="E3597" t="str">
            <v>Z1.2306</v>
          </cell>
        </row>
        <row r="3598">
          <cell r="D3598" t="str">
            <v>F3.0182</v>
          </cell>
          <cell r="E3598" t="str">
            <v>Z1.2228</v>
          </cell>
        </row>
        <row r="3599">
          <cell r="D3599" t="str">
            <v>F3.0183</v>
          </cell>
          <cell r="E3599" t="str">
            <v>Z1.2292</v>
          </cell>
        </row>
        <row r="3600">
          <cell r="D3600" t="str">
            <v>F3.0184</v>
          </cell>
          <cell r="E3600" t="str">
            <v>Z1.2300</v>
          </cell>
        </row>
        <row r="3601">
          <cell r="D3601" t="str">
            <v>F3.0185</v>
          </cell>
          <cell r="E3601" t="str">
            <v>Z1.2434</v>
          </cell>
        </row>
        <row r="3602">
          <cell r="D3602" t="str">
            <v>F3.0186</v>
          </cell>
          <cell r="E3602" t="str">
            <v>Z1.2232</v>
          </cell>
        </row>
        <row r="3603">
          <cell r="D3603" t="str">
            <v>F3.0187</v>
          </cell>
          <cell r="E3603" t="str">
            <v>Z1.2321</v>
          </cell>
        </row>
        <row r="3604">
          <cell r="D3604" t="str">
            <v>F3.0188</v>
          </cell>
          <cell r="E3604" t="str">
            <v>Z1.2299</v>
          </cell>
        </row>
        <row r="3605">
          <cell r="D3605" t="str">
            <v>F3.0189</v>
          </cell>
          <cell r="E3605" t="str">
            <v>Z1.2433</v>
          </cell>
        </row>
        <row r="3606">
          <cell r="D3606" t="str">
            <v>F3.0190</v>
          </cell>
          <cell r="E3606" t="str">
            <v>Z1.2443</v>
          </cell>
        </row>
        <row r="3607">
          <cell r="D3607" t="str">
            <v>F3.0191</v>
          </cell>
          <cell r="E3607" t="str">
            <v>Z1.2446</v>
          </cell>
        </row>
        <row r="3608">
          <cell r="D3608" t="str">
            <v>F3.0192</v>
          </cell>
          <cell r="E3608" t="str">
            <v>Z1.2445</v>
          </cell>
        </row>
        <row r="3609">
          <cell r="D3609" t="str">
            <v>F3.0193</v>
          </cell>
          <cell r="E3609" t="str">
            <v>Z1.2444</v>
          </cell>
        </row>
        <row r="3610">
          <cell r="D3610" t="str">
            <v>F3.0194</v>
          </cell>
          <cell r="E3610" t="str">
            <v>Z1.2282</v>
          </cell>
        </row>
        <row r="3611">
          <cell r="D3611" t="str">
            <v>F3.0195</v>
          </cell>
          <cell r="E3611" t="str">
            <v>Z2.341</v>
          </cell>
        </row>
        <row r="3612">
          <cell r="D3612" t="str">
            <v>F3.0196</v>
          </cell>
          <cell r="E3612" t="str">
            <v>Z2.339</v>
          </cell>
        </row>
        <row r="3613">
          <cell r="D3613" t="str">
            <v>F3.0197</v>
          </cell>
          <cell r="E3613" t="str">
            <v>Z1.2283</v>
          </cell>
        </row>
        <row r="3614">
          <cell r="D3614" t="str">
            <v>F3.0198</v>
          </cell>
          <cell r="E3614" t="str">
            <v>Z1.2284</v>
          </cell>
        </row>
        <row r="3615">
          <cell r="D3615" t="str">
            <v>F3.0199</v>
          </cell>
          <cell r="E3615" t="str">
            <v>Z1.2230</v>
          </cell>
        </row>
        <row r="3616">
          <cell r="D3616" t="str">
            <v>F3.0200</v>
          </cell>
          <cell r="E3616" t="str">
            <v>Z1.2223</v>
          </cell>
        </row>
        <row r="3617">
          <cell r="D3617" t="str">
            <v>F3.0203</v>
          </cell>
          <cell r="E3617" t="str">
            <v>Z1.2500</v>
          </cell>
        </row>
        <row r="3618">
          <cell r="D3618" t="str">
            <v>F3.0205</v>
          </cell>
          <cell r="E3618" t="str">
            <v>Z1.2206</v>
          </cell>
        </row>
        <row r="3619">
          <cell r="D3619" t="str">
            <v>F3.0214</v>
          </cell>
          <cell r="E3619" t="str">
            <v>Z1.2203</v>
          </cell>
        </row>
        <row r="3620">
          <cell r="D3620" t="str">
            <v>F3.0215</v>
          </cell>
          <cell r="E3620" t="str">
            <v>Z1.2204</v>
          </cell>
        </row>
        <row r="3621">
          <cell r="D3621" t="str">
            <v>F3.0216</v>
          </cell>
          <cell r="E3621" t="str">
            <v>Z1.2375</v>
          </cell>
        </row>
        <row r="3622">
          <cell r="D3622" t="str">
            <v>F3.0217</v>
          </cell>
          <cell r="E3622" t="str">
            <v>Z1.2330</v>
          </cell>
        </row>
        <row r="3623">
          <cell r="D3623" t="str">
            <v>F3.0218</v>
          </cell>
          <cell r="E3623" t="str">
            <v>Z1.1742</v>
          </cell>
        </row>
        <row r="3624">
          <cell r="D3624" t="str">
            <v>F3.0222</v>
          </cell>
          <cell r="E3624" t="str">
            <v>Z1.2214</v>
          </cell>
        </row>
        <row r="3625">
          <cell r="D3625" t="str">
            <v>F3.0222</v>
          </cell>
          <cell r="E3625" t="str">
            <v>Z1.2214</v>
          </cell>
        </row>
        <row r="3626">
          <cell r="D3626" t="str">
            <v>F3.0223</v>
          </cell>
          <cell r="E3626" t="str">
            <v>Z1.2106</v>
          </cell>
        </row>
        <row r="3627">
          <cell r="D3627" t="str">
            <v>F3.0224</v>
          </cell>
          <cell r="E3627" t="str">
            <v>Z1.2175</v>
          </cell>
        </row>
        <row r="3628">
          <cell r="D3628" t="str">
            <v>F3.0224</v>
          </cell>
          <cell r="E3628" t="str">
            <v>Z1.2175</v>
          </cell>
        </row>
        <row r="3629">
          <cell r="D3629" t="str">
            <v>F3.0225</v>
          </cell>
          <cell r="E3629" t="str">
            <v>Z1.2178</v>
          </cell>
        </row>
        <row r="3630">
          <cell r="D3630" t="str">
            <v>F3.0225</v>
          </cell>
          <cell r="E3630" t="str">
            <v>Z1.2178</v>
          </cell>
        </row>
        <row r="3631">
          <cell r="D3631" t="str">
            <v>F3.0226</v>
          </cell>
          <cell r="E3631" t="str">
            <v>Z1.2337</v>
          </cell>
        </row>
        <row r="3632">
          <cell r="D3632" t="str">
            <v>F3.0227</v>
          </cell>
          <cell r="E3632" t="str">
            <v>Z1.2334</v>
          </cell>
        </row>
        <row r="3633">
          <cell r="D3633" t="str">
            <v>F3.0228</v>
          </cell>
          <cell r="E3633" t="str">
            <v>Z1.2421</v>
          </cell>
        </row>
        <row r="3634">
          <cell r="D3634" t="str">
            <v>F3.0230</v>
          </cell>
          <cell r="E3634" t="str">
            <v>Z1.2426</v>
          </cell>
        </row>
        <row r="3635">
          <cell r="D3635" t="str">
            <v>F3.0231</v>
          </cell>
          <cell r="E3635" t="str">
            <v>Z1.2022</v>
          </cell>
        </row>
        <row r="3636">
          <cell r="D3636" t="str">
            <v>F3.0232</v>
          </cell>
          <cell r="E3636" t="str">
            <v>Z1.2425</v>
          </cell>
        </row>
        <row r="3637">
          <cell r="D3637" t="str">
            <v>F3.0233</v>
          </cell>
          <cell r="E3637" t="str">
            <v>Z1.2468</v>
          </cell>
        </row>
        <row r="3638">
          <cell r="D3638" t="str">
            <v>F3.0234</v>
          </cell>
          <cell r="E3638" t="str">
            <v>Z1.2056</v>
          </cell>
        </row>
        <row r="3639">
          <cell r="D3639" t="str">
            <v>F3.0235</v>
          </cell>
          <cell r="E3639" t="str">
            <v>Z1.2124</v>
          </cell>
        </row>
        <row r="3640">
          <cell r="D3640" t="str">
            <v>F3.0236</v>
          </cell>
          <cell r="E3640" t="str">
            <v>Z1.2459</v>
          </cell>
        </row>
        <row r="3641">
          <cell r="D3641" t="str">
            <v>F3.0237</v>
          </cell>
          <cell r="E3641" t="str">
            <v>Z1.2428</v>
          </cell>
        </row>
        <row r="3642">
          <cell r="D3642" t="str">
            <v>F3.0238</v>
          </cell>
          <cell r="E3642" t="str">
            <v>Z1.2121</v>
          </cell>
        </row>
        <row r="3643">
          <cell r="D3643" t="str">
            <v>F3.0239</v>
          </cell>
          <cell r="E3643" t="str">
            <v>Z1.2457</v>
          </cell>
        </row>
        <row r="3644">
          <cell r="D3644" t="str">
            <v>F3.0240</v>
          </cell>
          <cell r="E3644" t="str">
            <v>Z1.2404</v>
          </cell>
        </row>
        <row r="3645">
          <cell r="D3645" t="str">
            <v>F3.0241</v>
          </cell>
          <cell r="E3645" t="str">
            <v>Z1.2463</v>
          </cell>
        </row>
        <row r="3646">
          <cell r="D3646" t="str">
            <v>F3.0242</v>
          </cell>
          <cell r="E3646" t="str">
            <v>Z1.2345</v>
          </cell>
        </row>
        <row r="3647">
          <cell r="D3647" t="str">
            <v>F3.0243</v>
          </cell>
          <cell r="E3647" t="str">
            <v>Z1.2390</v>
          </cell>
        </row>
        <row r="3648">
          <cell r="D3648" t="str">
            <v>F3.0244</v>
          </cell>
          <cell r="E3648" t="str">
            <v>Z1.2388</v>
          </cell>
        </row>
        <row r="3649">
          <cell r="D3649" t="str">
            <v>F3.0245</v>
          </cell>
          <cell r="E3649" t="str">
            <v>Z1.2346</v>
          </cell>
        </row>
        <row r="3650">
          <cell r="D3650" t="str">
            <v>F3.0246</v>
          </cell>
          <cell r="E3650" t="str">
            <v>Z1.2142</v>
          </cell>
        </row>
        <row r="3651">
          <cell r="D3651" t="str">
            <v>F3.0247</v>
          </cell>
          <cell r="E3651" t="str">
            <v>Z1.2065</v>
          </cell>
        </row>
        <row r="3652">
          <cell r="D3652" t="str">
            <v>F3.0250</v>
          </cell>
          <cell r="E3652" t="str">
            <v>Z1.2113</v>
          </cell>
        </row>
        <row r="3653">
          <cell r="D3653" t="str">
            <v>F3.0251</v>
          </cell>
          <cell r="E3653" t="str">
            <v>Z1.2396</v>
          </cell>
        </row>
        <row r="3654">
          <cell r="D3654" t="str">
            <v>F3.0252</v>
          </cell>
          <cell r="E3654" t="str">
            <v>Z1.2046</v>
          </cell>
        </row>
        <row r="3655">
          <cell r="D3655" t="str">
            <v>F3.0253</v>
          </cell>
          <cell r="E3655" t="str">
            <v>Z1.2095</v>
          </cell>
        </row>
        <row r="3656">
          <cell r="D3656" t="str">
            <v>F3.0255</v>
          </cell>
          <cell r="E3656" t="str">
            <v>Z1.2152</v>
          </cell>
        </row>
        <row r="3657">
          <cell r="D3657" t="str">
            <v>F3.0256</v>
          </cell>
          <cell r="E3657" t="str">
            <v>Z1.2092</v>
          </cell>
        </row>
        <row r="3658">
          <cell r="D3658" t="str">
            <v>F3.0258</v>
          </cell>
          <cell r="E3658" t="str">
            <v>Z1.2489</v>
          </cell>
        </row>
        <row r="3659">
          <cell r="D3659" t="str">
            <v>F3.0259</v>
          </cell>
          <cell r="E3659" t="str">
            <v>Z1.2313</v>
          </cell>
        </row>
        <row r="3660">
          <cell r="D3660" t="str">
            <v>F3.0260</v>
          </cell>
          <cell r="E3660" t="str">
            <v>Z1.2360</v>
          </cell>
        </row>
        <row r="3661">
          <cell r="D3661" t="str">
            <v>F3.0261</v>
          </cell>
          <cell r="E3661" t="str">
            <v>Z1.2351</v>
          </cell>
        </row>
        <row r="3662">
          <cell r="D3662" t="str">
            <v>F3.0262</v>
          </cell>
          <cell r="E3662" t="str">
            <v>Z1.2392</v>
          </cell>
        </row>
        <row r="3663">
          <cell r="D3663" t="str">
            <v>F3.0263</v>
          </cell>
          <cell r="E3663" t="str">
            <v>Z1.2369</v>
          </cell>
        </row>
        <row r="3664">
          <cell r="D3664" t="str">
            <v>F3.0264</v>
          </cell>
          <cell r="E3664" t="str">
            <v>Z1.2366</v>
          </cell>
        </row>
        <row r="3665">
          <cell r="D3665" t="str">
            <v>F3.0265</v>
          </cell>
          <cell r="E3665" t="str">
            <v>Z1.2363</v>
          </cell>
        </row>
        <row r="3666">
          <cell r="D3666" t="str">
            <v>F3.0266</v>
          </cell>
          <cell r="E3666" t="str">
            <v>Z1.2372</v>
          </cell>
        </row>
        <row r="3667">
          <cell r="D3667" t="str">
            <v>F3.0267</v>
          </cell>
          <cell r="E3667" t="str">
            <v>Z1.2495</v>
          </cell>
        </row>
        <row r="3668">
          <cell r="D3668" t="str">
            <v>F3.0269</v>
          </cell>
          <cell r="E3668" t="str">
            <v>Z1.2471</v>
          </cell>
        </row>
        <row r="3669">
          <cell r="D3669" t="str">
            <v>F3.0271</v>
          </cell>
          <cell r="E3669" t="str">
            <v>Z1.1818</v>
          </cell>
        </row>
        <row r="3670">
          <cell r="D3670" t="str">
            <v>F3.0273</v>
          </cell>
          <cell r="E3670" t="str">
            <v>Z1.2450</v>
          </cell>
        </row>
        <row r="3671">
          <cell r="D3671" t="str">
            <v>F3.0274</v>
          </cell>
          <cell r="E3671" t="str">
            <v>Z1.2377</v>
          </cell>
        </row>
        <row r="3672">
          <cell r="D3672" t="str">
            <v>F3.0275</v>
          </cell>
          <cell r="E3672" t="str">
            <v>Z1.2301</v>
          </cell>
        </row>
        <row r="3673">
          <cell r="D3673" t="str">
            <v>F3.0276</v>
          </cell>
          <cell r="E3673" t="str">
            <v>Z1.2432</v>
          </cell>
        </row>
        <row r="3674">
          <cell r="D3674" t="str">
            <v>F3.0277</v>
          </cell>
          <cell r="E3674" t="str">
            <v>Z1.2305</v>
          </cell>
        </row>
        <row r="3675">
          <cell r="D3675" t="str">
            <v>F3.0278</v>
          </cell>
          <cell r="E3675" t="str">
            <v>Z1.2326</v>
          </cell>
        </row>
        <row r="3676">
          <cell r="D3676" t="str">
            <v>F3.0279</v>
          </cell>
          <cell r="E3676" t="str">
            <v>Z1.2216</v>
          </cell>
        </row>
        <row r="3677">
          <cell r="D3677" t="str">
            <v>F3.0280</v>
          </cell>
          <cell r="E3677" t="str">
            <v>Z1.1923</v>
          </cell>
        </row>
        <row r="3678">
          <cell r="D3678" t="str">
            <v>F3.0281</v>
          </cell>
          <cell r="E3678" t="str">
            <v>Z1.2501</v>
          </cell>
        </row>
        <row r="3679">
          <cell r="D3679" t="str">
            <v>F3.0282</v>
          </cell>
          <cell r="E3679" t="str">
            <v>Z1.2177</v>
          </cell>
        </row>
        <row r="3680">
          <cell r="D3680" t="str">
            <v>F3.0282</v>
          </cell>
          <cell r="E3680" t="str">
            <v>Z1.2177</v>
          </cell>
        </row>
        <row r="3681">
          <cell r="D3681" t="str">
            <v>F3.0283</v>
          </cell>
          <cell r="E3681" t="str">
            <v>Z1.2210</v>
          </cell>
        </row>
        <row r="3682">
          <cell r="D3682" t="str">
            <v>F3.0284</v>
          </cell>
          <cell r="E3682" t="str">
            <v>Z1.2310</v>
          </cell>
        </row>
        <row r="3683">
          <cell r="D3683" t="str">
            <v>F3.0285</v>
          </cell>
          <cell r="E3683" t="str">
            <v>Z1.2144</v>
          </cell>
        </row>
        <row r="3684">
          <cell r="D3684" t="str">
            <v>F3.0285</v>
          </cell>
          <cell r="E3684" t="str">
            <v>Z1.2144</v>
          </cell>
        </row>
        <row r="3685">
          <cell r="D3685" t="str">
            <v>F3.0286</v>
          </cell>
          <cell r="E3685" t="str">
            <v>Z1.2141</v>
          </cell>
        </row>
        <row r="3686">
          <cell r="D3686" t="str">
            <v>F3.0286</v>
          </cell>
          <cell r="E3686" t="str">
            <v>Z1.2141</v>
          </cell>
        </row>
        <row r="3687">
          <cell r="D3687" t="str">
            <v>F3.0291</v>
          </cell>
          <cell r="E3687" t="str">
            <v>Z1.2091</v>
          </cell>
        </row>
        <row r="3688">
          <cell r="D3688" t="str">
            <v>F3.0292</v>
          </cell>
          <cell r="E3688" t="str">
            <v>Z1.2354</v>
          </cell>
        </row>
        <row r="3689">
          <cell r="D3689" t="str">
            <v>F3.0293</v>
          </cell>
          <cell r="E3689" t="str">
            <v>Z1.2270</v>
          </cell>
        </row>
        <row r="3690">
          <cell r="D3690" t="str">
            <v>F3.0294</v>
          </cell>
          <cell r="E3690" t="str">
            <v>Z1.2272</v>
          </cell>
        </row>
        <row r="3691">
          <cell r="D3691" t="str">
            <v>F3.0295</v>
          </cell>
          <cell r="E3691" t="str">
            <v>Z1.2335</v>
          </cell>
        </row>
        <row r="3692">
          <cell r="D3692" t="str">
            <v>F3.0296</v>
          </cell>
          <cell r="E3692" t="str">
            <v>Z1.2474</v>
          </cell>
        </row>
        <row r="3693">
          <cell r="D3693" t="str">
            <v>F3.0297</v>
          </cell>
          <cell r="E3693" t="str">
            <v>Z1.2485</v>
          </cell>
        </row>
        <row r="3694">
          <cell r="D3694" t="str">
            <v>F3.0298</v>
          </cell>
          <cell r="E3694" t="str">
            <v>Z1.2502</v>
          </cell>
        </row>
        <row r="3695">
          <cell r="D3695" t="str">
            <v>F3.0299</v>
          </cell>
          <cell r="E3695" t="str">
            <v>Z1.2268</v>
          </cell>
        </row>
        <row r="3696">
          <cell r="D3696" t="str">
            <v>F3.0300</v>
          </cell>
          <cell r="E3696" t="str">
            <v>Z1.2497</v>
          </cell>
        </row>
        <row r="3697">
          <cell r="D3697" t="str">
            <v>F3.0301</v>
          </cell>
          <cell r="E3697" t="str">
            <v>Z1.2496</v>
          </cell>
        </row>
        <row r="3698">
          <cell r="D3698" t="str">
            <v>F3.0302</v>
          </cell>
          <cell r="E3698" t="str">
            <v>Z1.2407</v>
          </cell>
        </row>
        <row r="3699">
          <cell r="D3699" t="str">
            <v>F3.0303</v>
          </cell>
          <cell r="E3699" t="str">
            <v>Z1.2384</v>
          </cell>
        </row>
        <row r="3700">
          <cell r="D3700" t="str">
            <v>F3.0304</v>
          </cell>
          <cell r="E3700" t="str">
            <v>Z1.2385</v>
          </cell>
        </row>
        <row r="3701">
          <cell r="D3701" t="str">
            <v>F3.0305</v>
          </cell>
          <cell r="E3701" t="str">
            <v>Z1.2408</v>
          </cell>
        </row>
        <row r="3702">
          <cell r="D3702" t="str">
            <v>F3.0306</v>
          </cell>
          <cell r="E3702" t="str">
            <v>Z1.2412</v>
          </cell>
        </row>
        <row r="3703">
          <cell r="D3703" t="str">
            <v>F3.0307</v>
          </cell>
          <cell r="E3703" t="str">
            <v>Z1.2411</v>
          </cell>
        </row>
        <row r="3704">
          <cell r="D3704" t="str">
            <v>F3.0308</v>
          </cell>
          <cell r="E3704" t="str">
            <v>Z1.2461</v>
          </cell>
        </row>
        <row r="3705">
          <cell r="D3705" t="str">
            <v>F3.0309</v>
          </cell>
          <cell r="E3705" t="str">
            <v>Z1.2478</v>
          </cell>
        </row>
        <row r="3706">
          <cell r="D3706" t="str">
            <v>F3.0310</v>
          </cell>
          <cell r="E3706" t="str">
            <v>Z1.2477</v>
          </cell>
        </row>
        <row r="3707">
          <cell r="D3707" t="str">
            <v>F3.0311</v>
          </cell>
          <cell r="E3707" t="str">
            <v>Z1.2475</v>
          </cell>
        </row>
        <row r="3708">
          <cell r="D3708" t="str">
            <v>F3.0312</v>
          </cell>
          <cell r="E3708" t="str">
            <v>Z1.2484</v>
          </cell>
        </row>
        <row r="3709">
          <cell r="D3709" t="str">
            <v>F3.0313</v>
          </cell>
          <cell r="E3709" t="str">
            <v>Z1.2476</v>
          </cell>
        </row>
        <row r="3710">
          <cell r="D3710" t="str">
            <v>F3.0314</v>
          </cell>
          <cell r="E3710" t="str">
            <v>Z1.2370</v>
          </cell>
        </row>
        <row r="3711">
          <cell r="D3711" t="str">
            <v>F3.0315</v>
          </cell>
          <cell r="E3711" t="str">
            <v>Z1.2378</v>
          </cell>
        </row>
        <row r="3712">
          <cell r="D3712" t="str">
            <v>F3.0316</v>
          </cell>
          <cell r="E3712" t="str">
            <v>Z1.2422</v>
          </cell>
        </row>
        <row r="3713">
          <cell r="D3713" t="str">
            <v>F3.0317</v>
          </cell>
          <cell r="E3713" t="str">
            <v>Z1.2333</v>
          </cell>
        </row>
        <row r="3714">
          <cell r="D3714" t="str">
            <v>F3.0318</v>
          </cell>
          <cell r="E3714" t="str">
            <v>Z1.2419</v>
          </cell>
        </row>
        <row r="3715">
          <cell r="D3715" t="str">
            <v>F3.0319</v>
          </cell>
          <cell r="E3715" t="str">
            <v>Z1.2424</v>
          </cell>
        </row>
        <row r="3716">
          <cell r="D3716" t="str">
            <v>F3.0320</v>
          </cell>
          <cell r="E3716" t="str">
            <v>Z1.2427</v>
          </cell>
        </row>
        <row r="3717">
          <cell r="D3717" t="str">
            <v>F3.0322</v>
          </cell>
          <cell r="E3717" t="str">
            <v>Z1.2340</v>
          </cell>
        </row>
        <row r="3718">
          <cell r="D3718" t="str">
            <v>F3.0323</v>
          </cell>
          <cell r="E3718" t="str">
            <v>Z1.2341</v>
          </cell>
        </row>
        <row r="3719">
          <cell r="D3719" t="str">
            <v>F3.0324</v>
          </cell>
          <cell r="E3719" t="str">
            <v>Z1.2342</v>
          </cell>
        </row>
        <row r="3720">
          <cell r="D3720" t="str">
            <v>F3.0325</v>
          </cell>
          <cell r="E3720" t="str">
            <v>Z1.2343</v>
          </cell>
        </row>
        <row r="3721">
          <cell r="D3721" t="str">
            <v>F3.0326</v>
          </cell>
          <cell r="E3721" t="str">
            <v>Z1.2386</v>
          </cell>
        </row>
        <row r="3722">
          <cell r="D3722" t="str">
            <v>F3.0328</v>
          </cell>
          <cell r="E3722" t="str">
            <v>Z1.2387</v>
          </cell>
        </row>
        <row r="3723">
          <cell r="D3723" t="str">
            <v>F3.0329</v>
          </cell>
          <cell r="E3723" t="str">
            <v>Z1.2389</v>
          </cell>
        </row>
        <row r="3724">
          <cell r="D3724" t="str">
            <v>F3.0330</v>
          </cell>
          <cell r="E3724" t="str">
            <v>Z1.2483</v>
          </cell>
        </row>
        <row r="3725">
          <cell r="D3725" t="str">
            <v>F3.0331</v>
          </cell>
          <cell r="E3725" t="str">
            <v>Z1.2460</v>
          </cell>
        </row>
        <row r="3726">
          <cell r="D3726" t="str">
            <v>F3.0332</v>
          </cell>
          <cell r="E3726" t="str">
            <v>Z1.2339</v>
          </cell>
        </row>
        <row r="3727">
          <cell r="D3727" t="str">
            <v>F3.0333</v>
          </cell>
          <cell r="E3727" t="str">
            <v>Z1.2402</v>
          </cell>
        </row>
        <row r="3728">
          <cell r="D3728" t="str">
            <v>F3.0334</v>
          </cell>
          <cell r="E3728" t="str">
            <v>Z1.2401</v>
          </cell>
        </row>
        <row r="3729">
          <cell r="D3729" t="str">
            <v>F3.0335</v>
          </cell>
          <cell r="E3729" t="str">
            <v>Z1.2398</v>
          </cell>
        </row>
        <row r="3730">
          <cell r="D3730" t="str">
            <v>F3.0336</v>
          </cell>
          <cell r="E3730" t="str">
            <v>Z1.2399</v>
          </cell>
        </row>
        <row r="3731">
          <cell r="D3731" t="str">
            <v>F3.0339</v>
          </cell>
          <cell r="E3731" t="str">
            <v>Z1.2400</v>
          </cell>
        </row>
        <row r="3732">
          <cell r="D3732" t="str">
            <v>F3.0340</v>
          </cell>
          <cell r="E3732" t="str">
            <v>Z1.2338</v>
          </cell>
        </row>
        <row r="3733">
          <cell r="D3733" t="str">
            <v>F3.0341</v>
          </cell>
          <cell r="E3733" t="str">
            <v>Z1.2490</v>
          </cell>
        </row>
        <row r="3734">
          <cell r="D3734" t="str">
            <v>F3.0342</v>
          </cell>
          <cell r="E3734" t="str">
            <v>Z1.2491</v>
          </cell>
        </row>
        <row r="3735">
          <cell r="D3735" t="str">
            <v>F3.0343</v>
          </cell>
          <cell r="E3735" t="str">
            <v>Z1.2486</v>
          </cell>
        </row>
        <row r="3736">
          <cell r="D3736" t="str">
            <v>F3.0344</v>
          </cell>
          <cell r="E3736" t="str">
            <v>Z1.2328</v>
          </cell>
        </row>
        <row r="3737">
          <cell r="D3737" t="str">
            <v>F3.0345</v>
          </cell>
          <cell r="E3737" t="str">
            <v>Z1.2102</v>
          </cell>
        </row>
        <row r="3738">
          <cell r="D3738" t="str">
            <v>F3.0346</v>
          </cell>
          <cell r="E3738" t="str">
            <v>Z1.2238</v>
          </cell>
        </row>
        <row r="3739">
          <cell r="D3739" t="str">
            <v>F3.0347</v>
          </cell>
          <cell r="E3739" t="str">
            <v>Z1.2255</v>
          </cell>
        </row>
        <row r="3740">
          <cell r="D3740" t="str">
            <v>F3.0348</v>
          </cell>
          <cell r="E3740" t="str">
            <v>Z1.2253</v>
          </cell>
        </row>
        <row r="3741">
          <cell r="D3741" t="str">
            <v>F3.0349</v>
          </cell>
          <cell r="E3741" t="str">
            <v>Z1.2297</v>
          </cell>
        </row>
        <row r="3742">
          <cell r="D3742" t="str">
            <v>F3.0350</v>
          </cell>
          <cell r="E3742" t="str">
            <v>Z1.2246</v>
          </cell>
        </row>
        <row r="3743">
          <cell r="D3743" t="str">
            <v>F3.0351</v>
          </cell>
          <cell r="E3743" t="str">
            <v>Z1.2252</v>
          </cell>
        </row>
        <row r="3744">
          <cell r="D3744" t="str">
            <v>F3.0352</v>
          </cell>
          <cell r="E3744" t="str">
            <v>Z1.2251</v>
          </cell>
        </row>
        <row r="3745">
          <cell r="D3745" t="str">
            <v>F3.0353</v>
          </cell>
          <cell r="E3745" t="str">
            <v>Z1.2298</v>
          </cell>
        </row>
        <row r="3746">
          <cell r="D3746" t="str">
            <v>F3.0354</v>
          </cell>
          <cell r="E3746" t="str">
            <v>Z1.2429</v>
          </cell>
        </row>
        <row r="3747">
          <cell r="D3747" t="str">
            <v>F3.0355</v>
          </cell>
          <cell r="E3747" t="str">
            <v>Z1.2430</v>
          </cell>
        </row>
        <row r="3748">
          <cell r="D3748" t="str">
            <v>F3.0356</v>
          </cell>
          <cell r="E3748" t="str">
            <v>Z1.2447</v>
          </cell>
        </row>
        <row r="3749">
          <cell r="D3749" t="str">
            <v>F3.0357</v>
          </cell>
          <cell r="E3749" t="str">
            <v>Z1.2403</v>
          </cell>
        </row>
        <row r="3750">
          <cell r="D3750" t="str">
            <v>F3.0358</v>
          </cell>
          <cell r="E3750" t="str">
            <v>Z1.2247</v>
          </cell>
        </row>
        <row r="3751">
          <cell r="D3751" t="str">
            <v>F3.0359</v>
          </cell>
          <cell r="E3751" t="str">
            <v>Z1.2466</v>
          </cell>
        </row>
        <row r="3752">
          <cell r="D3752" t="str">
            <v>F3.0360</v>
          </cell>
          <cell r="E3752" t="str">
            <v>Z1.2320</v>
          </cell>
        </row>
        <row r="3753">
          <cell r="D3753" t="str">
            <v>F3.0361</v>
          </cell>
          <cell r="E3753" t="str">
            <v>Z1.1998</v>
          </cell>
        </row>
        <row r="3754">
          <cell r="D3754" t="str">
            <v>F3.0362</v>
          </cell>
          <cell r="E3754" t="str">
            <v>Z1.2159</v>
          </cell>
        </row>
        <row r="3755">
          <cell r="D3755" t="str">
            <v>F3.0363</v>
          </cell>
          <cell r="E3755" t="str">
            <v>Z1.2160</v>
          </cell>
        </row>
        <row r="3756">
          <cell r="D3756" t="str">
            <v>F3.0364</v>
          </cell>
          <cell r="E3756" t="str">
            <v>Z1.2024</v>
          </cell>
        </row>
        <row r="3757">
          <cell r="D3757" t="str">
            <v>F3.0365</v>
          </cell>
          <cell r="E3757" t="str">
            <v>Z1.2084</v>
          </cell>
        </row>
        <row r="3758">
          <cell r="D3758" t="str">
            <v>F3.0366</v>
          </cell>
          <cell r="E3758" t="str">
            <v>Z1.2273</v>
          </cell>
        </row>
        <row r="3759">
          <cell r="D3759" t="str">
            <v>F3.0367</v>
          </cell>
          <cell r="E3759" t="str">
            <v>Z1.2045</v>
          </cell>
        </row>
        <row r="3760">
          <cell r="D3760" t="str">
            <v>F3.0368</v>
          </cell>
          <cell r="E3760" t="str">
            <v>Z1.2132</v>
          </cell>
        </row>
        <row r="3761">
          <cell r="D3761" t="str">
            <v>F3.0369</v>
          </cell>
          <cell r="E3761" t="str">
            <v>Z1.2406</v>
          </cell>
        </row>
        <row r="3762">
          <cell r="D3762" t="str">
            <v>F3.0370</v>
          </cell>
          <cell r="E3762" t="str">
            <v>Z1.2465</v>
          </cell>
        </row>
        <row r="3763">
          <cell r="D3763" t="str">
            <v>F3.0371</v>
          </cell>
          <cell r="E3763" t="str">
            <v>Z1.2277</v>
          </cell>
        </row>
        <row r="3764">
          <cell r="D3764" t="str">
            <v>F3.0372</v>
          </cell>
          <cell r="E3764" t="str">
            <v>Z1.2119</v>
          </cell>
        </row>
        <row r="3765">
          <cell r="D3765" t="str">
            <v>F3.0373</v>
          </cell>
          <cell r="E3765" t="str">
            <v>Z1.2053</v>
          </cell>
        </row>
        <row r="3766">
          <cell r="D3766" t="str">
            <v>F3.0374</v>
          </cell>
          <cell r="E3766" t="str">
            <v>Z1.2080</v>
          </cell>
        </row>
        <row r="3767">
          <cell r="D3767" t="str">
            <v>F3.0375</v>
          </cell>
          <cell r="E3767" t="str">
            <v>Z1.2099</v>
          </cell>
        </row>
        <row r="3768">
          <cell r="D3768" t="str">
            <v>F3.0376</v>
          </cell>
          <cell r="E3768" t="str">
            <v>Z1.2290</v>
          </cell>
        </row>
        <row r="3769">
          <cell r="D3769" t="str">
            <v>F3.0377</v>
          </cell>
          <cell r="E3769" t="str">
            <v>Z1.2050</v>
          </cell>
        </row>
        <row r="3770">
          <cell r="D3770" t="str">
            <v>F3.0378</v>
          </cell>
          <cell r="E3770" t="str">
            <v>Z1.2259</v>
          </cell>
        </row>
        <row r="3771">
          <cell r="D3771" t="str">
            <v>F3.0379</v>
          </cell>
          <cell r="E3771" t="str">
            <v>Z1.2274</v>
          </cell>
        </row>
        <row r="3772">
          <cell r="D3772" t="str">
            <v>F3.0380</v>
          </cell>
          <cell r="E3772" t="str">
            <v>Z1.2276</v>
          </cell>
        </row>
        <row r="3773">
          <cell r="D3773" t="str">
            <v>F3.0381</v>
          </cell>
          <cell r="E3773" t="str">
            <v>Z1.2308</v>
          </cell>
        </row>
        <row r="3774">
          <cell r="D3774" t="str">
            <v>F3.0382</v>
          </cell>
          <cell r="E3774" t="str">
            <v>Z1.2317</v>
          </cell>
        </row>
        <row r="3775">
          <cell r="D3775" t="str">
            <v>F3.0383</v>
          </cell>
          <cell r="E3775" t="str">
            <v>Z1.2327</v>
          </cell>
        </row>
        <row r="3776">
          <cell r="D3776" t="str">
            <v>F3.0384</v>
          </cell>
          <cell r="E3776" t="str">
            <v>Z1.2332</v>
          </cell>
        </row>
        <row r="3777">
          <cell r="D3777" t="str">
            <v>F3.0385</v>
          </cell>
          <cell r="E3777" t="str">
            <v>Z1.2331</v>
          </cell>
        </row>
        <row r="3778">
          <cell r="D3778" t="str">
            <v>F3.0386</v>
          </cell>
          <cell r="E3778" t="str">
            <v>Z1.2348</v>
          </cell>
        </row>
        <row r="3779">
          <cell r="D3779" t="str">
            <v>F3.0387</v>
          </cell>
          <cell r="E3779" t="str">
            <v>Z1.2356</v>
          </cell>
        </row>
        <row r="3780">
          <cell r="D3780" t="str">
            <v>F3.0388</v>
          </cell>
          <cell r="E3780" t="str">
            <v>Z1.2196</v>
          </cell>
        </row>
        <row r="3781">
          <cell r="D3781" t="str">
            <v>F3.0389</v>
          </cell>
          <cell r="E3781" t="str">
            <v>Z1.2079</v>
          </cell>
        </row>
        <row r="3782">
          <cell r="D3782" t="str">
            <v>F3.0390</v>
          </cell>
          <cell r="E3782" t="str">
            <v>Z1.2040</v>
          </cell>
        </row>
        <row r="3783">
          <cell r="D3783" t="str">
            <v>F3.0391</v>
          </cell>
          <cell r="E3783" t="str">
            <v>Z1.2234</v>
          </cell>
        </row>
        <row r="3784">
          <cell r="D3784" t="str">
            <v>F3.0392</v>
          </cell>
          <cell r="E3784" t="str">
            <v>Z1.2260</v>
          </cell>
        </row>
        <row r="3785">
          <cell r="D3785" t="str">
            <v>F3.0393</v>
          </cell>
          <cell r="E3785" t="str">
            <v>Z1.2405</v>
          </cell>
        </row>
        <row r="3786">
          <cell r="D3786" t="str">
            <v>F3.0394</v>
          </cell>
          <cell r="E3786" t="str">
            <v>Z1.2280</v>
          </cell>
        </row>
        <row r="3787">
          <cell r="D3787" t="str">
            <v>F3.0395</v>
          </cell>
          <cell r="E3787" t="str">
            <v>Z1.2156</v>
          </cell>
        </row>
        <row r="3788">
          <cell r="D3788" t="str">
            <v>F3.0396</v>
          </cell>
          <cell r="E3788" t="str">
            <v>Z1.2126</v>
          </cell>
        </row>
        <row r="3789">
          <cell r="D3789" t="str">
            <v>F3.0397</v>
          </cell>
          <cell r="E3789" t="str">
            <v>Z1.2275</v>
          </cell>
        </row>
        <row r="3790">
          <cell r="D3790" t="str">
            <v>F3.0398</v>
          </cell>
          <cell r="E3790" t="str">
            <v>Z1.2423</v>
          </cell>
        </row>
        <row r="3791">
          <cell r="D3791" t="str">
            <v>F3.0400</v>
          </cell>
          <cell r="E3791" t="str">
            <v>Z1.2374</v>
          </cell>
        </row>
        <row r="3792">
          <cell r="D3792" t="str">
            <v>F3.0401</v>
          </cell>
          <cell r="E3792" t="str">
            <v>Z1.2416</v>
          </cell>
        </row>
        <row r="3793">
          <cell r="D3793" t="str">
            <v>F3.0402</v>
          </cell>
          <cell r="E3793" t="str">
            <v>Z1.2436</v>
          </cell>
        </row>
        <row r="3794">
          <cell r="D3794" t="str">
            <v>F3.0403</v>
          </cell>
          <cell r="E3794" t="str">
            <v>Z1.2417</v>
          </cell>
        </row>
        <row r="3795">
          <cell r="D3795" t="str">
            <v>F3.0404</v>
          </cell>
          <cell r="E3795" t="str">
            <v>Z1.2437</v>
          </cell>
        </row>
        <row r="3796">
          <cell r="D3796" t="str">
            <v>F3.0405</v>
          </cell>
          <cell r="E3796" t="str">
            <v>Z1.2418</v>
          </cell>
        </row>
        <row r="3797">
          <cell r="D3797" t="str">
            <v>F3.0406</v>
          </cell>
          <cell r="E3797" t="str">
            <v>Z1.2438</v>
          </cell>
        </row>
        <row r="3798">
          <cell r="D3798" t="str">
            <v>F3.0407</v>
          </cell>
          <cell r="E3798" t="str">
            <v>Z1.2415</v>
          </cell>
        </row>
        <row r="3799">
          <cell r="D3799" t="str">
            <v>F3.0408</v>
          </cell>
          <cell r="E3799" t="str">
            <v>Z1.2435</v>
          </cell>
        </row>
        <row r="3800">
          <cell r="D3800" t="str">
            <v>F3.0409</v>
          </cell>
          <cell r="E3800" t="str">
            <v>Z1.2439</v>
          </cell>
        </row>
        <row r="3801">
          <cell r="D3801" t="str">
            <v>F3.0410</v>
          </cell>
          <cell r="E3801" t="str">
            <v>Z1.2498</v>
          </cell>
        </row>
        <row r="3802">
          <cell r="D3802" t="str">
            <v>F3.0411</v>
          </cell>
          <cell r="E3802" t="str">
            <v>Z1.2382</v>
          </cell>
        </row>
        <row r="3803">
          <cell r="D3803" t="str">
            <v>F3.0412</v>
          </cell>
          <cell r="E3803" t="str">
            <v>Z1.2441</v>
          </cell>
        </row>
        <row r="3804">
          <cell r="D3804" t="str">
            <v>F3.0413</v>
          </cell>
          <cell r="E3804" t="str">
            <v>Z1.2442</v>
          </cell>
        </row>
        <row r="3805">
          <cell r="D3805" t="str">
            <v>F3.0414</v>
          </cell>
          <cell r="E3805" t="str">
            <v>Z1.2451</v>
          </cell>
        </row>
        <row r="3806">
          <cell r="D3806" t="str">
            <v>F3.0415</v>
          </cell>
          <cell r="E3806" t="str">
            <v>Z1.2410</v>
          </cell>
        </row>
        <row r="3807">
          <cell r="D3807" t="str">
            <v>F3.0416</v>
          </cell>
          <cell r="E3807" t="str">
            <v>Z1.2309</v>
          </cell>
        </row>
        <row r="3808">
          <cell r="D3808" t="str">
            <v>F3.0417</v>
          </cell>
          <cell r="E3808" t="str">
            <v>Z1.2197</v>
          </cell>
        </row>
        <row r="3809">
          <cell r="D3809" t="str">
            <v>F3.0418</v>
          </cell>
          <cell r="E3809" t="str">
            <v>Z1.2207</v>
          </cell>
        </row>
        <row r="3810">
          <cell r="D3810" t="str">
            <v>F3.0419</v>
          </cell>
          <cell r="E3810" t="str">
            <v>Z1.2371</v>
          </cell>
        </row>
        <row r="3811">
          <cell r="D3811" t="str">
            <v>F3.0420</v>
          </cell>
          <cell r="E3811" t="str">
            <v>Z1.2293</v>
          </cell>
        </row>
        <row r="3812">
          <cell r="D3812" t="str">
            <v>F3.0420</v>
          </cell>
          <cell r="E3812" t="str">
            <v>Z1.2293</v>
          </cell>
        </row>
        <row r="3813">
          <cell r="D3813" t="str">
            <v>F3.0421</v>
          </cell>
          <cell r="E3813" t="str">
            <v>Z1.2492</v>
          </cell>
        </row>
        <row r="3814">
          <cell r="D3814" t="str">
            <v>F3.0422</v>
          </cell>
          <cell r="E3814" t="str">
            <v>Z1.2493</v>
          </cell>
        </row>
        <row r="3815">
          <cell r="D3815" t="str">
            <v>F3.0424</v>
          </cell>
          <cell r="E3815" t="str">
            <v>Z1.2233</v>
          </cell>
        </row>
        <row r="3816">
          <cell r="D3816" t="str">
            <v>F3.0425</v>
          </cell>
          <cell r="E3816" t="str">
            <v>Z1.2250</v>
          </cell>
        </row>
        <row r="3817">
          <cell r="D3817" t="str">
            <v>F3.0426</v>
          </cell>
          <cell r="E3817" t="str">
            <v>Z1.2494</v>
          </cell>
        </row>
        <row r="3818">
          <cell r="D3818" t="str">
            <v>F3.0427</v>
          </cell>
          <cell r="E3818" t="str">
            <v>Z1.2323</v>
          </cell>
        </row>
        <row r="3819">
          <cell r="D3819" t="str">
            <v>F3.0428</v>
          </cell>
          <cell r="E3819" t="str">
            <v>Z1.2355</v>
          </cell>
        </row>
        <row r="3820">
          <cell r="D3820" t="str">
            <v>F3.0429</v>
          </cell>
          <cell r="E3820" t="str">
            <v>Z1.2431</v>
          </cell>
        </row>
        <row r="3821">
          <cell r="D3821" t="str">
            <v>F3.0430</v>
          </cell>
          <cell r="E3821" t="str">
            <v>Z1.2499</v>
          </cell>
        </row>
        <row r="3822">
          <cell r="D3822" t="str">
            <v>F3.0431</v>
          </cell>
          <cell r="E3822" t="str">
            <v>Z1.2380</v>
          </cell>
        </row>
        <row r="3823">
          <cell r="D3823" t="str">
            <v>F3.0432</v>
          </cell>
          <cell r="E3823" t="str">
            <v>Z1.2278</v>
          </cell>
        </row>
        <row r="3824">
          <cell r="D3824" t="str">
            <v>F3.0433</v>
          </cell>
          <cell r="E3824" t="str">
            <v>Z1.2347</v>
          </cell>
        </row>
        <row r="3825">
          <cell r="D3825" t="str">
            <v>F3.0434</v>
          </cell>
          <cell r="E3825" t="str">
            <v>Z1.2448</v>
          </cell>
        </row>
        <row r="3826">
          <cell r="D3826" t="str">
            <v>F3.0435</v>
          </cell>
          <cell r="E3826" t="str">
            <v>Z1.2469</v>
          </cell>
        </row>
        <row r="3827">
          <cell r="D3827" t="str">
            <v>F3.0443</v>
          </cell>
          <cell r="E3827" t="str">
            <v>Z1.2303</v>
          </cell>
        </row>
        <row r="3828">
          <cell r="D3828" t="str">
            <v>F3.0444</v>
          </cell>
          <cell r="E3828" t="str">
            <v>Z1.2503</v>
          </cell>
        </row>
        <row r="3829">
          <cell r="D3829" t="str">
            <v>F3.0445</v>
          </cell>
          <cell r="E3829" t="str">
            <v>Z1.2365</v>
          </cell>
        </row>
        <row r="3830">
          <cell r="D3830" t="str">
            <v>F3.0446</v>
          </cell>
          <cell r="E3830" t="str">
            <v>Z1.2349</v>
          </cell>
        </row>
        <row r="3831">
          <cell r="D3831" t="str">
            <v>F3.0447</v>
          </cell>
          <cell r="E3831" t="str">
            <v>Z1.2361</v>
          </cell>
        </row>
        <row r="3832">
          <cell r="D3832" t="str">
            <v>F3.0448</v>
          </cell>
          <cell r="E3832" t="str">
            <v>Z1.2367</v>
          </cell>
        </row>
        <row r="3833">
          <cell r="D3833" t="str">
            <v>F3.0449</v>
          </cell>
          <cell r="E3833" t="str">
            <v>Z1.2358</v>
          </cell>
        </row>
        <row r="3834">
          <cell r="D3834" t="str">
            <v>F3.0450</v>
          </cell>
          <cell r="E3834" t="str">
            <v>Z1.2453</v>
          </cell>
        </row>
        <row r="3835">
          <cell r="D3835" t="str">
            <v>F3.0451</v>
          </cell>
          <cell r="E3835" t="str">
            <v>Z1.2454</v>
          </cell>
        </row>
        <row r="3836">
          <cell r="D3836" t="str">
            <v>F3.0452</v>
          </cell>
          <cell r="E3836" t="str">
            <v>Z1.2364</v>
          </cell>
        </row>
        <row r="3837">
          <cell r="D3837" t="str">
            <v>F3.0453</v>
          </cell>
          <cell r="E3837" t="str">
            <v>Z1.2507</v>
          </cell>
        </row>
        <row r="3838">
          <cell r="D3838" t="str">
            <v>F3.0454</v>
          </cell>
          <cell r="E3838" t="str">
            <v>Z1.2506</v>
          </cell>
        </row>
        <row r="3839">
          <cell r="D3839" t="str">
            <v>F3.0455</v>
          </cell>
          <cell r="E3839" t="str">
            <v>Z1.2508</v>
          </cell>
        </row>
        <row r="3840">
          <cell r="D3840" t="str">
            <v>F3.0456</v>
          </cell>
          <cell r="E3840" t="str">
            <v>Z1.2511</v>
          </cell>
        </row>
        <row r="3841">
          <cell r="D3841" t="str">
            <v>F3.0457</v>
          </cell>
          <cell r="E3841" t="str">
            <v>Z1.2510</v>
          </cell>
        </row>
        <row r="3842">
          <cell r="D3842" t="str">
            <v>F3.0458</v>
          </cell>
          <cell r="E3842" t="str">
            <v>Z1.2509</v>
          </cell>
        </row>
        <row r="3843">
          <cell r="D3843" t="str">
            <v>F3.0459</v>
          </cell>
          <cell r="E3843" t="str">
            <v>Z1.2513</v>
          </cell>
        </row>
        <row r="3844">
          <cell r="D3844" t="str">
            <v>F3.0460</v>
          </cell>
          <cell r="E3844" t="str">
            <v>Z1.2512</v>
          </cell>
        </row>
        <row r="3845">
          <cell r="D3845" t="str">
            <v>F3.0461</v>
          </cell>
          <cell r="E3845" t="str">
            <v>Z1.1963</v>
          </cell>
        </row>
        <row r="3846">
          <cell r="D3846" t="str">
            <v>F3.0463</v>
          </cell>
          <cell r="E3846" t="str">
            <v>Z1.2150</v>
          </cell>
        </row>
        <row r="3847">
          <cell r="D3847" t="str">
            <v>F3.0464</v>
          </cell>
          <cell r="E3847" t="str">
            <v>Z1.2181</v>
          </cell>
        </row>
        <row r="3848">
          <cell r="D3848" t="str">
            <v>F3.0466</v>
          </cell>
          <cell r="E3848" t="str">
            <v>Z1.2151</v>
          </cell>
        </row>
        <row r="3849">
          <cell r="D3849" t="str">
            <v>F3.0467</v>
          </cell>
          <cell r="E3849" t="str">
            <v>Z1.2062</v>
          </cell>
        </row>
        <row r="3850">
          <cell r="D3850" t="str">
            <v>F3.0468</v>
          </cell>
          <cell r="E3850" t="str">
            <v>Z1.2487</v>
          </cell>
        </row>
        <row r="3851">
          <cell r="D3851" t="str">
            <v>F3.0469</v>
          </cell>
          <cell r="E3851" t="str">
            <v>Z1.2391</v>
          </cell>
        </row>
        <row r="3852">
          <cell r="D3852" t="str">
            <v>F3.0470</v>
          </cell>
          <cell r="E3852" t="str">
            <v>Z1.2393</v>
          </cell>
        </row>
        <row r="3853">
          <cell r="D3853" t="str">
            <v>F3.0471</v>
          </cell>
          <cell r="E3853" t="str">
            <v>Z1.2397</v>
          </cell>
        </row>
        <row r="3854">
          <cell r="D3854" t="str">
            <v>F3.0472</v>
          </cell>
          <cell r="E3854" t="str">
            <v>Z1.2352</v>
          </cell>
        </row>
        <row r="3855">
          <cell r="D3855" t="str">
            <v>F3.0473</v>
          </cell>
          <cell r="E3855" t="str">
            <v>Z1.2414</v>
          </cell>
        </row>
        <row r="3856">
          <cell r="D3856" t="str">
            <v>F3.0474</v>
          </cell>
          <cell r="E3856" t="str">
            <v>Z1.2395</v>
          </cell>
        </row>
        <row r="3857">
          <cell r="D3857" t="str">
            <v>F3.0475</v>
          </cell>
          <cell r="E3857" t="str">
            <v>Z1.2324</v>
          </cell>
        </row>
        <row r="3858">
          <cell r="D3858" t="str">
            <v>F3.0476</v>
          </cell>
          <cell r="E3858" t="str">
            <v>Z1.2505</v>
          </cell>
        </row>
        <row r="3859">
          <cell r="D3859" t="str">
            <v>F3.0477</v>
          </cell>
          <cell r="E3859" t="str">
            <v>Z1.2480</v>
          </cell>
        </row>
        <row r="3860">
          <cell r="D3860" t="str">
            <v>F3.0478</v>
          </cell>
          <cell r="E3860" t="str">
            <v>Z1.2353</v>
          </cell>
        </row>
        <row r="3861">
          <cell r="D3861" t="str">
            <v>F3.0479</v>
          </cell>
          <cell r="E3861" t="str">
            <v>Z1.2413</v>
          </cell>
        </row>
        <row r="3862">
          <cell r="D3862" t="str">
            <v>F3.0480</v>
          </cell>
          <cell r="E3862" t="str">
            <v>Z1.2515</v>
          </cell>
        </row>
        <row r="3863">
          <cell r="D3863" t="str">
            <v>F3.0481</v>
          </cell>
          <cell r="E3863" t="str">
            <v>Z1.2504</v>
          </cell>
        </row>
        <row r="3864">
          <cell r="D3864" t="str">
            <v>F3.0482</v>
          </cell>
          <cell r="E3864" t="str">
            <v>Z1.2472</v>
          </cell>
        </row>
        <row r="3865">
          <cell r="D3865" t="str">
            <v>F3.0483</v>
          </cell>
          <cell r="E3865" t="str">
            <v>Z1.2522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汉邦增税"/>
      <sheetName val="汉邦免税"/>
      <sheetName val="闻东增税"/>
      <sheetName val="闻东免税"/>
      <sheetName val="深远增税"/>
      <sheetName val="深远免税"/>
      <sheetName val="喷涂外协"/>
      <sheetName val="川祥增税"/>
      <sheetName val="川祥免税"/>
      <sheetName val="余姚迪贝"/>
      <sheetName val="利友"/>
      <sheetName val="煊赫施乐"/>
      <sheetName val="祥之瑞"/>
      <sheetName val="叙诚"/>
      <sheetName val="其他"/>
      <sheetName val="2021年不做产品"/>
      <sheetName val="2018年不做的产品"/>
      <sheetName val="博邦增税"/>
      <sheetName val="博邦免税"/>
      <sheetName val="博邦小糸"/>
      <sheetName val="已不做产品"/>
      <sheetName val="2013年不做产品统计"/>
      <sheetName val="2014年不做产品统计"/>
      <sheetName val="宁波博邦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E1" t="str">
            <v>材料代码</v>
          </cell>
          <cell r="F1" t="str">
            <v>对应材料名称</v>
          </cell>
          <cell r="G1" t="str">
            <v>2022年</v>
          </cell>
          <cell r="H1" t="str">
            <v>2021年</v>
          </cell>
          <cell r="I1" t="str">
            <v>2020年价格</v>
          </cell>
          <cell r="J1" t="str">
            <v>2019年价格</v>
          </cell>
          <cell r="K1" t="str">
            <v>2018.3.1新价格</v>
          </cell>
          <cell r="L1" t="str">
            <v>2018.1.1价格</v>
          </cell>
          <cell r="M1" t="str">
            <v>2017/3/1价格</v>
          </cell>
          <cell r="N1" t="str">
            <v>2016年价格</v>
          </cell>
          <cell r="O1" t="str">
            <v>包运费产品价格</v>
          </cell>
          <cell r="P1" t="str">
            <v>审批日期</v>
          </cell>
          <cell r="Q1" t="str">
            <v>材料价格</v>
          </cell>
        </row>
        <row r="2">
          <cell r="E2" t="str">
            <v>A5.0299</v>
          </cell>
          <cell r="F2" t="str">
            <v>POM 588P NC010本色</v>
          </cell>
          <cell r="G2">
            <v>0.2497</v>
          </cell>
          <cell r="H2">
            <v>0.2497</v>
          </cell>
          <cell r="I2">
            <v>0.2497</v>
          </cell>
          <cell r="J2">
            <v>0.2497</v>
          </cell>
          <cell r="K2">
            <v>0.2572</v>
          </cell>
          <cell r="L2">
            <v>0.2572</v>
          </cell>
          <cell r="M2">
            <v>0.2572</v>
          </cell>
          <cell r="N2">
            <v>0.2572</v>
          </cell>
          <cell r="O2">
            <v>0.265</v>
          </cell>
          <cell r="P2">
            <v>40803</v>
          </cell>
          <cell r="Q2">
            <v>15.85</v>
          </cell>
        </row>
        <row r="3">
          <cell r="E3" t="str">
            <v>A1.0360</v>
          </cell>
          <cell r="F3" t="str">
            <v>色母 POM 3807 黑</v>
          </cell>
        </row>
        <row r="3">
          <cell r="Q3">
            <v>53</v>
          </cell>
        </row>
        <row r="4">
          <cell r="E4" t="str">
            <v>A5.0299</v>
          </cell>
          <cell r="F4" t="str">
            <v>POM 588P NC010本色</v>
          </cell>
          <cell r="G4">
            <v>1.0178</v>
          </cell>
          <cell r="H4">
            <v>1.0178</v>
          </cell>
          <cell r="I4">
            <v>1.0178</v>
          </cell>
          <cell r="J4">
            <v>1.0178</v>
          </cell>
          <cell r="K4">
            <v>1.0376</v>
          </cell>
          <cell r="L4">
            <v>1.0376</v>
          </cell>
          <cell r="M4">
            <v>1.0376</v>
          </cell>
          <cell r="N4">
            <v>1.0376</v>
          </cell>
          <cell r="O4">
            <v>1.058</v>
          </cell>
          <cell r="P4">
            <v>40803</v>
          </cell>
          <cell r="Q4">
            <v>15.85</v>
          </cell>
        </row>
        <row r="5">
          <cell r="E5" t="str">
            <v>A1.0360</v>
          </cell>
          <cell r="F5" t="str">
            <v>色母 POM 3807 黑</v>
          </cell>
        </row>
        <row r="5">
          <cell r="Q5">
            <v>53</v>
          </cell>
        </row>
        <row r="6">
          <cell r="E6" t="str">
            <v>A1.0637</v>
          </cell>
          <cell r="F6" t="str">
            <v>PA66 15GF A70 G15 H BK013</v>
          </cell>
          <cell r="G6">
            <v>2.18</v>
          </cell>
          <cell r="H6">
            <v>2.18</v>
          </cell>
          <cell r="I6">
            <v>2.18</v>
          </cell>
          <cell r="J6">
            <v>2.18</v>
          </cell>
          <cell r="K6">
            <v>2.2069</v>
          </cell>
          <cell r="L6">
            <v>2.2069</v>
          </cell>
          <cell r="M6">
            <v>2.2069</v>
          </cell>
          <cell r="N6">
            <v>2.2069</v>
          </cell>
          <cell r="O6">
            <v>2.232</v>
          </cell>
          <cell r="P6">
            <v>41142</v>
          </cell>
          <cell r="Q6">
            <v>33.76</v>
          </cell>
        </row>
        <row r="7">
          <cell r="E7" t="str">
            <v>A1.0637</v>
          </cell>
          <cell r="F7" t="str">
            <v>PA66 15GF A70 G15 H BK013</v>
          </cell>
          <cell r="G7">
            <v>2.2787</v>
          </cell>
          <cell r="H7">
            <v>2.2787</v>
          </cell>
          <cell r="I7">
            <v>2.2787</v>
          </cell>
          <cell r="J7">
            <v>2.2787</v>
          </cell>
          <cell r="K7">
            <v>2.3058</v>
          </cell>
          <cell r="L7">
            <v>2.3058</v>
          </cell>
          <cell r="M7">
            <v>2.3058</v>
          </cell>
          <cell r="N7">
            <v>2.3058</v>
          </cell>
          <cell r="O7">
            <v>2.331</v>
          </cell>
          <cell r="P7">
            <v>41142</v>
          </cell>
          <cell r="Q7">
            <v>33.76</v>
          </cell>
        </row>
        <row r="8">
          <cell r="E8" t="str">
            <v>A1.0064</v>
          </cell>
          <cell r="F8" t="str">
            <v>PC 141R 701</v>
          </cell>
          <cell r="G8">
            <v>0.3298</v>
          </cell>
          <cell r="H8">
            <v>0.3298</v>
          </cell>
          <cell r="I8">
            <v>0.3298</v>
          </cell>
          <cell r="J8">
            <v>0.3298</v>
          </cell>
          <cell r="K8">
            <v>0.3398</v>
          </cell>
          <cell r="L8">
            <v>0.3398</v>
          </cell>
          <cell r="M8">
            <v>0.3398</v>
          </cell>
          <cell r="N8">
            <v>0.3398</v>
          </cell>
          <cell r="O8">
            <v>0.35</v>
          </cell>
          <cell r="P8">
            <v>40848</v>
          </cell>
          <cell r="Q8">
            <v>19.66</v>
          </cell>
        </row>
        <row r="9">
          <cell r="E9" t="str">
            <v>A1.0618</v>
          </cell>
          <cell r="F9" t="str">
            <v>PA6 GF40 GB10 </v>
          </cell>
          <cell r="G9">
            <v>0.4825</v>
          </cell>
          <cell r="H9">
            <v>0.4825</v>
          </cell>
          <cell r="I9">
            <v>0.4825</v>
          </cell>
          <cell r="J9">
            <v>0.4825</v>
          </cell>
          <cell r="K9">
            <v>0.4825</v>
          </cell>
          <cell r="L9">
            <v>0.4825</v>
          </cell>
          <cell r="M9">
            <v>0.4825</v>
          </cell>
          <cell r="N9">
            <v>0.4825</v>
          </cell>
          <cell r="O9">
            <v>0.49</v>
          </cell>
          <cell r="P9">
            <v>40848</v>
          </cell>
          <cell r="Q9">
            <v>29</v>
          </cell>
        </row>
        <row r="10">
          <cell r="E10" t="str">
            <v>A1.0618</v>
          </cell>
          <cell r="F10" t="str">
            <v>PA6 GF40 GB10 </v>
          </cell>
          <cell r="G10">
            <v>0.5226</v>
          </cell>
          <cell r="H10">
            <v>0.5226</v>
          </cell>
          <cell r="I10">
            <v>0.5226</v>
          </cell>
          <cell r="J10">
            <v>0.5226</v>
          </cell>
          <cell r="K10">
            <v>0.5226</v>
          </cell>
          <cell r="L10">
            <v>0.5226</v>
          </cell>
          <cell r="M10">
            <v>0.5226</v>
          </cell>
          <cell r="N10">
            <v>0.5226</v>
          </cell>
          <cell r="O10">
            <v>0.53</v>
          </cell>
          <cell r="P10">
            <v>40848</v>
          </cell>
          <cell r="Q10">
            <v>29</v>
          </cell>
        </row>
        <row r="11">
          <cell r="E11" t="str">
            <v>A1.0609</v>
          </cell>
          <cell r="F11" t="str">
            <v>TPEE HYTREL 6356 自然色</v>
          </cell>
          <cell r="G11">
            <v>0.2762</v>
          </cell>
          <cell r="H11">
            <v>0.2762</v>
          </cell>
          <cell r="I11">
            <v>0.2762</v>
          </cell>
          <cell r="J11">
            <v>0.2762</v>
          </cell>
          <cell r="K11">
            <v>0.2762</v>
          </cell>
          <cell r="L11">
            <v>0.2762</v>
          </cell>
          <cell r="M11">
            <v>0.2762</v>
          </cell>
          <cell r="N11">
            <v>0.2762</v>
          </cell>
          <cell r="O11">
            <v>0.28</v>
          </cell>
          <cell r="P11">
            <v>40848</v>
          </cell>
          <cell r="Q11">
            <v>62.82</v>
          </cell>
        </row>
        <row r="12">
          <cell r="E12" t="str">
            <v>A1.0010</v>
          </cell>
          <cell r="F12" t="str">
            <v>ABS PE2718万能色母</v>
          </cell>
        </row>
        <row r="12">
          <cell r="Q12">
            <v>27.78</v>
          </cell>
        </row>
        <row r="13">
          <cell r="E13" t="str">
            <v>A1.0618</v>
          </cell>
          <cell r="F13" t="str">
            <v>PA6 GF40 GB10 </v>
          </cell>
          <cell r="G13">
            <v>0.4159</v>
          </cell>
          <cell r="H13">
            <v>0.4159</v>
          </cell>
          <cell r="I13">
            <v>0.4159</v>
          </cell>
          <cell r="J13">
            <v>0.4159</v>
          </cell>
          <cell r="K13">
            <v>0.4159</v>
          </cell>
          <cell r="L13">
            <v>0.4159</v>
          </cell>
          <cell r="M13">
            <v>0.4159</v>
          </cell>
          <cell r="N13">
            <v>0.4159</v>
          </cell>
          <cell r="O13">
            <v>0.42</v>
          </cell>
          <cell r="P13">
            <v>40848</v>
          </cell>
          <cell r="Q13">
            <v>29</v>
          </cell>
        </row>
        <row r="14">
          <cell r="E14" t="str">
            <v>A1.0618</v>
          </cell>
          <cell r="F14" t="str">
            <v>PA6 GF40 GB10 </v>
          </cell>
          <cell r="G14">
            <v>0.4159</v>
          </cell>
          <cell r="H14">
            <v>0.4159</v>
          </cell>
          <cell r="I14">
            <v>0.4159</v>
          </cell>
          <cell r="J14">
            <v>0.4159</v>
          </cell>
          <cell r="K14">
            <v>0.4159</v>
          </cell>
          <cell r="L14">
            <v>0.4159</v>
          </cell>
          <cell r="M14">
            <v>0.4159</v>
          </cell>
          <cell r="N14">
            <v>0.4159</v>
          </cell>
          <cell r="O14">
            <v>0.42</v>
          </cell>
          <cell r="P14">
            <v>40848</v>
          </cell>
          <cell r="Q14">
            <v>29</v>
          </cell>
        </row>
        <row r="15">
          <cell r="E15" t="str">
            <v>A1.0637</v>
          </cell>
          <cell r="F15" t="str">
            <v>PA66 15GF A70 G15 H BK013(李尔)</v>
          </cell>
          <cell r="G15">
            <v>1.8807</v>
          </cell>
          <cell r="H15">
            <v>1.8807</v>
          </cell>
          <cell r="I15">
            <v>1.8807</v>
          </cell>
          <cell r="J15">
            <v>1.8807</v>
          </cell>
          <cell r="K15">
            <v>1.8955</v>
          </cell>
          <cell r="L15">
            <v>1.8955</v>
          </cell>
          <cell r="M15">
            <v>1.9544</v>
          </cell>
          <cell r="N15">
            <v>1.9544</v>
          </cell>
          <cell r="O15">
            <v>2.01</v>
          </cell>
          <cell r="P15">
            <v>41359</v>
          </cell>
          <cell r="Q15">
            <v>33.76</v>
          </cell>
        </row>
        <row r="16">
          <cell r="E16" t="str">
            <v>A1.0637</v>
          </cell>
          <cell r="F16" t="str">
            <v>PA66 15GF A70 G15 H BK013(李尔)</v>
          </cell>
          <cell r="G16">
            <v>1.7854</v>
          </cell>
          <cell r="H16">
            <v>1.7854</v>
          </cell>
          <cell r="I16">
            <v>1.7854</v>
          </cell>
          <cell r="J16">
            <v>1.7854</v>
          </cell>
          <cell r="K16">
            <v>1.7993</v>
          </cell>
          <cell r="L16">
            <v>1.7993</v>
          </cell>
          <cell r="M16">
            <v>1.8847</v>
          </cell>
          <cell r="N16">
            <v>1.8847</v>
          </cell>
          <cell r="O16">
            <v>1.93</v>
          </cell>
          <cell r="P16">
            <v>41359</v>
          </cell>
          <cell r="Q16">
            <v>33.76</v>
          </cell>
        </row>
        <row r="17">
          <cell r="E17" t="str">
            <v>A5.0299</v>
          </cell>
          <cell r="F17" t="str">
            <v>POM 588P NC010本色(免税)</v>
          </cell>
          <cell r="G17">
            <v>1.0556</v>
          </cell>
          <cell r="H17">
            <v>1.0556</v>
          </cell>
          <cell r="I17">
            <v>1.0556</v>
          </cell>
          <cell r="J17">
            <v>1.0556</v>
          </cell>
          <cell r="K17">
            <v>1.0751</v>
          </cell>
          <cell r="L17">
            <v>1.0751</v>
          </cell>
          <cell r="M17">
            <v>1.0751</v>
          </cell>
          <cell r="N17">
            <v>1.0751</v>
          </cell>
          <cell r="O17">
            <v>1.09</v>
          </cell>
          <cell r="P17">
            <v>41359</v>
          </cell>
          <cell r="Q17">
            <v>15.85</v>
          </cell>
        </row>
        <row r="18">
          <cell r="E18" t="str">
            <v>A1.0360</v>
          </cell>
          <cell r="F18" t="str">
            <v>色母POM 3807黑</v>
          </cell>
        </row>
        <row r="18">
          <cell r="P18">
            <v>41359</v>
          </cell>
          <cell r="Q18">
            <v>53</v>
          </cell>
        </row>
        <row r="19">
          <cell r="E19" t="str">
            <v>A1.0064</v>
          </cell>
          <cell r="F19" t="str">
            <v>PC 141R 701</v>
          </cell>
          <cell r="G19">
            <v>2.7705</v>
          </cell>
          <cell r="H19">
            <v>2.7705</v>
          </cell>
          <cell r="I19">
            <v>2.7705</v>
          </cell>
          <cell r="J19">
            <v>2.7705</v>
          </cell>
          <cell r="K19">
            <v>2.8083</v>
          </cell>
          <cell r="L19">
            <v>2.8083</v>
          </cell>
          <cell r="M19">
            <v>2.4998</v>
          </cell>
          <cell r="N19">
            <v>2.4998</v>
          </cell>
          <cell r="O19">
            <v>2.78</v>
          </cell>
          <cell r="P19">
            <v>41395</v>
          </cell>
          <cell r="Q19">
            <v>19.66</v>
          </cell>
        </row>
        <row r="20">
          <cell r="E20" t="str">
            <v>A1.0637</v>
          </cell>
          <cell r="F20" t="str">
            <v>PA66 15GF A70 G15 H BK013(李尔)</v>
          </cell>
          <cell r="G20">
            <v>1.7898</v>
          </cell>
          <cell r="H20">
            <v>1.7898</v>
          </cell>
          <cell r="I20">
            <v>1.7898</v>
          </cell>
          <cell r="J20">
            <v>1.7898</v>
          </cell>
          <cell r="K20">
            <v>1.8019</v>
          </cell>
          <cell r="L20">
            <v>1.8019</v>
          </cell>
          <cell r="M20">
            <v>1.8864</v>
          </cell>
          <cell r="N20">
            <v>1.8864</v>
          </cell>
          <cell r="O20">
            <v>1.94</v>
          </cell>
          <cell r="P20">
            <v>41359</v>
          </cell>
          <cell r="Q20">
            <v>33.76</v>
          </cell>
        </row>
        <row r="21">
          <cell r="E21" t="str">
            <v>A1.0637</v>
          </cell>
          <cell r="F21" t="str">
            <v>PA66 15GF A70 G15 H BK013(李尔)</v>
          </cell>
          <cell r="G21">
            <v>1.8877</v>
          </cell>
          <cell r="H21">
            <v>1.8877</v>
          </cell>
          <cell r="I21">
            <v>1.8877</v>
          </cell>
          <cell r="J21">
            <v>1.8877</v>
          </cell>
          <cell r="K21">
            <v>1.9013</v>
          </cell>
          <cell r="L21">
            <v>1.9013</v>
          </cell>
          <cell r="M21">
            <v>1.9367</v>
          </cell>
          <cell r="N21">
            <v>1.9367</v>
          </cell>
          <cell r="O21">
            <v>1.98</v>
          </cell>
          <cell r="P21">
            <v>41359</v>
          </cell>
          <cell r="Q21">
            <v>33.76</v>
          </cell>
        </row>
        <row r="22">
          <cell r="E22" t="str">
            <v>A1.0755</v>
          </cell>
          <cell r="F22" t="str">
            <v>PA66 GS30 BK011S(李尔）</v>
          </cell>
          <cell r="G22">
            <v>0.5782</v>
          </cell>
          <cell r="H22">
            <v>0.5782</v>
          </cell>
          <cell r="I22">
            <v>0.5782</v>
          </cell>
          <cell r="J22">
            <v>0.5782</v>
          </cell>
          <cell r="K22">
            <v>0.5812</v>
          </cell>
          <cell r="L22">
            <v>0.5812</v>
          </cell>
          <cell r="M22">
            <v>0.5252</v>
          </cell>
          <cell r="N22">
            <v>0.5252</v>
          </cell>
          <cell r="O22">
            <v>0.54</v>
          </cell>
          <cell r="P22">
            <v>41359</v>
          </cell>
          <cell r="Q22">
            <v>49.33</v>
          </cell>
        </row>
        <row r="23">
          <cell r="E23" t="str">
            <v>Z1.1533</v>
          </cell>
          <cell r="F23" t="str">
            <v>圆柱嵌件320555435T</v>
          </cell>
        </row>
        <row r="23">
          <cell r="P23">
            <v>41359</v>
          </cell>
          <cell r="Q23">
            <v>0.4</v>
          </cell>
        </row>
        <row r="24">
          <cell r="E24" t="str">
            <v>A5.0299</v>
          </cell>
          <cell r="F24" t="str">
            <v>POM 588P NC010本色(免税)</v>
          </cell>
          <cell r="G24">
            <v>0.1345</v>
          </cell>
          <cell r="H24">
            <v>0.1345</v>
          </cell>
          <cell r="I24">
            <v>0.1345</v>
          </cell>
          <cell r="J24">
            <v>0.1345</v>
          </cell>
          <cell r="K24">
            <v>0.1372</v>
          </cell>
          <cell r="L24">
            <v>0.1372</v>
          </cell>
          <cell r="M24">
            <v>0.1372</v>
          </cell>
          <cell r="N24">
            <v>0.1372</v>
          </cell>
          <cell r="O24">
            <v>0.14</v>
          </cell>
          <cell r="P24">
            <v>41359</v>
          </cell>
          <cell r="Q24">
            <v>15.85</v>
          </cell>
        </row>
        <row r="25">
          <cell r="E25" t="str">
            <v>A1.0360</v>
          </cell>
          <cell r="F25" t="str">
            <v>色母POM 3807黑</v>
          </cell>
        </row>
        <row r="25">
          <cell r="P25">
            <v>41359</v>
          </cell>
          <cell r="Q25">
            <v>53</v>
          </cell>
        </row>
        <row r="26">
          <cell r="E26" t="str">
            <v>A5.0299</v>
          </cell>
          <cell r="F26" t="str">
            <v>POM 588P NC010本色(免税)</v>
          </cell>
          <cell r="G26">
            <v>0.1345</v>
          </cell>
          <cell r="H26">
            <v>0.1345</v>
          </cell>
          <cell r="I26">
            <v>0.1345</v>
          </cell>
          <cell r="J26">
            <v>0.1345</v>
          </cell>
          <cell r="K26">
            <v>0.1372</v>
          </cell>
          <cell r="L26">
            <v>0.1372</v>
          </cell>
          <cell r="M26">
            <v>0.1372</v>
          </cell>
          <cell r="N26">
            <v>0.1372</v>
          </cell>
          <cell r="O26">
            <v>0.14</v>
          </cell>
          <cell r="P26">
            <v>41359</v>
          </cell>
          <cell r="Q26">
            <v>15.85</v>
          </cell>
        </row>
        <row r="27">
          <cell r="E27" t="str">
            <v>A1.0360</v>
          </cell>
          <cell r="F27" t="str">
            <v>色母POM 3807黑</v>
          </cell>
        </row>
        <row r="27">
          <cell r="P27">
            <v>41359</v>
          </cell>
          <cell r="Q27">
            <v>53</v>
          </cell>
        </row>
        <row r="28">
          <cell r="E28" t="str">
            <v>A5.0299</v>
          </cell>
          <cell r="F28" t="str">
            <v>POM 588P NC010本色(免税)</v>
          </cell>
          <cell r="G28">
            <v>0.1738</v>
          </cell>
          <cell r="H28">
            <v>0.1738</v>
          </cell>
          <cell r="I28">
            <v>0.1738</v>
          </cell>
          <cell r="J28">
            <v>0.1738</v>
          </cell>
          <cell r="K28">
            <v>0.1769</v>
          </cell>
          <cell r="L28">
            <v>0.1769</v>
          </cell>
          <cell r="M28">
            <v>0.1769</v>
          </cell>
          <cell r="N28">
            <v>0.1769</v>
          </cell>
          <cell r="O28">
            <v>0.18</v>
          </cell>
          <cell r="P28">
            <v>41359</v>
          </cell>
          <cell r="Q28">
            <v>15.85</v>
          </cell>
        </row>
        <row r="29">
          <cell r="E29" t="str">
            <v>A1.0360</v>
          </cell>
          <cell r="F29" t="str">
            <v>色母POM 3807黑</v>
          </cell>
        </row>
        <row r="29">
          <cell r="P29">
            <v>41359</v>
          </cell>
          <cell r="Q29">
            <v>53</v>
          </cell>
        </row>
        <row r="30">
          <cell r="E30" t="str">
            <v>A5.0299</v>
          </cell>
          <cell r="F30" t="str">
            <v>POM 588P NC010本色(免税)</v>
          </cell>
          <cell r="G30">
            <v>0.1637</v>
          </cell>
          <cell r="H30">
            <v>0.1637</v>
          </cell>
          <cell r="I30">
            <v>0.1637</v>
          </cell>
          <cell r="J30">
            <v>0.1637</v>
          </cell>
          <cell r="K30">
            <v>0.1668</v>
          </cell>
          <cell r="L30">
            <v>0.1668</v>
          </cell>
          <cell r="M30">
            <v>0.1668</v>
          </cell>
          <cell r="N30">
            <v>0.1668</v>
          </cell>
          <cell r="O30">
            <v>0.17</v>
          </cell>
          <cell r="P30">
            <v>41359</v>
          </cell>
          <cell r="Q30">
            <v>15.85</v>
          </cell>
        </row>
        <row r="31">
          <cell r="E31" t="str">
            <v>A1.0360</v>
          </cell>
          <cell r="F31" t="str">
            <v>色母POM 3807黑</v>
          </cell>
        </row>
        <row r="31">
          <cell r="P31">
            <v>41359</v>
          </cell>
          <cell r="Q31">
            <v>53</v>
          </cell>
        </row>
        <row r="32">
          <cell r="E32" t="str">
            <v>A1.0394</v>
          </cell>
          <cell r="F32" t="str">
            <v>PC 141R 111</v>
          </cell>
          <cell r="G32">
            <v>0.1053</v>
          </cell>
          <cell r="H32">
            <v>0.1053</v>
          </cell>
          <cell r="I32">
            <v>0.1053</v>
          </cell>
          <cell r="J32">
            <v>0.1053</v>
          </cell>
          <cell r="K32">
            <v>0.1076</v>
          </cell>
          <cell r="L32">
            <v>0.1076</v>
          </cell>
          <cell r="M32">
            <v>0.1076</v>
          </cell>
          <cell r="N32">
            <v>0.1076</v>
          </cell>
          <cell r="O32">
            <v>0.11</v>
          </cell>
          <cell r="P32">
            <v>41359</v>
          </cell>
          <cell r="Q32">
            <v>19.66</v>
          </cell>
        </row>
        <row r="33">
          <cell r="E33" t="str">
            <v>A5.0299</v>
          </cell>
          <cell r="F33" t="str">
            <v>POM 588P NC010本色(免税)</v>
          </cell>
          <cell r="G33">
            <v>0.179</v>
          </cell>
          <cell r="H33">
            <v>0.179</v>
          </cell>
          <cell r="I33">
            <v>0.179</v>
          </cell>
          <cell r="J33">
            <v>0.179</v>
          </cell>
          <cell r="K33">
            <v>0.1844</v>
          </cell>
          <cell r="L33">
            <v>0.1844</v>
          </cell>
          <cell r="M33">
            <v>0.1844</v>
          </cell>
          <cell r="N33">
            <v>0.1844</v>
          </cell>
          <cell r="O33">
            <v>0.19</v>
          </cell>
          <cell r="P33">
            <v>41395</v>
          </cell>
          <cell r="Q33">
            <v>15.85</v>
          </cell>
        </row>
        <row r="34">
          <cell r="E34" t="str">
            <v>A1.0064</v>
          </cell>
          <cell r="F34" t="str">
            <v>PC 141R 701</v>
          </cell>
          <cell r="G34">
            <v>0.1452</v>
          </cell>
          <cell r="H34">
            <v>0.1452</v>
          </cell>
          <cell r="I34">
            <v>0.1452</v>
          </cell>
          <cell r="J34">
            <v>0.1452</v>
          </cell>
          <cell r="K34">
            <v>0.1486</v>
          </cell>
          <cell r="L34">
            <v>0.1486</v>
          </cell>
          <cell r="M34">
            <v>0.1462</v>
          </cell>
          <cell r="N34">
            <v>0.1462</v>
          </cell>
          <cell r="O34">
            <v>0.16</v>
          </cell>
          <cell r="P34">
            <v>41395</v>
          </cell>
          <cell r="Q34">
            <v>19.66</v>
          </cell>
        </row>
        <row r="35">
          <cell r="E35" t="str">
            <v>A1.0788</v>
          </cell>
          <cell r="F35" t="str">
            <v>PBT T104G 080PBT橙色</v>
          </cell>
          <cell r="G35">
            <v>1.0965</v>
          </cell>
          <cell r="H35">
            <v>1.0965</v>
          </cell>
          <cell r="I35">
            <v>1.0965</v>
          </cell>
          <cell r="J35">
            <v>1.0965</v>
          </cell>
          <cell r="K35">
            <v>1.1112</v>
          </cell>
          <cell r="L35">
            <v>1.1112</v>
          </cell>
          <cell r="M35">
            <v>1.1112</v>
          </cell>
          <cell r="N35">
            <v>1.1112</v>
          </cell>
          <cell r="O35">
            <v>1.14</v>
          </cell>
          <cell r="P35">
            <v>40802</v>
          </cell>
          <cell r="Q35">
            <v>30</v>
          </cell>
        </row>
        <row r="36">
          <cell r="E36" t="str">
            <v>Z1.1592</v>
          </cell>
          <cell r="F36" t="str">
            <v>3E0HT0101</v>
          </cell>
        </row>
        <row r="36">
          <cell r="Q36">
            <v>0.44</v>
          </cell>
        </row>
        <row r="37">
          <cell r="E37" t="str">
            <v>A1.0788</v>
          </cell>
          <cell r="F37" t="str">
            <v>PBT T104G 080PBT橙色</v>
          </cell>
          <cell r="G37">
            <v>1.0965</v>
          </cell>
          <cell r="H37">
            <v>1.0965</v>
          </cell>
          <cell r="I37">
            <v>1.0965</v>
          </cell>
          <cell r="J37">
            <v>1.0965</v>
          </cell>
          <cell r="K37">
            <v>1.1112</v>
          </cell>
          <cell r="L37">
            <v>1.1112</v>
          </cell>
          <cell r="M37">
            <v>1.1112</v>
          </cell>
          <cell r="N37">
            <v>1.1112</v>
          </cell>
          <cell r="O37">
            <v>1.14</v>
          </cell>
          <cell r="P37">
            <v>40802</v>
          </cell>
          <cell r="Q37">
            <v>30</v>
          </cell>
        </row>
        <row r="38">
          <cell r="E38" t="str">
            <v>Z1.1592</v>
          </cell>
          <cell r="F38" t="str">
            <v>3E0HT0101</v>
          </cell>
        </row>
        <row r="38">
          <cell r="Q38">
            <v>0.44</v>
          </cell>
        </row>
        <row r="39">
          <cell r="E39" t="str">
            <v>A1.0787</v>
          </cell>
          <cell r="F39" t="str">
            <v>PBT T104G GN217深绿</v>
          </cell>
          <cell r="G39">
            <v>1.0965</v>
          </cell>
          <cell r="H39">
            <v>1.0965</v>
          </cell>
          <cell r="I39">
            <v>1.0965</v>
          </cell>
          <cell r="J39">
            <v>1.0965</v>
          </cell>
          <cell r="K39">
            <v>1.1112</v>
          </cell>
          <cell r="L39">
            <v>1.1112</v>
          </cell>
          <cell r="M39">
            <v>1.1112</v>
          </cell>
          <cell r="N39">
            <v>1.1112</v>
          </cell>
          <cell r="O39">
            <v>1.14</v>
          </cell>
          <cell r="P39">
            <v>40802</v>
          </cell>
          <cell r="Q39">
            <v>30</v>
          </cell>
        </row>
        <row r="40">
          <cell r="E40" t="str">
            <v>Z1.1592</v>
          </cell>
          <cell r="F40" t="str">
            <v>3E0HT0101</v>
          </cell>
        </row>
        <row r="40">
          <cell r="Q40">
            <v>0.44</v>
          </cell>
        </row>
        <row r="41">
          <cell r="E41" t="str">
            <v>A1.1118</v>
          </cell>
          <cell r="F41" t="str">
            <v>APO-308(PP-GF20%+MF10)BK</v>
          </cell>
          <cell r="G41">
            <v>1.989</v>
          </cell>
          <cell r="H41">
            <v>1.989</v>
          </cell>
          <cell r="I41">
            <v>1.989</v>
          </cell>
          <cell r="J41">
            <v>1.989</v>
          </cell>
          <cell r="K41">
            <v>2.0505</v>
          </cell>
          <cell r="L41">
            <v>2.0505</v>
          </cell>
          <cell r="M41">
            <v>2.0505</v>
          </cell>
          <cell r="N41">
            <v>2.0505</v>
          </cell>
          <cell r="O41">
            <v>2.07</v>
          </cell>
          <cell r="P41">
            <v>41022</v>
          </cell>
          <cell r="Q41">
            <v>10.9</v>
          </cell>
        </row>
        <row r="42">
          <cell r="E42" t="str">
            <v>A1.1118</v>
          </cell>
          <cell r="F42" t="str">
            <v>APO-308(PP-GF20%+MF10)BK</v>
          </cell>
          <cell r="G42">
            <v>2.2</v>
          </cell>
          <cell r="H42">
            <v>2.2</v>
          </cell>
          <cell r="I42">
            <v>2.2</v>
          </cell>
          <cell r="J42">
            <v>2.2</v>
          </cell>
          <cell r="K42">
            <v>2.2284</v>
          </cell>
          <cell r="L42">
            <v>2.238</v>
          </cell>
          <cell r="M42">
            <v>2.3285</v>
          </cell>
          <cell r="N42">
            <v>2.3431</v>
          </cell>
          <cell r="O42">
            <v>2.3731</v>
          </cell>
          <cell r="P42">
            <v>41127</v>
          </cell>
          <cell r="Q42">
            <v>10.9</v>
          </cell>
        </row>
        <row r="43">
          <cell r="E43" t="str">
            <v>A1.1118</v>
          </cell>
          <cell r="F43" t="str">
            <v>APO-308(PP-GF20%+MF10)BK</v>
          </cell>
          <cell r="G43">
            <v>4.2477</v>
          </cell>
          <cell r="H43">
            <v>4.2477</v>
          </cell>
          <cell r="I43">
            <v>4.2477</v>
          </cell>
          <cell r="J43">
            <v>4.2477</v>
          </cell>
          <cell r="K43">
            <v>4.2936</v>
          </cell>
          <cell r="L43">
            <v>4.3091</v>
          </cell>
          <cell r="M43">
            <v>4.4913</v>
          </cell>
          <cell r="N43">
            <v>4.5147</v>
          </cell>
          <cell r="O43">
            <v>4.5628</v>
          </cell>
          <cell r="P43">
            <v>41127</v>
          </cell>
          <cell r="Q43">
            <v>10.9</v>
          </cell>
        </row>
        <row r="44">
          <cell r="E44" t="str">
            <v>A1.1118</v>
          </cell>
          <cell r="F44" t="str">
            <v>APO-308(PP-GF20%+MF10)BK</v>
          </cell>
          <cell r="G44">
            <v>4.0041</v>
          </cell>
          <cell r="H44">
            <v>4.0041</v>
          </cell>
          <cell r="I44">
            <v>4.0041</v>
          </cell>
          <cell r="J44">
            <v>4.0041</v>
          </cell>
          <cell r="K44">
            <v>4.0437</v>
          </cell>
          <cell r="L44">
            <v>4.057</v>
          </cell>
          <cell r="M44">
            <v>4.2493</v>
          </cell>
          <cell r="N44">
            <v>4.2696</v>
          </cell>
          <cell r="O44">
            <v>4.3115</v>
          </cell>
          <cell r="P44">
            <v>41127</v>
          </cell>
          <cell r="Q44">
            <v>10.9</v>
          </cell>
        </row>
        <row r="45">
          <cell r="E45" t="str">
            <v>A1.1118</v>
          </cell>
          <cell r="F45" t="str">
            <v>APO-308(PP-GF20%+MF10)BK</v>
          </cell>
          <cell r="G45">
            <v>4.0905</v>
          </cell>
          <cell r="H45">
            <v>4.0905</v>
          </cell>
          <cell r="I45">
            <v>4.0905</v>
          </cell>
          <cell r="J45">
            <v>4.0905</v>
          </cell>
          <cell r="K45">
            <v>4.1328</v>
          </cell>
          <cell r="L45">
            <v>4.147</v>
          </cell>
          <cell r="M45">
            <v>4.3395</v>
          </cell>
          <cell r="N45">
            <v>4.3612</v>
          </cell>
          <cell r="O45">
            <v>4.4059</v>
          </cell>
          <cell r="P45">
            <v>41127</v>
          </cell>
          <cell r="Q45">
            <v>10.9</v>
          </cell>
        </row>
        <row r="46">
          <cell r="E46" t="str">
            <v>A1.1118</v>
          </cell>
          <cell r="F46" t="str">
            <v>APO-308(PP-GF20%+MF10)BK</v>
          </cell>
          <cell r="G46">
            <v>4.3177</v>
          </cell>
          <cell r="H46">
            <v>4.3177</v>
          </cell>
          <cell r="I46">
            <v>4.3177</v>
          </cell>
          <cell r="J46">
            <v>4.3177</v>
          </cell>
          <cell r="K46">
            <v>4.367</v>
          </cell>
          <cell r="L46">
            <v>4.3836</v>
          </cell>
          <cell r="M46">
            <v>4.3836</v>
          </cell>
          <cell r="N46">
            <v>4.4059</v>
          </cell>
          <cell r="O46">
            <v>4.4059</v>
          </cell>
          <cell r="P46">
            <v>41127</v>
          </cell>
          <cell r="Q46">
            <v>10.9</v>
          </cell>
        </row>
        <row r="47">
          <cell r="E47" t="str">
            <v>A1.0887</v>
          </cell>
          <cell r="F47" t="str">
            <v>PA66 A3K NC</v>
          </cell>
          <cell r="G47">
            <v>0.1785</v>
          </cell>
          <cell r="H47">
            <v>0.1785</v>
          </cell>
          <cell r="I47">
            <v>0.1785</v>
          </cell>
          <cell r="J47">
            <v>0.1785</v>
          </cell>
          <cell r="K47">
            <v>0.1814</v>
          </cell>
          <cell r="L47">
            <v>0.1824</v>
          </cell>
          <cell r="M47">
            <v>0.1824</v>
          </cell>
          <cell r="N47">
            <v>0.1839</v>
          </cell>
          <cell r="O47">
            <v>0.187</v>
          </cell>
          <cell r="P47">
            <v>41142</v>
          </cell>
          <cell r="Q47">
            <v>35</v>
          </cell>
        </row>
        <row r="48">
          <cell r="E48" t="str">
            <v>A1.1079</v>
          </cell>
          <cell r="F48" t="str">
            <v>PA6 MG30 HSBK006</v>
          </cell>
          <cell r="G48">
            <v>7.7838</v>
          </cell>
          <cell r="H48">
            <v>7.7838</v>
          </cell>
          <cell r="I48">
            <v>7.7838</v>
          </cell>
          <cell r="J48">
            <v>7.7838</v>
          </cell>
          <cell r="K48">
            <v>7.837</v>
          </cell>
          <cell r="L48">
            <v>7.8549</v>
          </cell>
          <cell r="M48">
            <v>8.197</v>
          </cell>
          <cell r="N48">
            <v>8.2237</v>
          </cell>
          <cell r="O48">
            <v>8.278797264375</v>
          </cell>
          <cell r="P48">
            <v>41359</v>
          </cell>
          <cell r="Q48">
            <v>19.3</v>
          </cell>
        </row>
        <row r="49">
          <cell r="E49" t="str">
            <v>A1.1079</v>
          </cell>
          <cell r="F49" t="str">
            <v>PA6 MG30 HSBK006</v>
          </cell>
          <cell r="G49">
            <v>7.8379</v>
          </cell>
          <cell r="H49">
            <v>7.8379</v>
          </cell>
          <cell r="I49">
            <v>7.8379</v>
          </cell>
          <cell r="J49">
            <v>7.8379</v>
          </cell>
          <cell r="K49">
            <v>7.8956</v>
          </cell>
          <cell r="L49">
            <v>7.915</v>
          </cell>
          <cell r="M49">
            <v>8.2894</v>
          </cell>
          <cell r="N49">
            <v>8.319</v>
          </cell>
          <cell r="O49">
            <v>8.38</v>
          </cell>
          <cell r="P49">
            <v>41359</v>
          </cell>
          <cell r="Q49">
            <v>19.3</v>
          </cell>
        </row>
        <row r="50">
          <cell r="E50" t="str">
            <v>A1.1079</v>
          </cell>
          <cell r="F50" t="str">
            <v>PA6 MG30 HSBK006</v>
          </cell>
          <cell r="G50">
            <v>4.8551</v>
          </cell>
          <cell r="H50">
            <v>4.8551</v>
          </cell>
          <cell r="I50">
            <v>4.8551</v>
          </cell>
          <cell r="J50">
            <v>4.8551</v>
          </cell>
          <cell r="K50">
            <v>4.8895</v>
          </cell>
          <cell r="L50">
            <v>4.9011</v>
          </cell>
          <cell r="M50">
            <v>5.0819</v>
          </cell>
          <cell r="N50">
            <v>5.0987</v>
          </cell>
          <cell r="O50">
            <v>5.11</v>
          </cell>
          <cell r="P50">
            <v>41359</v>
          </cell>
          <cell r="Q50">
            <v>19.3</v>
          </cell>
        </row>
        <row r="51">
          <cell r="E51" t="str">
            <v>A1.1079</v>
          </cell>
          <cell r="F51" t="str">
            <v>PA6 MG30 HSBK006</v>
          </cell>
          <cell r="G51">
            <v>4.8422</v>
          </cell>
          <cell r="H51">
            <v>4.8422</v>
          </cell>
          <cell r="I51">
            <v>4.8422</v>
          </cell>
          <cell r="J51">
            <v>4.8422</v>
          </cell>
          <cell r="K51">
            <v>4.8762</v>
          </cell>
          <cell r="L51">
            <v>4.8877</v>
          </cell>
          <cell r="M51">
            <v>5.0819</v>
          </cell>
          <cell r="N51">
            <v>5.0987</v>
          </cell>
        </row>
        <row r="51">
          <cell r="Q51">
            <v>19.3</v>
          </cell>
        </row>
        <row r="52">
          <cell r="E52" t="str">
            <v>A1.1079</v>
          </cell>
          <cell r="F52" t="str">
            <v>PA6 MG30 HSBK006</v>
          </cell>
          <cell r="G52">
            <v>4.7474</v>
          </cell>
          <cell r="H52">
            <v>4.7474</v>
          </cell>
          <cell r="I52">
            <v>4.7474</v>
          </cell>
          <cell r="J52">
            <v>4.7474</v>
          </cell>
          <cell r="K52">
            <v>4.7785</v>
          </cell>
          <cell r="L52">
            <v>4.789</v>
          </cell>
          <cell r="M52">
            <v>5.0819</v>
          </cell>
          <cell r="N52">
            <v>5.0987</v>
          </cell>
          <cell r="O52">
            <v>5.11</v>
          </cell>
          <cell r="P52">
            <v>41359</v>
          </cell>
          <cell r="Q52">
            <v>19.3</v>
          </cell>
        </row>
        <row r="53">
          <cell r="E53" t="str">
            <v>A1.0017</v>
          </cell>
          <cell r="F53" t="str">
            <v>PP+20% P102T BK黑色</v>
          </cell>
          <cell r="G53">
            <v>0.4308</v>
          </cell>
          <cell r="H53">
            <v>0.4308</v>
          </cell>
          <cell r="I53">
            <v>0.4308</v>
          </cell>
          <cell r="J53">
            <v>0.4308</v>
          </cell>
          <cell r="K53">
            <v>0.4308</v>
          </cell>
          <cell r="L53">
            <v>0.4308</v>
          </cell>
          <cell r="M53">
            <v>0.4308</v>
          </cell>
          <cell r="N53">
            <v>0.4338</v>
          </cell>
          <cell r="O53">
            <v>0.44</v>
          </cell>
          <cell r="P53">
            <v>41395</v>
          </cell>
          <cell r="Q53">
            <v>9.15</v>
          </cell>
        </row>
        <row r="54">
          <cell r="E54" t="str">
            <v>A1.0017</v>
          </cell>
          <cell r="F54" t="str">
            <v>PP+20% P102T BK黑色</v>
          </cell>
          <cell r="G54">
            <v>0.3114</v>
          </cell>
          <cell r="H54">
            <v>0.3114</v>
          </cell>
          <cell r="I54">
            <v>0.3114</v>
          </cell>
          <cell r="J54">
            <v>0.3114</v>
          </cell>
          <cell r="K54">
            <v>0.3114</v>
          </cell>
          <cell r="L54">
            <v>0.3114</v>
          </cell>
          <cell r="M54">
            <v>0.3114</v>
          </cell>
          <cell r="N54">
            <v>0.3142</v>
          </cell>
          <cell r="O54">
            <v>0.32</v>
          </cell>
          <cell r="P54">
            <v>41395</v>
          </cell>
          <cell r="Q54">
            <v>9.15</v>
          </cell>
        </row>
        <row r="55">
          <cell r="E55" t="str">
            <v>A1.0017</v>
          </cell>
          <cell r="F55" t="str">
            <v>PP+20% P102T BK黑色</v>
          </cell>
          <cell r="G55">
            <v>0.3114</v>
          </cell>
          <cell r="H55">
            <v>0.3114</v>
          </cell>
          <cell r="I55">
            <v>0.3114</v>
          </cell>
          <cell r="J55">
            <v>0.3114</v>
          </cell>
          <cell r="K55">
            <v>0.3114</v>
          </cell>
          <cell r="L55">
            <v>0.3114</v>
          </cell>
          <cell r="M55">
            <v>0.3114</v>
          </cell>
          <cell r="N55">
            <v>0.3142</v>
          </cell>
          <cell r="O55">
            <v>0.32</v>
          </cell>
          <cell r="P55">
            <v>41395</v>
          </cell>
          <cell r="Q55">
            <v>9.15</v>
          </cell>
        </row>
        <row r="56">
          <cell r="E56" t="str">
            <v>A1.0676</v>
          </cell>
          <cell r="F56" t="str">
            <v>PP API-2203</v>
          </cell>
          <cell r="G56">
            <v>0.9397</v>
          </cell>
          <cell r="H56">
            <v>0.9397</v>
          </cell>
          <cell r="I56">
            <v>0.9397</v>
          </cell>
          <cell r="J56">
            <v>0.9397</v>
          </cell>
          <cell r="K56">
            <v>0.9397</v>
          </cell>
          <cell r="L56">
            <v>0.9397</v>
          </cell>
          <cell r="M56">
            <v>0.9397</v>
          </cell>
          <cell r="N56">
            <v>0.9463</v>
          </cell>
          <cell r="O56">
            <v>0.96</v>
          </cell>
          <cell r="P56">
            <v>40219</v>
          </cell>
          <cell r="Q56">
            <v>14.53</v>
          </cell>
        </row>
        <row r="57">
          <cell r="E57" t="str">
            <v>A1.0676</v>
          </cell>
          <cell r="F57" t="str">
            <v>PP API-2203</v>
          </cell>
          <cell r="G57">
            <v>1.2509</v>
          </cell>
          <cell r="H57">
            <v>1.2509</v>
          </cell>
          <cell r="I57">
            <v>1.2509</v>
          </cell>
          <cell r="J57">
            <v>1.2509</v>
          </cell>
          <cell r="K57">
            <v>1.2509</v>
          </cell>
          <cell r="L57">
            <v>1.2509</v>
          </cell>
          <cell r="M57">
            <v>1.2509</v>
          </cell>
          <cell r="N57">
            <v>1.2571</v>
          </cell>
          <cell r="O57">
            <v>1.27</v>
          </cell>
          <cell r="P57">
            <v>40219</v>
          </cell>
          <cell r="Q57">
            <v>14.53</v>
          </cell>
        </row>
        <row r="58">
          <cell r="E58" t="str">
            <v>A1.0017</v>
          </cell>
          <cell r="F58" t="str">
            <v>PP+20% P102T BK黑色</v>
          </cell>
          <cell r="G58">
            <v>0.3114</v>
          </cell>
          <cell r="H58">
            <v>0.3114</v>
          </cell>
          <cell r="I58">
            <v>0.3114</v>
          </cell>
          <cell r="J58">
            <v>0.3114</v>
          </cell>
          <cell r="K58">
            <v>0.3114</v>
          </cell>
          <cell r="L58">
            <v>0.3114</v>
          </cell>
          <cell r="M58">
            <v>0.3114</v>
          </cell>
          <cell r="N58">
            <v>0.3142</v>
          </cell>
          <cell r="O58">
            <v>0.32</v>
          </cell>
          <cell r="P58">
            <v>41395</v>
          </cell>
          <cell r="Q58">
            <v>9.15</v>
          </cell>
        </row>
        <row r="59">
          <cell r="E59" t="str">
            <v>A1.1119</v>
          </cell>
          <cell r="F59" t="str">
            <v>APO-308（PP-GF20%+MF10) 白色</v>
          </cell>
          <cell r="G59">
            <v>0.0502</v>
          </cell>
          <cell r="H59">
            <v>0.0502</v>
          </cell>
          <cell r="I59">
            <v>0.0502</v>
          </cell>
          <cell r="J59">
            <v>0.0502</v>
          </cell>
          <cell r="K59">
            <v>0.0515</v>
          </cell>
          <cell r="L59">
            <v>0.052</v>
          </cell>
          <cell r="M59">
            <v>0.0519</v>
          </cell>
          <cell r="N59">
            <v>0.0526</v>
          </cell>
          <cell r="O59">
            <v>0.054</v>
          </cell>
          <cell r="P59">
            <v>41395</v>
          </cell>
          <cell r="Q59">
            <v>10.9</v>
          </cell>
        </row>
        <row r="60">
          <cell r="E60" t="str">
            <v>A1.0833</v>
          </cell>
          <cell r="F60" t="str">
            <v>PP GF20 M10 BK (旭光)</v>
          </cell>
          <cell r="G60">
            <v>0.9092</v>
          </cell>
          <cell r="H60">
            <v>0.9092</v>
          </cell>
          <cell r="I60">
            <v>0.9092</v>
          </cell>
          <cell r="J60">
            <v>0.9092</v>
          </cell>
          <cell r="K60">
            <v>0.9198</v>
          </cell>
          <cell r="L60">
            <v>0.9234</v>
          </cell>
          <cell r="M60">
            <v>0.9234</v>
          </cell>
          <cell r="N60">
            <v>0.9288</v>
          </cell>
          <cell r="O60">
            <v>0.94</v>
          </cell>
          <cell r="P60">
            <v>41395</v>
          </cell>
          <cell r="Q60">
            <v>11.97</v>
          </cell>
        </row>
        <row r="61">
          <cell r="E61" t="str">
            <v>A1.0833</v>
          </cell>
          <cell r="F61" t="str">
            <v>PP GF20 M10 BK (旭光)</v>
          </cell>
          <cell r="G61">
            <v>1.1577</v>
          </cell>
          <cell r="H61">
            <v>1.1577</v>
          </cell>
          <cell r="I61">
            <v>1.1577</v>
          </cell>
          <cell r="J61">
            <v>1.1577</v>
          </cell>
          <cell r="K61">
            <v>1.1688</v>
          </cell>
          <cell r="L61">
            <v>1.1725</v>
          </cell>
          <cell r="M61">
            <v>1.1725</v>
          </cell>
          <cell r="N61">
            <v>1.1782</v>
          </cell>
          <cell r="O61">
            <v>1.19</v>
          </cell>
          <cell r="P61">
            <v>41395</v>
          </cell>
          <cell r="Q61">
            <v>11.97</v>
          </cell>
        </row>
        <row r="62">
          <cell r="E62" t="str">
            <v>A1.0993</v>
          </cell>
          <cell r="F62" t="str">
            <v>PP MD30黑色</v>
          </cell>
          <cell r="G62">
            <v>1.213</v>
          </cell>
          <cell r="H62">
            <v>1.213</v>
          </cell>
          <cell r="I62">
            <v>1.213</v>
          </cell>
          <cell r="J62">
            <v>1.213</v>
          </cell>
          <cell r="K62">
            <v>1.2242</v>
          </cell>
          <cell r="L62">
            <v>1.228</v>
          </cell>
          <cell r="M62">
            <v>1.228</v>
          </cell>
          <cell r="N62">
            <v>1.2352</v>
          </cell>
          <cell r="O62">
            <v>1.25</v>
          </cell>
          <cell r="P62">
            <v>41395</v>
          </cell>
          <cell r="Q62">
            <v>13.25</v>
          </cell>
        </row>
        <row r="63">
          <cell r="E63" t="str">
            <v>A1.0993</v>
          </cell>
          <cell r="F63" t="str">
            <v>PP MD30黑色</v>
          </cell>
          <cell r="G63">
            <v>1.393</v>
          </cell>
          <cell r="H63">
            <v>1.393</v>
          </cell>
          <cell r="I63">
            <v>1.393</v>
          </cell>
          <cell r="J63">
            <v>1.393</v>
          </cell>
          <cell r="K63">
            <v>1.4039</v>
          </cell>
          <cell r="L63">
            <v>1.4076</v>
          </cell>
          <cell r="M63">
            <v>1.4076</v>
          </cell>
          <cell r="N63">
            <v>1.4149</v>
          </cell>
          <cell r="O63">
            <v>1.43</v>
          </cell>
          <cell r="P63">
            <v>41395</v>
          </cell>
          <cell r="Q63">
            <v>13.25</v>
          </cell>
        </row>
        <row r="64">
          <cell r="E64" t="str">
            <v>A1.0993</v>
          </cell>
          <cell r="F64" t="str">
            <v>PP MD30黑色</v>
          </cell>
          <cell r="G64">
            <v>1.0671</v>
          </cell>
          <cell r="H64">
            <v>1.0671</v>
          </cell>
          <cell r="I64">
            <v>1.0671</v>
          </cell>
          <cell r="J64">
            <v>1.0671</v>
          </cell>
          <cell r="K64">
            <v>1.0771</v>
          </cell>
          <cell r="L64">
            <v>1.0805</v>
          </cell>
          <cell r="M64">
            <v>1.0805</v>
          </cell>
          <cell r="N64">
            <v>1.0869</v>
          </cell>
          <cell r="O64">
            <v>1.1</v>
          </cell>
          <cell r="P64">
            <v>41395</v>
          </cell>
          <cell r="Q64">
            <v>13.25</v>
          </cell>
        </row>
        <row r="65">
          <cell r="E65" t="str">
            <v>A1.0993</v>
          </cell>
          <cell r="F65" t="str">
            <v>PP MD30黑色</v>
          </cell>
          <cell r="G65">
            <v>2.3658</v>
          </cell>
          <cell r="H65">
            <v>2.3658</v>
          </cell>
          <cell r="I65">
            <v>2.3658</v>
          </cell>
          <cell r="J65">
            <v>2.3658</v>
          </cell>
          <cell r="K65">
            <v>2.3895</v>
          </cell>
          <cell r="L65">
            <v>2.3975</v>
          </cell>
          <cell r="M65">
            <v>2.2418</v>
          </cell>
          <cell r="N65">
            <v>2.2543</v>
          </cell>
          <cell r="O65">
            <v>2.28</v>
          </cell>
          <cell r="P65">
            <v>41395</v>
          </cell>
          <cell r="Q65">
            <v>13.25</v>
          </cell>
        </row>
        <row r="66">
          <cell r="E66" t="str">
            <v>A1.1086</v>
          </cell>
          <cell r="F66" t="str">
            <v>PA66 GF15 A101GH BK(旭光)</v>
          </cell>
          <cell r="G66">
            <v>0.8653</v>
          </cell>
          <cell r="H66">
            <v>0.8653</v>
          </cell>
          <cell r="I66">
            <v>0.8653</v>
          </cell>
          <cell r="J66">
            <v>0.8653</v>
          </cell>
          <cell r="K66">
            <v>0.8761</v>
          </cell>
          <cell r="L66">
            <v>0.8797</v>
          </cell>
          <cell r="M66">
            <v>1.143</v>
          </cell>
          <cell r="N66">
            <v>1.1486</v>
          </cell>
          <cell r="O66">
            <v>1.16</v>
          </cell>
          <cell r="P66">
            <v>41395</v>
          </cell>
          <cell r="Q66">
            <v>19.23</v>
          </cell>
        </row>
        <row r="67">
          <cell r="E67" t="str">
            <v>A1.0833</v>
          </cell>
          <cell r="F67" t="str">
            <v>PP GF20 M10 BK (旭光)</v>
          </cell>
          <cell r="G67">
            <v>2.0501</v>
          </cell>
          <cell r="H67">
            <v>2.0501</v>
          </cell>
          <cell r="I67">
            <v>2.0501</v>
          </cell>
          <cell r="J67">
            <v>2.0501</v>
          </cell>
          <cell r="K67">
            <v>2.0742</v>
          </cell>
          <cell r="L67">
            <v>2.0823</v>
          </cell>
          <cell r="M67">
            <v>2.0823</v>
          </cell>
          <cell r="N67">
            <v>2.0946</v>
          </cell>
          <cell r="O67">
            <v>2.12</v>
          </cell>
          <cell r="P67">
            <v>41395</v>
          </cell>
          <cell r="Q67">
            <v>11.97</v>
          </cell>
        </row>
        <row r="68">
          <cell r="E68" t="str">
            <v>A1.0833</v>
          </cell>
          <cell r="F68" t="str">
            <v>PP GF20 M10 BK (旭光)</v>
          </cell>
          <cell r="G68">
            <v>1.4804</v>
          </cell>
          <cell r="H68">
            <v>1.4804</v>
          </cell>
          <cell r="I68">
            <v>1.4804</v>
          </cell>
          <cell r="J68">
            <v>1.4804</v>
          </cell>
          <cell r="K68">
            <v>1.5009</v>
          </cell>
          <cell r="L68">
            <v>1.5078</v>
          </cell>
          <cell r="M68">
            <v>1.5078</v>
          </cell>
          <cell r="N68">
            <v>1.5183</v>
          </cell>
          <cell r="O68">
            <v>1.54</v>
          </cell>
          <cell r="P68">
            <v>41395</v>
          </cell>
          <cell r="Q68">
            <v>11.97</v>
          </cell>
        </row>
        <row r="69">
          <cell r="E69" t="str">
            <v>A1.0307</v>
          </cell>
          <cell r="F69" t="str">
            <v>PP GF30 P104G-LF BK (旭光)</v>
          </cell>
          <cell r="G69">
            <v>0.18</v>
          </cell>
          <cell r="H69">
            <v>0.18</v>
          </cell>
          <cell r="I69">
            <v>0.18</v>
          </cell>
          <cell r="J69">
            <v>0.18</v>
          </cell>
          <cell r="K69">
            <v>0.18</v>
          </cell>
          <cell r="L69">
            <v>0.18</v>
          </cell>
          <cell r="M69">
            <v>0.18</v>
          </cell>
          <cell r="N69">
            <v>0.18</v>
          </cell>
          <cell r="O69">
            <v>0.18</v>
          </cell>
          <cell r="P69">
            <v>40871</v>
          </cell>
          <cell r="Q69">
            <v>12.82</v>
          </cell>
        </row>
        <row r="70">
          <cell r="E70" t="str">
            <v>A1.0378</v>
          </cell>
          <cell r="F70" t="str">
            <v>PBT GL30 BK007</v>
          </cell>
          <cell r="G70">
            <v>0.34</v>
          </cell>
          <cell r="H70">
            <v>0.34</v>
          </cell>
          <cell r="I70">
            <v>0.34</v>
          </cell>
          <cell r="J70">
            <v>0.34</v>
          </cell>
          <cell r="K70">
            <v>0.34</v>
          </cell>
          <cell r="L70">
            <v>0.34</v>
          </cell>
          <cell r="M70">
            <v>0.34</v>
          </cell>
          <cell r="N70">
            <v>0.34</v>
          </cell>
          <cell r="O70">
            <v>0.34</v>
          </cell>
          <cell r="P70">
            <v>40871</v>
          </cell>
          <cell r="Q70">
            <v>20.51</v>
          </cell>
        </row>
        <row r="71">
          <cell r="E71" t="str">
            <v>A1.0378</v>
          </cell>
          <cell r="F71" t="str">
            <v>PBT GL30 BK007</v>
          </cell>
          <cell r="G71">
            <v>0.34</v>
          </cell>
          <cell r="H71">
            <v>0.34</v>
          </cell>
          <cell r="I71">
            <v>0.34</v>
          </cell>
          <cell r="J71">
            <v>0.34</v>
          </cell>
          <cell r="K71">
            <v>0.34</v>
          </cell>
          <cell r="L71">
            <v>0.34</v>
          </cell>
          <cell r="M71">
            <v>0.34</v>
          </cell>
          <cell r="N71">
            <v>0.34</v>
          </cell>
          <cell r="O71">
            <v>0.34</v>
          </cell>
          <cell r="P71">
            <v>40871</v>
          </cell>
          <cell r="Q71">
            <v>20.51</v>
          </cell>
        </row>
        <row r="72">
          <cell r="E72" t="str">
            <v>A1.0973</v>
          </cell>
          <cell r="F72" t="str">
            <v>ABS H02O31B7</v>
          </cell>
          <cell r="G72">
            <v>0.89</v>
          </cell>
          <cell r="H72">
            <v>0.89</v>
          </cell>
          <cell r="I72">
            <v>0.89</v>
          </cell>
          <cell r="J72">
            <v>0.89</v>
          </cell>
          <cell r="K72">
            <v>0.89</v>
          </cell>
          <cell r="L72">
            <v>0.89</v>
          </cell>
          <cell r="M72">
            <v>0.89</v>
          </cell>
          <cell r="N72">
            <v>0.89</v>
          </cell>
          <cell r="O72">
            <v>0.89</v>
          </cell>
          <cell r="P72">
            <v>41022</v>
          </cell>
          <cell r="Q72">
            <v>21.2</v>
          </cell>
        </row>
        <row r="73">
          <cell r="G73">
            <v>0.89</v>
          </cell>
          <cell r="H73">
            <v>0.89</v>
          </cell>
          <cell r="I73">
            <v>0.89</v>
          </cell>
          <cell r="J73">
            <v>0.89</v>
          </cell>
          <cell r="K73">
            <v>0.89</v>
          </cell>
          <cell r="L73">
            <v>0.89</v>
          </cell>
          <cell r="M73">
            <v>0.89</v>
          </cell>
          <cell r="N73">
            <v>0.89</v>
          </cell>
          <cell r="O73">
            <v>0.89</v>
          </cell>
          <cell r="P73">
            <v>41022</v>
          </cell>
          <cell r="Q73">
            <v>21.2</v>
          </cell>
        </row>
        <row r="74">
          <cell r="E74" t="str">
            <v>A1.0553</v>
          </cell>
          <cell r="F74" t="str">
            <v>POM F20-03</v>
          </cell>
          <cell r="G74">
            <v>0.12</v>
          </cell>
          <cell r="H74">
            <v>0.12</v>
          </cell>
          <cell r="I74">
            <v>0.12</v>
          </cell>
          <cell r="J74">
            <v>0.12</v>
          </cell>
          <cell r="K74">
            <v>0.12</v>
          </cell>
          <cell r="L74">
            <v>0.12</v>
          </cell>
          <cell r="M74">
            <v>0.12</v>
          </cell>
          <cell r="N74">
            <v>0.12</v>
          </cell>
          <cell r="O74">
            <v>0.12</v>
          </cell>
          <cell r="P74">
            <v>40848</v>
          </cell>
          <cell r="Q74">
            <v>19.53</v>
          </cell>
        </row>
        <row r="75">
          <cell r="E75" t="str">
            <v>A1.0067</v>
          </cell>
          <cell r="F75" t="str">
            <v>色母6070-8黑（唐纳利0.15:25）</v>
          </cell>
        </row>
        <row r="75">
          <cell r="Q75">
            <v>29.06</v>
          </cell>
        </row>
        <row r="76">
          <cell r="E76" t="str">
            <v>A1.0833</v>
          </cell>
          <cell r="F76" t="str">
            <v>PP GF20 M10 BK (旭光)</v>
          </cell>
          <cell r="G76">
            <v>0.9636</v>
          </cell>
          <cell r="H76">
            <v>0.9636</v>
          </cell>
          <cell r="I76">
            <v>0.9636</v>
          </cell>
          <cell r="J76">
            <v>0.8865</v>
          </cell>
          <cell r="K76">
            <v>0.8964</v>
          </cell>
          <cell r="L76">
            <v>0.8997</v>
          </cell>
          <cell r="M76">
            <v>0.8997</v>
          </cell>
          <cell r="N76">
            <v>0.8997</v>
          </cell>
          <cell r="O76">
            <v>0.91</v>
          </cell>
          <cell r="P76">
            <v>41768</v>
          </cell>
          <cell r="Q76">
            <v>11.97</v>
          </cell>
        </row>
        <row r="77">
          <cell r="E77" t="str">
            <v>A1.0833</v>
          </cell>
          <cell r="F77" t="str">
            <v>PP GF20 M10 BK (旭光)</v>
          </cell>
          <cell r="G77">
            <v>1.2688</v>
          </cell>
          <cell r="H77">
            <v>1.2688</v>
          </cell>
          <cell r="I77">
            <v>1.2688</v>
          </cell>
          <cell r="J77">
            <v>1.1165</v>
          </cell>
          <cell r="K77">
            <v>1.1264</v>
          </cell>
          <cell r="L77">
            <v>1.1297</v>
          </cell>
          <cell r="M77">
            <v>1.1297</v>
          </cell>
          <cell r="N77">
            <v>1.1297</v>
          </cell>
          <cell r="O77">
            <v>1.14</v>
          </cell>
          <cell r="P77">
            <v>41768</v>
          </cell>
          <cell r="Q77">
            <v>11.97</v>
          </cell>
        </row>
        <row r="78">
          <cell r="E78" t="str">
            <v>A1.0993</v>
          </cell>
          <cell r="F78" t="str">
            <v>PP MD30黑色</v>
          </cell>
          <cell r="G78">
            <v>1.4006</v>
          </cell>
          <cell r="H78">
            <v>1.4006</v>
          </cell>
          <cell r="I78">
            <v>1.4006</v>
          </cell>
          <cell r="J78">
            <v>1.303</v>
          </cell>
          <cell r="K78">
            <v>1.317</v>
          </cell>
          <cell r="L78">
            <v>1.3217</v>
          </cell>
          <cell r="M78">
            <v>1.1576</v>
          </cell>
          <cell r="N78">
            <v>1.1576</v>
          </cell>
          <cell r="O78">
            <v>1.17</v>
          </cell>
          <cell r="P78">
            <v>41768</v>
          </cell>
          <cell r="Q78">
            <v>13.25</v>
          </cell>
        </row>
        <row r="79">
          <cell r="E79" t="str">
            <v>A1.0993</v>
          </cell>
          <cell r="F79" t="str">
            <v>PP MD30黑色</v>
          </cell>
          <cell r="G79">
            <v>1.6973</v>
          </cell>
          <cell r="H79">
            <v>1.6973</v>
          </cell>
          <cell r="I79">
            <v>1.6973</v>
          </cell>
          <cell r="J79">
            <v>1.4242</v>
          </cell>
          <cell r="K79">
            <v>1.4361</v>
          </cell>
          <cell r="L79">
            <v>1.4401</v>
          </cell>
          <cell r="M79">
            <v>1.3276</v>
          </cell>
          <cell r="N79">
            <v>1.3276</v>
          </cell>
          <cell r="O79">
            <v>1.34</v>
          </cell>
          <cell r="P79">
            <v>41768</v>
          </cell>
          <cell r="Q79">
            <v>13.25</v>
          </cell>
        </row>
        <row r="80">
          <cell r="E80" t="str">
            <v>A1.0993</v>
          </cell>
          <cell r="F80" t="str">
            <v>PP MD30黑色</v>
          </cell>
          <cell r="G80">
            <v>1.2008</v>
          </cell>
          <cell r="H80">
            <v>1.2008</v>
          </cell>
          <cell r="I80">
            <v>1.2008</v>
          </cell>
          <cell r="J80">
            <v>1.1281</v>
          </cell>
          <cell r="K80">
            <v>1.14</v>
          </cell>
          <cell r="L80">
            <v>1.144</v>
          </cell>
          <cell r="M80">
            <v>1.0578</v>
          </cell>
          <cell r="N80">
            <v>1.0578</v>
          </cell>
          <cell r="O80">
            <v>1.07</v>
          </cell>
          <cell r="P80">
            <v>41768</v>
          </cell>
          <cell r="Q80">
            <v>13.25</v>
          </cell>
        </row>
        <row r="81">
          <cell r="E81" t="str">
            <v>A1.0993</v>
          </cell>
          <cell r="F81" t="str">
            <v>PP MD30黑色</v>
          </cell>
          <cell r="G81">
            <v>2.6544</v>
          </cell>
          <cell r="H81">
            <v>2.6544</v>
          </cell>
          <cell r="I81">
            <v>2.6544</v>
          </cell>
          <cell r="J81">
            <v>2.2362</v>
          </cell>
          <cell r="K81">
            <v>2.2559</v>
          </cell>
          <cell r="L81">
            <v>2.2625</v>
          </cell>
          <cell r="M81">
            <v>2.0797</v>
          </cell>
          <cell r="N81">
            <v>2.0797</v>
          </cell>
          <cell r="O81">
            <v>2.1</v>
          </cell>
          <cell r="P81">
            <v>41768</v>
          </cell>
          <cell r="Q81">
            <v>13.25</v>
          </cell>
        </row>
        <row r="82">
          <cell r="E82" t="str">
            <v>A1.1086</v>
          </cell>
          <cell r="F82" t="str">
            <v>PA66 GF15 A101GH BK(旭光)</v>
          </cell>
          <cell r="G82">
            <v>0.9819</v>
          </cell>
          <cell r="H82">
            <v>0.9819</v>
          </cell>
          <cell r="I82">
            <v>0.9819</v>
          </cell>
          <cell r="J82">
            <v>0.8306</v>
          </cell>
          <cell r="K82">
            <v>0.8404</v>
          </cell>
          <cell r="L82">
            <v>0.8437</v>
          </cell>
          <cell r="M82">
            <v>1.0904</v>
          </cell>
          <cell r="N82">
            <v>1.0904</v>
          </cell>
          <cell r="O82">
            <v>1.1</v>
          </cell>
          <cell r="P82">
            <v>41768</v>
          </cell>
          <cell r="Q82">
            <v>19.23</v>
          </cell>
        </row>
        <row r="83">
          <cell r="E83" t="str">
            <v>A1.0394</v>
          </cell>
          <cell r="F83" t="str">
            <v>PC 141R 111</v>
          </cell>
          <cell r="G83">
            <v>0.5577</v>
          </cell>
          <cell r="H83">
            <v>0.5577</v>
          </cell>
          <cell r="I83">
            <v>0.5577</v>
          </cell>
          <cell r="J83">
            <v>0.5577</v>
          </cell>
          <cell r="K83">
            <v>0.5577</v>
          </cell>
          <cell r="L83">
            <v>0.5577</v>
          </cell>
          <cell r="M83">
            <v>0.5577</v>
          </cell>
          <cell r="N83">
            <v>0.5577</v>
          </cell>
          <cell r="O83">
            <v>0.57</v>
          </cell>
          <cell r="P83">
            <v>40179</v>
          </cell>
          <cell r="Q83">
            <v>19.66</v>
          </cell>
        </row>
        <row r="84">
          <cell r="E84" t="str">
            <v>A1.0394</v>
          </cell>
          <cell r="F84" t="str">
            <v>PC 141R 111</v>
          </cell>
          <cell r="G84">
            <v>0.4377</v>
          </cell>
          <cell r="H84">
            <v>0.4377</v>
          </cell>
          <cell r="I84">
            <v>0.4377</v>
          </cell>
          <cell r="J84">
            <v>0.4377</v>
          </cell>
          <cell r="K84">
            <v>0.4377</v>
          </cell>
          <cell r="L84">
            <v>0.4377</v>
          </cell>
          <cell r="M84">
            <v>0.4377</v>
          </cell>
          <cell r="N84">
            <v>0.4377</v>
          </cell>
          <cell r="O84">
            <v>0.45</v>
          </cell>
          <cell r="P84">
            <v>40179</v>
          </cell>
          <cell r="Q84">
            <v>19.66</v>
          </cell>
        </row>
        <row r="85">
          <cell r="E85" t="str">
            <v>A1.0027</v>
          </cell>
          <cell r="F85" t="str">
            <v>PP+20%T P102T BT</v>
          </cell>
          <cell r="G85">
            <v>1.8656</v>
          </cell>
          <cell r="H85">
            <v>1.8656</v>
          </cell>
          <cell r="I85">
            <v>1.8656</v>
          </cell>
          <cell r="J85">
            <v>1.8656</v>
          </cell>
          <cell r="K85">
            <v>1.8656</v>
          </cell>
          <cell r="L85">
            <v>1.8656</v>
          </cell>
          <cell r="M85">
            <v>1.8656</v>
          </cell>
          <cell r="N85">
            <v>1.8656</v>
          </cell>
          <cell r="O85">
            <v>1.9</v>
          </cell>
          <cell r="P85">
            <v>40360</v>
          </cell>
          <cell r="Q85">
            <v>11</v>
          </cell>
        </row>
        <row r="86">
          <cell r="E86" t="str">
            <v>A6.0017</v>
          </cell>
          <cell r="F86" t="str">
            <v>PC 141R 701</v>
          </cell>
          <cell r="G86">
            <v>2.6188</v>
          </cell>
          <cell r="H86">
            <v>2.6188</v>
          </cell>
          <cell r="I86">
            <v>2.6188</v>
          </cell>
          <cell r="J86">
            <v>2.6188</v>
          </cell>
          <cell r="K86">
            <v>2.6188</v>
          </cell>
          <cell r="L86">
            <v>2.6188</v>
          </cell>
          <cell r="M86">
            <v>2.6188</v>
          </cell>
          <cell r="N86">
            <v>2.6188</v>
          </cell>
        </row>
        <row r="86">
          <cell r="P86">
            <v>42005</v>
          </cell>
          <cell r="Q86">
            <v>63.7</v>
          </cell>
        </row>
        <row r="87">
          <cell r="E87">
            <v>76046</v>
          </cell>
        </row>
        <row r="87">
          <cell r="G87">
            <v>1.0376</v>
          </cell>
          <cell r="H87">
            <v>1.0376</v>
          </cell>
          <cell r="I87">
            <v>1.0376</v>
          </cell>
          <cell r="J87">
            <v>1.0376</v>
          </cell>
          <cell r="K87">
            <v>1.0376</v>
          </cell>
          <cell r="L87">
            <v>1.0376</v>
          </cell>
          <cell r="M87">
            <v>1.0376</v>
          </cell>
          <cell r="N87">
            <v>1.0376</v>
          </cell>
          <cell r="O87">
            <v>1.058</v>
          </cell>
        </row>
        <row r="88">
          <cell r="E88">
            <v>76012</v>
          </cell>
        </row>
        <row r="88">
          <cell r="G88">
            <v>1.0751</v>
          </cell>
          <cell r="H88">
            <v>1.0751</v>
          </cell>
          <cell r="I88">
            <v>1.0751</v>
          </cell>
          <cell r="J88">
            <v>1.0751</v>
          </cell>
          <cell r="K88">
            <v>1.0751</v>
          </cell>
          <cell r="L88">
            <v>1.0751</v>
          </cell>
          <cell r="M88">
            <v>1.0751</v>
          </cell>
          <cell r="N88">
            <v>1.0751</v>
          </cell>
          <cell r="O88">
            <v>1.09</v>
          </cell>
        </row>
        <row r="89">
          <cell r="E89">
            <v>76001</v>
          </cell>
        </row>
        <row r="89">
          <cell r="G89">
            <v>0.5812</v>
          </cell>
          <cell r="H89">
            <v>0.5812</v>
          </cell>
          <cell r="I89">
            <v>0.5812</v>
          </cell>
          <cell r="J89">
            <v>0.5812</v>
          </cell>
          <cell r="K89">
            <v>0.5812</v>
          </cell>
          <cell r="L89">
            <v>0.5812</v>
          </cell>
          <cell r="M89">
            <v>0.5252</v>
          </cell>
          <cell r="N89">
            <v>0.5252</v>
          </cell>
          <cell r="O89">
            <v>0.54</v>
          </cell>
        </row>
        <row r="90">
          <cell r="E90">
            <v>76011</v>
          </cell>
        </row>
        <row r="90">
          <cell r="G90">
            <v>0.1844</v>
          </cell>
          <cell r="H90">
            <v>0.1844</v>
          </cell>
          <cell r="I90">
            <v>0.1844</v>
          </cell>
          <cell r="J90">
            <v>0.1844</v>
          </cell>
          <cell r="K90">
            <v>0.1844</v>
          </cell>
          <cell r="L90">
            <v>0.1844</v>
          </cell>
          <cell r="M90">
            <v>0.1844</v>
          </cell>
          <cell r="N90">
            <v>0.1844</v>
          </cell>
          <cell r="O90">
            <v>0.19</v>
          </cell>
        </row>
        <row r="91">
          <cell r="E91">
            <v>76010</v>
          </cell>
        </row>
        <row r="91">
          <cell r="G91">
            <v>0.2572</v>
          </cell>
          <cell r="H91">
            <v>0.2572</v>
          </cell>
          <cell r="I91">
            <v>0.2572</v>
          </cell>
          <cell r="J91">
            <v>0.2572</v>
          </cell>
          <cell r="K91">
            <v>0.2572</v>
          </cell>
          <cell r="L91">
            <v>0.2572</v>
          </cell>
          <cell r="M91">
            <v>0.2572</v>
          </cell>
          <cell r="N91">
            <v>0.2572</v>
          </cell>
          <cell r="O91">
            <v>0.265</v>
          </cell>
        </row>
        <row r="92">
          <cell r="E92">
            <v>76008</v>
          </cell>
        </row>
        <row r="92">
          <cell r="G92">
            <v>0.1372</v>
          </cell>
          <cell r="H92">
            <v>0.1372</v>
          </cell>
          <cell r="I92">
            <v>0.1372</v>
          </cell>
          <cell r="J92">
            <v>0.1372</v>
          </cell>
          <cell r="K92">
            <v>0.1372</v>
          </cell>
          <cell r="L92">
            <v>0.1372</v>
          </cell>
          <cell r="M92">
            <v>0.1372</v>
          </cell>
          <cell r="N92">
            <v>0.1372</v>
          </cell>
          <cell r="O92">
            <v>0.14</v>
          </cell>
        </row>
        <row r="93">
          <cell r="E93">
            <v>76009</v>
          </cell>
        </row>
        <row r="93">
          <cell r="G93">
            <v>0.1372</v>
          </cell>
          <cell r="H93">
            <v>0.1372</v>
          </cell>
          <cell r="I93">
            <v>0.1372</v>
          </cell>
          <cell r="J93">
            <v>0.1372</v>
          </cell>
          <cell r="K93">
            <v>0.1372</v>
          </cell>
          <cell r="L93">
            <v>0.1372</v>
          </cell>
          <cell r="M93">
            <v>0.1372</v>
          </cell>
          <cell r="N93">
            <v>0.1372</v>
          </cell>
          <cell r="O93">
            <v>0.14</v>
          </cell>
        </row>
        <row r="94">
          <cell r="E94">
            <v>76003</v>
          </cell>
        </row>
        <row r="94">
          <cell r="G94">
            <v>0.3398</v>
          </cell>
          <cell r="H94">
            <v>0.3398</v>
          </cell>
          <cell r="I94">
            <v>0.3398</v>
          </cell>
          <cell r="J94">
            <v>0.3398</v>
          </cell>
          <cell r="K94">
            <v>0.3398</v>
          </cell>
          <cell r="L94">
            <v>0.3398</v>
          </cell>
          <cell r="M94">
            <v>0.3398</v>
          </cell>
          <cell r="N94">
            <v>0.3398</v>
          </cell>
          <cell r="O94">
            <v>0.35</v>
          </cell>
        </row>
        <row r="95">
          <cell r="E95" t="str">
            <v>A1.1079</v>
          </cell>
          <cell r="F95" t="str">
            <v>PA6 MG30 HSBK006</v>
          </cell>
          <cell r="G95">
            <v>4.7474</v>
          </cell>
          <cell r="H95">
            <v>4.7474</v>
          </cell>
          <cell r="I95">
            <v>4.7474</v>
          </cell>
          <cell r="J95">
            <v>4.7474</v>
          </cell>
          <cell r="K95">
            <v>4.7785</v>
          </cell>
          <cell r="L95">
            <v>4.789</v>
          </cell>
          <cell r="M95">
            <v>5.0819</v>
          </cell>
          <cell r="N95">
            <v>5.0987</v>
          </cell>
          <cell r="O95">
            <v>5.11</v>
          </cell>
          <cell r="P95">
            <v>41359</v>
          </cell>
          <cell r="Q95">
            <v>19.3</v>
          </cell>
        </row>
        <row r="96">
          <cell r="E96" t="str">
            <v>A1.1118</v>
          </cell>
          <cell r="F96" t="str">
            <v>APO 308 BK001</v>
          </cell>
          <cell r="G96">
            <v>0.4222</v>
          </cell>
          <cell r="H96">
            <v>0.4222</v>
          </cell>
          <cell r="I96">
            <v>0.4222</v>
          </cell>
          <cell r="J96">
            <v>0.4222</v>
          </cell>
          <cell r="K96">
            <v>0.428</v>
          </cell>
          <cell r="L96">
            <v>0.43</v>
          </cell>
          <cell r="M96">
            <v>0.43</v>
          </cell>
        </row>
        <row r="96">
          <cell r="P96">
            <v>42901</v>
          </cell>
          <cell r="Q96">
            <v>10.9</v>
          </cell>
        </row>
        <row r="97">
          <cell r="E97" t="str">
            <v>A1.1118</v>
          </cell>
          <cell r="F97" t="str">
            <v>APO 308 BK001</v>
          </cell>
          <cell r="G97">
            <v>0.4418</v>
          </cell>
          <cell r="H97">
            <v>0.4418</v>
          </cell>
          <cell r="I97">
            <v>0.4418</v>
          </cell>
          <cell r="J97">
            <v>0.4418</v>
          </cell>
          <cell r="K97">
            <v>0.4479</v>
          </cell>
          <cell r="L97">
            <v>0.45</v>
          </cell>
          <cell r="M97">
            <v>0.45</v>
          </cell>
        </row>
        <row r="97">
          <cell r="P97">
            <v>42901</v>
          </cell>
          <cell r="Q97">
            <v>10.9</v>
          </cell>
        </row>
        <row r="98">
          <cell r="E98" t="str">
            <v>A1.1118</v>
          </cell>
          <cell r="F98" t="str">
            <v>APO-308(PP-GF20%+MF10)BK</v>
          </cell>
          <cell r="G98">
            <v>1.1831</v>
          </cell>
          <cell r="H98">
            <v>1.1831</v>
          </cell>
          <cell r="I98">
            <v>1.1831</v>
          </cell>
          <cell r="J98">
            <v>1.116</v>
          </cell>
          <cell r="K98">
            <v>1.132</v>
          </cell>
        </row>
        <row r="98">
          <cell r="P98">
            <v>43252</v>
          </cell>
          <cell r="Q98">
            <v>10.9</v>
          </cell>
        </row>
        <row r="99">
          <cell r="E99" t="str">
            <v>A1.1118</v>
          </cell>
          <cell r="F99" t="str">
            <v>APO-308(PP-GF20%+MF10)BK</v>
          </cell>
          <cell r="G99">
            <v>1.1145</v>
          </cell>
          <cell r="H99">
            <v>1.1145</v>
          </cell>
          <cell r="I99">
            <v>1.1145</v>
          </cell>
          <cell r="J99">
            <v>1.042</v>
          </cell>
          <cell r="K99">
            <v>1.061</v>
          </cell>
        </row>
        <row r="99">
          <cell r="P99">
            <v>43252</v>
          </cell>
          <cell r="Q99">
            <v>10.9</v>
          </cell>
        </row>
        <row r="100">
          <cell r="E100" t="str">
            <v>A1.0852</v>
          </cell>
          <cell r="F100" t="str">
            <v>ABS HAC8260  KI951930</v>
          </cell>
          <cell r="G100">
            <v>3.9763</v>
          </cell>
          <cell r="H100">
            <v>3.9763</v>
          </cell>
          <cell r="I100">
            <v>4.0175</v>
          </cell>
          <cell r="J100">
            <v>4.0175</v>
          </cell>
          <cell r="K100">
            <v>4.0493</v>
          </cell>
          <cell r="L100">
            <v>4.06</v>
          </cell>
          <cell r="M100">
            <v>4.06</v>
          </cell>
        </row>
        <row r="100">
          <cell r="P100">
            <v>42901</v>
          </cell>
          <cell r="Q100">
            <v>23.5</v>
          </cell>
        </row>
        <row r="101">
          <cell r="E101" t="str">
            <v>A1.0853</v>
          </cell>
          <cell r="F101" t="str">
            <v>PP C650L-638B-EA9</v>
          </cell>
        </row>
        <row r="101">
          <cell r="I101">
            <v>5.81</v>
          </cell>
          <cell r="J101">
            <v>5.81</v>
          </cell>
          <cell r="K101">
            <v>5.81</v>
          </cell>
          <cell r="L101">
            <v>5.81</v>
          </cell>
          <cell r="M101">
            <v>5.81</v>
          </cell>
        </row>
        <row r="101">
          <cell r="P101">
            <v>42901</v>
          </cell>
          <cell r="Q101">
            <v>13.8</v>
          </cell>
        </row>
        <row r="102">
          <cell r="E102" t="str">
            <v>A1.0853</v>
          </cell>
          <cell r="F102" t="str">
            <v>PP C650L-638B-EA9</v>
          </cell>
          <cell r="G102">
            <v>7.4697</v>
          </cell>
          <cell r="H102">
            <v>7.4697</v>
          </cell>
          <cell r="I102">
            <v>7.612</v>
          </cell>
          <cell r="J102">
            <v>7.612</v>
          </cell>
          <cell r="K102">
            <v>7.6725</v>
          </cell>
          <cell r="L102">
            <v>7.69</v>
          </cell>
          <cell r="M102">
            <v>7.69</v>
          </cell>
        </row>
        <row r="102">
          <cell r="P102">
            <v>42901</v>
          </cell>
          <cell r="Q102">
            <v>13.8</v>
          </cell>
        </row>
        <row r="103">
          <cell r="E103" t="str">
            <v>Z1.0033</v>
          </cell>
          <cell r="F103" t="str">
            <v>20*125*80</v>
          </cell>
        </row>
        <row r="103">
          <cell r="P103">
            <v>42901</v>
          </cell>
          <cell r="Q103">
            <v>1.1</v>
          </cell>
        </row>
        <row r="104">
          <cell r="E104" t="str">
            <v>Z1.1308</v>
          </cell>
          <cell r="F104" t="str">
            <v>XOCA50801-Y204(富士通E201环保)</v>
          </cell>
        </row>
        <row r="104">
          <cell r="P104">
            <v>42901</v>
          </cell>
          <cell r="Q104">
            <v>0.5</v>
          </cell>
        </row>
        <row r="105">
          <cell r="E105" t="str">
            <v>A1.1862</v>
          </cell>
          <cell r="F105" t="str">
            <v>PA66-I ZYTEL MT409AHS BK010</v>
          </cell>
        </row>
        <row r="105">
          <cell r="I105">
            <v>7.8197</v>
          </cell>
          <cell r="J105">
            <v>8.0615</v>
          </cell>
          <cell r="K105">
            <v>8.2158</v>
          </cell>
          <cell r="L105">
            <v>8.23</v>
          </cell>
          <cell r="M105">
            <v>8.23</v>
          </cell>
        </row>
        <row r="105">
          <cell r="P105">
            <v>43040</v>
          </cell>
          <cell r="Q105">
            <v>43.16</v>
          </cell>
        </row>
        <row r="106">
          <cell r="E106" t="str">
            <v>Z1.0326</v>
          </cell>
          <cell r="F106" t="str">
            <v>BOXCONFR贴膜</v>
          </cell>
        </row>
        <row r="106">
          <cell r="P106">
            <v>43040</v>
          </cell>
          <cell r="Q106">
            <v>0.53</v>
          </cell>
        </row>
        <row r="107">
          <cell r="E107" t="str">
            <v>A1.1353</v>
          </cell>
          <cell r="F107" t="str">
            <v>PA6 GF10-M20</v>
          </cell>
        </row>
        <row r="107">
          <cell r="I107">
            <v>34.7899</v>
          </cell>
          <cell r="J107">
            <v>34.7899</v>
          </cell>
          <cell r="K107">
            <v>35.0338</v>
          </cell>
          <cell r="L107">
            <v>40.07</v>
          </cell>
          <cell r="M107">
            <v>40.07</v>
          </cell>
        </row>
        <row r="107">
          <cell r="P107">
            <v>43040</v>
          </cell>
          <cell r="Q107">
            <v>21</v>
          </cell>
        </row>
        <row r="108">
          <cell r="E108" t="str">
            <v>Z1.0304</v>
          </cell>
          <cell r="F108" t="str">
            <v>E10681900</v>
          </cell>
        </row>
        <row r="108">
          <cell r="P108">
            <v>43040</v>
          </cell>
          <cell r="Q108">
            <v>8.23</v>
          </cell>
        </row>
        <row r="109">
          <cell r="E109" t="str">
            <v>Z1.0305</v>
          </cell>
          <cell r="F109" t="str">
            <v>E10881800</v>
          </cell>
        </row>
        <row r="109">
          <cell r="P109">
            <v>43040</v>
          </cell>
          <cell r="Q109">
            <v>0.88</v>
          </cell>
        </row>
        <row r="110">
          <cell r="E110" t="str">
            <v>Z1.0306</v>
          </cell>
          <cell r="F110" t="str">
            <v>E10682100</v>
          </cell>
        </row>
        <row r="110">
          <cell r="P110">
            <v>43040</v>
          </cell>
          <cell r="Q110">
            <v>7.5</v>
          </cell>
        </row>
        <row r="111">
          <cell r="E111" t="str">
            <v>Z1.0307</v>
          </cell>
          <cell r="F111" t="str">
            <v>E6679200</v>
          </cell>
        </row>
        <row r="111">
          <cell r="P111">
            <v>43040</v>
          </cell>
          <cell r="Q111">
            <v>0.44</v>
          </cell>
        </row>
        <row r="112">
          <cell r="E112" t="str">
            <v>Z1.0308</v>
          </cell>
          <cell r="F112" t="str">
            <v>E10629100</v>
          </cell>
        </row>
        <row r="112">
          <cell r="P112">
            <v>43040</v>
          </cell>
          <cell r="Q112">
            <v>0.38</v>
          </cell>
        </row>
        <row r="113">
          <cell r="E113" t="str">
            <v>Z1.0309</v>
          </cell>
          <cell r="F113" t="str">
            <v>E11006400</v>
          </cell>
        </row>
        <row r="113">
          <cell r="P113">
            <v>43040</v>
          </cell>
          <cell r="Q113">
            <v>0.61</v>
          </cell>
        </row>
        <row r="114">
          <cell r="E114" t="str">
            <v>Z1.0311</v>
          </cell>
          <cell r="F114" t="str">
            <v>E02564600</v>
          </cell>
        </row>
        <row r="114">
          <cell r="P114">
            <v>43040</v>
          </cell>
          <cell r="Q114">
            <v>0.63</v>
          </cell>
        </row>
        <row r="115">
          <cell r="E115" t="str">
            <v>Z1.0310</v>
          </cell>
          <cell r="F115" t="str">
            <v>E02540300</v>
          </cell>
        </row>
        <row r="115">
          <cell r="M115">
            <v>8396.19</v>
          </cell>
        </row>
        <row r="115">
          <cell r="P115">
            <v>43040</v>
          </cell>
          <cell r="Q115">
            <v>0.77</v>
          </cell>
        </row>
        <row r="116">
          <cell r="E116" t="str">
            <v>A1.1352</v>
          </cell>
          <cell r="F116" t="str">
            <v>PA66-I ZYTEL MT409AHS BK010</v>
          </cell>
        </row>
        <row r="116">
          <cell r="I116">
            <v>8.0615</v>
          </cell>
          <cell r="J116">
            <v>8.0615</v>
          </cell>
        </row>
        <row r="116">
          <cell r="P116">
            <v>43666</v>
          </cell>
        </row>
        <row r="117">
          <cell r="E117" t="str">
            <v>Z1.0326</v>
          </cell>
          <cell r="F117" t="str">
            <v>BOXCONFR贴膜</v>
          </cell>
        </row>
        <row r="117">
          <cell r="Q117">
            <v>0.53</v>
          </cell>
        </row>
        <row r="118">
          <cell r="G118">
            <v>33.3097</v>
          </cell>
          <cell r="H118">
            <v>33.6097</v>
          </cell>
          <cell r="I118">
            <v>33.9064</v>
          </cell>
          <cell r="J118">
            <v>33.9064</v>
          </cell>
        </row>
        <row r="118">
          <cell r="P118">
            <v>43709</v>
          </cell>
        </row>
        <row r="119">
          <cell r="E119" t="str">
            <v>Z1.0435</v>
          </cell>
          <cell r="F119" t="str">
            <v>E13864600</v>
          </cell>
          <cell r="G119">
            <v>33.3097</v>
          </cell>
          <cell r="H119">
            <v>33.6097</v>
          </cell>
        </row>
        <row r="119">
          <cell r="P119">
            <v>43666</v>
          </cell>
          <cell r="Q119">
            <v>0.63</v>
          </cell>
        </row>
        <row r="120">
          <cell r="E120" t="str">
            <v>Z1.0436</v>
          </cell>
          <cell r="F120" t="str">
            <v>E13865200</v>
          </cell>
        </row>
        <row r="120">
          <cell r="P120">
            <v>43666</v>
          </cell>
          <cell r="Q120">
            <v>0.77</v>
          </cell>
        </row>
        <row r="121">
          <cell r="E121" t="str">
            <v>Z1.0448</v>
          </cell>
          <cell r="F121" t="str">
            <v>E14383300(E10681900)</v>
          </cell>
        </row>
        <row r="121">
          <cell r="P121">
            <v>43666</v>
          </cell>
          <cell r="Q121">
            <v>8.23</v>
          </cell>
        </row>
        <row r="122">
          <cell r="E122" t="str">
            <v>Z1.0449</v>
          </cell>
          <cell r="F122" t="str">
            <v>E14383600(E10881800)</v>
          </cell>
        </row>
        <row r="122">
          <cell r="P122">
            <v>43666</v>
          </cell>
          <cell r="Q122">
            <v>0.88</v>
          </cell>
        </row>
        <row r="123">
          <cell r="E123" t="str">
            <v>Z1.0450</v>
          </cell>
          <cell r="F123" t="str">
            <v>E14383500(E10682100)</v>
          </cell>
        </row>
        <row r="123">
          <cell r="P123">
            <v>43666</v>
          </cell>
          <cell r="Q123">
            <v>7.5</v>
          </cell>
        </row>
        <row r="124">
          <cell r="E124" t="str">
            <v>Z1.0451</v>
          </cell>
          <cell r="F124" t="str">
            <v>E14383000(E6679200)</v>
          </cell>
        </row>
        <row r="124">
          <cell r="P124">
            <v>43666</v>
          </cell>
          <cell r="Q124">
            <v>0.44</v>
          </cell>
        </row>
        <row r="125">
          <cell r="E125" t="str">
            <v>Z1.0452</v>
          </cell>
          <cell r="F125" t="str">
            <v>E14382900(E10629100)</v>
          </cell>
        </row>
        <row r="125">
          <cell r="P125">
            <v>43666</v>
          </cell>
          <cell r="Q125">
            <v>0.38</v>
          </cell>
        </row>
        <row r="126">
          <cell r="E126" t="str">
            <v>Z1.0453</v>
          </cell>
          <cell r="F126" t="str">
            <v>E14383700(E11006400)</v>
          </cell>
        </row>
        <row r="126">
          <cell r="P126">
            <v>43666</v>
          </cell>
          <cell r="Q126">
            <v>0.61</v>
          </cell>
        </row>
        <row r="127">
          <cell r="E127" t="str">
            <v>A1.1352</v>
          </cell>
          <cell r="F127" t="str">
            <v>PA66-I ZYTEL MT409AHS BK010</v>
          </cell>
          <cell r="G127">
            <v>7.399</v>
          </cell>
          <cell r="H127">
            <v>7.699</v>
          </cell>
          <cell r="I127">
            <v>8.0615</v>
          </cell>
          <cell r="J127">
            <v>8.0615</v>
          </cell>
        </row>
        <row r="128">
          <cell r="E128" t="str">
            <v>Z1.0326</v>
          </cell>
          <cell r="F128" t="str">
            <v>BOXCONFR贴膜</v>
          </cell>
        </row>
        <row r="129">
          <cell r="G129">
            <v>13.12</v>
          </cell>
          <cell r="H129">
            <v>13.12</v>
          </cell>
        </row>
        <row r="129">
          <cell r="P129">
            <v>44301</v>
          </cell>
        </row>
        <row r="130">
          <cell r="E130" t="str">
            <v>A1.1322</v>
          </cell>
          <cell r="F130" t="str">
            <v>PP C3322T M12F CB987KS</v>
          </cell>
          <cell r="G130">
            <v>8.6</v>
          </cell>
          <cell r="H130">
            <v>8.6</v>
          </cell>
        </row>
        <row r="130">
          <cell r="P130">
            <v>44301</v>
          </cell>
          <cell r="Q130">
            <v>13.252</v>
          </cell>
        </row>
        <row r="131">
          <cell r="E131" t="str">
            <v>Z1.0166</v>
          </cell>
          <cell r="F131" t="str">
            <v>CD539前门窗框饰条泡沫胶带1753*10*2</v>
          </cell>
        </row>
        <row r="131">
          <cell r="P131">
            <v>44301</v>
          </cell>
          <cell r="Q131">
            <v>1.609</v>
          </cell>
        </row>
        <row r="132">
          <cell r="E132" t="str">
            <v>Z1.0167</v>
          </cell>
          <cell r="F132" t="str">
            <v>CD539前门窗框饰条新增泡沫块--25*25*10</v>
          </cell>
        </row>
        <row r="132">
          <cell r="P132">
            <v>44301</v>
          </cell>
          <cell r="Q132">
            <v>0.109</v>
          </cell>
        </row>
        <row r="133">
          <cell r="E133" t="str">
            <v>Z1.0222</v>
          </cell>
          <cell r="F133" t="str">
            <v>CD539塑料卡钉 W712792</v>
          </cell>
        </row>
        <row r="133">
          <cell r="P133">
            <v>44301</v>
          </cell>
          <cell r="Q133">
            <v>0.2784</v>
          </cell>
        </row>
        <row r="134">
          <cell r="E134" t="str">
            <v>Z1.0169</v>
          </cell>
          <cell r="F134" t="str">
            <v>CD539前后门窗框饰条扁平橡胶泡沫11*5*1.6</v>
          </cell>
        </row>
        <row r="134">
          <cell r="P134">
            <v>44301</v>
          </cell>
          <cell r="Q134">
            <v>0.046</v>
          </cell>
        </row>
        <row r="135">
          <cell r="E135" t="str">
            <v>Z1.0168</v>
          </cell>
          <cell r="F135" t="str">
            <v>CD539前门窗框饰条新增泡沫块--25*10*6</v>
          </cell>
        </row>
        <row r="135">
          <cell r="P135">
            <v>44301</v>
          </cell>
          <cell r="Q135">
            <v>0.055</v>
          </cell>
        </row>
        <row r="136">
          <cell r="F136" t="str">
            <v>K520胶水</v>
          </cell>
        </row>
        <row r="136">
          <cell r="P136">
            <v>44301</v>
          </cell>
          <cell r="Q136">
            <v>450</v>
          </cell>
        </row>
        <row r="137">
          <cell r="E137" t="str">
            <v>Z1.0191</v>
          </cell>
          <cell r="F137" t="str">
            <v>CD539前门窗框饰条泡沫条--90*10*3</v>
          </cell>
        </row>
        <row r="137">
          <cell r="P137">
            <v>44301</v>
          </cell>
          <cell r="Q137">
            <v>0.101</v>
          </cell>
        </row>
        <row r="138">
          <cell r="E138" t="str">
            <v>Z1.0192</v>
          </cell>
          <cell r="F138" t="str">
            <v>CD539前门窗框饰条泡沫条--180*10*3</v>
          </cell>
        </row>
        <row r="138">
          <cell r="P138">
            <v>44301</v>
          </cell>
          <cell r="Q138">
            <v>0.173</v>
          </cell>
        </row>
        <row r="139">
          <cell r="G139">
            <v>13.12</v>
          </cell>
          <cell r="H139">
            <v>13.12</v>
          </cell>
        </row>
        <row r="139">
          <cell r="P139">
            <v>44301</v>
          </cell>
        </row>
        <row r="140">
          <cell r="E140" t="str">
            <v>A1.1322</v>
          </cell>
          <cell r="F140" t="str">
            <v>PP C3322T M12F CB987KS</v>
          </cell>
          <cell r="G140">
            <v>8.6</v>
          </cell>
          <cell r="H140">
            <v>8.6</v>
          </cell>
        </row>
        <row r="140">
          <cell r="P140">
            <v>44301</v>
          </cell>
          <cell r="Q140">
            <v>13.252</v>
          </cell>
        </row>
        <row r="141">
          <cell r="E141" t="str">
            <v>Z1.0166</v>
          </cell>
          <cell r="F141" t="str">
            <v>CD539前门窗框饰条泡沫胶带1753*10*2</v>
          </cell>
        </row>
        <row r="141">
          <cell r="P141">
            <v>44301</v>
          </cell>
          <cell r="Q141">
            <v>1.609</v>
          </cell>
        </row>
        <row r="142">
          <cell r="E142" t="str">
            <v>Z1.0167</v>
          </cell>
          <cell r="F142" t="str">
            <v>CD539前门窗框饰条新增泡沫块--25*25*10</v>
          </cell>
        </row>
        <row r="142">
          <cell r="P142">
            <v>44301</v>
          </cell>
          <cell r="Q142">
            <v>0.109</v>
          </cell>
        </row>
        <row r="143">
          <cell r="E143" t="str">
            <v>Z1.0222</v>
          </cell>
          <cell r="F143" t="str">
            <v>CD539塑料卡钉 W712792</v>
          </cell>
        </row>
        <row r="143">
          <cell r="P143">
            <v>44301</v>
          </cell>
          <cell r="Q143">
            <v>0.2784</v>
          </cell>
        </row>
        <row r="144">
          <cell r="E144" t="str">
            <v>Z1.0169</v>
          </cell>
          <cell r="F144" t="str">
            <v>CD539前后门窗框饰条扁平橡胶泡沫11*5*1.6</v>
          </cell>
        </row>
        <row r="144">
          <cell r="P144">
            <v>44301</v>
          </cell>
          <cell r="Q144">
            <v>0.046</v>
          </cell>
        </row>
        <row r="145">
          <cell r="E145" t="str">
            <v>Z1.0168</v>
          </cell>
          <cell r="F145" t="str">
            <v>CD539前门窗框饰条新增泡沫块--25*10*6</v>
          </cell>
        </row>
        <row r="145">
          <cell r="P145">
            <v>44301</v>
          </cell>
          <cell r="Q145">
            <v>0.055</v>
          </cell>
        </row>
        <row r="146">
          <cell r="F146" t="str">
            <v>K520胶水</v>
          </cell>
        </row>
        <row r="146">
          <cell r="P146">
            <v>44301</v>
          </cell>
          <cell r="Q146">
            <v>450</v>
          </cell>
        </row>
        <row r="147">
          <cell r="E147" t="str">
            <v>Z1.0191</v>
          </cell>
          <cell r="F147" t="str">
            <v>CD539前门窗框饰条泡沫条--90*10*3</v>
          </cell>
        </row>
        <row r="147">
          <cell r="P147">
            <v>44301</v>
          </cell>
          <cell r="Q147">
            <v>0.101</v>
          </cell>
        </row>
        <row r="148">
          <cell r="E148" t="str">
            <v>Z1.0192</v>
          </cell>
          <cell r="F148" t="str">
            <v>CD539前门窗框饰条泡沫条--180*10*3</v>
          </cell>
        </row>
        <row r="148">
          <cell r="P148">
            <v>44301</v>
          </cell>
          <cell r="Q148">
            <v>0.173</v>
          </cell>
        </row>
        <row r="149">
          <cell r="G149">
            <v>13.32</v>
          </cell>
          <cell r="H149">
            <v>13.32</v>
          </cell>
        </row>
        <row r="149">
          <cell r="P149">
            <v>44301</v>
          </cell>
        </row>
        <row r="150">
          <cell r="E150" t="str">
            <v>A1.1322</v>
          </cell>
          <cell r="F150" t="str">
            <v>PP C3322T M12F CB987KS</v>
          </cell>
          <cell r="G150">
            <v>8.96</v>
          </cell>
          <cell r="H150">
            <v>8.96</v>
          </cell>
        </row>
        <row r="150">
          <cell r="P150">
            <v>44301</v>
          </cell>
          <cell r="Q150">
            <v>13.25</v>
          </cell>
        </row>
        <row r="151">
          <cell r="E151" t="str">
            <v>Z1.0167</v>
          </cell>
          <cell r="F151" t="str">
            <v>CD539前后门窗框饰条泡沫块25*25*10</v>
          </cell>
        </row>
        <row r="151">
          <cell r="P151">
            <v>44301</v>
          </cell>
          <cell r="Q151">
            <v>0.1092</v>
          </cell>
        </row>
        <row r="152">
          <cell r="E152" t="str">
            <v>Z1.0222</v>
          </cell>
          <cell r="F152" t="str">
            <v>CD539塑料卡钉 W712792</v>
          </cell>
        </row>
        <row r="152">
          <cell r="P152">
            <v>44301</v>
          </cell>
          <cell r="Q152">
            <v>0.2784</v>
          </cell>
        </row>
        <row r="153">
          <cell r="E153" t="str">
            <v>Z1.0170</v>
          </cell>
          <cell r="F153" t="str">
            <v>后门窗框饰条泡沫胶带</v>
          </cell>
        </row>
        <row r="153">
          <cell r="P153">
            <v>44301</v>
          </cell>
          <cell r="Q153">
            <v>1.540942</v>
          </cell>
        </row>
        <row r="154">
          <cell r="E154" t="str">
            <v>Z1.0169</v>
          </cell>
          <cell r="F154" t="str">
            <v>CD539前后门窗框饰条扁平橡胶泡沫11*5*1.6</v>
          </cell>
        </row>
        <row r="154">
          <cell r="P154">
            <v>44301</v>
          </cell>
          <cell r="Q154">
            <v>0.046</v>
          </cell>
        </row>
        <row r="155">
          <cell r="E155" t="str">
            <v>Z1.0172</v>
          </cell>
          <cell r="F155" t="str">
            <v>泡沫垫片</v>
          </cell>
        </row>
        <row r="155">
          <cell r="P155">
            <v>44301</v>
          </cell>
          <cell r="Q155">
            <v>0.164997</v>
          </cell>
        </row>
        <row r="156">
          <cell r="E156" t="str">
            <v>Z1.0171</v>
          </cell>
          <cell r="F156" t="str">
            <v>CD539后门窗框饰条新增泡沫块</v>
          </cell>
        </row>
        <row r="156">
          <cell r="P156">
            <v>44301</v>
          </cell>
          <cell r="Q156">
            <v>0.063826</v>
          </cell>
        </row>
        <row r="157">
          <cell r="F157" t="str">
            <v> 胶水</v>
          </cell>
        </row>
        <row r="157">
          <cell r="P157">
            <v>44301</v>
          </cell>
          <cell r="Q157">
            <v>450</v>
          </cell>
        </row>
        <row r="158">
          <cell r="E158" t="str">
            <v>Z1.0193</v>
          </cell>
          <cell r="F158" t="str">
            <v>后门窗饰条毛毡 80*7*0.5</v>
          </cell>
        </row>
        <row r="158">
          <cell r="P158">
            <v>44301</v>
          </cell>
          <cell r="Q158">
            <v>0.063826</v>
          </cell>
        </row>
        <row r="159">
          <cell r="G159">
            <v>13.32</v>
          </cell>
          <cell r="H159">
            <v>13.32</v>
          </cell>
        </row>
        <row r="159">
          <cell r="P159">
            <v>44301</v>
          </cell>
        </row>
        <row r="160">
          <cell r="E160" t="str">
            <v>A1.1322</v>
          </cell>
          <cell r="F160" t="str">
            <v>PP C3322T M12F CB987KS</v>
          </cell>
          <cell r="G160">
            <v>8.96</v>
          </cell>
          <cell r="H160">
            <v>8.96</v>
          </cell>
        </row>
        <row r="160">
          <cell r="P160">
            <v>44301</v>
          </cell>
          <cell r="Q160">
            <v>13.25</v>
          </cell>
        </row>
        <row r="161">
          <cell r="E161" t="str">
            <v>Z1.0167</v>
          </cell>
          <cell r="F161" t="str">
            <v>CD539前后门窗框饰条泡沫块25*25*10</v>
          </cell>
        </row>
        <row r="161">
          <cell r="P161">
            <v>44301</v>
          </cell>
          <cell r="Q161">
            <v>0.1092</v>
          </cell>
        </row>
        <row r="162">
          <cell r="E162" t="str">
            <v>Z1.0222</v>
          </cell>
          <cell r="F162" t="str">
            <v>CD539塑料卡钉 W712792</v>
          </cell>
        </row>
        <row r="162">
          <cell r="P162">
            <v>44301</v>
          </cell>
          <cell r="Q162">
            <v>0.2784</v>
          </cell>
        </row>
        <row r="163">
          <cell r="E163" t="str">
            <v>Z1.0170</v>
          </cell>
          <cell r="F163" t="str">
            <v>后门窗框饰条泡沫胶带</v>
          </cell>
        </row>
        <row r="163">
          <cell r="P163">
            <v>44301</v>
          </cell>
          <cell r="Q163">
            <v>1.540942</v>
          </cell>
        </row>
        <row r="164">
          <cell r="E164" t="str">
            <v>Z1.0169</v>
          </cell>
          <cell r="F164" t="str">
            <v>CD539前后门窗框饰条扁平橡胶泡沫11*5*1.6</v>
          </cell>
        </row>
        <row r="164">
          <cell r="P164">
            <v>44301</v>
          </cell>
          <cell r="Q164">
            <v>0.046</v>
          </cell>
        </row>
        <row r="165">
          <cell r="E165" t="str">
            <v>Z1.0172</v>
          </cell>
          <cell r="F165" t="str">
            <v>泡沫垫片</v>
          </cell>
        </row>
        <row r="165">
          <cell r="P165">
            <v>44301</v>
          </cell>
          <cell r="Q165">
            <v>0.164997</v>
          </cell>
        </row>
        <row r="166">
          <cell r="E166" t="str">
            <v>Z1.0171</v>
          </cell>
          <cell r="F166" t="str">
            <v>CD539后门窗框饰条新增泡沫块</v>
          </cell>
        </row>
        <row r="166">
          <cell r="P166">
            <v>44301</v>
          </cell>
          <cell r="Q166">
            <v>0.063826</v>
          </cell>
        </row>
        <row r="167">
          <cell r="F167" t="str">
            <v>K520胶水</v>
          </cell>
        </row>
        <row r="167">
          <cell r="P167">
            <v>44301</v>
          </cell>
          <cell r="Q167">
            <v>450</v>
          </cell>
        </row>
        <row r="168">
          <cell r="E168" t="str">
            <v>Z1.0193</v>
          </cell>
          <cell r="F168" t="str">
            <v>后门窗饰条毛毡 80*7*0.5</v>
          </cell>
        </row>
        <row r="168">
          <cell r="P168">
            <v>44301</v>
          </cell>
          <cell r="Q168">
            <v>0.063826</v>
          </cell>
        </row>
        <row r="169">
          <cell r="E169" t="str">
            <v>A1.1618</v>
          </cell>
          <cell r="F169" t="str">
            <v>PC 2407C（乳白色透明） 021067</v>
          </cell>
          <cell r="G169">
            <v>0.95</v>
          </cell>
          <cell r="H169">
            <v>0.95</v>
          </cell>
        </row>
        <row r="169">
          <cell r="P169">
            <v>44301</v>
          </cell>
          <cell r="Q169">
            <v>30</v>
          </cell>
        </row>
        <row r="170">
          <cell r="E170" t="str">
            <v>A1.1618</v>
          </cell>
          <cell r="F170" t="str">
            <v>PC 2407C（乳白色透明） 021067</v>
          </cell>
          <cell r="G170">
            <v>0.96</v>
          </cell>
          <cell r="H170">
            <v>0.96</v>
          </cell>
        </row>
        <row r="170">
          <cell r="P170">
            <v>44301</v>
          </cell>
          <cell r="Q170">
            <v>30</v>
          </cell>
        </row>
        <row r="171">
          <cell r="E171" t="str">
            <v>A9.1711</v>
          </cell>
          <cell r="F171" t="str">
            <v>PC 2407（红色透明）</v>
          </cell>
          <cell r="G171">
            <v>0.62</v>
          </cell>
          <cell r="H171">
            <v>0.62</v>
          </cell>
        </row>
        <row r="171">
          <cell r="P171">
            <v>44301</v>
          </cell>
          <cell r="Q171">
            <v>28.5</v>
          </cell>
        </row>
        <row r="172">
          <cell r="E172" t="str">
            <v>A9.1711</v>
          </cell>
          <cell r="F172" t="str">
            <v>PC 2407（红色透明）</v>
          </cell>
          <cell r="G172">
            <v>0.62</v>
          </cell>
          <cell r="H172">
            <v>0.62</v>
          </cell>
        </row>
        <row r="172">
          <cell r="P172">
            <v>44301</v>
          </cell>
          <cell r="Q172">
            <v>28.5</v>
          </cell>
        </row>
        <row r="173">
          <cell r="E173" t="str">
            <v>A1.1618</v>
          </cell>
          <cell r="F173" t="str">
            <v>PC 2407C（乳白色透明） 021067</v>
          </cell>
          <cell r="G173">
            <v>0.54</v>
          </cell>
          <cell r="H173">
            <v>0.54</v>
          </cell>
        </row>
        <row r="173">
          <cell r="P173">
            <v>44301</v>
          </cell>
          <cell r="Q173">
            <v>30</v>
          </cell>
        </row>
        <row r="174">
          <cell r="E174" t="str">
            <v>A1.1618</v>
          </cell>
          <cell r="F174" t="str">
            <v>PC 2407C（乳白色透明） 021067</v>
          </cell>
          <cell r="G174">
            <v>0.54</v>
          </cell>
          <cell r="H174">
            <v>0.54</v>
          </cell>
        </row>
        <row r="174">
          <cell r="P174">
            <v>44301</v>
          </cell>
          <cell r="Q174">
            <v>30</v>
          </cell>
        </row>
        <row r="175">
          <cell r="E175" t="str">
            <v>A1.1618</v>
          </cell>
          <cell r="F175" t="str">
            <v>PC 2407C（乳白色透明） 021067</v>
          </cell>
          <cell r="G175">
            <v>0.38</v>
          </cell>
          <cell r="H175">
            <v>0.38</v>
          </cell>
        </row>
        <row r="175">
          <cell r="P175">
            <v>44301</v>
          </cell>
          <cell r="Q175">
            <v>30</v>
          </cell>
        </row>
        <row r="176">
          <cell r="E176" t="str">
            <v>A1.1618</v>
          </cell>
          <cell r="F176" t="str">
            <v>PC 2407C（乳白色透明） 021067</v>
          </cell>
          <cell r="G176">
            <v>0.38</v>
          </cell>
          <cell r="H176">
            <v>0.38</v>
          </cell>
        </row>
        <row r="176">
          <cell r="P176">
            <v>44301</v>
          </cell>
          <cell r="Q176">
            <v>30</v>
          </cell>
        </row>
        <row r="177">
          <cell r="E177" t="str">
            <v>A1.1618</v>
          </cell>
          <cell r="F177" t="str">
            <v>PC 2407C（乳白色透明） 021067</v>
          </cell>
          <cell r="G177">
            <v>1.49</v>
          </cell>
          <cell r="H177">
            <v>1.49</v>
          </cell>
        </row>
        <row r="177">
          <cell r="P177">
            <v>44301</v>
          </cell>
          <cell r="Q177">
            <v>30</v>
          </cell>
        </row>
        <row r="178">
          <cell r="E178" t="str">
            <v>A1.1226</v>
          </cell>
          <cell r="F178" t="str">
            <v>PP+EPDM+TD20 TRC 221PC</v>
          </cell>
          <cell r="G178">
            <v>2.94</v>
          </cell>
          <cell r="H178">
            <v>2.94</v>
          </cell>
        </row>
        <row r="178">
          <cell r="P178">
            <v>44301</v>
          </cell>
          <cell r="Q178">
            <v>14.8</v>
          </cell>
        </row>
        <row r="179">
          <cell r="E179" t="str">
            <v>A1.1226</v>
          </cell>
          <cell r="F179" t="str">
            <v>PP+EPDM+TD20 TRC 221PC</v>
          </cell>
          <cell r="G179">
            <v>3.08</v>
          </cell>
          <cell r="H179">
            <v>3.08</v>
          </cell>
        </row>
        <row r="179">
          <cell r="P179">
            <v>44301</v>
          </cell>
          <cell r="Q179">
            <v>14.8</v>
          </cell>
        </row>
        <row r="180">
          <cell r="E180" t="str">
            <v>A1.1308</v>
          </cell>
          <cell r="F180" t="str">
            <v>TPO TYC 852P C15715</v>
          </cell>
          <cell r="G180">
            <v>5.55</v>
          </cell>
          <cell r="H180">
            <v>5.55</v>
          </cell>
        </row>
        <row r="180">
          <cell r="P180">
            <v>44301</v>
          </cell>
          <cell r="Q180">
            <v>14.4</v>
          </cell>
        </row>
        <row r="181">
          <cell r="E181" t="str">
            <v>A1.1308</v>
          </cell>
          <cell r="F181" t="str">
            <v>TPO TYC 852P C15715</v>
          </cell>
          <cell r="G181">
            <v>5.16</v>
          </cell>
          <cell r="H181">
            <v>5.16</v>
          </cell>
        </row>
        <row r="181">
          <cell r="P181">
            <v>44301</v>
          </cell>
          <cell r="Q181">
            <v>14.4</v>
          </cell>
        </row>
        <row r="182">
          <cell r="E182" t="str">
            <v>A1.1530</v>
          </cell>
          <cell r="F182" t="str">
            <v>PP Kingfa/APO-0816 HI JA6</v>
          </cell>
          <cell r="G182">
            <v>2.26</v>
          </cell>
          <cell r="H182">
            <v>2.26</v>
          </cell>
        </row>
        <row r="182">
          <cell r="P182">
            <v>44301</v>
          </cell>
          <cell r="Q182">
            <v>14.1</v>
          </cell>
        </row>
        <row r="183">
          <cell r="E183" t="str">
            <v>A1.1530</v>
          </cell>
          <cell r="F183" t="str">
            <v>PP Kingfa/APO-0816 HI JA6</v>
          </cell>
          <cell r="G183">
            <v>2.26</v>
          </cell>
          <cell r="H183">
            <v>2.26</v>
          </cell>
        </row>
        <row r="183">
          <cell r="P183">
            <v>44301</v>
          </cell>
          <cell r="Q183">
            <v>14.1</v>
          </cell>
        </row>
        <row r="184">
          <cell r="E184" t="str">
            <v>A1.1523</v>
          </cell>
          <cell r="F184" t="str">
            <v>ASA 777K UV Black 61099</v>
          </cell>
          <cell r="G184">
            <v>3.74</v>
          </cell>
          <cell r="H184">
            <v>3.74</v>
          </cell>
        </row>
        <row r="184">
          <cell r="P184">
            <v>44301</v>
          </cell>
          <cell r="Q184">
            <v>22.9</v>
          </cell>
        </row>
        <row r="185">
          <cell r="E185" t="str">
            <v>A6.1523</v>
          </cell>
          <cell r="F185" t="str">
            <v>ASA 777K UV Black 61099</v>
          </cell>
          <cell r="G185">
            <v>3.74</v>
          </cell>
          <cell r="H185">
            <v>3.74</v>
          </cell>
        </row>
        <row r="185">
          <cell r="P185">
            <v>44301</v>
          </cell>
          <cell r="Q185">
            <v>22.9</v>
          </cell>
        </row>
        <row r="186">
          <cell r="E186" t="str">
            <v>A9.1713</v>
          </cell>
          <cell r="F186" t="str">
            <v>PC 2407CCN 731288</v>
          </cell>
          <cell r="G186">
            <v>1.796</v>
          </cell>
          <cell r="H186">
            <v>1.796</v>
          </cell>
        </row>
        <row r="186">
          <cell r="P186">
            <v>44301</v>
          </cell>
          <cell r="Q186">
            <v>38</v>
          </cell>
        </row>
        <row r="187">
          <cell r="E187" t="str">
            <v>A9.1713</v>
          </cell>
          <cell r="F187" t="str">
            <v>PC 2407CCN 731288</v>
          </cell>
          <cell r="G187">
            <v>1.796</v>
          </cell>
          <cell r="H187">
            <v>1.796</v>
          </cell>
        </row>
        <row r="187">
          <cell r="P187">
            <v>44301</v>
          </cell>
          <cell r="Q187">
            <v>38</v>
          </cell>
        </row>
        <row r="188">
          <cell r="E188" t="str">
            <v>A9.1713</v>
          </cell>
          <cell r="F188" t="str">
            <v>PC 2407CCN 731288</v>
          </cell>
          <cell r="G188">
            <v>1.796</v>
          </cell>
          <cell r="H188">
            <v>1.796</v>
          </cell>
        </row>
        <row r="188">
          <cell r="P188">
            <v>44301</v>
          </cell>
          <cell r="Q188">
            <v>38</v>
          </cell>
        </row>
        <row r="189">
          <cell r="E189" t="str">
            <v>A9.1713</v>
          </cell>
          <cell r="F189" t="str">
            <v>PC 2407CCN 731288</v>
          </cell>
          <cell r="G189">
            <v>1.796</v>
          </cell>
          <cell r="H189">
            <v>1.796</v>
          </cell>
        </row>
        <row r="189">
          <cell r="P189">
            <v>44301</v>
          </cell>
          <cell r="Q189">
            <v>38</v>
          </cell>
        </row>
        <row r="190">
          <cell r="E190" t="str">
            <v>A1.1118</v>
          </cell>
          <cell r="F190" t="str">
            <v>APO-308(PP+GF20+10M) BLACK BK001</v>
          </cell>
          <cell r="G190">
            <v>0.586</v>
          </cell>
          <cell r="H190">
            <v>0.586</v>
          </cell>
        </row>
        <row r="190">
          <cell r="P190">
            <v>44301</v>
          </cell>
          <cell r="Q190">
            <v>11.67</v>
          </cell>
        </row>
        <row r="191">
          <cell r="E191" t="str">
            <v>A1.1439</v>
          </cell>
          <cell r="F191" t="str">
            <v>PC/ABS CB2340HF B12378L</v>
          </cell>
          <cell r="G191">
            <v>0.545</v>
          </cell>
          <cell r="H191">
            <v>0.545</v>
          </cell>
        </row>
        <row r="191">
          <cell r="P191">
            <v>44301</v>
          </cell>
          <cell r="Q191">
            <v>15</v>
          </cell>
        </row>
        <row r="192">
          <cell r="E192" t="str">
            <v>A1.1439</v>
          </cell>
          <cell r="F192" t="str">
            <v>PC/ABS CB2340HF B12378L</v>
          </cell>
          <cell r="G192">
            <v>0.545</v>
          </cell>
          <cell r="H192">
            <v>0.545</v>
          </cell>
        </row>
        <row r="192">
          <cell r="P192">
            <v>44301</v>
          </cell>
          <cell r="Q192">
            <v>15</v>
          </cell>
        </row>
        <row r="193">
          <cell r="E193" t="str">
            <v>A1.1118</v>
          </cell>
          <cell r="F193" t="str">
            <v>APO-308(PP+GF20+10M) BLACK BK001</v>
          </cell>
          <cell r="G193">
            <v>1.66</v>
          </cell>
          <cell r="H193">
            <v>1.66</v>
          </cell>
        </row>
        <row r="193">
          <cell r="P193">
            <v>44301</v>
          </cell>
          <cell r="Q193">
            <v>10.7</v>
          </cell>
        </row>
        <row r="194">
          <cell r="E194" t="str">
            <v>Z1.0321</v>
          </cell>
          <cell r="F194" t="str">
            <v>D00064581</v>
          </cell>
        </row>
        <row r="194">
          <cell r="Q194">
            <v>0.475</v>
          </cell>
        </row>
        <row r="195">
          <cell r="E195" t="str">
            <v>A1.1826</v>
          </cell>
          <cell r="F195" t="str">
            <v>PP C3322T-M12F CB2685黑</v>
          </cell>
          <cell r="G195">
            <v>1.423</v>
          </cell>
          <cell r="H195">
            <v>1.423</v>
          </cell>
        </row>
        <row r="195">
          <cell r="P195">
            <v>44330</v>
          </cell>
          <cell r="Q195">
            <v>11.6</v>
          </cell>
        </row>
        <row r="196">
          <cell r="E196" t="str">
            <v>Z1.0500</v>
          </cell>
          <cell r="F196" t="str">
            <v>CLIP</v>
          </cell>
        </row>
        <row r="196">
          <cell r="P196">
            <v>44330</v>
          </cell>
          <cell r="Q196">
            <v>0.11</v>
          </cell>
        </row>
        <row r="197">
          <cell r="E197" t="str">
            <v>A1.1681</v>
          </cell>
          <cell r="F197" t="str">
            <v>PP A422-LG30  PRET</v>
          </cell>
          <cell r="G197">
            <v>5.54</v>
          </cell>
          <cell r="H197">
            <v>5.54</v>
          </cell>
        </row>
        <row r="197">
          <cell r="P197">
            <v>44330</v>
          </cell>
          <cell r="Q197">
            <v>13.5</v>
          </cell>
        </row>
        <row r="198">
          <cell r="E198" t="str">
            <v>A1.1680</v>
          </cell>
          <cell r="F198" t="str">
            <v>PP C3322T-M12F CB2685黑</v>
          </cell>
          <cell r="G198">
            <v>7.179</v>
          </cell>
          <cell r="H198">
            <v>7.179</v>
          </cell>
        </row>
        <row r="198">
          <cell r="P198">
            <v>44330</v>
          </cell>
          <cell r="Q198">
            <v>11.6</v>
          </cell>
        </row>
        <row r="199">
          <cell r="E199" t="str">
            <v>Z1.0498</v>
          </cell>
          <cell r="F199" t="str">
            <v>W714972-S300</v>
          </cell>
        </row>
        <row r="199">
          <cell r="P199">
            <v>44330</v>
          </cell>
          <cell r="Q199">
            <v>0.13</v>
          </cell>
        </row>
        <row r="200">
          <cell r="E200" t="str">
            <v>A1.1721</v>
          </cell>
          <cell r="F200" t="str">
            <v>PP C3322T-M12F JM1</v>
          </cell>
          <cell r="G200">
            <v>7.179</v>
          </cell>
          <cell r="H200">
            <v>7.179</v>
          </cell>
        </row>
        <row r="200">
          <cell r="P200">
            <v>44330</v>
          </cell>
          <cell r="Q200">
            <v>11.6</v>
          </cell>
        </row>
        <row r="201">
          <cell r="E201" t="str">
            <v>Z1.1314</v>
          </cell>
          <cell r="F201" t="str">
            <v>W714972-S300</v>
          </cell>
        </row>
        <row r="201">
          <cell r="P201">
            <v>44330</v>
          </cell>
          <cell r="Q201">
            <v>0.13</v>
          </cell>
        </row>
        <row r="202">
          <cell r="E202" t="str">
            <v>A1.0329</v>
          </cell>
          <cell r="F202" t="str">
            <v>PC/ABS CB2340 B12378L</v>
          </cell>
          <cell r="G202">
            <v>4.13</v>
          </cell>
          <cell r="H202">
            <v>4.13</v>
          </cell>
        </row>
        <row r="202">
          <cell r="P202">
            <v>44330</v>
          </cell>
          <cell r="Q202">
            <v>22</v>
          </cell>
        </row>
        <row r="203">
          <cell r="E203" t="str">
            <v>A1.1678</v>
          </cell>
          <cell r="F203" t="str">
            <v>PP A422 GM30RC（M） CB2685黑</v>
          </cell>
          <cell r="G203">
            <v>1.67</v>
          </cell>
          <cell r="H203">
            <v>1.67</v>
          </cell>
        </row>
        <row r="203">
          <cell r="P203">
            <v>44330</v>
          </cell>
          <cell r="Q203">
            <v>10.26</v>
          </cell>
        </row>
        <row r="204">
          <cell r="E204" t="str">
            <v>A1.0329</v>
          </cell>
          <cell r="F204" t="str">
            <v>PC/ABS CB2340 B12378L</v>
          </cell>
          <cell r="G204">
            <v>4.91</v>
          </cell>
          <cell r="H204">
            <v>4.91</v>
          </cell>
        </row>
        <row r="204">
          <cell r="P204">
            <v>44330</v>
          </cell>
          <cell r="Q204">
            <v>22</v>
          </cell>
        </row>
        <row r="205">
          <cell r="E205" t="str">
            <v>A1.0329</v>
          </cell>
          <cell r="F205" t="str">
            <v>PC/ABS CB2340 B12378L</v>
          </cell>
          <cell r="G205">
            <v>4.91</v>
          </cell>
          <cell r="H205">
            <v>4.91</v>
          </cell>
        </row>
        <row r="205">
          <cell r="P205">
            <v>44330</v>
          </cell>
          <cell r="Q205">
            <v>22</v>
          </cell>
        </row>
        <row r="206">
          <cell r="E206" t="str">
            <v>A1.1511</v>
          </cell>
          <cell r="F206" t="str">
            <v>PP HIFAX TYC 1152P BK</v>
          </cell>
          <cell r="G206">
            <v>2.3</v>
          </cell>
          <cell r="H206">
            <v>2.3</v>
          </cell>
        </row>
        <row r="206">
          <cell r="P206">
            <v>44330</v>
          </cell>
          <cell r="Q206">
            <v>14.7</v>
          </cell>
        </row>
        <row r="207">
          <cell r="E207" t="str">
            <v>A1.1511</v>
          </cell>
          <cell r="F207" t="str">
            <v>PP HIFAX TYC 1152P BK</v>
          </cell>
          <cell r="G207">
            <v>2.3</v>
          </cell>
          <cell r="H207">
            <v>2.3</v>
          </cell>
        </row>
        <row r="207">
          <cell r="P207">
            <v>44330</v>
          </cell>
          <cell r="Q207">
            <v>14.7</v>
          </cell>
        </row>
        <row r="208">
          <cell r="E208" t="str">
            <v>A1.1511</v>
          </cell>
          <cell r="F208" t="str">
            <v>PP HIFAX TYC 1152P BK</v>
          </cell>
          <cell r="G208">
            <v>2.3</v>
          </cell>
          <cell r="H208">
            <v>2.3</v>
          </cell>
        </row>
        <row r="208">
          <cell r="P208">
            <v>44330</v>
          </cell>
          <cell r="Q208">
            <v>14.7</v>
          </cell>
        </row>
        <row r="209">
          <cell r="E209" t="str">
            <v>A1.1511</v>
          </cell>
          <cell r="F209" t="str">
            <v>PP HIFAX TYC 1152P BK</v>
          </cell>
          <cell r="G209">
            <v>2.3</v>
          </cell>
          <cell r="H209">
            <v>2.3</v>
          </cell>
        </row>
        <row r="209">
          <cell r="P209">
            <v>44330</v>
          </cell>
          <cell r="Q209">
            <v>14.7</v>
          </cell>
        </row>
        <row r="210">
          <cell r="E210" t="str">
            <v>D1.3677</v>
          </cell>
          <cell r="F210" t="str">
            <v>ABS 730 KI901716</v>
          </cell>
        </row>
        <row r="210">
          <cell r="Q210">
            <v>6</v>
          </cell>
        </row>
        <row r="211">
          <cell r="E211" t="str">
            <v>A1.1908</v>
          </cell>
          <cell r="F211" t="str">
            <v>PP C3322T-M12F (EA9) CB1690</v>
          </cell>
        </row>
        <row r="212">
          <cell r="E212" t="str">
            <v>Z1.0498</v>
          </cell>
          <cell r="F212" t="str">
            <v>CLIP 6X12X1.5-6.5+1.4 PSH IN/ONPLA</v>
          </cell>
        </row>
        <row r="213">
          <cell r="E213" t="str">
            <v>A1.1909</v>
          </cell>
          <cell r="F213" t="str">
            <v>PP C3322T-M12F (JM8) SH4865 </v>
          </cell>
        </row>
        <row r="214">
          <cell r="E214" t="str">
            <v>Z1.0498</v>
          </cell>
          <cell r="F214" t="str">
            <v>CLIP 6X12X1.5-6.5+1.4 PSH IN/ONPLA</v>
          </cell>
        </row>
        <row r="215">
          <cell r="E215" t="str">
            <v>A1.1906</v>
          </cell>
          <cell r="F215" t="str">
            <v>PP-T20 A5132T-729-A3(EA9) CB1690</v>
          </cell>
        </row>
        <row r="216">
          <cell r="E216" t="str">
            <v>Z1.0606</v>
          </cell>
          <cell r="F216" t="str">
            <v>规格：303*106*15</v>
          </cell>
        </row>
        <row r="217">
          <cell r="E217" t="str">
            <v>Z1.0639</v>
          </cell>
          <cell r="F217" t="str">
            <v>W716437-S300</v>
          </cell>
        </row>
        <row r="218">
          <cell r="E218" t="str">
            <v>A1.1907</v>
          </cell>
          <cell r="F218" t="str">
            <v>PP-T20 A5132T-729-A3（JM8）SH4865</v>
          </cell>
        </row>
        <row r="219">
          <cell r="E219" t="str">
            <v>Z1.0606</v>
          </cell>
          <cell r="F219" t="str">
            <v>规格：303*106*15</v>
          </cell>
        </row>
        <row r="220">
          <cell r="E220" t="str">
            <v>Z1.0639</v>
          </cell>
          <cell r="F220" t="str">
            <v>W716437-S300</v>
          </cell>
        </row>
        <row r="221">
          <cell r="E221" t="str">
            <v>A1.1906</v>
          </cell>
          <cell r="F221" t="str">
            <v>PP-T20 A5132T-729-A3(EA9) CB1690</v>
          </cell>
        </row>
        <row r="222">
          <cell r="E222" t="str">
            <v>Z1.0607</v>
          </cell>
          <cell r="F222" t="str">
            <v>规格：490*105*15</v>
          </cell>
        </row>
        <row r="223">
          <cell r="E223" t="str">
            <v>Z1.0608</v>
          </cell>
          <cell r="F223" t="str">
            <v>规格：50x10x0.5</v>
          </cell>
        </row>
        <row r="224">
          <cell r="E224" t="str">
            <v>Z1.0498</v>
          </cell>
          <cell r="F224" t="str">
            <v>CLIP 6X12X1.5-6.5+1.4 PSH IN/ONPLA</v>
          </cell>
        </row>
        <row r="225">
          <cell r="E225" t="str">
            <v>A1.1907</v>
          </cell>
          <cell r="F225" t="str">
            <v>PP-T20 A5132T-729-A3（JM8）SH4865 </v>
          </cell>
        </row>
        <row r="226">
          <cell r="E226" t="str">
            <v>Z1.0607</v>
          </cell>
          <cell r="F226" t="str">
            <v>规格：490*105*15</v>
          </cell>
        </row>
        <row r="227">
          <cell r="E227" t="str">
            <v>Z1.0608</v>
          </cell>
          <cell r="F227" t="str">
            <v>规格：50x10x0.5</v>
          </cell>
        </row>
        <row r="228">
          <cell r="E228" t="str">
            <v>Z1.0498</v>
          </cell>
          <cell r="F228" t="str">
            <v>CLIP 6X12X1.5-6.5+1.4 PSH IN/ONPLA</v>
          </cell>
        </row>
        <row r="229">
          <cell r="E229" t="str">
            <v>A1.1908</v>
          </cell>
          <cell r="F229" t="str">
            <v>PP C3322T-M12F (EA9) CB1690</v>
          </cell>
        </row>
        <row r="230">
          <cell r="E230" t="str">
            <v>A1.1909</v>
          </cell>
          <cell r="F230" t="str">
            <v>PP C3322T-M12F (JM8) SH4865 </v>
          </cell>
        </row>
        <row r="231">
          <cell r="E231" t="str">
            <v>A1.1908</v>
          </cell>
          <cell r="F231" t="str">
            <v>PP C3322T-M12F (EA9) CB1690</v>
          </cell>
        </row>
        <row r="232">
          <cell r="E232" t="str">
            <v>Z1.0609</v>
          </cell>
          <cell r="F232" t="str">
            <v>规格：20*20*1.5</v>
          </cell>
        </row>
        <row r="233">
          <cell r="E233" t="str">
            <v>Z1.0610</v>
          </cell>
          <cell r="F233" t="str">
            <v>规格：390X160*8</v>
          </cell>
        </row>
        <row r="234">
          <cell r="E234" t="str">
            <v>A1.1909</v>
          </cell>
          <cell r="F234" t="str">
            <v>PP C3322T-M12F (JM8) SH4865 </v>
          </cell>
        </row>
        <row r="235">
          <cell r="E235" t="str">
            <v>Z1.0609</v>
          </cell>
          <cell r="F235" t="str">
            <v>规格：20*20*1.5</v>
          </cell>
        </row>
        <row r="236">
          <cell r="E236" t="str">
            <v>Z1.0610</v>
          </cell>
          <cell r="F236" t="str">
            <v>规格：390X160*8</v>
          </cell>
        </row>
        <row r="237">
          <cell r="E237" t="str">
            <v>A1.1908</v>
          </cell>
          <cell r="F237" t="str">
            <v>PP C3322T-M12F (EA9) CB1690</v>
          </cell>
        </row>
        <row r="238">
          <cell r="E238" t="str">
            <v>Z1.0612</v>
          </cell>
          <cell r="F238" t="str">
            <v>规格：11*13</v>
          </cell>
        </row>
        <row r="239">
          <cell r="E239" t="str">
            <v>Z1.0498</v>
          </cell>
          <cell r="F239" t="str">
            <v>CLIP 6X12X1.5-6.5+1.4 PSH IN/ONPLA</v>
          </cell>
        </row>
        <row r="240">
          <cell r="E240" t="str">
            <v>A1.1909</v>
          </cell>
          <cell r="F240" t="str">
            <v>PP C3322T-M12F (JM8) SH4865 </v>
          </cell>
        </row>
        <row r="241">
          <cell r="E241" t="str">
            <v>Z1.0612</v>
          </cell>
          <cell r="F241" t="str">
            <v>规格：11*13</v>
          </cell>
        </row>
        <row r="242">
          <cell r="E242" t="str">
            <v>Z1.0498</v>
          </cell>
          <cell r="F242" t="str">
            <v>CLIP 6X12X1.5-6.5+1.4 PSH IN/ONPLA</v>
          </cell>
        </row>
        <row r="243">
          <cell r="E243" t="str">
            <v>A1.1703</v>
          </cell>
          <cell r="F243" t="str">
            <v>PP MD20 RHT401N BK601</v>
          </cell>
          <cell r="G243">
            <v>0.47</v>
          </cell>
          <cell r="H243">
            <v>0.47</v>
          </cell>
        </row>
        <row r="243">
          <cell r="Q243">
            <v>8.15</v>
          </cell>
        </row>
        <row r="244">
          <cell r="E244" t="str">
            <v>A1.1703</v>
          </cell>
          <cell r="F244" t="str">
            <v>PP MD20 RHT401N BK601</v>
          </cell>
          <cell r="G244">
            <v>0.446</v>
          </cell>
          <cell r="H244">
            <v>0.446</v>
          </cell>
        </row>
        <row r="244">
          <cell r="Q244">
            <v>8.15</v>
          </cell>
        </row>
        <row r="245">
          <cell r="E245" t="str">
            <v>A1.1705</v>
          </cell>
          <cell r="F245" t="str">
            <v>PBT GF15 HSBK103</v>
          </cell>
          <cell r="G245">
            <v>0.227</v>
          </cell>
          <cell r="H245">
            <v>0.227</v>
          </cell>
        </row>
        <row r="245">
          <cell r="Q245">
            <v>16</v>
          </cell>
        </row>
        <row r="246">
          <cell r="E246" t="str">
            <v>A1.1705</v>
          </cell>
          <cell r="F246" t="str">
            <v>PBT GF15 HSBK103</v>
          </cell>
          <cell r="G246">
            <v>0.227</v>
          </cell>
          <cell r="H246">
            <v>0.227</v>
          </cell>
        </row>
        <row r="246">
          <cell r="Q246">
            <v>16</v>
          </cell>
        </row>
        <row r="247">
          <cell r="E247" t="str">
            <v>A1.1705</v>
          </cell>
          <cell r="F247" t="str">
            <v>PBT GF15 HSBK103</v>
          </cell>
          <cell r="G247">
            <v>0.264</v>
          </cell>
          <cell r="H247">
            <v>0.264</v>
          </cell>
        </row>
        <row r="247">
          <cell r="Q247">
            <v>16</v>
          </cell>
        </row>
        <row r="248">
          <cell r="E248" t="str">
            <v>A1.1705</v>
          </cell>
          <cell r="F248" t="str">
            <v>PBT GF15 HSBK103</v>
          </cell>
          <cell r="G248">
            <v>0.264</v>
          </cell>
          <cell r="H248">
            <v>0.264</v>
          </cell>
        </row>
        <row r="248">
          <cell r="Q248">
            <v>16</v>
          </cell>
        </row>
        <row r="249">
          <cell r="E249" t="str">
            <v>A1.1722</v>
          </cell>
          <cell r="F249" t="str">
            <v>TPV G 65A 哑黑IK08</v>
          </cell>
          <cell r="G249">
            <v>1.681</v>
          </cell>
          <cell r="H249">
            <v>1.681</v>
          </cell>
        </row>
        <row r="249">
          <cell r="Q249">
            <v>38</v>
          </cell>
        </row>
        <row r="250">
          <cell r="E250" t="str">
            <v>A1.1806</v>
          </cell>
          <cell r="F250" t="str">
            <v>PBT PET GF15 DSPBT-A001黑</v>
          </cell>
          <cell r="G250">
            <v>0.16</v>
          </cell>
          <cell r="H250">
            <v>0.16</v>
          </cell>
        </row>
        <row r="250">
          <cell r="Q250">
            <v>13.3</v>
          </cell>
        </row>
        <row r="251">
          <cell r="E251" t="str">
            <v>A1.1806</v>
          </cell>
          <cell r="F251" t="str">
            <v>PBT PET GF15 DSPBT-A001黑</v>
          </cell>
          <cell r="G251">
            <v>0.16</v>
          </cell>
          <cell r="H251">
            <v>0.16</v>
          </cell>
        </row>
        <row r="251">
          <cell r="Q251">
            <v>13.3</v>
          </cell>
        </row>
        <row r="252">
          <cell r="E252" t="str">
            <v>A1.1678</v>
          </cell>
          <cell r="F252" t="str">
            <v>PP A422-GM30RC（M）PRET</v>
          </cell>
        </row>
        <row r="253">
          <cell r="E253" t="str">
            <v>Z1.0621</v>
          </cell>
          <cell r="F253" t="str">
            <v>W718102-S</v>
          </cell>
        </row>
        <row r="254">
          <cell r="E254" t="str">
            <v>Z1.0497</v>
          </cell>
          <cell r="F254" t="str">
            <v>W710609-S</v>
          </cell>
        </row>
        <row r="255">
          <cell r="E255" t="str">
            <v>A1.1680</v>
          </cell>
          <cell r="F255" t="str">
            <v>C3322T-M12F Ebony ZHE PRET</v>
          </cell>
        </row>
        <row r="256">
          <cell r="E256" t="str">
            <v>Z1.0626</v>
          </cell>
          <cell r="F256" t="str">
            <v>W719592-S</v>
          </cell>
        </row>
        <row r="257">
          <cell r="E257" t="str">
            <v>A1.1678</v>
          </cell>
          <cell r="F257" t="str">
            <v>PP A422-GM30RC（M）PRET</v>
          </cell>
        </row>
        <row r="258">
          <cell r="E258" t="str">
            <v>Z1.0621</v>
          </cell>
          <cell r="F258" t="str">
            <v>W718102-S</v>
          </cell>
        </row>
        <row r="259">
          <cell r="E259" t="str">
            <v>Z1.0497</v>
          </cell>
          <cell r="F259" t="str">
            <v>W710609-S</v>
          </cell>
        </row>
        <row r="260">
          <cell r="E260" t="str">
            <v>A1.1918</v>
          </cell>
          <cell r="F260" t="str">
            <v>PP C3322T-M12F  LTR ZYY5449</v>
          </cell>
        </row>
        <row r="261">
          <cell r="E261" t="str">
            <v>Z1.0626</v>
          </cell>
          <cell r="F261" t="str">
            <v>W719592-S</v>
          </cell>
        </row>
        <row r="262">
          <cell r="E262" t="str">
            <v>A1.1918</v>
          </cell>
          <cell r="F262" t="str">
            <v>PP C3322T-M12F  LTR ZYY5449</v>
          </cell>
        </row>
        <row r="263">
          <cell r="E263" t="str">
            <v>Z1.0626</v>
          </cell>
          <cell r="F263" t="str">
            <v>W719592-S</v>
          </cell>
        </row>
        <row r="264">
          <cell r="E264" t="str">
            <v>A1.1918</v>
          </cell>
          <cell r="F264" t="str">
            <v>PP C3322T-M12F  LTR ZYY5449</v>
          </cell>
        </row>
        <row r="265">
          <cell r="E265" t="str">
            <v>Z1.0626</v>
          </cell>
          <cell r="F265" t="str">
            <v>W719592-S</v>
          </cell>
        </row>
        <row r="266">
          <cell r="E266" t="str">
            <v>A1.1918</v>
          </cell>
          <cell r="F266" t="str">
            <v>PP C3322T-M12F  LTR ZYY5449</v>
          </cell>
        </row>
        <row r="267">
          <cell r="E267" t="str">
            <v>Z1.0626</v>
          </cell>
          <cell r="F267" t="str">
            <v>W719592-S</v>
          </cell>
        </row>
        <row r="268">
          <cell r="E268" t="str">
            <v>A1.0329</v>
          </cell>
          <cell r="F268" t="str">
            <v>PC/ABS CB2340 CB2685 ZHE</v>
          </cell>
        </row>
        <row r="269">
          <cell r="E269" t="str">
            <v>A1.1898</v>
          </cell>
          <cell r="F269" t="str">
            <v>TOYOBO PA6+GF/MD60 TY-791HQ</v>
          </cell>
        </row>
        <row r="270">
          <cell r="E270" t="str">
            <v>Z1.0622</v>
          </cell>
          <cell r="F270" t="str">
            <v>金属卡子</v>
          </cell>
        </row>
        <row r="271">
          <cell r="E271" t="str">
            <v>Z1.0623</v>
          </cell>
          <cell r="F271" t="str">
            <v>毛毡 40*14*1</v>
          </cell>
        </row>
        <row r="272">
          <cell r="E272" t="str">
            <v>Z1.0624</v>
          </cell>
          <cell r="F272" t="str">
            <v>毛毡 85*20*2</v>
          </cell>
        </row>
        <row r="273">
          <cell r="E273" t="str">
            <v>Z1.0625</v>
          </cell>
          <cell r="F273" t="str">
            <v>卡子：W717086-S439</v>
          </cell>
        </row>
        <row r="274">
          <cell r="E274" t="str">
            <v>A1.1680</v>
          </cell>
          <cell r="F274" t="str">
            <v>C3322T-M12F Ebony ZHE PRET</v>
          </cell>
        </row>
        <row r="275">
          <cell r="E275" t="str">
            <v>Z1.0626</v>
          </cell>
          <cell r="F275" t="str">
            <v>W719592-S</v>
          </cell>
        </row>
        <row r="276">
          <cell r="E276" t="str">
            <v>A1.1918</v>
          </cell>
          <cell r="F276" t="str">
            <v>PP C3322T-M12F  LTR ZYY5449</v>
          </cell>
        </row>
        <row r="277">
          <cell r="E277" t="str">
            <v>Z1.0626</v>
          </cell>
          <cell r="F277" t="str">
            <v>W719592-S</v>
          </cell>
        </row>
        <row r="278">
          <cell r="E278" t="str">
            <v>A1.1680</v>
          </cell>
          <cell r="F278" t="str">
            <v>C3322T-M12F Ebony ZHE PRET</v>
          </cell>
        </row>
        <row r="279">
          <cell r="E279" t="str">
            <v>Z1.0626</v>
          </cell>
          <cell r="F279" t="str">
            <v>W719592-S</v>
          </cell>
        </row>
        <row r="280">
          <cell r="E280" t="str">
            <v>A1.1918</v>
          </cell>
          <cell r="F280" t="str">
            <v>PP C3322T-M12F  LTR ZYY5449</v>
          </cell>
        </row>
        <row r="281">
          <cell r="E281" t="str">
            <v>Z1.0626</v>
          </cell>
          <cell r="F281" t="str">
            <v>W719592-S</v>
          </cell>
        </row>
        <row r="282">
          <cell r="E282" t="str">
            <v>A1.1680</v>
          </cell>
          <cell r="F282" t="str">
            <v>C3322T-M12F PRET</v>
          </cell>
        </row>
        <row r="283">
          <cell r="E283" t="str">
            <v>A1.1766</v>
          </cell>
          <cell r="F283" t="str">
            <v>TEO 3000-60A</v>
          </cell>
        </row>
        <row r="284">
          <cell r="E284" t="str">
            <v>A1.5511</v>
          </cell>
          <cell r="F284" t="str">
            <v>TPE AF7210-70 ZHE</v>
          </cell>
          <cell r="G284">
            <v>3.76</v>
          </cell>
        </row>
        <row r="284">
          <cell r="P284" t="str">
            <v>2022.7.29</v>
          </cell>
          <cell r="Q284">
            <v>38</v>
          </cell>
        </row>
        <row r="285">
          <cell r="E285" t="str">
            <v>A1.5511</v>
          </cell>
          <cell r="F285" t="str">
            <v>TPE AF7210-70 ZHE</v>
          </cell>
          <cell r="G285">
            <v>1.38</v>
          </cell>
        </row>
        <row r="285">
          <cell r="P285" t="str">
            <v>2022.7.29</v>
          </cell>
          <cell r="Q285">
            <v>38</v>
          </cell>
        </row>
        <row r="286">
          <cell r="E286" t="str">
            <v>A1.5511</v>
          </cell>
          <cell r="F286" t="str">
            <v>TPE AF7210-70 ZHE</v>
          </cell>
          <cell r="G286">
            <v>1.22</v>
          </cell>
        </row>
        <row r="286">
          <cell r="P286" t="str">
            <v>2022.7.29</v>
          </cell>
          <cell r="Q286">
            <v>38</v>
          </cell>
        </row>
        <row r="287">
          <cell r="E287" t="str">
            <v>A1.5326</v>
          </cell>
          <cell r="F287" t="str">
            <v>PP–(GF+TD)35 PP-H1407R ZHE</v>
          </cell>
          <cell r="G287">
            <v>2.19</v>
          </cell>
        </row>
        <row r="287">
          <cell r="P287" t="str">
            <v>2022.7.29</v>
          </cell>
          <cell r="Q287">
            <v>11</v>
          </cell>
        </row>
        <row r="288">
          <cell r="E288" t="str">
            <v>A1.1812</v>
          </cell>
          <cell r="F288" t="str">
            <v>PA6 BKV60H2.0 EF Glass Fiber 63%</v>
          </cell>
        </row>
        <row r="288">
          <cell r="P288" t="str">
            <v>2022.7.29</v>
          </cell>
        </row>
        <row r="289">
          <cell r="E289" t="str">
            <v>Z1.0616</v>
          </cell>
          <cell r="F289" t="str">
            <v>M6 推力螺母</v>
          </cell>
        </row>
        <row r="289">
          <cell r="P289" t="str">
            <v>2022.7.29</v>
          </cell>
        </row>
        <row r="290">
          <cell r="E290" t="str">
            <v>Z1.0617</v>
          </cell>
          <cell r="F290" t="str">
            <v>限压环-圆形9*9*6</v>
          </cell>
        </row>
        <row r="290">
          <cell r="P290" t="str">
            <v>2022.7.29</v>
          </cell>
        </row>
        <row r="291">
          <cell r="E291" t="str">
            <v>Z1.0618</v>
          </cell>
          <cell r="F291" t="str">
            <v> 限压环-圆形9*11*6</v>
          </cell>
        </row>
        <row r="291">
          <cell r="P291" t="str">
            <v>2022.7.29</v>
          </cell>
        </row>
        <row r="292">
          <cell r="E292" t="str">
            <v>A1.5196</v>
          </cell>
          <cell r="F292" t="str">
            <v>PP A422-LG30 B12378F4 PP-LGF30</v>
          </cell>
          <cell r="G292">
            <v>10.63</v>
          </cell>
        </row>
        <row r="292">
          <cell r="P292" t="str">
            <v>2022.7.29</v>
          </cell>
          <cell r="Q292">
            <v>14</v>
          </cell>
        </row>
        <row r="293">
          <cell r="E293" t="str">
            <v>F1.2126</v>
          </cell>
          <cell r="F293" t="str">
            <v>盘头法兰</v>
          </cell>
        </row>
        <row r="293">
          <cell r="P293" t="str">
            <v>2022.7.29</v>
          </cell>
          <cell r="Q293">
            <v>0.15</v>
          </cell>
        </row>
        <row r="294">
          <cell r="E294" t="str">
            <v>F1.1536</v>
          </cell>
          <cell r="F294" t="str">
            <v>NUT M4.2 PTM PUSH ON  卡子</v>
          </cell>
        </row>
        <row r="294">
          <cell r="P294" t="str">
            <v>2022.7.29</v>
          </cell>
          <cell r="Q294">
            <v>0.26</v>
          </cell>
        </row>
        <row r="295">
          <cell r="E295" t="str">
            <v>F1.1331</v>
          </cell>
          <cell r="F295" t="str">
            <v>W719189-S439 NUT CLIP M5X11.5X14X1.2-3.8 PSH INW719189</v>
          </cell>
        </row>
        <row r="295">
          <cell r="P295" t="str">
            <v>2022.7.29</v>
          </cell>
          <cell r="Q295">
            <v>0.4</v>
          </cell>
        </row>
        <row r="296">
          <cell r="E296" t="str">
            <v>A1.4681</v>
          </cell>
          <cell r="F296" t="str">
            <v>PC/ABS CB2340 CB2685 ZHE</v>
          </cell>
          <cell r="G296">
            <v>2.96</v>
          </cell>
        </row>
        <row r="296">
          <cell r="P296" t="str">
            <v>2022.7.29</v>
          </cell>
          <cell r="Q296">
            <v>22</v>
          </cell>
        </row>
        <row r="297">
          <cell r="E297" t="str">
            <v>F1.0858</v>
          </cell>
          <cell r="F297" t="str">
            <v>Flocked Tape 毛毡 30*17*1</v>
          </cell>
        </row>
        <row r="297">
          <cell r="P297" t="str">
            <v>2022.7.29</v>
          </cell>
          <cell r="Q297">
            <v>0.097</v>
          </cell>
        </row>
        <row r="298">
          <cell r="E298" t="str">
            <v>F1.0888</v>
          </cell>
          <cell r="F298" t="str">
            <v>Foam 泡沫块30*12*2.5</v>
          </cell>
        </row>
        <row r="298">
          <cell r="P298" t="str">
            <v>2022.7.29</v>
          </cell>
          <cell r="Q298">
            <v>0.097</v>
          </cell>
        </row>
        <row r="299">
          <cell r="E299" t="str">
            <v>Z8.293</v>
          </cell>
          <cell r="F299" t="str">
            <v>标签</v>
          </cell>
        </row>
        <row r="299">
          <cell r="P299" t="str">
            <v>2022.7.29</v>
          </cell>
          <cell r="Q299">
            <v>0.1</v>
          </cell>
        </row>
        <row r="300">
          <cell r="E300" t="str">
            <v>A1.4681</v>
          </cell>
          <cell r="F300" t="str">
            <v>PC/ABS CB2340 CB2685 ZHE</v>
          </cell>
          <cell r="G300">
            <v>2.08</v>
          </cell>
        </row>
        <row r="300">
          <cell r="P300" t="str">
            <v>2022.7.29</v>
          </cell>
          <cell r="Q300">
            <v>22</v>
          </cell>
        </row>
        <row r="301">
          <cell r="E301" t="str">
            <v>Z8.293</v>
          </cell>
          <cell r="F301" t="str">
            <v>标签</v>
          </cell>
        </row>
        <row r="301">
          <cell r="P301" t="str">
            <v>2022.7.29</v>
          </cell>
          <cell r="Q301">
            <v>0.1</v>
          </cell>
        </row>
        <row r="302">
          <cell r="E302" t="str">
            <v>A1.4681</v>
          </cell>
          <cell r="F302" t="str">
            <v>PC/ABS CB2340 CB2685 ZHE</v>
          </cell>
          <cell r="G302">
            <v>2.65</v>
          </cell>
        </row>
        <row r="302">
          <cell r="P302" t="str">
            <v>2022.7.29</v>
          </cell>
          <cell r="Q302">
            <v>22</v>
          </cell>
        </row>
        <row r="303">
          <cell r="E303" t="str">
            <v>F1.1756</v>
          </cell>
          <cell r="F303" t="str">
            <v>CLIP 8.5X16X1.7 TRIM PSH IN STL  铁卡子 </v>
          </cell>
        </row>
        <row r="303">
          <cell r="P303" t="str">
            <v>2022.7.29</v>
          </cell>
          <cell r="Q303">
            <v>0.17</v>
          </cell>
        </row>
        <row r="304">
          <cell r="E304" t="str">
            <v>Z8.293</v>
          </cell>
          <cell r="F304" t="str">
            <v>标签</v>
          </cell>
        </row>
        <row r="304">
          <cell r="P304" t="str">
            <v>2022.7.29</v>
          </cell>
          <cell r="Q304">
            <v>0.1</v>
          </cell>
        </row>
        <row r="305">
          <cell r="E305" t="str">
            <v>A1.5236</v>
          </cell>
          <cell r="F305" t="str">
            <v>PP C6540L-638B CB2685 ZHE</v>
          </cell>
          <cell r="G305">
            <v>2.48</v>
          </cell>
        </row>
        <row r="305">
          <cell r="P305" t="str">
            <v>2022.7.29</v>
          </cell>
          <cell r="Q305">
            <v>13.8</v>
          </cell>
        </row>
        <row r="306">
          <cell r="E306" t="str">
            <v>F1.1539</v>
          </cell>
          <cell r="F306" t="str">
            <v>CLIP 6X12X1.5-6.5+1.4 PSH IN/ONPLA 卡子</v>
          </cell>
        </row>
        <row r="306">
          <cell r="P306" t="str">
            <v>2022.7.29</v>
          </cell>
          <cell r="Q306">
            <v>0.135</v>
          </cell>
        </row>
        <row r="307">
          <cell r="E307" t="str">
            <v>Z8.293</v>
          </cell>
          <cell r="F307" t="str">
            <v>标签</v>
          </cell>
        </row>
        <row r="307">
          <cell r="P307" t="str">
            <v>2022.7.29</v>
          </cell>
          <cell r="Q307">
            <v>0.1</v>
          </cell>
        </row>
        <row r="308">
          <cell r="E308" t="str">
            <v>A1.5236</v>
          </cell>
          <cell r="F308" t="str">
            <v>PP C6540L-638B CB2685 ZHE</v>
          </cell>
          <cell r="G308">
            <v>2.48</v>
          </cell>
        </row>
        <row r="308">
          <cell r="P308" t="str">
            <v>2022.7.29</v>
          </cell>
          <cell r="Q308">
            <v>13.8</v>
          </cell>
        </row>
        <row r="309">
          <cell r="E309" t="str">
            <v>F1.1539</v>
          </cell>
          <cell r="F309" t="str">
            <v>CLIP 6X12X1.5-6.5+1.4 PSH IN/ONPLA 卡子</v>
          </cell>
        </row>
        <row r="309">
          <cell r="P309" t="str">
            <v>2022.7.29</v>
          </cell>
          <cell r="Q309">
            <v>0.135</v>
          </cell>
        </row>
        <row r="310">
          <cell r="E310" t="str">
            <v>Z8.293</v>
          </cell>
          <cell r="F310" t="str">
            <v>标签</v>
          </cell>
        </row>
        <row r="310">
          <cell r="P310" t="str">
            <v>2022.7.29</v>
          </cell>
          <cell r="Q310">
            <v>0.1</v>
          </cell>
        </row>
        <row r="311">
          <cell r="E311" t="str">
            <v>A1.1826</v>
          </cell>
          <cell r="F311" t="str">
            <v>&gt;TPO-(PP+EPM)-TD20&lt;</v>
          </cell>
        </row>
        <row r="311">
          <cell r="P311" t="str">
            <v>2022.7.29</v>
          </cell>
        </row>
        <row r="312">
          <cell r="E312" t="str">
            <v>Z1.0574</v>
          </cell>
          <cell r="F312" t="str">
            <v>Gap Hider skin表皮</v>
          </cell>
        </row>
        <row r="312">
          <cell r="P312" t="str">
            <v>2022.7.29</v>
          </cell>
        </row>
        <row r="313">
          <cell r="F313" t="str">
            <v>Bar Code Label条形码</v>
          </cell>
        </row>
        <row r="313">
          <cell r="P313" t="str">
            <v>2022.7.29</v>
          </cell>
        </row>
        <row r="314">
          <cell r="E314" t="str">
            <v>A1.5109</v>
          </cell>
          <cell r="F314" t="str">
            <v>POM 500P (Ebony ZHE MIC Stipple 003)</v>
          </cell>
          <cell r="G314">
            <v>0.49</v>
          </cell>
        </row>
        <row r="314">
          <cell r="P314" t="str">
            <v>2022.7.29</v>
          </cell>
          <cell r="Q314">
            <v>33.5</v>
          </cell>
        </row>
        <row r="315">
          <cell r="E315" t="str">
            <v>A1.5109</v>
          </cell>
          <cell r="F315" t="str">
            <v>POM 500P (Ebony ZHE MIC Stipple 003)</v>
          </cell>
          <cell r="G315">
            <v>0.49</v>
          </cell>
        </row>
        <row r="315">
          <cell r="P315" t="str">
            <v>2022.7.29</v>
          </cell>
          <cell r="Q315">
            <v>33.5</v>
          </cell>
        </row>
        <row r="316">
          <cell r="E316" t="str">
            <v>A1.5777</v>
          </cell>
          <cell r="F316" t="str">
            <v>CC10231352BG  0.5%</v>
          </cell>
        </row>
        <row r="316">
          <cell r="P316" t="str">
            <v>2022.7.29</v>
          </cell>
          <cell r="Q316">
            <v>322</v>
          </cell>
        </row>
        <row r="317">
          <cell r="E317" t="str">
            <v>A1.5196</v>
          </cell>
          <cell r="F317" t="str">
            <v>PP A422-LG30 B12378F4 PP-LGF30</v>
          </cell>
          <cell r="G317">
            <v>2.66</v>
          </cell>
        </row>
        <row r="317">
          <cell r="P317" t="str">
            <v>2022.7.29</v>
          </cell>
          <cell r="Q317">
            <v>14</v>
          </cell>
        </row>
        <row r="318">
          <cell r="E318" t="str">
            <v>F1.1331</v>
          </cell>
          <cell r="F318" t="str">
            <v>W719189-S439 NUT CLIP M5X11.5X14X1.2-3.8 PSH INW719189</v>
          </cell>
        </row>
        <row r="318">
          <cell r="P318" t="str">
            <v>2022.7.29</v>
          </cell>
          <cell r="Q318">
            <v>0.4</v>
          </cell>
        </row>
        <row r="319">
          <cell r="E319" t="str">
            <v>A1.5196</v>
          </cell>
          <cell r="F319" t="str">
            <v>PP A422-LG30 B12378F4 PP-LGF30</v>
          </cell>
          <cell r="G319">
            <v>5.87</v>
          </cell>
        </row>
        <row r="319">
          <cell r="P319" t="str">
            <v>2022.7.29</v>
          </cell>
          <cell r="Q319">
            <v>14</v>
          </cell>
        </row>
        <row r="320">
          <cell r="E320" t="str">
            <v>F1.1331</v>
          </cell>
          <cell r="F320" t="str">
            <v>W719189-S439 NUT CLIP M5X11.5X14X1.2-3.8 PSH INW719189</v>
          </cell>
        </row>
        <row r="320">
          <cell r="P320" t="str">
            <v>2022.7.29</v>
          </cell>
          <cell r="Q320">
            <v>0.4</v>
          </cell>
        </row>
        <row r="322">
          <cell r="E322" t="str">
            <v>A1.1649</v>
          </cell>
          <cell r="F322" t="str">
            <v>PP ERC161N Mammoth blake NEU 100i</v>
          </cell>
          <cell r="G322">
            <v>9.874</v>
          </cell>
          <cell r="H322">
            <v>9.874</v>
          </cell>
        </row>
        <row r="322">
          <cell r="P322">
            <v>44522</v>
          </cell>
          <cell r="Q322">
            <v>13.5</v>
          </cell>
        </row>
        <row r="323">
          <cell r="E323" t="str">
            <v>Z1.0532</v>
          </cell>
          <cell r="F323" t="str">
            <v>2858043X 泡棉（带背胶） 331.47*116.41*20.98</v>
          </cell>
        </row>
        <row r="323">
          <cell r="P323">
            <v>44522</v>
          </cell>
          <cell r="Q323">
            <v>1.111</v>
          </cell>
        </row>
        <row r="324">
          <cell r="E324" t="str">
            <v>Z1.0531</v>
          </cell>
          <cell r="F324" t="str">
            <v>2735073X 泡棉（带背胶） 253.85*8*8</v>
          </cell>
        </row>
        <row r="324">
          <cell r="P324">
            <v>44522</v>
          </cell>
          <cell r="Q324">
            <v>0.2828</v>
          </cell>
        </row>
        <row r="325">
          <cell r="E325" t="str">
            <v>Z1.0530</v>
          </cell>
          <cell r="F325" t="str">
            <v>2735072X 泡棉（带背胶） 308.22*8*8</v>
          </cell>
        </row>
        <row r="325">
          <cell r="P325">
            <v>44522</v>
          </cell>
          <cell r="Q325">
            <v>0.4343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开票"/>
      <sheetName val="2023年1月材料领用    "/>
      <sheetName val="Sheet4"/>
      <sheetName val="杭友"/>
      <sheetName val="Sheet1"/>
      <sheetName val="2022年9月材料领用    "/>
      <sheetName val="2022年8月材料领用   "/>
      <sheetName val="2022年7月材料领用  "/>
      <sheetName val="2022年6月材料领用 "/>
      <sheetName val="2022年5月材料领用"/>
      <sheetName val="2022年4月材料领用  "/>
      <sheetName val="2022年3月材料领用 "/>
      <sheetName val="2022年2月材料领用"/>
      <sheetName val="2022年1月材料领用              "/>
      <sheetName val="2021年11月材料领用             "/>
    </sheetNames>
    <sheetDataSet>
      <sheetData sheetId="0" refreshError="1"/>
      <sheetData sheetId="1" refreshError="1"/>
      <sheetData sheetId="2" refreshError="1"/>
      <sheetData sheetId="3" refreshError="1">
        <row r="1">
          <cell r="G1" t="str">
            <v>图号</v>
          </cell>
          <cell r="H1" t="str">
            <v>品名</v>
          </cell>
        </row>
        <row r="2">
          <cell r="G2" t="str">
            <v>A1.5779</v>
          </cell>
          <cell r="H2" t="str">
            <v>PP T6326A15</v>
          </cell>
        </row>
        <row r="3">
          <cell r="G3" t="str">
            <v>A1.5779</v>
          </cell>
          <cell r="H3" t="str">
            <v>PP T6326A15</v>
          </cell>
        </row>
        <row r="4">
          <cell r="G4" t="str">
            <v>A1.5779</v>
          </cell>
          <cell r="H4" t="str">
            <v>PP T6326A15</v>
          </cell>
        </row>
        <row r="5">
          <cell r="G5" t="str">
            <v>F1.0414</v>
          </cell>
          <cell r="H5" t="str">
            <v>E14383000（E6679200）</v>
          </cell>
        </row>
        <row r="6">
          <cell r="G6" t="str">
            <v>F1.0413</v>
          </cell>
          <cell r="H6" t="str">
            <v>E14382900（E10629100）</v>
          </cell>
        </row>
        <row r="7">
          <cell r="G7" t="str">
            <v>F1.0415</v>
          </cell>
          <cell r="H7" t="str">
            <v>E14383300（E10681900）</v>
          </cell>
        </row>
        <row r="8">
          <cell r="G8" t="str">
            <v>A1.4377</v>
          </cell>
          <cell r="H8" t="str">
            <v>PA6-GF10-M20</v>
          </cell>
        </row>
        <row r="9">
          <cell r="G9" t="str">
            <v>F1.1664</v>
          </cell>
          <cell r="H9" t="str">
            <v>嵌件E10904200 /E14383100</v>
          </cell>
        </row>
        <row r="10">
          <cell r="G10" t="str">
            <v>F1.0418</v>
          </cell>
          <cell r="H10" t="str">
            <v>E14383700（E11006400）</v>
          </cell>
        </row>
        <row r="11">
          <cell r="G11" t="str">
            <v>F1.0417</v>
          </cell>
          <cell r="H11" t="str">
            <v>E14383600（E10881800）</v>
          </cell>
        </row>
        <row r="12">
          <cell r="G12" t="str">
            <v>F1.0416</v>
          </cell>
          <cell r="H12" t="str">
            <v>E14383500（E10682100）</v>
          </cell>
        </row>
        <row r="13">
          <cell r="G13" t="str">
            <v>A5.5111</v>
          </cell>
          <cell r="H13" t="str">
            <v>POM 588P GY490D</v>
          </cell>
        </row>
        <row r="14">
          <cell r="G14" t="str">
            <v>A5.5111</v>
          </cell>
          <cell r="H14" t="str">
            <v>POM 588P GY490D</v>
          </cell>
        </row>
        <row r="15">
          <cell r="G15" t="str">
            <v>A1.5228</v>
          </cell>
          <cell r="H15" t="str">
            <v>PP C3322T M12F CB2685黑</v>
          </cell>
        </row>
        <row r="16">
          <cell r="G16" t="str">
            <v>A1.5228</v>
          </cell>
          <cell r="H16" t="str">
            <v>PP C3322T M12F CB2685黑</v>
          </cell>
        </row>
        <row r="17">
          <cell r="G17" t="str">
            <v>A1.5228</v>
          </cell>
          <cell r="H17" t="str">
            <v>PP C3322T M12F CB2685黑</v>
          </cell>
        </row>
        <row r="18">
          <cell r="G18" t="str">
            <v>A1.5228</v>
          </cell>
          <cell r="H18" t="str">
            <v>PP C3322T M12F CB2685黑</v>
          </cell>
        </row>
        <row r="19">
          <cell r="G19" t="str">
            <v>A1.5326</v>
          </cell>
          <cell r="H19" t="str">
            <v>PP H1407R 黑</v>
          </cell>
        </row>
        <row r="20">
          <cell r="G20" t="str">
            <v>A1.5326</v>
          </cell>
          <cell r="H20" t="str">
            <v>PP H1407R 黑</v>
          </cell>
        </row>
        <row r="21">
          <cell r="G21" t="str">
            <v>A1.4425</v>
          </cell>
          <cell r="H21" t="str">
            <v>PBT PET GF15 DSPBT-A001黑</v>
          </cell>
        </row>
        <row r="22">
          <cell r="G22" t="str">
            <v>A1.5228</v>
          </cell>
          <cell r="H22" t="str">
            <v>PP C3322T M12F CB2685黑</v>
          </cell>
        </row>
        <row r="23">
          <cell r="G23" t="str">
            <v>A1.4317</v>
          </cell>
          <cell r="H23" t="str">
            <v>PA6 MG30 HSBK006</v>
          </cell>
        </row>
        <row r="24">
          <cell r="G24" t="str">
            <v>A1.4317</v>
          </cell>
          <cell r="H24" t="str">
            <v>PA6 MG30 HSBK006</v>
          </cell>
        </row>
        <row r="25">
          <cell r="G25" t="str">
            <v>A1.4317</v>
          </cell>
          <cell r="H25" t="str">
            <v>PA6 MG30 HSBK006</v>
          </cell>
        </row>
        <row r="26">
          <cell r="G26" t="str">
            <v>A1.4317</v>
          </cell>
          <cell r="H26" t="str">
            <v>PA6 MG30 HSBK006</v>
          </cell>
        </row>
        <row r="27">
          <cell r="G27" t="str">
            <v>A1.4216</v>
          </cell>
          <cell r="H27" t="str">
            <v>APO-308（PP-GF20%+MF10) BLACK</v>
          </cell>
        </row>
        <row r="28">
          <cell r="G28" t="str">
            <v>A1.4216</v>
          </cell>
          <cell r="H28" t="str">
            <v>APO-308（PP-GF20%+MF10) BLACK</v>
          </cell>
        </row>
        <row r="29">
          <cell r="G29" t="str">
            <v>A1.4216</v>
          </cell>
          <cell r="H29" t="str">
            <v>APO-308（PP-GF20%+MF10) BLACK</v>
          </cell>
        </row>
        <row r="30">
          <cell r="G30" t="str">
            <v>A1.4216</v>
          </cell>
          <cell r="H30" t="str">
            <v>APO-308（PP-GF20%+MF10) BLACK</v>
          </cell>
        </row>
        <row r="31">
          <cell r="G31" t="str">
            <v>A1.4216</v>
          </cell>
          <cell r="H31" t="str">
            <v>APO-308（PP-GF20%+MF10) BLACK</v>
          </cell>
        </row>
        <row r="32">
          <cell r="G32" t="str">
            <v>A1.4216</v>
          </cell>
          <cell r="H32" t="str">
            <v>APO-308（PP-GF20%+MF10) BLACK</v>
          </cell>
        </row>
        <row r="33">
          <cell r="G33" t="str">
            <v>A1.4216</v>
          </cell>
          <cell r="H33" t="str">
            <v>APO-308（PP-GF20%+MF10) BLACK</v>
          </cell>
        </row>
        <row r="34">
          <cell r="G34" t="str">
            <v>A1.4216</v>
          </cell>
          <cell r="H34" t="str">
            <v>APO-308（PP-GF20%+MF10) BLACK</v>
          </cell>
        </row>
        <row r="35">
          <cell r="G35" t="str">
            <v>A1.4216</v>
          </cell>
          <cell r="H35" t="str">
            <v>APO-308（PP-GF20%+MF10) BLACK</v>
          </cell>
        </row>
        <row r="36">
          <cell r="G36" t="str">
            <v>A1.4216</v>
          </cell>
          <cell r="H36" t="str">
            <v>APO-308（PP-GF20%+MF10) BLACK</v>
          </cell>
        </row>
        <row r="37">
          <cell r="G37" t="str">
            <v>A1.4216</v>
          </cell>
          <cell r="H37" t="str">
            <v>APO-308（PP-GF20%+MF10) BLACK</v>
          </cell>
        </row>
        <row r="38">
          <cell r="G38" t="str">
            <v>A5.4116</v>
          </cell>
          <cell r="H38" t="str">
            <v>ABS HF380 8H408 QYARTZ WHITE</v>
          </cell>
        </row>
        <row r="39">
          <cell r="G39" t="str">
            <v>A5.4620</v>
          </cell>
          <cell r="H39" t="str">
            <v>PC MN3600H CM11134H Frosty White</v>
          </cell>
        </row>
        <row r="40">
          <cell r="G40" t="str">
            <v>A5.4620</v>
          </cell>
          <cell r="H40" t="str">
            <v>PC MN3600H CM11134H Frosty White</v>
          </cell>
        </row>
        <row r="41">
          <cell r="G41" t="str">
            <v>A5.4619</v>
          </cell>
          <cell r="H41" t="str">
            <v>PC MN3600H CM1052H</v>
          </cell>
        </row>
        <row r="42">
          <cell r="G42" t="str">
            <v>A1.5109</v>
          </cell>
          <cell r="H42" t="str">
            <v>POM 500P NC010</v>
          </cell>
        </row>
        <row r="43">
          <cell r="G43" t="str">
            <v>A1.5511</v>
          </cell>
          <cell r="H43" t="str">
            <v>TPE AF 7210-70 ZHE 黑色</v>
          </cell>
        </row>
        <row r="44">
          <cell r="G44" t="str">
            <v>A1.5326</v>
          </cell>
          <cell r="H44" t="str">
            <v>PP H1407R 黑</v>
          </cell>
        </row>
        <row r="45">
          <cell r="G45" t="str">
            <v>A1.5326</v>
          </cell>
          <cell r="H45" t="str">
            <v>PP H1407R 黑</v>
          </cell>
        </row>
        <row r="46">
          <cell r="G46" t="str">
            <v>A1.4335</v>
          </cell>
          <cell r="H46" t="str">
            <v>PA66 A3K NC</v>
          </cell>
        </row>
        <row r="47">
          <cell r="G47" t="str">
            <v>F1.2108</v>
          </cell>
          <cell r="H47" t="str">
            <v>左侧吸音棉 156*137*15</v>
          </cell>
        </row>
        <row r="48">
          <cell r="G48" t="str">
            <v>F1.1872</v>
          </cell>
          <cell r="H48" t="str">
            <v>限压环-圆形 9*9*6</v>
          </cell>
        </row>
        <row r="49">
          <cell r="G49" t="str">
            <v>F1.0411</v>
          </cell>
          <cell r="H49" t="str">
            <v>E13864600</v>
          </cell>
        </row>
        <row r="50">
          <cell r="G50" t="str">
            <v>F1.0412</v>
          </cell>
          <cell r="H50" t="str">
            <v>E13865200</v>
          </cell>
        </row>
        <row r="51">
          <cell r="G51" t="str">
            <v>A1.5422</v>
          </cell>
          <cell r="H51" t="str">
            <v>PP+EPDM+TD20 P20T20A10-LE-MP(S012SG)岩石灰</v>
          </cell>
        </row>
        <row r="52">
          <cell r="G52" t="str">
            <v>F1.1871</v>
          </cell>
          <cell r="H52" t="str">
            <v>限压环-圆形 9*11*6</v>
          </cell>
        </row>
        <row r="53">
          <cell r="G53" t="str">
            <v>F1.0858</v>
          </cell>
          <cell r="H53" t="str">
            <v>Flocked Tape 毛毡 30*17*1</v>
          </cell>
        </row>
        <row r="54">
          <cell r="G54" t="str">
            <v>F1.0858</v>
          </cell>
          <cell r="H54" t="str">
            <v>Flocked Tape 毛毡 30*17*1</v>
          </cell>
        </row>
        <row r="55">
          <cell r="G55" t="str">
            <v>F1.1536</v>
          </cell>
          <cell r="H55" t="str">
            <v>卡子 W705093-S403（VP179813.00.41）</v>
          </cell>
        </row>
        <row r="56">
          <cell r="G56" t="str">
            <v>F1.1537</v>
          </cell>
          <cell r="H56" t="str">
            <v>卡子 W716437-S300</v>
          </cell>
        </row>
        <row r="57">
          <cell r="G57" t="str">
            <v>F1.0888</v>
          </cell>
          <cell r="H57" t="str">
            <v>Foam 泡沫块 30*12*2.5</v>
          </cell>
        </row>
        <row r="58">
          <cell r="G58" t="str">
            <v>F1.1154</v>
          </cell>
          <cell r="H58" t="str">
            <v>M6排力螺母 W718039-S439</v>
          </cell>
        </row>
        <row r="59">
          <cell r="G59" t="str">
            <v>F1.0888</v>
          </cell>
          <cell r="H59" t="str">
            <v>Foam 泡沫块 30*12*2.5</v>
          </cell>
        </row>
        <row r="60">
          <cell r="G60" t="str">
            <v>F1.1592</v>
          </cell>
          <cell r="H60" t="str">
            <v>毛毡 50*10*0.5</v>
          </cell>
        </row>
        <row r="61">
          <cell r="G61" t="str">
            <v>F1.2115</v>
          </cell>
          <cell r="H61" t="str">
            <v>卡扣W714972-S300</v>
          </cell>
        </row>
        <row r="62">
          <cell r="G62" t="str">
            <v>F1.1154</v>
          </cell>
          <cell r="H62" t="str">
            <v>M6排力螺母 W718039-S439</v>
          </cell>
        </row>
        <row r="63">
          <cell r="G63" t="str">
            <v>A1.5422</v>
          </cell>
          <cell r="H63" t="str">
            <v>PP+EPDM+TD20 P20T20A10-LE-MP(S012SG)岩石灰</v>
          </cell>
        </row>
        <row r="64">
          <cell r="G64" t="str">
            <v>A1.5420</v>
          </cell>
          <cell r="H64" t="str">
            <v>PP+EPDM+TD20 P20T20A10-LE-MP(S011B) 深蓝</v>
          </cell>
        </row>
        <row r="65">
          <cell r="G65" t="str">
            <v>A5.4150</v>
          </cell>
          <cell r="H65" t="str">
            <v>ABS NH-0700FX K21928 BK</v>
          </cell>
        </row>
        <row r="66">
          <cell r="G66" t="str">
            <v>A5.4150</v>
          </cell>
          <cell r="H66" t="str">
            <v>ABS NH-0700FX K21928 BK</v>
          </cell>
        </row>
        <row r="67">
          <cell r="G67" t="str">
            <v>A1.5420</v>
          </cell>
          <cell r="H67" t="str">
            <v>PP+EPDM+TD20 P20T20A10-LE-MP(S011B) 深蓝</v>
          </cell>
        </row>
        <row r="68">
          <cell r="G68" t="str">
            <v>Z9.173</v>
          </cell>
          <cell r="H68" t="str">
            <v>李尔明细书</v>
          </cell>
        </row>
        <row r="69">
          <cell r="G69" t="str">
            <v>Z8.143</v>
          </cell>
          <cell r="H69" t="str">
            <v>塑料封口袋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合并"/>
      <sheetName val="原材料"/>
      <sheetName val="调拨材料OK"/>
      <sheetName val="辅件"/>
      <sheetName val="油漆"/>
      <sheetName val="包装"/>
    </sheetNames>
    <sheetDataSet>
      <sheetData sheetId="0"/>
      <sheetData sheetId="1">
        <row r="1">
          <cell r="D1" t="str">
            <v>新代码</v>
          </cell>
          <cell r="E1" t="str">
            <v>旧代码</v>
          </cell>
        </row>
        <row r="2">
          <cell r="D2" t="str">
            <v>A1.4000</v>
          </cell>
        </row>
        <row r="3">
          <cell r="D3" t="str">
            <v>A5.4000</v>
          </cell>
        </row>
        <row r="4">
          <cell r="D4" t="str">
            <v>A5.4000</v>
          </cell>
        </row>
        <row r="5">
          <cell r="D5" t="str">
            <v>A1.4001</v>
          </cell>
          <cell r="E5" t="str">
            <v>A1.1745</v>
          </cell>
        </row>
        <row r="6">
          <cell r="D6" t="str">
            <v>A1.4002</v>
          </cell>
        </row>
        <row r="7">
          <cell r="D7" t="str">
            <v>A1.4002</v>
          </cell>
        </row>
        <row r="8">
          <cell r="D8" t="str">
            <v>A1.4003</v>
          </cell>
          <cell r="E8" t="str">
            <v>A1.0568</v>
          </cell>
        </row>
        <row r="9">
          <cell r="D9" t="str">
            <v>A1.4004</v>
          </cell>
          <cell r="E9" t="str">
            <v>A1.1228</v>
          </cell>
        </row>
        <row r="10">
          <cell r="D10" t="str">
            <v>A1.4005</v>
          </cell>
          <cell r="E10" t="str">
            <v>A1.1234</v>
          </cell>
        </row>
        <row r="11">
          <cell r="D11" t="str">
            <v>A1.4006</v>
          </cell>
          <cell r="E11" t="str">
            <v>A1.1276</v>
          </cell>
        </row>
        <row r="12">
          <cell r="D12" t="str">
            <v>A1.4007</v>
          </cell>
        </row>
        <row r="13">
          <cell r="D13" t="str">
            <v>A1.4008</v>
          </cell>
        </row>
        <row r="14">
          <cell r="D14" t="str">
            <v>A1.4009</v>
          </cell>
        </row>
        <row r="15">
          <cell r="D15" t="str">
            <v>A1.4010</v>
          </cell>
        </row>
        <row r="16">
          <cell r="D16" t="str">
            <v>A1.4011</v>
          </cell>
        </row>
        <row r="17">
          <cell r="D17" t="str">
            <v>A1.4012</v>
          </cell>
          <cell r="E17" t="str">
            <v>A1.1660</v>
          </cell>
        </row>
        <row r="18">
          <cell r="D18" t="str">
            <v>A1.4013</v>
          </cell>
          <cell r="E18" t="str">
            <v>A1.1675</v>
          </cell>
        </row>
        <row r="19">
          <cell r="D19" t="str">
            <v>A1.4014</v>
          </cell>
          <cell r="E19" t="str">
            <v>A1.1676</v>
          </cell>
        </row>
        <row r="20">
          <cell r="D20" t="str">
            <v>A1.4015</v>
          </cell>
          <cell r="E20" t="str">
            <v>A1.0763</v>
          </cell>
        </row>
        <row r="21">
          <cell r="D21" t="str">
            <v>A1.4016</v>
          </cell>
        </row>
        <row r="22">
          <cell r="D22" t="str">
            <v>A1.4017</v>
          </cell>
        </row>
        <row r="23">
          <cell r="D23" t="str">
            <v>A1.4018</v>
          </cell>
        </row>
        <row r="24">
          <cell r="D24" t="str">
            <v>A1.4019</v>
          </cell>
        </row>
        <row r="25">
          <cell r="D25" t="str">
            <v>A1.4020</v>
          </cell>
        </row>
        <row r="26">
          <cell r="D26" t="str">
            <v>A1.4021</v>
          </cell>
        </row>
        <row r="27">
          <cell r="D27" t="str">
            <v>A1.4021</v>
          </cell>
          <cell r="E27" t="str">
            <v>A1.1316</v>
          </cell>
        </row>
        <row r="28">
          <cell r="D28" t="str">
            <v>A1.4022</v>
          </cell>
          <cell r="E28" t="str">
            <v>A1.1532</v>
          </cell>
        </row>
        <row r="29">
          <cell r="D29" t="str">
            <v>A1.4023</v>
          </cell>
        </row>
        <row r="30">
          <cell r="D30" t="str">
            <v>A5.4024</v>
          </cell>
        </row>
        <row r="31">
          <cell r="D31" t="str">
            <v>A1.4025</v>
          </cell>
          <cell r="E31" t="str">
            <v>A1.1592</v>
          </cell>
        </row>
        <row r="32">
          <cell r="D32" t="str">
            <v>A1.4025</v>
          </cell>
        </row>
        <row r="33">
          <cell r="D33" t="str">
            <v>A1.4026</v>
          </cell>
        </row>
        <row r="34">
          <cell r="D34" t="str">
            <v>A1.4026</v>
          </cell>
        </row>
        <row r="35">
          <cell r="D35" t="str">
            <v>A1.4027</v>
          </cell>
        </row>
        <row r="36">
          <cell r="D36" t="str">
            <v>A1.4028</v>
          </cell>
          <cell r="E36" t="str">
            <v>A1.1382</v>
          </cell>
        </row>
        <row r="37">
          <cell r="D37" t="str">
            <v>A1.4029</v>
          </cell>
        </row>
        <row r="38">
          <cell r="D38" t="str">
            <v>A1.4029</v>
          </cell>
          <cell r="E38" t="str">
            <v>A1.0261</v>
          </cell>
        </row>
        <row r="39">
          <cell r="D39" t="str">
            <v>A1.4029</v>
          </cell>
        </row>
        <row r="40">
          <cell r="D40" t="str">
            <v>A1.4030</v>
          </cell>
        </row>
        <row r="41">
          <cell r="D41" t="str">
            <v>A1.4030</v>
          </cell>
        </row>
        <row r="42">
          <cell r="D42" t="str">
            <v>A1.4031</v>
          </cell>
          <cell r="E42" t="str">
            <v>A1.1573</v>
          </cell>
        </row>
        <row r="43">
          <cell r="D43" t="str">
            <v>A1.4032</v>
          </cell>
          <cell r="E43" t="str">
            <v>A1.1142</v>
          </cell>
        </row>
        <row r="44">
          <cell r="D44" t="str">
            <v>A1.4033</v>
          </cell>
          <cell r="E44" t="str">
            <v>A1.1518</v>
          </cell>
        </row>
        <row r="45">
          <cell r="D45" t="str">
            <v>A1.4034</v>
          </cell>
        </row>
        <row r="46">
          <cell r="D46" t="str">
            <v>A5.4034</v>
          </cell>
        </row>
        <row r="47">
          <cell r="D47" t="str">
            <v>A1.4035</v>
          </cell>
        </row>
        <row r="48">
          <cell r="D48" t="str">
            <v>A5.4035</v>
          </cell>
        </row>
        <row r="49">
          <cell r="D49" t="str">
            <v>A5.4036</v>
          </cell>
        </row>
        <row r="50">
          <cell r="D50" t="str">
            <v>A5.4037</v>
          </cell>
        </row>
        <row r="51">
          <cell r="D51" t="str">
            <v>A1.4038</v>
          </cell>
        </row>
        <row r="52">
          <cell r="D52" t="str">
            <v>A5.4039</v>
          </cell>
        </row>
        <row r="53">
          <cell r="D53" t="str">
            <v>A1.4040</v>
          </cell>
        </row>
        <row r="54">
          <cell r="D54" t="str">
            <v>A1.4041</v>
          </cell>
        </row>
        <row r="55">
          <cell r="D55" t="str">
            <v>A1.4041</v>
          </cell>
        </row>
        <row r="56">
          <cell r="D56" t="str">
            <v>A1.4041</v>
          </cell>
          <cell r="E56" t="str">
            <v>A1.0585</v>
          </cell>
        </row>
        <row r="57">
          <cell r="D57" t="str">
            <v>A1.4041</v>
          </cell>
          <cell r="E57" t="str">
            <v>A1.0585</v>
          </cell>
        </row>
        <row r="58">
          <cell r="D58" t="str">
            <v>A1.4042</v>
          </cell>
        </row>
        <row r="59">
          <cell r="D59" t="str">
            <v>A5.4042</v>
          </cell>
        </row>
        <row r="60">
          <cell r="D60" t="str">
            <v>A5.4043</v>
          </cell>
        </row>
        <row r="61">
          <cell r="D61" t="str">
            <v>A1.4044</v>
          </cell>
        </row>
        <row r="62">
          <cell r="D62" t="str">
            <v>A5.4044</v>
          </cell>
        </row>
        <row r="63">
          <cell r="D63" t="str">
            <v>A5.4045</v>
          </cell>
        </row>
        <row r="64">
          <cell r="D64" t="str">
            <v>A5.4046</v>
          </cell>
        </row>
        <row r="65">
          <cell r="D65" t="str">
            <v>A5.4047</v>
          </cell>
        </row>
        <row r="66">
          <cell r="D66" t="str">
            <v>A5.4048</v>
          </cell>
        </row>
        <row r="67">
          <cell r="D67" t="str">
            <v>A5.4049</v>
          </cell>
        </row>
        <row r="68">
          <cell r="D68" t="str">
            <v>A5.4050</v>
          </cell>
        </row>
        <row r="69">
          <cell r="D69" t="str">
            <v>A5.4051</v>
          </cell>
        </row>
        <row r="70">
          <cell r="D70" t="str">
            <v>A5.4052</v>
          </cell>
        </row>
        <row r="71">
          <cell r="D71" t="str">
            <v>A5.4053</v>
          </cell>
        </row>
        <row r="72">
          <cell r="D72" t="str">
            <v>A5.4054</v>
          </cell>
        </row>
        <row r="73">
          <cell r="D73" t="str">
            <v>A5.4055</v>
          </cell>
        </row>
        <row r="74">
          <cell r="D74" t="str">
            <v>A5.4056</v>
          </cell>
        </row>
        <row r="75">
          <cell r="D75" t="str">
            <v>A5.4057</v>
          </cell>
        </row>
        <row r="76">
          <cell r="D76" t="str">
            <v>A5.4058</v>
          </cell>
        </row>
        <row r="77">
          <cell r="D77" t="str">
            <v>A5.4059</v>
          </cell>
        </row>
        <row r="78">
          <cell r="D78" t="str">
            <v>A5.4060</v>
          </cell>
        </row>
        <row r="79">
          <cell r="D79" t="str">
            <v>A5.4061</v>
          </cell>
        </row>
        <row r="80">
          <cell r="D80" t="str">
            <v>A1.4062</v>
          </cell>
        </row>
        <row r="81">
          <cell r="D81" t="str">
            <v>A5.4062</v>
          </cell>
        </row>
        <row r="82">
          <cell r="D82" t="str">
            <v>A5.4063</v>
          </cell>
        </row>
        <row r="83">
          <cell r="D83" t="str">
            <v>A5.4064</v>
          </cell>
        </row>
        <row r="84">
          <cell r="D84" t="str">
            <v>A5.4065</v>
          </cell>
        </row>
        <row r="85">
          <cell r="D85" t="str">
            <v>A1.4066</v>
          </cell>
          <cell r="E85" t="str">
            <v>A1.1761</v>
          </cell>
        </row>
        <row r="86">
          <cell r="D86" t="str">
            <v>A5.4066</v>
          </cell>
          <cell r="E86" t="str">
            <v>A5.1761</v>
          </cell>
        </row>
        <row r="87">
          <cell r="D87" t="str">
            <v>A1.4067</v>
          </cell>
        </row>
        <row r="88">
          <cell r="D88" t="str">
            <v>A5.4067</v>
          </cell>
        </row>
        <row r="89">
          <cell r="D89" t="str">
            <v>A5.4068</v>
          </cell>
        </row>
        <row r="90">
          <cell r="D90" t="str">
            <v>A5.4069</v>
          </cell>
        </row>
        <row r="91">
          <cell r="D91" t="str">
            <v>A5.4070</v>
          </cell>
        </row>
        <row r="92">
          <cell r="D92" t="str">
            <v>A5.4071</v>
          </cell>
        </row>
        <row r="93">
          <cell r="D93" t="str">
            <v>A5.4072</v>
          </cell>
        </row>
        <row r="94">
          <cell r="D94" t="str">
            <v>A5.4073</v>
          </cell>
        </row>
        <row r="95">
          <cell r="D95" t="str">
            <v>A5.4074</v>
          </cell>
        </row>
        <row r="96">
          <cell r="D96" t="str">
            <v>A5.4075</v>
          </cell>
        </row>
        <row r="97">
          <cell r="D97" t="str">
            <v>A5.4076</v>
          </cell>
        </row>
        <row r="98">
          <cell r="D98" t="str">
            <v>A5.4077</v>
          </cell>
        </row>
        <row r="99">
          <cell r="D99" t="str">
            <v>A5.4078</v>
          </cell>
        </row>
        <row r="100">
          <cell r="D100" t="str">
            <v>A5.4079</v>
          </cell>
        </row>
        <row r="101">
          <cell r="D101" t="str">
            <v>A1.4080</v>
          </cell>
        </row>
        <row r="102">
          <cell r="D102" t="str">
            <v>A5.4080</v>
          </cell>
        </row>
        <row r="103">
          <cell r="D103" t="str">
            <v>A5.4081</v>
          </cell>
        </row>
        <row r="104">
          <cell r="D104" t="str">
            <v>A5.4082</v>
          </cell>
        </row>
        <row r="105">
          <cell r="D105" t="str">
            <v>A5.4083</v>
          </cell>
        </row>
        <row r="106">
          <cell r="D106" t="str">
            <v>A5.4084</v>
          </cell>
        </row>
        <row r="107">
          <cell r="D107" t="str">
            <v>A1.4085</v>
          </cell>
        </row>
        <row r="108">
          <cell r="D108" t="str">
            <v>A5.4086</v>
          </cell>
        </row>
        <row r="109">
          <cell r="D109" t="str">
            <v>A5.4086</v>
          </cell>
        </row>
        <row r="110">
          <cell r="D110" t="str">
            <v>A5.4087</v>
          </cell>
        </row>
        <row r="111">
          <cell r="D111" t="str">
            <v>A5.4087</v>
          </cell>
        </row>
        <row r="112">
          <cell r="D112" t="str">
            <v>A1.4088</v>
          </cell>
        </row>
        <row r="113">
          <cell r="D113" t="str">
            <v>A5.4088</v>
          </cell>
        </row>
        <row r="114">
          <cell r="D114" t="str">
            <v>A5.4088</v>
          </cell>
        </row>
        <row r="115">
          <cell r="D115" t="str">
            <v>A1.4089</v>
          </cell>
        </row>
        <row r="116">
          <cell r="D116" t="str">
            <v>A1.4090</v>
          </cell>
        </row>
        <row r="117">
          <cell r="D117" t="str">
            <v>A5.4090</v>
          </cell>
        </row>
        <row r="118">
          <cell r="D118" t="str">
            <v>A1.4091</v>
          </cell>
          <cell r="E118" t="str">
            <v>A1.1664</v>
          </cell>
        </row>
        <row r="119">
          <cell r="D119" t="str">
            <v>A1.4092</v>
          </cell>
          <cell r="E119" t="str">
            <v>A1.1528</v>
          </cell>
        </row>
        <row r="120">
          <cell r="D120" t="str">
            <v>A1.4092</v>
          </cell>
          <cell r="E120" t="str">
            <v>A1.1528</v>
          </cell>
        </row>
        <row r="121">
          <cell r="D121" t="str">
            <v>A1.4093</v>
          </cell>
          <cell r="E121" t="str">
            <v>A1.0973</v>
          </cell>
        </row>
        <row r="122">
          <cell r="D122" t="str">
            <v>A1.4094</v>
          </cell>
          <cell r="E122" t="str">
            <v>A1.1611</v>
          </cell>
        </row>
        <row r="123">
          <cell r="D123" t="str">
            <v>A1.4095</v>
          </cell>
          <cell r="E123" t="str">
            <v>A1.1612</v>
          </cell>
        </row>
        <row r="124">
          <cell r="D124" t="str">
            <v>A1.4096</v>
          </cell>
        </row>
        <row r="125">
          <cell r="D125" t="str">
            <v>A1.4097</v>
          </cell>
          <cell r="E125" t="str">
            <v>A1.0225</v>
          </cell>
        </row>
        <row r="126">
          <cell r="D126" t="str">
            <v>A1.4097</v>
          </cell>
        </row>
        <row r="127">
          <cell r="D127" t="str">
            <v>A1.4097</v>
          </cell>
        </row>
        <row r="128">
          <cell r="D128" t="str">
            <v>A1.4098</v>
          </cell>
        </row>
        <row r="129">
          <cell r="D129" t="str">
            <v>A1.4099</v>
          </cell>
          <cell r="E129" t="str">
            <v>A1.0379</v>
          </cell>
        </row>
        <row r="130">
          <cell r="D130" t="str">
            <v>A1.4099</v>
          </cell>
        </row>
        <row r="131">
          <cell r="D131" t="str">
            <v>A1.4100</v>
          </cell>
        </row>
        <row r="132">
          <cell r="D132" t="str">
            <v>A1.4101</v>
          </cell>
          <cell r="E132" t="str">
            <v>A1.0380</v>
          </cell>
        </row>
        <row r="133">
          <cell r="D133" t="str">
            <v>A1.4101</v>
          </cell>
        </row>
        <row r="134">
          <cell r="D134" t="str">
            <v>A1.4102</v>
          </cell>
        </row>
        <row r="135">
          <cell r="D135" t="str">
            <v>A1.4103</v>
          </cell>
        </row>
        <row r="136">
          <cell r="D136" t="str">
            <v>A1.4103</v>
          </cell>
        </row>
        <row r="137">
          <cell r="D137" t="str">
            <v>A1.4105</v>
          </cell>
        </row>
        <row r="138">
          <cell r="D138" t="str">
            <v>A1.4106</v>
          </cell>
        </row>
        <row r="139">
          <cell r="D139" t="str">
            <v>A1.4107</v>
          </cell>
        </row>
        <row r="140">
          <cell r="D140" t="str">
            <v>A1.4108</v>
          </cell>
        </row>
        <row r="141">
          <cell r="D141" t="str">
            <v>A1.4109</v>
          </cell>
        </row>
        <row r="142">
          <cell r="D142" t="str">
            <v>A1.4110</v>
          </cell>
        </row>
        <row r="143">
          <cell r="D143" t="str">
            <v>A1.4111</v>
          </cell>
        </row>
        <row r="144">
          <cell r="D144" t="str">
            <v>A1.4111</v>
          </cell>
          <cell r="E144" t="str">
            <v>A1.1481</v>
          </cell>
        </row>
        <row r="145">
          <cell r="D145" t="str">
            <v>A5.4112</v>
          </cell>
          <cell r="E145" t="str">
            <v>A5.1785</v>
          </cell>
        </row>
        <row r="146">
          <cell r="D146" t="str">
            <v>A5.4113</v>
          </cell>
          <cell r="E146" t="str">
            <v>A5.1784</v>
          </cell>
        </row>
        <row r="147">
          <cell r="D147" t="str">
            <v>A1.4114</v>
          </cell>
          <cell r="E147" t="str">
            <v>A1.1805</v>
          </cell>
        </row>
        <row r="148">
          <cell r="D148" t="str">
            <v>A5.4114</v>
          </cell>
          <cell r="E148" t="str">
            <v>A5.1805</v>
          </cell>
        </row>
        <row r="149">
          <cell r="D149" t="str">
            <v>A5.4115</v>
          </cell>
          <cell r="E149" t="str">
            <v>A5.1966</v>
          </cell>
        </row>
        <row r="150">
          <cell r="D150" t="str">
            <v>A5.4116</v>
          </cell>
          <cell r="E150" t="str">
            <v>A5.1403</v>
          </cell>
        </row>
        <row r="151">
          <cell r="D151" t="str">
            <v>A5.4117</v>
          </cell>
          <cell r="E151" t="str">
            <v>A5.1818</v>
          </cell>
        </row>
        <row r="152">
          <cell r="D152" t="str">
            <v>A1.4118</v>
          </cell>
          <cell r="E152" t="str">
            <v>A1.1804</v>
          </cell>
        </row>
        <row r="153">
          <cell r="D153" t="str">
            <v>A5.4118</v>
          </cell>
          <cell r="E153" t="str">
            <v>A5.1804</v>
          </cell>
        </row>
        <row r="154">
          <cell r="D154" t="str">
            <v>A5.4119</v>
          </cell>
          <cell r="E154" t="str">
            <v>A5.1782</v>
          </cell>
        </row>
        <row r="155">
          <cell r="D155" t="str">
            <v>A1.4120</v>
          </cell>
          <cell r="E155" t="str">
            <v>A1.1790</v>
          </cell>
        </row>
        <row r="156">
          <cell r="D156" t="str">
            <v>A5.4120</v>
          </cell>
          <cell r="E156" t="str">
            <v>A5.1790</v>
          </cell>
        </row>
        <row r="157">
          <cell r="D157" t="str">
            <v>A1.4121</v>
          </cell>
          <cell r="E157" t="str">
            <v>A1.0027</v>
          </cell>
        </row>
        <row r="158">
          <cell r="D158" t="str">
            <v>A1.4121</v>
          </cell>
        </row>
        <row r="159">
          <cell r="D159" t="str">
            <v>A1.4121</v>
          </cell>
        </row>
        <row r="160">
          <cell r="D160" t="str">
            <v>A1.4122</v>
          </cell>
        </row>
        <row r="161">
          <cell r="D161" t="str">
            <v>A1.4122</v>
          </cell>
        </row>
        <row r="162">
          <cell r="D162" t="str">
            <v>A1.4122</v>
          </cell>
        </row>
        <row r="163">
          <cell r="D163" t="str">
            <v>A1.4122</v>
          </cell>
        </row>
        <row r="164">
          <cell r="D164" t="str">
            <v>A1.4122</v>
          </cell>
        </row>
        <row r="165">
          <cell r="D165" t="str">
            <v>A1.4122</v>
          </cell>
        </row>
        <row r="166">
          <cell r="D166" t="str">
            <v>A1.4122</v>
          </cell>
          <cell r="E166" t="str">
            <v>A1.1099</v>
          </cell>
        </row>
        <row r="167">
          <cell r="D167" t="str">
            <v>A1.4122</v>
          </cell>
        </row>
        <row r="168">
          <cell r="D168" t="str">
            <v>A1.4122</v>
          </cell>
        </row>
        <row r="169">
          <cell r="D169" t="str">
            <v>A1.4122</v>
          </cell>
        </row>
        <row r="170">
          <cell r="D170" t="str">
            <v>A1.4122</v>
          </cell>
        </row>
        <row r="171">
          <cell r="D171" t="str">
            <v>A1.4123</v>
          </cell>
          <cell r="E171" t="str">
            <v>A1.0873</v>
          </cell>
        </row>
        <row r="172">
          <cell r="D172" t="str">
            <v>A1.4123</v>
          </cell>
        </row>
        <row r="173">
          <cell r="D173" t="str">
            <v>A1.4123</v>
          </cell>
        </row>
        <row r="174">
          <cell r="D174" t="str">
            <v>A1.4123</v>
          </cell>
        </row>
        <row r="175">
          <cell r="D175" t="str">
            <v>A1.4124</v>
          </cell>
        </row>
        <row r="176">
          <cell r="D176" t="str">
            <v>A1.4125</v>
          </cell>
        </row>
        <row r="177">
          <cell r="D177" t="str">
            <v>A5.4126</v>
          </cell>
        </row>
        <row r="178">
          <cell r="D178" t="str">
            <v>A5.4126</v>
          </cell>
        </row>
        <row r="179">
          <cell r="D179" t="str">
            <v>A1.4127</v>
          </cell>
        </row>
        <row r="180">
          <cell r="D180" t="str">
            <v>A1.4127</v>
          </cell>
        </row>
        <row r="181">
          <cell r="D181" t="str">
            <v>A1.4127</v>
          </cell>
        </row>
        <row r="182">
          <cell r="D182" t="str">
            <v>A1.4127</v>
          </cell>
        </row>
        <row r="183">
          <cell r="D183" t="str">
            <v>A1.4127</v>
          </cell>
        </row>
        <row r="184">
          <cell r="D184" t="str">
            <v>A1.4128</v>
          </cell>
        </row>
        <row r="185">
          <cell r="D185" t="str">
            <v>A1.4128</v>
          </cell>
        </row>
        <row r="186">
          <cell r="D186" t="str">
            <v>A1.4128</v>
          </cell>
        </row>
        <row r="187">
          <cell r="D187" t="str">
            <v>A1.4128</v>
          </cell>
        </row>
        <row r="188">
          <cell r="D188" t="str">
            <v>A1.4129</v>
          </cell>
          <cell r="E188" t="str">
            <v>A1.1647</v>
          </cell>
        </row>
        <row r="189">
          <cell r="D189" t="str">
            <v>A1.4130</v>
          </cell>
        </row>
        <row r="190">
          <cell r="D190" t="str">
            <v>A1.4131</v>
          </cell>
        </row>
        <row r="191">
          <cell r="D191" t="str">
            <v>A1.4131</v>
          </cell>
        </row>
        <row r="192">
          <cell r="D192" t="str">
            <v>A1.4131</v>
          </cell>
        </row>
        <row r="193">
          <cell r="D193" t="str">
            <v>A1.4131</v>
          </cell>
        </row>
        <row r="194">
          <cell r="D194" t="str">
            <v>A1.4132</v>
          </cell>
        </row>
        <row r="195">
          <cell r="D195" t="str">
            <v>A1.4132</v>
          </cell>
        </row>
        <row r="196">
          <cell r="D196" t="str">
            <v>A1.4133</v>
          </cell>
        </row>
        <row r="197">
          <cell r="D197" t="str">
            <v>A1.4134</v>
          </cell>
          <cell r="E197" t="str">
            <v>A1.1679</v>
          </cell>
        </row>
        <row r="198">
          <cell r="D198" t="str">
            <v>A1.4135</v>
          </cell>
          <cell r="E198" t="str">
            <v>A1.1698</v>
          </cell>
        </row>
        <row r="199">
          <cell r="D199" t="str">
            <v>A1.4136</v>
          </cell>
        </row>
        <row r="200">
          <cell r="D200" t="str">
            <v>A1.4137</v>
          </cell>
        </row>
        <row r="201">
          <cell r="D201" t="str">
            <v>A1.4137</v>
          </cell>
        </row>
        <row r="202">
          <cell r="D202" t="str">
            <v>A5.4137</v>
          </cell>
        </row>
        <row r="203">
          <cell r="D203" t="str">
            <v>A5.4138</v>
          </cell>
        </row>
        <row r="204">
          <cell r="D204" t="str">
            <v>A5.4139</v>
          </cell>
        </row>
        <row r="205">
          <cell r="D205" t="str">
            <v>A1.4140</v>
          </cell>
        </row>
        <row r="206">
          <cell r="D206" t="str">
            <v>A5.4140</v>
          </cell>
        </row>
        <row r="207">
          <cell r="D207" t="str">
            <v>A1.4141</v>
          </cell>
        </row>
        <row r="208">
          <cell r="D208" t="str">
            <v>A5.4141</v>
          </cell>
        </row>
        <row r="209">
          <cell r="D209" t="str">
            <v>A1.4142</v>
          </cell>
          <cell r="E209" t="str">
            <v>A1.0902</v>
          </cell>
        </row>
        <row r="210">
          <cell r="D210" t="str">
            <v>A1.4142</v>
          </cell>
        </row>
        <row r="211">
          <cell r="D211" t="str">
            <v>A1.4142</v>
          </cell>
        </row>
        <row r="212">
          <cell r="D212" t="str">
            <v>A5.4143</v>
          </cell>
          <cell r="E212" t="str">
            <v>A5.1230</v>
          </cell>
        </row>
        <row r="213">
          <cell r="D213" t="str">
            <v>A5.4144</v>
          </cell>
          <cell r="E213" t="str">
            <v>A5.1402</v>
          </cell>
        </row>
        <row r="214">
          <cell r="D214" t="str">
            <v>A1.4145</v>
          </cell>
          <cell r="E214" t="str">
            <v>A1.1231</v>
          </cell>
        </row>
        <row r="215">
          <cell r="D215" t="str">
            <v>A5.4145</v>
          </cell>
          <cell r="E215" t="str">
            <v>A5.1231</v>
          </cell>
        </row>
        <row r="216">
          <cell r="D216" t="str">
            <v>A1.4146</v>
          </cell>
          <cell r="E216" t="str">
            <v>A1.0123</v>
          </cell>
        </row>
        <row r="217">
          <cell r="D217" t="str">
            <v>A5.4146</v>
          </cell>
          <cell r="E217" t="str">
            <v>A5.0123</v>
          </cell>
        </row>
        <row r="218">
          <cell r="D218" t="str">
            <v>A5.4147</v>
          </cell>
          <cell r="E218" t="str">
            <v>A5.1817</v>
          </cell>
        </row>
        <row r="219">
          <cell r="D219" t="str">
            <v>A5.4148</v>
          </cell>
          <cell r="E219" t="str">
            <v>A5.1939</v>
          </cell>
        </row>
        <row r="220">
          <cell r="D220" t="str">
            <v>A5.4149</v>
          </cell>
          <cell r="E220" t="str">
            <v>A5.1967</v>
          </cell>
        </row>
        <row r="221">
          <cell r="D221" t="str">
            <v>A5.4150</v>
          </cell>
          <cell r="E221" t="str">
            <v>A5.0802</v>
          </cell>
        </row>
        <row r="222">
          <cell r="D222" t="str">
            <v>A5.4151</v>
          </cell>
          <cell r="E222" t="str">
            <v>A5.1803</v>
          </cell>
        </row>
        <row r="223">
          <cell r="D223" t="str">
            <v>A5.4152</v>
          </cell>
          <cell r="E223" t="str">
            <v>A5.1914</v>
          </cell>
        </row>
        <row r="224">
          <cell r="D224" t="str">
            <v>A5.4153</v>
          </cell>
        </row>
        <row r="225">
          <cell r="D225" t="str">
            <v>A5.4154</v>
          </cell>
        </row>
        <row r="226">
          <cell r="D226" t="str">
            <v>A5.4155</v>
          </cell>
        </row>
        <row r="227">
          <cell r="D227" t="str">
            <v>A5.4156</v>
          </cell>
        </row>
        <row r="228">
          <cell r="D228" t="str">
            <v>A5.4157</v>
          </cell>
        </row>
        <row r="229">
          <cell r="D229" t="str">
            <v>A5.4158</v>
          </cell>
        </row>
        <row r="230">
          <cell r="D230" t="str">
            <v>A1.4159</v>
          </cell>
        </row>
        <row r="231">
          <cell r="D231" t="str">
            <v>A1.4159</v>
          </cell>
        </row>
        <row r="232">
          <cell r="D232" t="str">
            <v>A1.4160</v>
          </cell>
        </row>
        <row r="233">
          <cell r="D233" t="str">
            <v>A1.4161</v>
          </cell>
        </row>
        <row r="234">
          <cell r="D234" t="str">
            <v>A1.4162</v>
          </cell>
          <cell r="E234" t="str">
            <v>A1.0010</v>
          </cell>
        </row>
        <row r="235">
          <cell r="D235" t="str">
            <v>A1.4162</v>
          </cell>
        </row>
        <row r="236">
          <cell r="D236" t="str">
            <v>A1.4163</v>
          </cell>
        </row>
        <row r="237">
          <cell r="D237" t="str">
            <v>A1.4164</v>
          </cell>
        </row>
        <row r="238">
          <cell r="D238" t="str">
            <v>A1.4164</v>
          </cell>
          <cell r="E238" t="str">
            <v>A1.1340</v>
          </cell>
        </row>
        <row r="239">
          <cell r="D239" t="str">
            <v>A1.4164</v>
          </cell>
        </row>
        <row r="240">
          <cell r="D240" t="str">
            <v>A1.4164</v>
          </cell>
        </row>
        <row r="241">
          <cell r="D241" t="str">
            <v>A1.4164</v>
          </cell>
        </row>
        <row r="242">
          <cell r="D242" t="str">
            <v>A1.4165</v>
          </cell>
        </row>
        <row r="243">
          <cell r="D243" t="str">
            <v>A1.4165</v>
          </cell>
        </row>
        <row r="244">
          <cell r="D244" t="str">
            <v>A1.4165</v>
          </cell>
        </row>
        <row r="245">
          <cell r="D245" t="str">
            <v>A1.4166</v>
          </cell>
          <cell r="E245" t="str">
            <v>A1.1544</v>
          </cell>
        </row>
        <row r="246">
          <cell r="D246" t="str">
            <v>A1.4166</v>
          </cell>
          <cell r="E246" t="str">
            <v>A1.1544</v>
          </cell>
        </row>
        <row r="247">
          <cell r="D247" t="str">
            <v>A1.4166</v>
          </cell>
        </row>
        <row r="248">
          <cell r="D248" t="str">
            <v>A1.4166</v>
          </cell>
        </row>
        <row r="249">
          <cell r="D249" t="str">
            <v>A5.4167</v>
          </cell>
        </row>
        <row r="250">
          <cell r="D250" t="str">
            <v>A5.4168</v>
          </cell>
        </row>
        <row r="251">
          <cell r="D251" t="str">
            <v>A5.4169</v>
          </cell>
        </row>
        <row r="252">
          <cell r="D252" t="str">
            <v>A5.4170</v>
          </cell>
        </row>
        <row r="253">
          <cell r="D253" t="str">
            <v>A1.4171</v>
          </cell>
          <cell r="E253" t="str">
            <v>A1.0580</v>
          </cell>
        </row>
        <row r="254">
          <cell r="D254" t="str">
            <v>A1.4171</v>
          </cell>
          <cell r="E254" t="str">
            <v>A1.0580</v>
          </cell>
        </row>
        <row r="255">
          <cell r="D255" t="str">
            <v>A1.4171</v>
          </cell>
        </row>
        <row r="256">
          <cell r="D256" t="str">
            <v>A1.4171</v>
          </cell>
        </row>
        <row r="257">
          <cell r="D257" t="str">
            <v>A1.4171</v>
          </cell>
        </row>
        <row r="258">
          <cell r="D258" t="str">
            <v>A1.4172</v>
          </cell>
          <cell r="E258" t="str">
            <v>A1.1610</v>
          </cell>
        </row>
        <row r="259">
          <cell r="D259" t="str">
            <v>A1.4173</v>
          </cell>
        </row>
        <row r="260">
          <cell r="D260" t="str">
            <v>A5.4174</v>
          </cell>
        </row>
        <row r="261">
          <cell r="D261" t="str">
            <v>A5.4175</v>
          </cell>
        </row>
        <row r="262">
          <cell r="D262" t="str">
            <v>A5.4176</v>
          </cell>
        </row>
        <row r="263">
          <cell r="D263" t="str">
            <v>A5.4177</v>
          </cell>
          <cell r="E263" t="str">
            <v>A5.1405</v>
          </cell>
        </row>
        <row r="264">
          <cell r="D264" t="str">
            <v>A1.4178</v>
          </cell>
        </row>
        <row r="265">
          <cell r="D265" t="str">
            <v>A5.4178</v>
          </cell>
        </row>
        <row r="266">
          <cell r="D266" t="str">
            <v>A1.4179</v>
          </cell>
        </row>
        <row r="267">
          <cell r="D267" t="str">
            <v>A5.4179</v>
          </cell>
        </row>
        <row r="268">
          <cell r="D268" t="str">
            <v>A5.4180</v>
          </cell>
        </row>
        <row r="269">
          <cell r="D269" t="str">
            <v>A1.4181</v>
          </cell>
        </row>
        <row r="270">
          <cell r="D270" t="str">
            <v>A1.4182</v>
          </cell>
        </row>
        <row r="271">
          <cell r="D271" t="str">
            <v>A1.4183</v>
          </cell>
        </row>
        <row r="272">
          <cell r="D272" t="str">
            <v>A1.4184</v>
          </cell>
          <cell r="E272" t="str">
            <v>A1.1696</v>
          </cell>
        </row>
        <row r="273">
          <cell r="D273" t="str">
            <v>A1.4185</v>
          </cell>
        </row>
        <row r="274">
          <cell r="D274" t="str">
            <v>A1.4186</v>
          </cell>
        </row>
        <row r="275">
          <cell r="D275" t="str">
            <v>A1.4186</v>
          </cell>
        </row>
        <row r="276">
          <cell r="D276" t="str">
            <v>A1.4186</v>
          </cell>
          <cell r="E276" t="str">
            <v>A1.1560</v>
          </cell>
        </row>
        <row r="277">
          <cell r="D277" t="str">
            <v>A1.4186</v>
          </cell>
        </row>
        <row r="278">
          <cell r="D278" t="str">
            <v>A1.4187</v>
          </cell>
        </row>
        <row r="279">
          <cell r="D279" t="str">
            <v>A1.4187</v>
          </cell>
          <cell r="E279" t="str">
            <v>A1.1626</v>
          </cell>
        </row>
        <row r="280">
          <cell r="D280" t="str">
            <v>A5.4188</v>
          </cell>
          <cell r="E280" t="str">
            <v>A5.0380</v>
          </cell>
        </row>
        <row r="281">
          <cell r="D281" t="str">
            <v>A5.4189</v>
          </cell>
          <cell r="E281" t="str">
            <v>A5.0002</v>
          </cell>
        </row>
        <row r="282">
          <cell r="D282" t="str">
            <v>A5.4190</v>
          </cell>
          <cell r="E282" t="str">
            <v>A5.1045</v>
          </cell>
        </row>
        <row r="283">
          <cell r="D283" t="str">
            <v>A5.4191</v>
          </cell>
          <cell r="E283" t="str">
            <v>A5.1220</v>
          </cell>
        </row>
        <row r="284">
          <cell r="D284" t="str">
            <v>A5.4192</v>
          </cell>
          <cell r="E284" t="str">
            <v>A5.1180</v>
          </cell>
        </row>
        <row r="285">
          <cell r="D285" t="str">
            <v>A5.4193</v>
          </cell>
          <cell r="E285" t="str">
            <v>A5.1238</v>
          </cell>
        </row>
        <row r="286">
          <cell r="D286" t="str">
            <v>A5.4194</v>
          </cell>
          <cell r="E286" t="str">
            <v>A5.1214</v>
          </cell>
        </row>
        <row r="287">
          <cell r="D287" t="str">
            <v>A5.4195</v>
          </cell>
          <cell r="E287" t="str">
            <v>A5.1359</v>
          </cell>
        </row>
        <row r="288">
          <cell r="D288" t="str">
            <v>A5.4196</v>
          </cell>
          <cell r="E288" t="str">
            <v>A5.1215</v>
          </cell>
        </row>
        <row r="289">
          <cell r="D289" t="str">
            <v>A5.4197</v>
          </cell>
          <cell r="E289" t="str">
            <v>A5.1221</v>
          </cell>
        </row>
        <row r="290">
          <cell r="D290" t="str">
            <v>A5.4198</v>
          </cell>
          <cell r="E290" t="str">
            <v>A5.1218</v>
          </cell>
        </row>
        <row r="291">
          <cell r="D291" t="str">
            <v>A5.4199</v>
          </cell>
          <cell r="E291" t="str">
            <v>A5.1219</v>
          </cell>
        </row>
        <row r="292">
          <cell r="D292" t="str">
            <v>A5.4200</v>
          </cell>
          <cell r="E292" t="str">
            <v>A5.1217</v>
          </cell>
        </row>
        <row r="293">
          <cell r="D293" t="str">
            <v>A5.4201</v>
          </cell>
          <cell r="E293" t="str">
            <v>A5.1216</v>
          </cell>
        </row>
        <row r="294">
          <cell r="D294" t="str">
            <v>A5.4202</v>
          </cell>
          <cell r="E294" t="str">
            <v>A5.0107</v>
          </cell>
        </row>
        <row r="295">
          <cell r="D295" t="str">
            <v>A5.4203</v>
          </cell>
          <cell r="E295" t="str">
            <v>A5.0318</v>
          </cell>
        </row>
        <row r="296">
          <cell r="D296" t="str">
            <v>A5.4204</v>
          </cell>
          <cell r="E296" t="str">
            <v>A5.0472</v>
          </cell>
        </row>
        <row r="297">
          <cell r="D297" t="str">
            <v>A5.4205</v>
          </cell>
          <cell r="E297" t="str">
            <v>A5.0060</v>
          </cell>
        </row>
        <row r="298">
          <cell r="D298" t="str">
            <v>A5.4206</v>
          </cell>
          <cell r="E298" t="str">
            <v>A5.0286</v>
          </cell>
        </row>
        <row r="299">
          <cell r="D299" t="str">
            <v>A5.4207</v>
          </cell>
          <cell r="E299" t="str">
            <v>A5.0355</v>
          </cell>
        </row>
        <row r="300">
          <cell r="D300" t="str">
            <v>A5.4208</v>
          </cell>
          <cell r="E300" t="str">
            <v>A5.0356</v>
          </cell>
        </row>
        <row r="301">
          <cell r="D301" t="str">
            <v>A1.4209</v>
          </cell>
        </row>
        <row r="302">
          <cell r="D302" t="str">
            <v>A5.4210</v>
          </cell>
        </row>
        <row r="303">
          <cell r="D303" t="str">
            <v>A5.4211</v>
          </cell>
        </row>
        <row r="304">
          <cell r="D304" t="str">
            <v>A1.4212</v>
          </cell>
        </row>
        <row r="305">
          <cell r="D305" t="str">
            <v>A5.4212</v>
          </cell>
        </row>
        <row r="306">
          <cell r="D306" t="str">
            <v>A1.4213</v>
          </cell>
        </row>
        <row r="307">
          <cell r="D307" t="str">
            <v>A5.4213</v>
          </cell>
        </row>
        <row r="308">
          <cell r="D308" t="str">
            <v>A1.4214</v>
          </cell>
          <cell r="E308" t="str">
            <v>A1.1530</v>
          </cell>
        </row>
        <row r="309">
          <cell r="D309" t="str">
            <v>A1.4214</v>
          </cell>
        </row>
        <row r="310">
          <cell r="D310" t="str">
            <v>A1.4215</v>
          </cell>
          <cell r="E310" t="str">
            <v>A1.1489</v>
          </cell>
        </row>
        <row r="311">
          <cell r="D311" t="str">
            <v>A1.4216</v>
          </cell>
          <cell r="E311" t="str">
            <v>A1.1118</v>
          </cell>
        </row>
        <row r="312">
          <cell r="D312" t="str">
            <v>A1.4216</v>
          </cell>
        </row>
        <row r="313">
          <cell r="D313" t="str">
            <v>A1.4217</v>
          </cell>
          <cell r="E313" t="str">
            <v>A1.1119</v>
          </cell>
        </row>
        <row r="314">
          <cell r="D314" t="str">
            <v>A1.4218</v>
          </cell>
        </row>
        <row r="315">
          <cell r="D315" t="str">
            <v>A1.4219</v>
          </cell>
          <cell r="E315" t="str">
            <v>A1.1523</v>
          </cell>
        </row>
        <row r="316">
          <cell r="D316" t="str">
            <v>A1.4219</v>
          </cell>
        </row>
        <row r="317">
          <cell r="D317" t="str">
            <v>A1.4220</v>
          </cell>
        </row>
        <row r="318">
          <cell r="D318" t="str">
            <v>A1.4220</v>
          </cell>
        </row>
        <row r="319">
          <cell r="D319" t="str">
            <v>A1.4221</v>
          </cell>
          <cell r="E319" t="str">
            <v>A1.0068</v>
          </cell>
        </row>
        <row r="320">
          <cell r="D320" t="str">
            <v>A1.4221</v>
          </cell>
        </row>
        <row r="321">
          <cell r="D321" t="str">
            <v>A1.4222</v>
          </cell>
        </row>
        <row r="322">
          <cell r="D322" t="str">
            <v>A1.4222</v>
          </cell>
        </row>
        <row r="323">
          <cell r="D323" t="str">
            <v>A1.4223</v>
          </cell>
        </row>
        <row r="324">
          <cell r="D324" t="str">
            <v>A1.4224</v>
          </cell>
          <cell r="E324" t="str">
            <v>A1.0278</v>
          </cell>
        </row>
        <row r="325">
          <cell r="D325" t="str">
            <v>A1.4224</v>
          </cell>
        </row>
        <row r="326">
          <cell r="D326" t="str">
            <v>A1.4224</v>
          </cell>
        </row>
        <row r="327">
          <cell r="D327" t="str">
            <v>A1.4225</v>
          </cell>
        </row>
        <row r="328">
          <cell r="D328" t="str">
            <v>A1.4226</v>
          </cell>
        </row>
        <row r="329">
          <cell r="D329" t="str">
            <v>A1.4227</v>
          </cell>
        </row>
        <row r="330">
          <cell r="D330" t="str">
            <v>A1.4228</v>
          </cell>
        </row>
        <row r="331">
          <cell r="D331" t="str">
            <v>A1.4228</v>
          </cell>
        </row>
        <row r="332">
          <cell r="D332" t="str">
            <v>A1.4229</v>
          </cell>
        </row>
        <row r="333">
          <cell r="D333" t="str">
            <v>A1.4229</v>
          </cell>
        </row>
        <row r="334">
          <cell r="D334" t="str">
            <v>A1.4229</v>
          </cell>
        </row>
        <row r="335">
          <cell r="D335" t="str">
            <v>A1.4230</v>
          </cell>
        </row>
        <row r="336">
          <cell r="D336" t="str">
            <v>A1.4231</v>
          </cell>
        </row>
        <row r="337">
          <cell r="D337" t="str">
            <v>A1.4231</v>
          </cell>
        </row>
        <row r="338">
          <cell r="D338" t="str">
            <v>A1.4232</v>
          </cell>
        </row>
        <row r="339">
          <cell r="D339" t="str">
            <v>A1.4233</v>
          </cell>
        </row>
        <row r="340">
          <cell r="D340" t="str">
            <v>A1.4233</v>
          </cell>
          <cell r="E340" t="str">
            <v>A1.1524</v>
          </cell>
        </row>
        <row r="341">
          <cell r="D341" t="str">
            <v>A1.4234</v>
          </cell>
          <cell r="E341" t="str">
            <v>A1.0977</v>
          </cell>
        </row>
        <row r="342">
          <cell r="D342" t="str">
            <v>A1.4234</v>
          </cell>
        </row>
        <row r="343">
          <cell r="D343" t="str">
            <v>A1.4235</v>
          </cell>
        </row>
        <row r="344">
          <cell r="D344" t="str">
            <v>A1.4236</v>
          </cell>
        </row>
        <row r="345">
          <cell r="D345" t="str">
            <v>A1.4237</v>
          </cell>
          <cell r="E345" t="str">
            <v>A1.0572</v>
          </cell>
        </row>
        <row r="346">
          <cell r="D346" t="str">
            <v>A1.4238</v>
          </cell>
        </row>
        <row r="347">
          <cell r="D347" t="str">
            <v>A1.4239</v>
          </cell>
        </row>
        <row r="348">
          <cell r="D348" t="str">
            <v>A1.4240</v>
          </cell>
        </row>
        <row r="349">
          <cell r="D349" t="str">
            <v>A1.4241</v>
          </cell>
        </row>
        <row r="350">
          <cell r="D350" t="str">
            <v>A1.4241</v>
          </cell>
          <cell r="E350" t="str">
            <v>A1.0192</v>
          </cell>
        </row>
        <row r="351">
          <cell r="D351" t="str">
            <v>A1.4242</v>
          </cell>
          <cell r="E351" t="str">
            <v>A1.1825</v>
          </cell>
        </row>
        <row r="352">
          <cell r="D352" t="str">
            <v>A1.4243</v>
          </cell>
        </row>
        <row r="353">
          <cell r="D353" t="str">
            <v>A1.4244</v>
          </cell>
        </row>
        <row r="354">
          <cell r="D354" t="str">
            <v>A1.4245</v>
          </cell>
        </row>
        <row r="355">
          <cell r="D355" t="str">
            <v>A1.4246</v>
          </cell>
        </row>
        <row r="356">
          <cell r="D356" t="str">
            <v>A1.4247</v>
          </cell>
        </row>
        <row r="357">
          <cell r="D357" t="str">
            <v>A1.4248</v>
          </cell>
        </row>
        <row r="358">
          <cell r="D358" t="str">
            <v>A1.4249</v>
          </cell>
        </row>
        <row r="359">
          <cell r="D359" t="str">
            <v>A1.4250</v>
          </cell>
        </row>
        <row r="360">
          <cell r="D360" t="str">
            <v>A1.4251</v>
          </cell>
        </row>
        <row r="361">
          <cell r="D361" t="str">
            <v>A1.4251</v>
          </cell>
        </row>
        <row r="362">
          <cell r="D362" t="str">
            <v>A1.4251</v>
          </cell>
          <cell r="E362" t="str">
            <v>A1.1122</v>
          </cell>
        </row>
        <row r="363">
          <cell r="D363" t="str">
            <v>A1.4251</v>
          </cell>
        </row>
        <row r="364">
          <cell r="D364" t="str">
            <v>A1.4251</v>
          </cell>
        </row>
        <row r="365">
          <cell r="D365" t="str">
            <v>A1.4252</v>
          </cell>
          <cell r="E365" t="str">
            <v>A1.1149</v>
          </cell>
        </row>
        <row r="366">
          <cell r="D366" t="str">
            <v>A1.4252</v>
          </cell>
        </row>
        <row r="367">
          <cell r="D367" t="str">
            <v>A1.4253</v>
          </cell>
          <cell r="E367" t="str">
            <v>A1.0991</v>
          </cell>
        </row>
        <row r="368">
          <cell r="D368" t="str">
            <v>A1.4253</v>
          </cell>
          <cell r="E368" t="str">
            <v>A1.0991</v>
          </cell>
        </row>
        <row r="369">
          <cell r="D369" t="str">
            <v>A1.4253</v>
          </cell>
        </row>
        <row r="370">
          <cell r="D370" t="str">
            <v>A1.4254</v>
          </cell>
          <cell r="E370" t="str">
            <v>A1.1893</v>
          </cell>
        </row>
        <row r="371">
          <cell r="D371" t="str">
            <v>A1.4255</v>
          </cell>
        </row>
        <row r="372">
          <cell r="D372" t="str">
            <v>A1.4256</v>
          </cell>
        </row>
        <row r="373">
          <cell r="D373" t="str">
            <v>A1.4256</v>
          </cell>
        </row>
        <row r="374">
          <cell r="D374" t="str">
            <v>A1.4256</v>
          </cell>
        </row>
        <row r="375">
          <cell r="D375" t="str">
            <v>A1.4257</v>
          </cell>
        </row>
        <row r="376">
          <cell r="D376" t="str">
            <v>A1.4257</v>
          </cell>
        </row>
        <row r="377">
          <cell r="D377" t="str">
            <v>A1.4257</v>
          </cell>
        </row>
        <row r="378">
          <cell r="D378" t="str">
            <v>A1.4257</v>
          </cell>
        </row>
        <row r="379">
          <cell r="D379" t="str">
            <v>A1.4258</v>
          </cell>
        </row>
        <row r="380">
          <cell r="D380" t="str">
            <v>A1.4258</v>
          </cell>
        </row>
        <row r="381">
          <cell r="D381" t="str">
            <v>A1.4258</v>
          </cell>
        </row>
        <row r="382">
          <cell r="D382" t="str">
            <v>A1.4259</v>
          </cell>
        </row>
        <row r="383">
          <cell r="D383" t="str">
            <v>A1.4259</v>
          </cell>
        </row>
        <row r="384">
          <cell r="D384" t="str">
            <v>A1.4259</v>
          </cell>
        </row>
        <row r="385">
          <cell r="D385" t="str">
            <v>A1.4260</v>
          </cell>
        </row>
        <row r="386">
          <cell r="D386" t="str">
            <v>A1.4261</v>
          </cell>
        </row>
        <row r="387">
          <cell r="D387" t="str">
            <v>A1.4261</v>
          </cell>
        </row>
        <row r="388">
          <cell r="D388" t="str">
            <v>A1.4262</v>
          </cell>
        </row>
        <row r="389">
          <cell r="D389" t="str">
            <v>A1.4263</v>
          </cell>
        </row>
        <row r="390">
          <cell r="D390" t="str">
            <v>A1.4263</v>
          </cell>
        </row>
        <row r="391">
          <cell r="D391" t="str">
            <v>A1.4264</v>
          </cell>
        </row>
        <row r="392">
          <cell r="D392" t="str">
            <v>A1.4265</v>
          </cell>
          <cell r="E392" t="str">
            <v>A1.1404</v>
          </cell>
        </row>
        <row r="393">
          <cell r="D393" t="str">
            <v>A1.4265</v>
          </cell>
        </row>
        <row r="394">
          <cell r="D394" t="str">
            <v>A1.4266</v>
          </cell>
        </row>
        <row r="395">
          <cell r="D395" t="str">
            <v>A1.4267</v>
          </cell>
        </row>
        <row r="396">
          <cell r="D396" t="str">
            <v>A1.4268</v>
          </cell>
        </row>
        <row r="397">
          <cell r="D397" t="str">
            <v>A1.4269</v>
          </cell>
        </row>
        <row r="398">
          <cell r="D398" t="str">
            <v>A5.4269</v>
          </cell>
        </row>
        <row r="399">
          <cell r="D399" t="str">
            <v>A1.4270</v>
          </cell>
        </row>
        <row r="400">
          <cell r="D400" t="str">
            <v>A1.4271</v>
          </cell>
          <cell r="E400" t="str">
            <v>A1.1318</v>
          </cell>
        </row>
        <row r="401">
          <cell r="D401" t="str">
            <v>A1.4271</v>
          </cell>
          <cell r="E401" t="str">
            <v>A1.1318</v>
          </cell>
        </row>
        <row r="402">
          <cell r="D402" t="str">
            <v>A1.4272</v>
          </cell>
        </row>
        <row r="403">
          <cell r="D403" t="str">
            <v>A1.4273</v>
          </cell>
        </row>
        <row r="404">
          <cell r="D404" t="str">
            <v>A1.4274</v>
          </cell>
          <cell r="E404" t="str">
            <v>A1.0739</v>
          </cell>
        </row>
        <row r="405">
          <cell r="D405" t="str">
            <v>A1.4274</v>
          </cell>
        </row>
        <row r="406">
          <cell r="D406" t="str">
            <v>A1.4275</v>
          </cell>
          <cell r="E406" t="str">
            <v>A1.1517</v>
          </cell>
        </row>
        <row r="407">
          <cell r="D407" t="str">
            <v>A1.4276</v>
          </cell>
        </row>
        <row r="408">
          <cell r="D408" t="str">
            <v>A1.4277</v>
          </cell>
        </row>
        <row r="409">
          <cell r="D409" t="str">
            <v>A1.4278</v>
          </cell>
        </row>
        <row r="410">
          <cell r="D410" t="str">
            <v>A1.4279</v>
          </cell>
          <cell r="E410" t="str">
            <v>A1.1420</v>
          </cell>
        </row>
        <row r="411">
          <cell r="D411" t="str">
            <v>A1.4280</v>
          </cell>
        </row>
        <row r="412">
          <cell r="D412" t="str">
            <v>A1.4280</v>
          </cell>
        </row>
        <row r="413">
          <cell r="D413" t="str">
            <v>A1.4280</v>
          </cell>
          <cell r="E413" t="str">
            <v>A1.1342</v>
          </cell>
        </row>
        <row r="414">
          <cell r="D414" t="str">
            <v>A1.4281</v>
          </cell>
        </row>
        <row r="415">
          <cell r="D415" t="str">
            <v>A1.4281</v>
          </cell>
          <cell r="E415" t="str">
            <v>A1.1751</v>
          </cell>
        </row>
        <row r="416">
          <cell r="D416" t="str">
            <v>A1.4282</v>
          </cell>
        </row>
        <row r="417">
          <cell r="D417" t="str">
            <v>A1.4282</v>
          </cell>
          <cell r="E417" t="str">
            <v>A1.1593</v>
          </cell>
        </row>
        <row r="418">
          <cell r="D418" t="str">
            <v>A1.4282</v>
          </cell>
        </row>
        <row r="419">
          <cell r="D419" t="str">
            <v>A1.4283</v>
          </cell>
        </row>
        <row r="420">
          <cell r="D420" t="str">
            <v>A1.4284</v>
          </cell>
          <cell r="E420" t="str">
            <v>A1.1658</v>
          </cell>
        </row>
        <row r="421">
          <cell r="D421" t="str">
            <v>A1.4284</v>
          </cell>
          <cell r="E421" t="str">
            <v>A1.1658</v>
          </cell>
        </row>
        <row r="422">
          <cell r="D422" t="str">
            <v>A1.4285</v>
          </cell>
          <cell r="E422" t="str">
            <v>A1.1457</v>
          </cell>
        </row>
        <row r="423">
          <cell r="D423" t="str">
            <v>A1.4285</v>
          </cell>
          <cell r="E423" t="str">
            <v>A1.1457</v>
          </cell>
        </row>
        <row r="424">
          <cell r="D424" t="str">
            <v>A1.4286</v>
          </cell>
          <cell r="E424" t="str">
            <v>A1.1910</v>
          </cell>
        </row>
        <row r="425">
          <cell r="D425" t="str">
            <v>A1.4287</v>
          </cell>
          <cell r="E425" t="str">
            <v>A1.1536</v>
          </cell>
        </row>
        <row r="426">
          <cell r="D426" t="str">
            <v>A1.4288</v>
          </cell>
          <cell r="E426" t="str">
            <v>A1.1622</v>
          </cell>
        </row>
        <row r="427">
          <cell r="D427" t="str">
            <v>A1.4288</v>
          </cell>
          <cell r="E427" t="str">
            <v>A1.1622</v>
          </cell>
        </row>
        <row r="428">
          <cell r="D428" t="str">
            <v>A1.4289</v>
          </cell>
          <cell r="E428" t="str">
            <v>A1.1458</v>
          </cell>
        </row>
        <row r="429">
          <cell r="D429" t="str">
            <v>A1.4289</v>
          </cell>
          <cell r="E429" t="str">
            <v>A1.1458</v>
          </cell>
        </row>
        <row r="430">
          <cell r="D430" t="str">
            <v>A1.4290</v>
          </cell>
          <cell r="E430" t="str">
            <v>A1.1980</v>
          </cell>
        </row>
        <row r="431">
          <cell r="D431" t="str">
            <v>A1.4291</v>
          </cell>
          <cell r="E431" t="str">
            <v>A1.1169</v>
          </cell>
        </row>
        <row r="432">
          <cell r="D432" t="str">
            <v>A1.4291</v>
          </cell>
          <cell r="E432" t="str">
            <v>A1.1169</v>
          </cell>
        </row>
        <row r="433">
          <cell r="D433" t="str">
            <v>A1.4291</v>
          </cell>
        </row>
        <row r="434">
          <cell r="D434" t="str">
            <v>A1.4292</v>
          </cell>
          <cell r="E434" t="str">
            <v>A1.1979</v>
          </cell>
        </row>
        <row r="435">
          <cell r="D435" t="str">
            <v>A1.4293</v>
          </cell>
          <cell r="E435" t="str">
            <v>A1.1978</v>
          </cell>
        </row>
        <row r="436">
          <cell r="D436" t="str">
            <v>A1.4294</v>
          </cell>
          <cell r="E436" t="str">
            <v>A1.1615</v>
          </cell>
        </row>
        <row r="437">
          <cell r="D437" t="str">
            <v>A1.4295</v>
          </cell>
        </row>
        <row r="438">
          <cell r="D438" t="str">
            <v>A1.4296</v>
          </cell>
        </row>
        <row r="439">
          <cell r="D439" t="str">
            <v>A1.4297</v>
          </cell>
        </row>
        <row r="440">
          <cell r="D440" t="str">
            <v>A1.4298</v>
          </cell>
        </row>
        <row r="441">
          <cell r="D441" t="str">
            <v>A1.4299</v>
          </cell>
          <cell r="E441" t="str">
            <v>A1.1812</v>
          </cell>
        </row>
        <row r="442">
          <cell r="D442" t="str">
            <v>A1.4300</v>
          </cell>
          <cell r="E442" t="str">
            <v>A1.1768</v>
          </cell>
        </row>
        <row r="443">
          <cell r="D443" t="str">
            <v>A1.4301</v>
          </cell>
        </row>
        <row r="444">
          <cell r="D444" t="str">
            <v>A1.4302</v>
          </cell>
          <cell r="E444" t="str">
            <v>A1.1898</v>
          </cell>
        </row>
        <row r="445">
          <cell r="D445" t="str">
            <v>A1.4303</v>
          </cell>
          <cell r="E445" t="str">
            <v>A1.0584</v>
          </cell>
        </row>
        <row r="446">
          <cell r="D446" t="str">
            <v>A1.4304</v>
          </cell>
          <cell r="E446" t="str">
            <v>A1.1570</v>
          </cell>
        </row>
        <row r="447">
          <cell r="D447" t="str">
            <v>A1.4305</v>
          </cell>
          <cell r="E447" t="str">
            <v>A1.1451</v>
          </cell>
        </row>
        <row r="448">
          <cell r="D448" t="str">
            <v>A1.4306</v>
          </cell>
        </row>
        <row r="449">
          <cell r="D449" t="str">
            <v>A1.4307</v>
          </cell>
        </row>
        <row r="450">
          <cell r="D450" t="str">
            <v>A1.4308</v>
          </cell>
        </row>
        <row r="451">
          <cell r="D451" t="str">
            <v>A1.4308</v>
          </cell>
          <cell r="E451" t="str">
            <v>A1.1364</v>
          </cell>
        </row>
        <row r="452">
          <cell r="D452" t="str">
            <v>A1.4309</v>
          </cell>
        </row>
        <row r="453">
          <cell r="D453" t="str">
            <v>A1.4310</v>
          </cell>
          <cell r="E453" t="str">
            <v>A1.1177</v>
          </cell>
        </row>
        <row r="454">
          <cell r="D454" t="str">
            <v>A1.4311</v>
          </cell>
          <cell r="E454" t="str">
            <v>A1.0808</v>
          </cell>
        </row>
        <row r="455">
          <cell r="D455" t="str">
            <v>A1.4311</v>
          </cell>
        </row>
        <row r="456">
          <cell r="D456" t="str">
            <v>A1.4312</v>
          </cell>
          <cell r="E456" t="str">
            <v>A1.1655</v>
          </cell>
        </row>
        <row r="457">
          <cell r="D457" t="str">
            <v>A1.4313</v>
          </cell>
          <cell r="E457" t="str">
            <v>A1.1896</v>
          </cell>
        </row>
        <row r="458">
          <cell r="D458" t="str">
            <v>A1.4314</v>
          </cell>
        </row>
        <row r="459">
          <cell r="D459" t="str">
            <v>A1.4315</v>
          </cell>
        </row>
        <row r="460">
          <cell r="D460" t="str">
            <v>A1.4316</v>
          </cell>
        </row>
        <row r="461">
          <cell r="D461" t="str">
            <v>A1.4317</v>
          </cell>
          <cell r="E461" t="str">
            <v>A1.1079</v>
          </cell>
        </row>
        <row r="462">
          <cell r="D462" t="str">
            <v>A1.4318</v>
          </cell>
        </row>
        <row r="463">
          <cell r="D463" t="str">
            <v>A1.4319</v>
          </cell>
        </row>
        <row r="464">
          <cell r="D464" t="str">
            <v>A1.4320</v>
          </cell>
        </row>
        <row r="465">
          <cell r="D465" t="str">
            <v>A1.4320</v>
          </cell>
        </row>
        <row r="466">
          <cell r="D466" t="str">
            <v>A1.4321</v>
          </cell>
          <cell r="E466" t="str">
            <v>A1.1335</v>
          </cell>
        </row>
        <row r="467">
          <cell r="D467" t="str">
            <v>A1.4322</v>
          </cell>
          <cell r="E467" t="str">
            <v>A1.1225</v>
          </cell>
        </row>
        <row r="468">
          <cell r="D468" t="str">
            <v>A1.4322</v>
          </cell>
        </row>
        <row r="469">
          <cell r="D469" t="str">
            <v>A1.4323</v>
          </cell>
          <cell r="E469" t="str">
            <v>A1.0291</v>
          </cell>
        </row>
        <row r="470">
          <cell r="D470" t="str">
            <v>A1.4323</v>
          </cell>
        </row>
        <row r="471">
          <cell r="D471" t="str">
            <v>A1.4324</v>
          </cell>
          <cell r="E471" t="str">
            <v>A1.0992</v>
          </cell>
        </row>
        <row r="472">
          <cell r="D472" t="str">
            <v>A1.4325</v>
          </cell>
        </row>
        <row r="473">
          <cell r="D473" t="str">
            <v>A1.4326</v>
          </cell>
          <cell r="E473" t="str">
            <v>A1.1240</v>
          </cell>
        </row>
        <row r="474">
          <cell r="D474" t="str">
            <v>A1.4327</v>
          </cell>
          <cell r="E474" t="str">
            <v>A1.1270</v>
          </cell>
        </row>
        <row r="475">
          <cell r="D475" t="str">
            <v>A1.4327</v>
          </cell>
          <cell r="E475" t="str">
            <v>A1.1270</v>
          </cell>
        </row>
        <row r="476">
          <cell r="D476" t="str">
            <v>A1.4328</v>
          </cell>
          <cell r="E476" t="str">
            <v>A1.0828</v>
          </cell>
        </row>
        <row r="477">
          <cell r="D477" t="str">
            <v>A1.4328</v>
          </cell>
          <cell r="E477" t="str">
            <v>A1.0828</v>
          </cell>
        </row>
        <row r="478">
          <cell r="D478" t="str">
            <v>A1.4329</v>
          </cell>
          <cell r="E478" t="str">
            <v>A1.1727</v>
          </cell>
        </row>
        <row r="479">
          <cell r="D479" t="str">
            <v>A1.4329</v>
          </cell>
          <cell r="E479" t="str">
            <v>A1.1727</v>
          </cell>
        </row>
        <row r="480">
          <cell r="D480" t="str">
            <v>A1.4330</v>
          </cell>
          <cell r="E480" t="str">
            <v>A1.1628</v>
          </cell>
        </row>
        <row r="481">
          <cell r="D481" t="str">
            <v>A1.4331</v>
          </cell>
          <cell r="E481" t="str">
            <v>A1.1955</v>
          </cell>
        </row>
        <row r="482">
          <cell r="D482" t="str">
            <v>A5.4332</v>
          </cell>
          <cell r="E482" t="str">
            <v>A5.0375</v>
          </cell>
        </row>
        <row r="483">
          <cell r="D483" t="str">
            <v>A1.4333</v>
          </cell>
        </row>
        <row r="484">
          <cell r="D484" t="str">
            <v>A1.4334</v>
          </cell>
          <cell r="E484" t="str">
            <v>A1.1548</v>
          </cell>
        </row>
        <row r="485">
          <cell r="D485" t="str">
            <v>A1.4334</v>
          </cell>
        </row>
        <row r="486">
          <cell r="D486" t="str">
            <v>A1.4335</v>
          </cell>
          <cell r="E486" t="str">
            <v>A1.0887</v>
          </cell>
        </row>
        <row r="487">
          <cell r="D487" t="str">
            <v>A1.4335</v>
          </cell>
        </row>
        <row r="488">
          <cell r="D488" t="str">
            <v>A1.4336</v>
          </cell>
        </row>
        <row r="489">
          <cell r="D489" t="str">
            <v>A1.4336</v>
          </cell>
          <cell r="E489" t="str">
            <v>A1.1905</v>
          </cell>
        </row>
        <row r="490">
          <cell r="D490" t="str">
            <v>A1.4337</v>
          </cell>
          <cell r="E490" t="str">
            <v>A1.1474</v>
          </cell>
        </row>
        <row r="491">
          <cell r="D491" t="str">
            <v>A1.4338</v>
          </cell>
          <cell r="E491" t="str">
            <v>A1.1862</v>
          </cell>
        </row>
        <row r="492">
          <cell r="D492" t="str">
            <v>A5.4339</v>
          </cell>
          <cell r="E492" t="str">
            <v>A5.0473</v>
          </cell>
        </row>
        <row r="493">
          <cell r="D493" t="str">
            <v>A1.4340</v>
          </cell>
        </row>
        <row r="494">
          <cell r="D494" t="str">
            <v>A1.4341</v>
          </cell>
          <cell r="E494" t="str">
            <v>A1.1460</v>
          </cell>
        </row>
        <row r="495">
          <cell r="D495" t="str">
            <v>A1.4342</v>
          </cell>
          <cell r="E495" t="str">
            <v>A1.0109</v>
          </cell>
        </row>
        <row r="496">
          <cell r="D496" t="str">
            <v>A1.4342</v>
          </cell>
        </row>
        <row r="497">
          <cell r="D497" t="str">
            <v>A1.4343</v>
          </cell>
        </row>
        <row r="498">
          <cell r="D498" t="str">
            <v>A1.4344</v>
          </cell>
        </row>
        <row r="499">
          <cell r="D499" t="str">
            <v>A1.4345</v>
          </cell>
          <cell r="E499" t="str">
            <v>A1.1617</v>
          </cell>
        </row>
        <row r="500">
          <cell r="D500" t="str">
            <v>A1.4345</v>
          </cell>
          <cell r="E500" t="str">
            <v>A1.1617</v>
          </cell>
        </row>
        <row r="501">
          <cell r="D501" t="str">
            <v>A1.4345</v>
          </cell>
        </row>
        <row r="502">
          <cell r="D502" t="str">
            <v>A1.4345</v>
          </cell>
        </row>
        <row r="503">
          <cell r="D503" t="str">
            <v>A1.4345</v>
          </cell>
        </row>
        <row r="504">
          <cell r="D504" t="str">
            <v>A1.4345</v>
          </cell>
        </row>
        <row r="505">
          <cell r="D505" t="str">
            <v>A1.4345</v>
          </cell>
        </row>
        <row r="506">
          <cell r="D506" t="str">
            <v>A1.4345</v>
          </cell>
        </row>
        <row r="507">
          <cell r="D507" t="str">
            <v>A1.4345</v>
          </cell>
        </row>
        <row r="508">
          <cell r="D508" t="str">
            <v>A1.4346</v>
          </cell>
          <cell r="E508" t="str">
            <v>A1.1493</v>
          </cell>
        </row>
        <row r="509">
          <cell r="D509" t="str">
            <v>A1.4347</v>
          </cell>
        </row>
        <row r="510">
          <cell r="D510" t="str">
            <v>A1.4348</v>
          </cell>
          <cell r="E510" t="str">
            <v>A1.1363</v>
          </cell>
        </row>
        <row r="511">
          <cell r="D511" t="str">
            <v>A1.4348</v>
          </cell>
        </row>
        <row r="512">
          <cell r="D512" t="str">
            <v>A1.4348</v>
          </cell>
        </row>
        <row r="513">
          <cell r="D513" t="str">
            <v>A1.4349</v>
          </cell>
        </row>
        <row r="514">
          <cell r="D514" t="str">
            <v>A1.4349</v>
          </cell>
        </row>
        <row r="515">
          <cell r="D515" t="str">
            <v>A1.4350</v>
          </cell>
        </row>
        <row r="516">
          <cell r="D516" t="str">
            <v>A1.4351</v>
          </cell>
        </row>
        <row r="517">
          <cell r="D517" t="str">
            <v>A1.4352</v>
          </cell>
          <cell r="E517" t="str">
            <v>A1.1501</v>
          </cell>
        </row>
        <row r="518">
          <cell r="D518" t="str">
            <v>A1.4353</v>
          </cell>
          <cell r="E518" t="str">
            <v>A1.1461</v>
          </cell>
        </row>
        <row r="519">
          <cell r="D519" t="str">
            <v>A1.4354</v>
          </cell>
          <cell r="E519" t="str">
            <v>A1.1447</v>
          </cell>
        </row>
        <row r="520">
          <cell r="D520" t="str">
            <v>A1.4354</v>
          </cell>
          <cell r="E520" t="str">
            <v>A1.1447</v>
          </cell>
        </row>
        <row r="521">
          <cell r="D521" t="str">
            <v>A1.4354</v>
          </cell>
        </row>
        <row r="522">
          <cell r="D522" t="str">
            <v>A1.4355</v>
          </cell>
        </row>
        <row r="523">
          <cell r="D523" t="str">
            <v>A1.4356</v>
          </cell>
        </row>
        <row r="524">
          <cell r="D524" t="str">
            <v>A1.4357</v>
          </cell>
          <cell r="E524" t="str">
            <v>A1.1479</v>
          </cell>
        </row>
        <row r="525">
          <cell r="D525" t="str">
            <v>A1.4358</v>
          </cell>
        </row>
        <row r="526">
          <cell r="D526" t="str">
            <v>A1.4359</v>
          </cell>
        </row>
        <row r="527">
          <cell r="D527" t="str">
            <v>A1.4359</v>
          </cell>
        </row>
        <row r="528">
          <cell r="D528" t="str">
            <v>A1.4359</v>
          </cell>
        </row>
        <row r="529">
          <cell r="D529" t="str">
            <v>A1.4360</v>
          </cell>
        </row>
        <row r="530">
          <cell r="D530" t="str">
            <v>A1.4361</v>
          </cell>
        </row>
        <row r="531">
          <cell r="D531" t="str">
            <v>A1.4362</v>
          </cell>
          <cell r="E531" t="str">
            <v>A1.1304</v>
          </cell>
        </row>
        <row r="532">
          <cell r="D532" t="str">
            <v>A1.4363</v>
          </cell>
        </row>
        <row r="533">
          <cell r="D533" t="str">
            <v>A1.4364</v>
          </cell>
        </row>
        <row r="534">
          <cell r="D534" t="str">
            <v>A1.4365</v>
          </cell>
        </row>
        <row r="535">
          <cell r="D535" t="str">
            <v>A1.4366</v>
          </cell>
          <cell r="E535" t="str">
            <v>A1.1437</v>
          </cell>
        </row>
        <row r="536">
          <cell r="D536" t="str">
            <v>A1.4366</v>
          </cell>
        </row>
        <row r="537">
          <cell r="D537" t="str">
            <v>A1.4367</v>
          </cell>
        </row>
        <row r="538">
          <cell r="D538" t="str">
            <v>A1.4367</v>
          </cell>
          <cell r="E538" t="str">
            <v>A1.2003</v>
          </cell>
        </row>
        <row r="539">
          <cell r="D539" t="str">
            <v>A1.4368</v>
          </cell>
          <cell r="E539" t="str">
            <v>A1.0171</v>
          </cell>
        </row>
        <row r="540">
          <cell r="D540" t="str">
            <v>A1.4368</v>
          </cell>
          <cell r="E540" t="str">
            <v>A1.0171</v>
          </cell>
        </row>
        <row r="541">
          <cell r="D541" t="str">
            <v>A1.4368</v>
          </cell>
        </row>
        <row r="542">
          <cell r="D542" t="str">
            <v>A1.4368</v>
          </cell>
        </row>
        <row r="543">
          <cell r="D543" t="str">
            <v>A1.4368</v>
          </cell>
        </row>
        <row r="544">
          <cell r="D544" t="str">
            <v>A1.4368</v>
          </cell>
        </row>
        <row r="545">
          <cell r="D545" t="str">
            <v>A1.4369</v>
          </cell>
          <cell r="E545" t="str">
            <v>A1.0623</v>
          </cell>
        </row>
        <row r="546">
          <cell r="D546" t="str">
            <v>A1.4370</v>
          </cell>
        </row>
        <row r="547">
          <cell r="D547" t="str">
            <v>A1.4371</v>
          </cell>
        </row>
        <row r="548">
          <cell r="D548" t="str">
            <v>A1.4372</v>
          </cell>
          <cell r="E548" t="str">
            <v>A1.1557</v>
          </cell>
        </row>
        <row r="549">
          <cell r="D549" t="str">
            <v>A1.4373</v>
          </cell>
          <cell r="E549" t="str">
            <v>A1.1556</v>
          </cell>
        </row>
        <row r="550">
          <cell r="D550" t="str">
            <v>A1.4373</v>
          </cell>
        </row>
        <row r="551">
          <cell r="D551" t="str">
            <v>A1.4374</v>
          </cell>
          <cell r="E551" t="str">
            <v>A1.1352</v>
          </cell>
        </row>
        <row r="552">
          <cell r="D552" t="str">
            <v>A1.4374</v>
          </cell>
          <cell r="E552" t="str">
            <v>A1.1352</v>
          </cell>
        </row>
        <row r="553">
          <cell r="D553" t="str">
            <v>A1.4374</v>
          </cell>
          <cell r="E553" t="str">
            <v>A1.1352</v>
          </cell>
        </row>
        <row r="554">
          <cell r="D554" t="str">
            <v>A1.4374</v>
          </cell>
          <cell r="E554" t="str">
            <v>A1.1352</v>
          </cell>
        </row>
        <row r="555">
          <cell r="D555" t="str">
            <v>A1.4375</v>
          </cell>
        </row>
        <row r="556">
          <cell r="D556" t="str">
            <v>A1.4375</v>
          </cell>
          <cell r="E556" t="str">
            <v>A1.1567</v>
          </cell>
        </row>
        <row r="557">
          <cell r="D557" t="str">
            <v>A1.4376</v>
          </cell>
          <cell r="E557" t="str">
            <v>A1.1957</v>
          </cell>
        </row>
        <row r="558">
          <cell r="D558" t="str">
            <v>A1.4377</v>
          </cell>
          <cell r="E558" t="str">
            <v>A1.1353</v>
          </cell>
        </row>
        <row r="559">
          <cell r="D559" t="str">
            <v>A1.4377</v>
          </cell>
          <cell r="E559" t="str">
            <v>A1.1353</v>
          </cell>
        </row>
        <row r="560">
          <cell r="D560" t="str">
            <v>A1.4378</v>
          </cell>
        </row>
        <row r="561">
          <cell r="D561" t="str">
            <v>A1.4379</v>
          </cell>
        </row>
        <row r="562">
          <cell r="D562" t="str">
            <v>A1.4380</v>
          </cell>
        </row>
        <row r="563">
          <cell r="D563" t="str">
            <v>A1.4381</v>
          </cell>
        </row>
        <row r="564">
          <cell r="D564" t="str">
            <v>A5.4381</v>
          </cell>
        </row>
        <row r="565">
          <cell r="D565" t="str">
            <v>A1.4382</v>
          </cell>
        </row>
        <row r="566">
          <cell r="D566" t="str">
            <v>A5.4382</v>
          </cell>
        </row>
        <row r="567">
          <cell r="D567" t="str">
            <v>A5.4383</v>
          </cell>
        </row>
        <row r="568">
          <cell r="D568" t="str">
            <v>A1.4384</v>
          </cell>
        </row>
        <row r="569">
          <cell r="D569" t="str">
            <v>A1.4385</v>
          </cell>
        </row>
        <row r="570">
          <cell r="D570" t="str">
            <v>A1.4386</v>
          </cell>
        </row>
        <row r="571">
          <cell r="D571" t="str">
            <v>A1.4387</v>
          </cell>
        </row>
        <row r="572">
          <cell r="D572" t="str">
            <v>A1.4387</v>
          </cell>
        </row>
        <row r="573">
          <cell r="D573" t="str">
            <v>A1.4387</v>
          </cell>
        </row>
        <row r="574">
          <cell r="D574" t="str">
            <v>A1.4387</v>
          </cell>
        </row>
        <row r="575">
          <cell r="D575" t="str">
            <v>A5.4388</v>
          </cell>
        </row>
        <row r="576">
          <cell r="D576" t="str">
            <v>A1.4407</v>
          </cell>
        </row>
        <row r="577">
          <cell r="D577" t="str">
            <v>A1.4389</v>
          </cell>
        </row>
        <row r="578">
          <cell r="D578" t="str">
            <v>A1.4389</v>
          </cell>
        </row>
        <row r="579">
          <cell r="D579" t="str">
            <v>A1.4390</v>
          </cell>
        </row>
        <row r="580">
          <cell r="D580" t="str">
            <v>A1.4391</v>
          </cell>
          <cell r="E580" t="str">
            <v>A1.1535</v>
          </cell>
        </row>
        <row r="581">
          <cell r="D581" t="str">
            <v>A1.4392</v>
          </cell>
          <cell r="E581" t="str">
            <v>A1.1393</v>
          </cell>
        </row>
        <row r="582">
          <cell r="D582" t="str">
            <v>A1.4393</v>
          </cell>
          <cell r="E582" t="str">
            <v>A1.0783</v>
          </cell>
        </row>
        <row r="583">
          <cell r="D583" t="str">
            <v>A1.4394</v>
          </cell>
        </row>
        <row r="584">
          <cell r="D584" t="str">
            <v>A1.4394</v>
          </cell>
        </row>
        <row r="585">
          <cell r="D585" t="str">
            <v>A1.4395</v>
          </cell>
        </row>
        <row r="586">
          <cell r="D586" t="str">
            <v>A1.4395</v>
          </cell>
        </row>
        <row r="587">
          <cell r="D587" t="str">
            <v>A1.4396</v>
          </cell>
        </row>
        <row r="588">
          <cell r="D588" t="str">
            <v>A1.4397</v>
          </cell>
          <cell r="E588" t="str">
            <v>A1.1632</v>
          </cell>
        </row>
        <row r="589">
          <cell r="D589" t="str">
            <v>A1.4397</v>
          </cell>
        </row>
        <row r="590">
          <cell r="D590" t="str">
            <v>A1.4398</v>
          </cell>
        </row>
        <row r="591">
          <cell r="D591" t="str">
            <v>A1.4399</v>
          </cell>
        </row>
        <row r="592">
          <cell r="D592" t="str">
            <v>A1.4400</v>
          </cell>
          <cell r="E592" t="str">
            <v>A1.1635</v>
          </cell>
        </row>
        <row r="593">
          <cell r="D593" t="str">
            <v>A1.4401</v>
          </cell>
          <cell r="E593" t="str">
            <v>A1.1292</v>
          </cell>
        </row>
        <row r="594">
          <cell r="D594" t="str">
            <v>A1.4401</v>
          </cell>
        </row>
        <row r="595">
          <cell r="D595" t="str">
            <v>A1.4401</v>
          </cell>
        </row>
        <row r="596">
          <cell r="D596" t="str">
            <v>A1.4402</v>
          </cell>
        </row>
        <row r="597">
          <cell r="D597" t="str">
            <v>A1.4402</v>
          </cell>
        </row>
        <row r="598">
          <cell r="D598" t="str">
            <v>A1.4403</v>
          </cell>
        </row>
        <row r="599">
          <cell r="D599" t="str">
            <v>A1.4404</v>
          </cell>
          <cell r="E599" t="str">
            <v>A1.1705</v>
          </cell>
        </row>
        <row r="600">
          <cell r="D600" t="str">
            <v>A1.4405</v>
          </cell>
          <cell r="E600" t="str">
            <v>A1.1279</v>
          </cell>
        </row>
        <row r="601">
          <cell r="D601" t="str">
            <v>A1.4405</v>
          </cell>
        </row>
        <row r="602">
          <cell r="D602" t="str">
            <v>A1.4406</v>
          </cell>
          <cell r="E602" t="str">
            <v>A1.1561</v>
          </cell>
        </row>
        <row r="603">
          <cell r="D603" t="str">
            <v>A1.4406</v>
          </cell>
        </row>
        <row r="604">
          <cell r="D604" t="str">
            <v>A1.4408</v>
          </cell>
          <cell r="E604" t="str">
            <v>A1.0669</v>
          </cell>
        </row>
        <row r="605">
          <cell r="D605" t="str">
            <v>A1.4408</v>
          </cell>
        </row>
        <row r="606">
          <cell r="D606" t="str">
            <v>A1.4409</v>
          </cell>
        </row>
        <row r="607">
          <cell r="D607" t="str">
            <v>A1.4410</v>
          </cell>
        </row>
        <row r="608">
          <cell r="D608" t="str">
            <v>A1.4411</v>
          </cell>
        </row>
        <row r="609">
          <cell r="D609" t="str">
            <v>A1.4411</v>
          </cell>
          <cell r="E609" t="str">
            <v>A1.0774</v>
          </cell>
        </row>
        <row r="610">
          <cell r="D610" t="str">
            <v>A1.4411</v>
          </cell>
        </row>
        <row r="611">
          <cell r="D611" t="str">
            <v>A1.4411</v>
          </cell>
        </row>
        <row r="612">
          <cell r="D612" t="str">
            <v>A1.4411</v>
          </cell>
        </row>
        <row r="613">
          <cell r="D613" t="str">
            <v>A1.4411</v>
          </cell>
        </row>
        <row r="614">
          <cell r="D614" t="str">
            <v>A1.4411</v>
          </cell>
        </row>
        <row r="615">
          <cell r="D615" t="str">
            <v>A1.4412</v>
          </cell>
        </row>
        <row r="616">
          <cell r="D616" t="str">
            <v>A1.4412</v>
          </cell>
          <cell r="E616" t="str">
            <v>A1.1274</v>
          </cell>
        </row>
        <row r="617">
          <cell r="D617" t="str">
            <v>A1.4412</v>
          </cell>
        </row>
        <row r="618">
          <cell r="D618" t="str">
            <v>A1.4412</v>
          </cell>
        </row>
        <row r="619">
          <cell r="D619" t="str">
            <v>A1.4412</v>
          </cell>
        </row>
        <row r="620">
          <cell r="D620" t="str">
            <v>A1.4413</v>
          </cell>
        </row>
        <row r="621">
          <cell r="D621" t="str">
            <v>A1.4414</v>
          </cell>
        </row>
        <row r="622">
          <cell r="D622" t="str">
            <v>A1.4414</v>
          </cell>
        </row>
        <row r="623">
          <cell r="D623" t="str">
            <v>A1.4414</v>
          </cell>
        </row>
        <row r="624">
          <cell r="D624" t="str">
            <v>A1.4414</v>
          </cell>
        </row>
        <row r="625">
          <cell r="D625" t="str">
            <v>A1.4415</v>
          </cell>
        </row>
        <row r="626">
          <cell r="D626" t="str">
            <v>A1.4415</v>
          </cell>
        </row>
        <row r="627">
          <cell r="D627" t="str">
            <v>A1.4415</v>
          </cell>
        </row>
        <row r="628">
          <cell r="D628" t="str">
            <v>A1.4416</v>
          </cell>
          <cell r="E628" t="str">
            <v>A1.1454</v>
          </cell>
        </row>
        <row r="629">
          <cell r="D629" t="str">
            <v>A1.4416</v>
          </cell>
        </row>
        <row r="630">
          <cell r="D630" t="str">
            <v>A1.4417</v>
          </cell>
          <cell r="E630" t="str">
            <v>A1.0588</v>
          </cell>
        </row>
        <row r="631">
          <cell r="D631" t="str">
            <v>A1.4417</v>
          </cell>
        </row>
        <row r="632">
          <cell r="D632" t="str">
            <v>A1.4418</v>
          </cell>
        </row>
        <row r="633">
          <cell r="D633" t="str">
            <v>A1.4418</v>
          </cell>
        </row>
        <row r="634">
          <cell r="D634" t="str">
            <v>A1.4419</v>
          </cell>
        </row>
        <row r="635">
          <cell r="D635" t="str">
            <v>A1.4420</v>
          </cell>
        </row>
        <row r="636">
          <cell r="D636" t="str">
            <v>A1.4421</v>
          </cell>
        </row>
        <row r="637">
          <cell r="D637" t="str">
            <v>A1.4422</v>
          </cell>
        </row>
        <row r="638">
          <cell r="D638" t="str">
            <v>A1.4423</v>
          </cell>
        </row>
        <row r="639">
          <cell r="D639" t="str">
            <v>A1.4423</v>
          </cell>
          <cell r="E639" t="str">
            <v>A1.1639</v>
          </cell>
        </row>
        <row r="640">
          <cell r="D640" t="str">
            <v>A1.4423</v>
          </cell>
        </row>
        <row r="641">
          <cell r="D641" t="str">
            <v>A1.4424</v>
          </cell>
        </row>
        <row r="642">
          <cell r="D642" t="str">
            <v>A1.4424</v>
          </cell>
        </row>
        <row r="643">
          <cell r="D643" t="str">
            <v>A1.4424</v>
          </cell>
        </row>
        <row r="644">
          <cell r="D644" t="str">
            <v>A1.4424</v>
          </cell>
        </row>
        <row r="645">
          <cell r="D645" t="str">
            <v>A1.4425</v>
          </cell>
          <cell r="E645" t="str">
            <v>A1.1806</v>
          </cell>
        </row>
        <row r="646">
          <cell r="D646" t="str">
            <v>A5.4426</v>
          </cell>
        </row>
        <row r="647">
          <cell r="D647" t="str">
            <v>A1.4427</v>
          </cell>
          <cell r="E647" t="str">
            <v>A1.0729</v>
          </cell>
        </row>
        <row r="648">
          <cell r="D648" t="str">
            <v>A1.4427</v>
          </cell>
        </row>
        <row r="649">
          <cell r="D649" t="str">
            <v>A1.4428</v>
          </cell>
        </row>
        <row r="650">
          <cell r="D650" t="str">
            <v>A1.4428</v>
          </cell>
        </row>
        <row r="651">
          <cell r="D651" t="str">
            <v>A1.4428</v>
          </cell>
        </row>
        <row r="652">
          <cell r="D652" t="str">
            <v>A1.4429</v>
          </cell>
        </row>
        <row r="653">
          <cell r="D653" t="str">
            <v>A1.4430</v>
          </cell>
        </row>
        <row r="654">
          <cell r="D654" t="str">
            <v>A1.4431</v>
          </cell>
        </row>
        <row r="655">
          <cell r="D655" t="str">
            <v>A1.4432</v>
          </cell>
        </row>
        <row r="656">
          <cell r="D656" t="str">
            <v>A1.4432</v>
          </cell>
        </row>
        <row r="657">
          <cell r="D657" t="str">
            <v>A1.4432</v>
          </cell>
        </row>
        <row r="658">
          <cell r="D658" t="str">
            <v>A1.4432</v>
          </cell>
        </row>
        <row r="659">
          <cell r="D659" t="str">
            <v>A1.4432</v>
          </cell>
          <cell r="E659" t="str">
            <v>A1.1061</v>
          </cell>
        </row>
        <row r="660">
          <cell r="D660" t="str">
            <v>A1.4432</v>
          </cell>
          <cell r="E660" t="str">
            <v>A1.1061</v>
          </cell>
        </row>
        <row r="661">
          <cell r="D661" t="str">
            <v>A1.4432</v>
          </cell>
        </row>
        <row r="662">
          <cell r="D662" t="str">
            <v>A1.4432</v>
          </cell>
        </row>
        <row r="663">
          <cell r="D663" t="str">
            <v>A1.4432</v>
          </cell>
        </row>
        <row r="664">
          <cell r="D664" t="str">
            <v>A1.4432</v>
          </cell>
        </row>
        <row r="665">
          <cell r="D665" t="str">
            <v>A1.4432</v>
          </cell>
        </row>
        <row r="666">
          <cell r="D666" t="str">
            <v>A1.4433</v>
          </cell>
        </row>
        <row r="667">
          <cell r="D667" t="str">
            <v>A1.4433</v>
          </cell>
          <cell r="E667" t="str">
            <v>A1.1399</v>
          </cell>
        </row>
        <row r="668">
          <cell r="D668" t="str">
            <v>A5.4434</v>
          </cell>
        </row>
        <row r="669">
          <cell r="D669" t="str">
            <v>A5.4435</v>
          </cell>
        </row>
        <row r="670">
          <cell r="D670" t="str">
            <v>A1.4436</v>
          </cell>
        </row>
        <row r="671">
          <cell r="D671" t="str">
            <v>A1.4436</v>
          </cell>
        </row>
        <row r="672">
          <cell r="D672" t="str">
            <v>A1.4437</v>
          </cell>
        </row>
        <row r="673">
          <cell r="D673" t="str">
            <v>A1.4438</v>
          </cell>
          <cell r="E673" t="str">
            <v>A1.1477</v>
          </cell>
        </row>
        <row r="674">
          <cell r="D674" t="str">
            <v>A1.4438</v>
          </cell>
          <cell r="E674" t="str">
            <v>A1.1477</v>
          </cell>
        </row>
        <row r="675">
          <cell r="D675" t="str">
            <v>A1.4438</v>
          </cell>
        </row>
        <row r="676">
          <cell r="D676" t="str">
            <v>A1.4439</v>
          </cell>
        </row>
        <row r="677">
          <cell r="D677" t="str">
            <v>A1.4439</v>
          </cell>
        </row>
        <row r="678">
          <cell r="D678" t="str">
            <v>A1.4440</v>
          </cell>
        </row>
        <row r="679">
          <cell r="D679" t="str">
            <v>A1.5725</v>
          </cell>
        </row>
        <row r="680">
          <cell r="D680" t="str">
            <v>A1.4441</v>
          </cell>
          <cell r="E680" t="str">
            <v>A1.1762</v>
          </cell>
        </row>
        <row r="681">
          <cell r="D681" t="str">
            <v>A1.4442</v>
          </cell>
        </row>
        <row r="682">
          <cell r="D682" t="str">
            <v>A1.4443</v>
          </cell>
        </row>
        <row r="683">
          <cell r="D683" t="str">
            <v>A1.4444</v>
          </cell>
        </row>
        <row r="684">
          <cell r="D684" t="str">
            <v>A1.4444</v>
          </cell>
        </row>
        <row r="685">
          <cell r="D685" t="str">
            <v>A1.4444</v>
          </cell>
        </row>
        <row r="686">
          <cell r="D686" t="str">
            <v>A1.4444</v>
          </cell>
        </row>
        <row r="687">
          <cell r="D687" t="str">
            <v>A1.4444</v>
          </cell>
        </row>
        <row r="688">
          <cell r="D688" t="str">
            <v>A1.4444</v>
          </cell>
        </row>
        <row r="689">
          <cell r="D689" t="str">
            <v>A1.4445</v>
          </cell>
        </row>
        <row r="690">
          <cell r="D690" t="str">
            <v>A1.4446</v>
          </cell>
        </row>
        <row r="691">
          <cell r="D691" t="str">
            <v>A1.4446</v>
          </cell>
        </row>
        <row r="692">
          <cell r="D692" t="str">
            <v>A1.4446</v>
          </cell>
        </row>
        <row r="693">
          <cell r="D693" t="str">
            <v>A1.4446</v>
          </cell>
          <cell r="E693" t="str">
            <v>A1.0706</v>
          </cell>
        </row>
        <row r="694">
          <cell r="D694" t="str">
            <v>A1.4446</v>
          </cell>
        </row>
        <row r="695">
          <cell r="D695" t="str">
            <v>A1.4446</v>
          </cell>
        </row>
        <row r="696">
          <cell r="D696" t="str">
            <v>A1.4447</v>
          </cell>
        </row>
        <row r="697">
          <cell r="D697" t="str">
            <v>A1.4448</v>
          </cell>
        </row>
        <row r="698">
          <cell r="D698" t="str">
            <v>A1.4449</v>
          </cell>
        </row>
        <row r="699">
          <cell r="D699" t="str">
            <v>A1.4450</v>
          </cell>
        </row>
        <row r="700">
          <cell r="D700" t="str">
            <v>A5.4451</v>
          </cell>
        </row>
        <row r="701">
          <cell r="D701" t="str">
            <v>A1.4452</v>
          </cell>
        </row>
        <row r="702">
          <cell r="D702" t="str">
            <v>A1.4453</v>
          </cell>
        </row>
        <row r="703">
          <cell r="D703" t="str">
            <v>A1.4454</v>
          </cell>
        </row>
        <row r="704">
          <cell r="D704" t="str">
            <v>A1.4454</v>
          </cell>
        </row>
        <row r="705">
          <cell r="D705" t="str">
            <v>A1.4455</v>
          </cell>
        </row>
        <row r="706">
          <cell r="D706" t="str">
            <v>A1.4456</v>
          </cell>
        </row>
        <row r="707">
          <cell r="D707" t="str">
            <v>A1.4456</v>
          </cell>
          <cell r="E707" t="str">
            <v>A1.1192</v>
          </cell>
        </row>
        <row r="708">
          <cell r="D708" t="str">
            <v>A1.4457</v>
          </cell>
        </row>
        <row r="709">
          <cell r="D709" t="str">
            <v>A1.4457</v>
          </cell>
        </row>
        <row r="710">
          <cell r="D710" t="str">
            <v>A1.4458</v>
          </cell>
        </row>
        <row r="711">
          <cell r="D711" t="str">
            <v>A1.4459</v>
          </cell>
        </row>
        <row r="712">
          <cell r="D712" t="str">
            <v>A1.4459</v>
          </cell>
        </row>
        <row r="713">
          <cell r="D713" t="str">
            <v>A1.4459</v>
          </cell>
        </row>
        <row r="714">
          <cell r="D714" t="str">
            <v>A1.4460</v>
          </cell>
          <cell r="E714" t="str">
            <v>A1.1636</v>
          </cell>
        </row>
        <row r="715">
          <cell r="D715" t="str">
            <v>A1.4460</v>
          </cell>
        </row>
        <row r="716">
          <cell r="D716" t="str">
            <v>A1.4460</v>
          </cell>
        </row>
        <row r="717">
          <cell r="D717" t="str">
            <v>A1.4461</v>
          </cell>
        </row>
        <row r="718">
          <cell r="D718" t="str">
            <v>A1.4461</v>
          </cell>
        </row>
        <row r="719">
          <cell r="D719" t="str">
            <v>A1.4461</v>
          </cell>
        </row>
        <row r="720">
          <cell r="D720" t="str">
            <v>A1.4462</v>
          </cell>
        </row>
        <row r="721">
          <cell r="D721" t="str">
            <v>A1.4462</v>
          </cell>
        </row>
        <row r="722">
          <cell r="D722" t="str">
            <v>A1.4462</v>
          </cell>
          <cell r="E722" t="str">
            <v>A1.1344</v>
          </cell>
        </row>
        <row r="723">
          <cell r="D723" t="str">
            <v>A1.4462</v>
          </cell>
        </row>
        <row r="724">
          <cell r="D724" t="str">
            <v>A1.5726</v>
          </cell>
          <cell r="E724" t="str">
            <v>A1.0394</v>
          </cell>
        </row>
        <row r="725">
          <cell r="D725" t="str">
            <v>A1.4463</v>
          </cell>
          <cell r="E725" t="str">
            <v>A1.0064</v>
          </cell>
        </row>
        <row r="726">
          <cell r="D726" t="str">
            <v>A1.4463</v>
          </cell>
        </row>
        <row r="727">
          <cell r="D727" t="str">
            <v>A1.4463</v>
          </cell>
        </row>
        <row r="728">
          <cell r="D728" t="str">
            <v>A1.4463</v>
          </cell>
        </row>
        <row r="729">
          <cell r="D729" t="str">
            <v>A1.4463</v>
          </cell>
        </row>
        <row r="730">
          <cell r="D730" t="str">
            <v>A1.4463</v>
          </cell>
        </row>
        <row r="731">
          <cell r="D731" t="str">
            <v>A1.4463</v>
          </cell>
        </row>
        <row r="732">
          <cell r="D732" t="str">
            <v>A1.4463</v>
          </cell>
        </row>
        <row r="733">
          <cell r="D733" t="str">
            <v>A1.4463</v>
          </cell>
        </row>
        <row r="734">
          <cell r="D734" t="str">
            <v>A1.4463</v>
          </cell>
        </row>
        <row r="735">
          <cell r="D735" t="str">
            <v>A1.4463</v>
          </cell>
        </row>
        <row r="736">
          <cell r="D736" t="str">
            <v>A1.4463</v>
          </cell>
        </row>
        <row r="737">
          <cell r="D737" t="str">
            <v>A1.4463</v>
          </cell>
        </row>
        <row r="738">
          <cell r="D738" t="str">
            <v>A1.4464</v>
          </cell>
        </row>
        <row r="739">
          <cell r="D739" t="str">
            <v>A1.4465</v>
          </cell>
        </row>
        <row r="740">
          <cell r="D740" t="str">
            <v>A1.4465</v>
          </cell>
          <cell r="E740" t="str">
            <v>A1.0535</v>
          </cell>
        </row>
        <row r="741">
          <cell r="D741" t="str">
            <v>A1.4465</v>
          </cell>
        </row>
        <row r="742">
          <cell r="D742" t="str">
            <v>A1.4465</v>
          </cell>
        </row>
        <row r="743">
          <cell r="D743" t="str">
            <v>A1.4465</v>
          </cell>
        </row>
        <row r="744">
          <cell r="D744" t="str">
            <v>A1.4465</v>
          </cell>
        </row>
        <row r="745">
          <cell r="D745" t="str">
            <v>A1.4465</v>
          </cell>
        </row>
        <row r="746">
          <cell r="D746" t="str">
            <v>A1.4465</v>
          </cell>
        </row>
        <row r="747">
          <cell r="D747" t="str">
            <v>A1.4465</v>
          </cell>
        </row>
        <row r="748">
          <cell r="D748" t="str">
            <v>A1.4465</v>
          </cell>
        </row>
        <row r="749">
          <cell r="D749" t="str">
            <v>A1.5727</v>
          </cell>
        </row>
        <row r="750">
          <cell r="D750" t="str">
            <v>A1.5727</v>
          </cell>
        </row>
        <row r="751">
          <cell r="D751" t="str">
            <v>A1.4466</v>
          </cell>
        </row>
        <row r="752">
          <cell r="D752" t="str">
            <v>A1.4467</v>
          </cell>
        </row>
        <row r="753">
          <cell r="D753" t="str">
            <v>A1.4467</v>
          </cell>
        </row>
        <row r="754">
          <cell r="D754" t="str">
            <v>A1.4468</v>
          </cell>
        </row>
        <row r="755">
          <cell r="D755" t="str">
            <v>A1.4468</v>
          </cell>
        </row>
        <row r="756">
          <cell r="D756" t="str">
            <v>A1.4468</v>
          </cell>
        </row>
        <row r="757">
          <cell r="D757" t="str">
            <v>A1.4468</v>
          </cell>
        </row>
        <row r="758">
          <cell r="D758" t="str">
            <v>A1.4469</v>
          </cell>
        </row>
        <row r="759">
          <cell r="D759" t="str">
            <v>A1.4470</v>
          </cell>
          <cell r="E759" t="str">
            <v>A1.1697</v>
          </cell>
        </row>
        <row r="760">
          <cell r="D760" t="str">
            <v>A1.4471</v>
          </cell>
        </row>
        <row r="761">
          <cell r="D761" t="str">
            <v>A1.4471</v>
          </cell>
        </row>
        <row r="762">
          <cell r="D762" t="str">
            <v>A1.4471</v>
          </cell>
          <cell r="E762" t="str">
            <v>A1.1383</v>
          </cell>
        </row>
        <row r="763">
          <cell r="D763" t="str">
            <v>A1.4471</v>
          </cell>
          <cell r="E763" t="str">
            <v>A1.1383</v>
          </cell>
        </row>
        <row r="764">
          <cell r="D764" t="str">
            <v>A1.4471</v>
          </cell>
        </row>
        <row r="765">
          <cell r="D765" t="str">
            <v>A1.4471</v>
          </cell>
        </row>
        <row r="766">
          <cell r="D766" t="str">
            <v>A1.4472</v>
          </cell>
        </row>
        <row r="767">
          <cell r="D767" t="str">
            <v>A5.4473</v>
          </cell>
        </row>
        <row r="768">
          <cell r="D768" t="str">
            <v>A1.4474</v>
          </cell>
        </row>
        <row r="769">
          <cell r="D769" t="str">
            <v>A1.4475</v>
          </cell>
        </row>
        <row r="770">
          <cell r="D770" t="str">
            <v>A1.4476</v>
          </cell>
        </row>
        <row r="771">
          <cell r="D771" t="str">
            <v>A1.4477</v>
          </cell>
        </row>
        <row r="772">
          <cell r="D772" t="str">
            <v>A1.4478</v>
          </cell>
          <cell r="E772" t="str">
            <v>A1.1210</v>
          </cell>
        </row>
        <row r="773">
          <cell r="D773" t="str">
            <v>A1.4478</v>
          </cell>
        </row>
        <row r="774">
          <cell r="D774" t="str">
            <v>A1.4480</v>
          </cell>
        </row>
        <row r="775">
          <cell r="D775" t="str">
            <v>A1.4480</v>
          </cell>
        </row>
        <row r="776">
          <cell r="D776" t="str">
            <v>A1.4481</v>
          </cell>
        </row>
        <row r="777">
          <cell r="D777" t="str">
            <v>A1.4481</v>
          </cell>
        </row>
        <row r="778">
          <cell r="D778" t="str">
            <v>A1.4481</v>
          </cell>
        </row>
        <row r="779">
          <cell r="D779" t="str">
            <v>A1.4481</v>
          </cell>
        </row>
        <row r="780">
          <cell r="D780" t="str">
            <v>A1.4481</v>
          </cell>
        </row>
        <row r="781">
          <cell r="D781" t="str">
            <v>A1.4481</v>
          </cell>
        </row>
        <row r="782">
          <cell r="D782" t="str">
            <v>A1.4481</v>
          </cell>
        </row>
        <row r="783">
          <cell r="D783" t="str">
            <v>A1.4481</v>
          </cell>
          <cell r="E783" t="str">
            <v>A1.1121</v>
          </cell>
        </row>
        <row r="784">
          <cell r="D784" t="str">
            <v>A1.4481</v>
          </cell>
          <cell r="E784" t="str">
            <v>A1.1121</v>
          </cell>
        </row>
        <row r="785">
          <cell r="D785" t="str">
            <v>A1.4481</v>
          </cell>
          <cell r="E785" t="str">
            <v>A1.1121</v>
          </cell>
        </row>
        <row r="786">
          <cell r="D786" t="str">
            <v>A1.4481</v>
          </cell>
          <cell r="E786" t="str">
            <v>A1.1121</v>
          </cell>
        </row>
        <row r="787">
          <cell r="D787" t="str">
            <v>A1.4481</v>
          </cell>
        </row>
        <row r="788">
          <cell r="D788" t="str">
            <v>A1.4481</v>
          </cell>
        </row>
        <row r="789">
          <cell r="D789" t="str">
            <v>A1.4481</v>
          </cell>
        </row>
        <row r="790">
          <cell r="D790" t="str">
            <v>A1.4481</v>
          </cell>
        </row>
        <row r="791">
          <cell r="D791" t="str">
            <v>A1.4481</v>
          </cell>
        </row>
        <row r="792">
          <cell r="D792" t="str">
            <v>A1.4481</v>
          </cell>
        </row>
        <row r="793">
          <cell r="D793" t="str">
            <v>A1.4481</v>
          </cell>
        </row>
        <row r="794">
          <cell r="D794" t="str">
            <v>A1.4482</v>
          </cell>
        </row>
        <row r="795">
          <cell r="D795" t="str">
            <v>A1.4483</v>
          </cell>
        </row>
        <row r="796">
          <cell r="D796" t="str">
            <v>A1.4483</v>
          </cell>
        </row>
        <row r="797">
          <cell r="D797" t="str">
            <v>A1.4484</v>
          </cell>
          <cell r="E797" t="str">
            <v>A1.1459</v>
          </cell>
        </row>
        <row r="798">
          <cell r="D798" t="str">
            <v>A1.4484</v>
          </cell>
        </row>
        <row r="799">
          <cell r="D799" t="str">
            <v>A1.4485</v>
          </cell>
        </row>
        <row r="800">
          <cell r="D800" t="str">
            <v>A1.4485</v>
          </cell>
        </row>
        <row r="801">
          <cell r="D801" t="str">
            <v>A1.4485</v>
          </cell>
        </row>
        <row r="802">
          <cell r="D802" t="str">
            <v>A1.4485</v>
          </cell>
        </row>
        <row r="803">
          <cell r="D803" t="str">
            <v>A1.4485</v>
          </cell>
        </row>
        <row r="804">
          <cell r="D804" t="str">
            <v>A1.4485</v>
          </cell>
        </row>
        <row r="805">
          <cell r="D805" t="str">
            <v>A1.4485</v>
          </cell>
        </row>
        <row r="806">
          <cell r="D806" t="str">
            <v>A1.4485</v>
          </cell>
        </row>
        <row r="807">
          <cell r="D807" t="str">
            <v>A1.4485</v>
          </cell>
        </row>
        <row r="808">
          <cell r="D808" t="str">
            <v>A1.4485</v>
          </cell>
        </row>
        <row r="809">
          <cell r="D809" t="str">
            <v>A1.4485</v>
          </cell>
          <cell r="E809" t="str">
            <v>A1.0678</v>
          </cell>
        </row>
        <row r="810">
          <cell r="D810" t="str">
            <v>A1.4485</v>
          </cell>
          <cell r="E810" t="str">
            <v>A1.0678</v>
          </cell>
        </row>
        <row r="811">
          <cell r="D811" t="str">
            <v>A1.4485</v>
          </cell>
          <cell r="E811" t="str">
            <v>A1.0678</v>
          </cell>
        </row>
        <row r="812">
          <cell r="D812" t="str">
            <v>A1.4485</v>
          </cell>
          <cell r="E812" t="str">
            <v>A1.0678</v>
          </cell>
        </row>
        <row r="813">
          <cell r="D813" t="str">
            <v>A1.4485</v>
          </cell>
        </row>
        <row r="814">
          <cell r="D814" t="str">
            <v>A1.4485</v>
          </cell>
        </row>
        <row r="815">
          <cell r="D815" t="str">
            <v>A1.4485</v>
          </cell>
        </row>
        <row r="816">
          <cell r="D816" t="str">
            <v>A1.4485</v>
          </cell>
        </row>
        <row r="817">
          <cell r="D817" t="str">
            <v>A1.4485</v>
          </cell>
        </row>
        <row r="818">
          <cell r="D818" t="str">
            <v>A1.4485</v>
          </cell>
        </row>
        <row r="819">
          <cell r="D819" t="str">
            <v>A1.4485</v>
          </cell>
        </row>
        <row r="820">
          <cell r="D820" t="str">
            <v>A1.4485</v>
          </cell>
        </row>
        <row r="821">
          <cell r="D821" t="str">
            <v>A1.4485</v>
          </cell>
        </row>
        <row r="822">
          <cell r="D822" t="str">
            <v>A1.4485</v>
          </cell>
        </row>
        <row r="823">
          <cell r="D823" t="str">
            <v>A1.4485</v>
          </cell>
        </row>
        <row r="824">
          <cell r="D824" t="str">
            <v>A1.4485</v>
          </cell>
        </row>
        <row r="825">
          <cell r="D825" t="str">
            <v>A1.4485</v>
          </cell>
        </row>
        <row r="826">
          <cell r="D826" t="str">
            <v>A1.4485</v>
          </cell>
        </row>
        <row r="827">
          <cell r="D827" t="str">
            <v>A1.4486</v>
          </cell>
        </row>
        <row r="828">
          <cell r="D828" t="str">
            <v>A1.4487</v>
          </cell>
        </row>
        <row r="829">
          <cell r="D829" t="str">
            <v>A1.4487</v>
          </cell>
          <cell r="E829" t="str">
            <v>A1.1310</v>
          </cell>
        </row>
        <row r="830">
          <cell r="D830" t="str">
            <v>A1.4488</v>
          </cell>
        </row>
        <row r="831">
          <cell r="D831" t="str">
            <v>A1.4489</v>
          </cell>
        </row>
        <row r="832">
          <cell r="D832" t="str">
            <v>A1.4489</v>
          </cell>
        </row>
        <row r="833">
          <cell r="D833" t="str">
            <v>A1.4490</v>
          </cell>
          <cell r="E833" t="str">
            <v>A1.1605</v>
          </cell>
        </row>
        <row r="834">
          <cell r="D834" t="str">
            <v>A1.4491</v>
          </cell>
        </row>
        <row r="835">
          <cell r="D835" t="str">
            <v>A1.4492</v>
          </cell>
        </row>
        <row r="836">
          <cell r="D836" t="str">
            <v>A1.4492</v>
          </cell>
        </row>
        <row r="837">
          <cell r="D837" t="str">
            <v>A1.4492</v>
          </cell>
        </row>
        <row r="838">
          <cell r="D838" t="str">
            <v>A1.4493</v>
          </cell>
        </row>
        <row r="839">
          <cell r="D839" t="str">
            <v>A1.4493</v>
          </cell>
        </row>
        <row r="840">
          <cell r="D840" t="str">
            <v>A1.4494</v>
          </cell>
        </row>
        <row r="841">
          <cell r="D841" t="str">
            <v>A1.4495</v>
          </cell>
        </row>
        <row r="842">
          <cell r="D842" t="str">
            <v>A1.4495</v>
          </cell>
        </row>
        <row r="844">
          <cell r="D844" t="str">
            <v>A1.4497</v>
          </cell>
        </row>
        <row r="845">
          <cell r="D845" t="str">
            <v>A1.4498</v>
          </cell>
        </row>
        <row r="846">
          <cell r="D846" t="str">
            <v>A1.4499</v>
          </cell>
        </row>
        <row r="847">
          <cell r="D847" t="str">
            <v>A1.4500</v>
          </cell>
        </row>
        <row r="848">
          <cell r="D848" t="str">
            <v>A1.4501</v>
          </cell>
        </row>
        <row r="849">
          <cell r="D849" t="str">
            <v>A1.4502</v>
          </cell>
        </row>
        <row r="850">
          <cell r="D850" t="str">
            <v>A1.4503</v>
          </cell>
        </row>
        <row r="851">
          <cell r="D851" t="str">
            <v>A1.4504</v>
          </cell>
        </row>
        <row r="852">
          <cell r="D852" t="str">
            <v>A1.4505</v>
          </cell>
        </row>
        <row r="853">
          <cell r="D853" t="str">
            <v>A1.4506</v>
          </cell>
        </row>
        <row r="854">
          <cell r="D854" t="str">
            <v>A1.4507</v>
          </cell>
          <cell r="E854" t="str">
            <v>A1.1407</v>
          </cell>
        </row>
        <row r="855">
          <cell r="D855" t="str">
            <v>A1.4507</v>
          </cell>
          <cell r="E855" t="str">
            <v>A1.1407</v>
          </cell>
        </row>
        <row r="856">
          <cell r="D856" t="str">
            <v>A1.4507</v>
          </cell>
          <cell r="E856" t="str">
            <v>A1.1407</v>
          </cell>
        </row>
        <row r="857">
          <cell r="D857" t="str">
            <v>A1.4507</v>
          </cell>
        </row>
        <row r="858">
          <cell r="D858" t="str">
            <v>A1.4507</v>
          </cell>
        </row>
        <row r="859">
          <cell r="D859" t="str">
            <v>A1.4508</v>
          </cell>
        </row>
        <row r="860">
          <cell r="D860" t="str">
            <v>A1.4509</v>
          </cell>
        </row>
        <row r="861">
          <cell r="D861" t="str">
            <v>A1.4509</v>
          </cell>
        </row>
        <row r="862">
          <cell r="D862" t="str">
            <v>A1.4510</v>
          </cell>
        </row>
        <row r="863">
          <cell r="D863" t="str">
            <v>A1.4511</v>
          </cell>
        </row>
        <row r="864">
          <cell r="D864" t="str">
            <v>A1.4512</v>
          </cell>
        </row>
        <row r="865">
          <cell r="D865" t="str">
            <v>A1.4513</v>
          </cell>
        </row>
        <row r="866">
          <cell r="D866" t="str">
            <v>A1.4514</v>
          </cell>
        </row>
        <row r="867">
          <cell r="D867" t="str">
            <v>A1.4514</v>
          </cell>
        </row>
        <row r="868">
          <cell r="D868" t="str">
            <v>A1.4515</v>
          </cell>
        </row>
        <row r="869">
          <cell r="D869" t="str">
            <v>A1.4515</v>
          </cell>
        </row>
        <row r="870">
          <cell r="D870" t="str">
            <v>A1.4516</v>
          </cell>
        </row>
        <row r="871">
          <cell r="D871" t="str">
            <v>A1.4517</v>
          </cell>
          <cell r="E871" t="str">
            <v>A1.1466</v>
          </cell>
        </row>
        <row r="872">
          <cell r="D872" t="str">
            <v>A1.4518</v>
          </cell>
        </row>
        <row r="873">
          <cell r="D873" t="str">
            <v>A1.4518</v>
          </cell>
        </row>
        <row r="874">
          <cell r="D874" t="str">
            <v>A5.4519</v>
          </cell>
          <cell r="E874" t="str">
            <v>A5.0291</v>
          </cell>
        </row>
        <row r="875">
          <cell r="D875" t="str">
            <v>A5.4519</v>
          </cell>
        </row>
        <row r="876">
          <cell r="D876" t="str">
            <v>A1.4520</v>
          </cell>
        </row>
        <row r="877">
          <cell r="D877" t="str">
            <v>A1.4520</v>
          </cell>
        </row>
        <row r="878">
          <cell r="D878" t="str">
            <v>A5.4520</v>
          </cell>
          <cell r="E878" t="str">
            <v>A5.0275</v>
          </cell>
        </row>
        <row r="879">
          <cell r="D879" t="str">
            <v>A5.4520</v>
          </cell>
        </row>
        <row r="880">
          <cell r="D880" t="str">
            <v>A5.4521</v>
          </cell>
        </row>
        <row r="881">
          <cell r="D881" t="str">
            <v>A1.4522</v>
          </cell>
        </row>
        <row r="882">
          <cell r="D882" t="str">
            <v>A1.4522</v>
          </cell>
        </row>
        <row r="883">
          <cell r="D883" t="str">
            <v>A1.4522</v>
          </cell>
          <cell r="E883" t="str">
            <v>A1.0924</v>
          </cell>
        </row>
        <row r="884">
          <cell r="D884" t="str">
            <v>A1.4522</v>
          </cell>
          <cell r="E884" t="str">
            <v>A1.0924</v>
          </cell>
        </row>
        <row r="885">
          <cell r="D885" t="str">
            <v>A1.4522</v>
          </cell>
          <cell r="E885" t="str">
            <v>A1.0924</v>
          </cell>
        </row>
        <row r="886">
          <cell r="D886" t="str">
            <v>A1.4522</v>
          </cell>
          <cell r="E886" t="str">
            <v>A1.0924</v>
          </cell>
        </row>
        <row r="887">
          <cell r="D887" t="str">
            <v>A1.4522</v>
          </cell>
          <cell r="E887" t="str">
            <v>A1.0924</v>
          </cell>
        </row>
        <row r="888">
          <cell r="D888" t="str">
            <v>A1.4522</v>
          </cell>
        </row>
        <row r="889">
          <cell r="D889" t="str">
            <v>A1.4522</v>
          </cell>
        </row>
        <row r="890">
          <cell r="D890" t="str">
            <v>A1.4522</v>
          </cell>
        </row>
        <row r="891">
          <cell r="D891" t="str">
            <v>A1.4522</v>
          </cell>
        </row>
        <row r="892">
          <cell r="D892" t="str">
            <v>A1.4522</v>
          </cell>
        </row>
        <row r="893">
          <cell r="D893" t="str">
            <v>A1.4522</v>
          </cell>
        </row>
        <row r="894">
          <cell r="D894" t="str">
            <v>A1.4522</v>
          </cell>
        </row>
        <row r="895">
          <cell r="D895" t="str">
            <v>A1.4522</v>
          </cell>
        </row>
        <row r="896">
          <cell r="D896" t="str">
            <v>A1.4522</v>
          </cell>
        </row>
        <row r="897">
          <cell r="D897" t="str">
            <v>A1.4523</v>
          </cell>
          <cell r="E897" t="str">
            <v>A1.0805</v>
          </cell>
        </row>
        <row r="898">
          <cell r="D898" t="str">
            <v>A5.4523</v>
          </cell>
          <cell r="E898" t="str">
            <v>A5.0807</v>
          </cell>
        </row>
        <row r="899">
          <cell r="D899" t="str">
            <v>A1.4524</v>
          </cell>
        </row>
        <row r="900">
          <cell r="D900" t="str">
            <v>A1.4524</v>
          </cell>
        </row>
        <row r="901">
          <cell r="D901" t="str">
            <v>A1.4525</v>
          </cell>
          <cell r="E901" t="str">
            <v>A1.1730</v>
          </cell>
        </row>
        <row r="902">
          <cell r="D902" t="str">
            <v>A1.4526</v>
          </cell>
        </row>
        <row r="903">
          <cell r="D903" t="str">
            <v>A1.4527</v>
          </cell>
        </row>
        <row r="904">
          <cell r="D904" t="str">
            <v>A1.4527</v>
          </cell>
        </row>
        <row r="905">
          <cell r="D905" t="str">
            <v>A1.4527</v>
          </cell>
        </row>
        <row r="906">
          <cell r="D906" t="str">
            <v>A1.4527</v>
          </cell>
        </row>
        <row r="907">
          <cell r="D907" t="str">
            <v>A1.4527</v>
          </cell>
        </row>
        <row r="908">
          <cell r="D908" t="str">
            <v>A1.4527</v>
          </cell>
        </row>
        <row r="909">
          <cell r="D909" t="str">
            <v>A1.4527</v>
          </cell>
        </row>
        <row r="910">
          <cell r="D910" t="str">
            <v>A1.4527</v>
          </cell>
        </row>
        <row r="911">
          <cell r="D911" t="str">
            <v>A1.4527</v>
          </cell>
        </row>
        <row r="912">
          <cell r="D912" t="str">
            <v>A1.4527</v>
          </cell>
        </row>
        <row r="913">
          <cell r="D913" t="str">
            <v>A1.4527</v>
          </cell>
        </row>
        <row r="914">
          <cell r="D914" t="str">
            <v>A1.4527</v>
          </cell>
          <cell r="E914" t="str">
            <v>A1.1843</v>
          </cell>
        </row>
        <row r="915">
          <cell r="D915" t="str">
            <v>A1.4527</v>
          </cell>
          <cell r="E915" t="str">
            <v>A1.1843</v>
          </cell>
        </row>
        <row r="916">
          <cell r="D916" t="str">
            <v>A1.4527</v>
          </cell>
          <cell r="E916" t="str">
            <v>A1.1843</v>
          </cell>
        </row>
        <row r="917">
          <cell r="D917" t="str">
            <v>A1.4527</v>
          </cell>
          <cell r="E917" t="str">
            <v>A1.1843</v>
          </cell>
        </row>
        <row r="918">
          <cell r="D918" t="str">
            <v>A1.4527</v>
          </cell>
        </row>
        <row r="919">
          <cell r="D919" t="str">
            <v>A1.4527</v>
          </cell>
        </row>
        <row r="920">
          <cell r="D920" t="str">
            <v>A1.4527</v>
          </cell>
        </row>
        <row r="921">
          <cell r="D921" t="str">
            <v>A1.4527</v>
          </cell>
        </row>
        <row r="922">
          <cell r="D922" t="str">
            <v>A1.4527</v>
          </cell>
        </row>
        <row r="923">
          <cell r="D923" t="str">
            <v>A1.4528</v>
          </cell>
        </row>
        <row r="924">
          <cell r="D924" t="str">
            <v>A1.4529</v>
          </cell>
          <cell r="E924" t="str">
            <v>A1.1900</v>
          </cell>
        </row>
        <row r="925">
          <cell r="D925" t="str">
            <v>A1.4530</v>
          </cell>
          <cell r="E925" t="str">
            <v>A1.1677</v>
          </cell>
        </row>
        <row r="926">
          <cell r="D926" t="str">
            <v>A1.4531</v>
          </cell>
        </row>
        <row r="927">
          <cell r="D927" t="str">
            <v>A1.4532</v>
          </cell>
        </row>
        <row r="928">
          <cell r="D928" t="str">
            <v>A1.4532</v>
          </cell>
        </row>
        <row r="929">
          <cell r="D929" t="str">
            <v>A1.4532</v>
          </cell>
        </row>
        <row r="930">
          <cell r="D930" t="str">
            <v>A1.4532</v>
          </cell>
        </row>
        <row r="931">
          <cell r="D931" t="str">
            <v>A1.4532</v>
          </cell>
        </row>
        <row r="932">
          <cell r="D932" t="str">
            <v>A1.4532</v>
          </cell>
        </row>
        <row r="933">
          <cell r="D933" t="str">
            <v>A1.4533</v>
          </cell>
        </row>
        <row r="934">
          <cell r="D934" t="str">
            <v>A1.4533</v>
          </cell>
        </row>
        <row r="935">
          <cell r="D935" t="str">
            <v>A1.4533</v>
          </cell>
        </row>
        <row r="936">
          <cell r="D936" t="str">
            <v>A1.4533</v>
          </cell>
        </row>
        <row r="937">
          <cell r="D937" t="str">
            <v>A1.4533</v>
          </cell>
        </row>
        <row r="938">
          <cell r="D938" t="str">
            <v>A1.4533</v>
          </cell>
        </row>
        <row r="939">
          <cell r="D939" t="str">
            <v>A1.4534</v>
          </cell>
        </row>
        <row r="941">
          <cell r="D941" t="str">
            <v>A1.4536</v>
          </cell>
        </row>
        <row r="942">
          <cell r="D942" t="str">
            <v>A1.4537</v>
          </cell>
        </row>
        <row r="943">
          <cell r="D943" t="str">
            <v>A1.4538</v>
          </cell>
        </row>
        <row r="944">
          <cell r="D944" t="str">
            <v>A5.4538</v>
          </cell>
        </row>
        <row r="945">
          <cell r="D945" t="str">
            <v>A1.4539</v>
          </cell>
        </row>
        <row r="946">
          <cell r="D946" t="str">
            <v>A5.4539</v>
          </cell>
        </row>
        <row r="947">
          <cell r="D947" t="str">
            <v>A1.4540</v>
          </cell>
        </row>
        <row r="948">
          <cell r="D948" t="str">
            <v>A1.4541</v>
          </cell>
        </row>
        <row r="949">
          <cell r="D949" t="str">
            <v>A1.4542</v>
          </cell>
        </row>
        <row r="950">
          <cell r="D950" t="str">
            <v>A1.4543</v>
          </cell>
        </row>
        <row r="951">
          <cell r="D951" t="str">
            <v>A1.4543</v>
          </cell>
        </row>
        <row r="952">
          <cell r="D952" t="str">
            <v>A1.4543</v>
          </cell>
        </row>
        <row r="953">
          <cell r="D953" t="str">
            <v>A1.4543</v>
          </cell>
        </row>
        <row r="954">
          <cell r="D954" t="str">
            <v>A5.4544</v>
          </cell>
        </row>
        <row r="955">
          <cell r="D955" t="str">
            <v>A1.4545</v>
          </cell>
          <cell r="E955" t="str">
            <v>A1.1432</v>
          </cell>
        </row>
        <row r="956">
          <cell r="D956" t="str">
            <v>A1.4546</v>
          </cell>
          <cell r="E956" t="str">
            <v>A1.1633</v>
          </cell>
        </row>
        <row r="957">
          <cell r="D957" t="str">
            <v>A1.4547</v>
          </cell>
        </row>
        <row r="958">
          <cell r="D958" t="str">
            <v>A1.4547</v>
          </cell>
        </row>
        <row r="959">
          <cell r="D959" t="str">
            <v>A1.4547</v>
          </cell>
        </row>
        <row r="960">
          <cell r="D960" t="str">
            <v>A1.4548</v>
          </cell>
        </row>
        <row r="961">
          <cell r="D961" t="str">
            <v>A1.4549</v>
          </cell>
        </row>
        <row r="962">
          <cell r="D962" t="str">
            <v>A1.4550</v>
          </cell>
        </row>
        <row r="963">
          <cell r="D963" t="str">
            <v>A5.4550</v>
          </cell>
        </row>
        <row r="964">
          <cell r="D964" t="str">
            <v>A5.4551</v>
          </cell>
        </row>
        <row r="967">
          <cell r="D967" t="str">
            <v>A5.4553</v>
          </cell>
        </row>
        <row r="968">
          <cell r="D968" t="str">
            <v>A1.4554</v>
          </cell>
        </row>
        <row r="969">
          <cell r="D969" t="str">
            <v>A1.4554</v>
          </cell>
        </row>
        <row r="970">
          <cell r="D970" t="str">
            <v>A1.4554</v>
          </cell>
        </row>
        <row r="971">
          <cell r="D971" t="str">
            <v>A5.4555</v>
          </cell>
        </row>
        <row r="974">
          <cell r="D974" t="str">
            <v>A5.4557</v>
          </cell>
        </row>
        <row r="975">
          <cell r="D975" t="str">
            <v>A1.4558</v>
          </cell>
        </row>
        <row r="976">
          <cell r="D976" t="str">
            <v>A5.4558</v>
          </cell>
        </row>
        <row r="977">
          <cell r="D977" t="str">
            <v>A1.4559</v>
          </cell>
        </row>
        <row r="978">
          <cell r="D978" t="str">
            <v>A1.4560</v>
          </cell>
        </row>
        <row r="979">
          <cell r="D979" t="str">
            <v>A1.4560</v>
          </cell>
        </row>
        <row r="980">
          <cell r="D980" t="str">
            <v>A1.4560</v>
          </cell>
        </row>
        <row r="981">
          <cell r="D981" t="str">
            <v>A1.4560</v>
          </cell>
          <cell r="E981" t="str">
            <v>A1.0587</v>
          </cell>
        </row>
        <row r="982">
          <cell r="D982" t="str">
            <v>A1.4561</v>
          </cell>
          <cell r="E982" t="str">
            <v>A1.1434</v>
          </cell>
        </row>
        <row r="983">
          <cell r="D983" t="str">
            <v>A1.4562</v>
          </cell>
        </row>
        <row r="984">
          <cell r="D984" t="str">
            <v>A1.4562</v>
          </cell>
        </row>
        <row r="985">
          <cell r="D985" t="str">
            <v>A1.4563</v>
          </cell>
        </row>
        <row r="986">
          <cell r="D986" t="str">
            <v>A1.4563</v>
          </cell>
        </row>
        <row r="987">
          <cell r="D987" t="str">
            <v>A1.4564</v>
          </cell>
        </row>
        <row r="988">
          <cell r="D988" t="str">
            <v>A1.4564</v>
          </cell>
        </row>
        <row r="989">
          <cell r="D989" t="str">
            <v>A1.4564</v>
          </cell>
        </row>
        <row r="990">
          <cell r="D990" t="str">
            <v>A1.4564</v>
          </cell>
        </row>
        <row r="991">
          <cell r="D991" t="str">
            <v>A1.4565</v>
          </cell>
        </row>
        <row r="992">
          <cell r="D992" t="str">
            <v>A1.4566</v>
          </cell>
        </row>
        <row r="993">
          <cell r="D993" t="str">
            <v>A1.4566</v>
          </cell>
          <cell r="E993" t="str">
            <v>A1.1509</v>
          </cell>
        </row>
        <row r="994">
          <cell r="D994" t="str">
            <v>A1.4566</v>
          </cell>
        </row>
        <row r="995">
          <cell r="D995" t="str">
            <v>A1.4567</v>
          </cell>
        </row>
        <row r="996">
          <cell r="D996" t="str">
            <v>A1.4567</v>
          </cell>
        </row>
        <row r="997">
          <cell r="D997" t="str">
            <v>A1.4567</v>
          </cell>
        </row>
        <row r="998">
          <cell r="D998" t="str">
            <v>A1.4567</v>
          </cell>
        </row>
        <row r="999">
          <cell r="D999" t="str">
            <v>A1.4567</v>
          </cell>
          <cell r="E999" t="str">
            <v>A1.1506</v>
          </cell>
        </row>
        <row r="1000">
          <cell r="D1000" t="str">
            <v>A1.4567</v>
          </cell>
        </row>
        <row r="1001">
          <cell r="D1001" t="str">
            <v>A1.4567</v>
          </cell>
        </row>
        <row r="1002">
          <cell r="D1002" t="str">
            <v>A1.4568</v>
          </cell>
          <cell r="E1002" t="str">
            <v>A1.1892</v>
          </cell>
        </row>
        <row r="1003">
          <cell r="D1003" t="str">
            <v>A1.4568</v>
          </cell>
          <cell r="E1003" t="str">
            <v>A1.1892</v>
          </cell>
        </row>
        <row r="1004">
          <cell r="D1004" t="str">
            <v>A1.4568</v>
          </cell>
        </row>
        <row r="1005">
          <cell r="D1005" t="str">
            <v>A1.4568</v>
          </cell>
        </row>
        <row r="1006">
          <cell r="D1006" t="str">
            <v>A1.4568</v>
          </cell>
        </row>
        <row r="1007">
          <cell r="D1007" t="str">
            <v>A1.4568</v>
          </cell>
        </row>
        <row r="1008">
          <cell r="D1008" t="str">
            <v>A1.4568</v>
          </cell>
        </row>
        <row r="1009">
          <cell r="D1009" t="str">
            <v>A1.4569</v>
          </cell>
        </row>
        <row r="1010">
          <cell r="D1010" t="str">
            <v>A1.4569</v>
          </cell>
        </row>
        <row r="1011">
          <cell r="D1011" t="str">
            <v>A1.4570</v>
          </cell>
        </row>
        <row r="1012">
          <cell r="D1012" t="str">
            <v>A1.4570</v>
          </cell>
        </row>
        <row r="1013">
          <cell r="D1013" t="str">
            <v>A1.4570</v>
          </cell>
        </row>
        <row r="1014">
          <cell r="D1014" t="str">
            <v>A1.4571</v>
          </cell>
        </row>
        <row r="1015">
          <cell r="D1015" t="str">
            <v>A1.4572</v>
          </cell>
        </row>
        <row r="1016">
          <cell r="D1016" t="str">
            <v>A1.4573</v>
          </cell>
        </row>
        <row r="1017">
          <cell r="D1017" t="str">
            <v>A1.4574</v>
          </cell>
        </row>
        <row r="1018">
          <cell r="D1018" t="str">
            <v>A1.4574</v>
          </cell>
        </row>
        <row r="1019">
          <cell r="D1019" t="str">
            <v>A1.4574</v>
          </cell>
          <cell r="E1019" t="str">
            <v>A1.1689</v>
          </cell>
        </row>
        <row r="1020">
          <cell r="D1020" t="str">
            <v>A1.4575</v>
          </cell>
        </row>
        <row r="1021">
          <cell r="D1021" t="str">
            <v>A1.4576</v>
          </cell>
          <cell r="E1021" t="str">
            <v>A1.0072</v>
          </cell>
        </row>
        <row r="1022">
          <cell r="D1022" t="str">
            <v>A1.4576</v>
          </cell>
        </row>
        <row r="1023">
          <cell r="D1023" t="str">
            <v>A1.4576</v>
          </cell>
        </row>
        <row r="1024">
          <cell r="D1024" t="str">
            <v>A1.4576</v>
          </cell>
        </row>
        <row r="1025">
          <cell r="D1025" t="str">
            <v>A1.4576</v>
          </cell>
        </row>
        <row r="1026">
          <cell r="D1026" t="str">
            <v>A1.4576</v>
          </cell>
        </row>
        <row r="1027">
          <cell r="D1027" t="str">
            <v>A1.4576</v>
          </cell>
        </row>
        <row r="1028">
          <cell r="D1028" t="str">
            <v>A1.4576</v>
          </cell>
        </row>
        <row r="1029">
          <cell r="D1029" t="str">
            <v>A1.4576</v>
          </cell>
        </row>
        <row r="1030">
          <cell r="D1030" t="str">
            <v>A1.4576</v>
          </cell>
        </row>
        <row r="1031">
          <cell r="D1031" t="str">
            <v>A1.4576</v>
          </cell>
        </row>
        <row r="1032">
          <cell r="D1032" t="str">
            <v>A1.4576</v>
          </cell>
        </row>
        <row r="1033">
          <cell r="D1033" t="str">
            <v>A1.4577</v>
          </cell>
        </row>
        <row r="1034">
          <cell r="D1034" t="str">
            <v>A1.4578</v>
          </cell>
        </row>
        <row r="1035">
          <cell r="D1035" t="str">
            <v>A1.4579</v>
          </cell>
        </row>
        <row r="1036">
          <cell r="D1036" t="str">
            <v>A1.4579</v>
          </cell>
        </row>
        <row r="1037">
          <cell r="D1037" t="str">
            <v>A1.4579</v>
          </cell>
        </row>
        <row r="1038">
          <cell r="D1038" t="str">
            <v>A1.4579</v>
          </cell>
        </row>
        <row r="1039">
          <cell r="D1039" t="str">
            <v>A1.4579</v>
          </cell>
        </row>
        <row r="1040">
          <cell r="D1040" t="str">
            <v>A1.4579</v>
          </cell>
        </row>
        <row r="1041">
          <cell r="D1041" t="str">
            <v>A1.4579</v>
          </cell>
          <cell r="E1041" t="str">
            <v>A1.1428</v>
          </cell>
        </row>
        <row r="1042">
          <cell r="D1042" t="str">
            <v>A1.4579</v>
          </cell>
        </row>
        <row r="1043">
          <cell r="D1043" t="str">
            <v>A1.4580</v>
          </cell>
        </row>
        <row r="1044">
          <cell r="D1044" t="str">
            <v>A1.4580</v>
          </cell>
        </row>
        <row r="1045">
          <cell r="D1045" t="str">
            <v>A1.4581</v>
          </cell>
        </row>
        <row r="1046">
          <cell r="D1046" t="str">
            <v>A1.4581</v>
          </cell>
        </row>
        <row r="1047">
          <cell r="D1047" t="str">
            <v>A1.4581</v>
          </cell>
          <cell r="E1047" t="str">
            <v>A1.1312</v>
          </cell>
        </row>
        <row r="1048">
          <cell r="D1048" t="str">
            <v>A1.4581</v>
          </cell>
          <cell r="E1048" t="str">
            <v>A1.1312</v>
          </cell>
        </row>
        <row r="1049">
          <cell r="D1049" t="str">
            <v>A1.4581</v>
          </cell>
          <cell r="E1049" t="str">
            <v>A1.1312</v>
          </cell>
        </row>
        <row r="1050">
          <cell r="D1050" t="str">
            <v>A1.4581</v>
          </cell>
        </row>
        <row r="1051">
          <cell r="D1051" t="str">
            <v>A1.4581</v>
          </cell>
        </row>
        <row r="1052">
          <cell r="D1052" t="str">
            <v>A1.4581</v>
          </cell>
        </row>
        <row r="1053">
          <cell r="D1053" t="str">
            <v>A1.4581</v>
          </cell>
        </row>
        <row r="1054">
          <cell r="D1054" t="str">
            <v>A1.4581</v>
          </cell>
        </row>
        <row r="1055">
          <cell r="D1055" t="str">
            <v>A1.4581</v>
          </cell>
        </row>
        <row r="1056">
          <cell r="D1056" t="str">
            <v>A1.4581</v>
          </cell>
        </row>
        <row r="1057">
          <cell r="D1057" t="str">
            <v>A1.4581</v>
          </cell>
        </row>
        <row r="1058">
          <cell r="D1058" t="str">
            <v>A1.4581</v>
          </cell>
        </row>
        <row r="1059">
          <cell r="D1059" t="str">
            <v>A1.4582</v>
          </cell>
        </row>
        <row r="1060">
          <cell r="D1060" t="str">
            <v>A1.4582</v>
          </cell>
        </row>
        <row r="1061">
          <cell r="D1061" t="str">
            <v>A1.4582</v>
          </cell>
        </row>
        <row r="1062">
          <cell r="D1062" t="str">
            <v>A1.4582</v>
          </cell>
        </row>
        <row r="1063">
          <cell r="D1063" t="str">
            <v>A1.4582</v>
          </cell>
        </row>
        <row r="1064">
          <cell r="D1064" t="str">
            <v>A1.4582</v>
          </cell>
        </row>
        <row r="1065">
          <cell r="D1065" t="str">
            <v>A1.4582</v>
          </cell>
        </row>
        <row r="1066">
          <cell r="D1066" t="str">
            <v>A1.4583</v>
          </cell>
        </row>
        <row r="1067">
          <cell r="D1067" t="str">
            <v>A1.4584</v>
          </cell>
        </row>
        <row r="1068">
          <cell r="D1068" t="str">
            <v>A1.4585</v>
          </cell>
        </row>
        <row r="1069">
          <cell r="D1069" t="str">
            <v>A1.4586</v>
          </cell>
        </row>
        <row r="1070">
          <cell r="D1070" t="str">
            <v>A1.4586</v>
          </cell>
        </row>
        <row r="1071">
          <cell r="D1071" t="str">
            <v>A5.4587</v>
          </cell>
        </row>
        <row r="1072">
          <cell r="D1072" t="str">
            <v>A5.4587</v>
          </cell>
        </row>
        <row r="1073">
          <cell r="D1073" t="str">
            <v>A5.4587</v>
          </cell>
        </row>
        <row r="1074">
          <cell r="D1074" t="str">
            <v>A5.4588</v>
          </cell>
        </row>
        <row r="1075">
          <cell r="D1075" t="str">
            <v>A1.4589</v>
          </cell>
        </row>
        <row r="1076">
          <cell r="D1076" t="str">
            <v>A1.4589</v>
          </cell>
        </row>
        <row r="1077">
          <cell r="D1077" t="str">
            <v>A1.4589</v>
          </cell>
          <cell r="E1077" t="str">
            <v>A1.1619</v>
          </cell>
        </row>
        <row r="1078">
          <cell r="D1078" t="str">
            <v>A1.4589</v>
          </cell>
        </row>
        <row r="1079">
          <cell r="D1079" t="str">
            <v>A1.4589</v>
          </cell>
        </row>
        <row r="1080">
          <cell r="D1080" t="str">
            <v>A1.4589</v>
          </cell>
        </row>
        <row r="1081">
          <cell r="D1081" t="str">
            <v>A1.4589</v>
          </cell>
        </row>
        <row r="1082">
          <cell r="D1082" t="str">
            <v>A1.4590</v>
          </cell>
        </row>
        <row r="1083">
          <cell r="D1083" t="str">
            <v>A1.4590</v>
          </cell>
        </row>
        <row r="1084">
          <cell r="D1084" t="str">
            <v>A1.4590</v>
          </cell>
        </row>
        <row r="1085">
          <cell r="D1085" t="str">
            <v>A1.4590</v>
          </cell>
        </row>
        <row r="1086">
          <cell r="D1086" t="str">
            <v>A1.4590</v>
          </cell>
        </row>
        <row r="1087">
          <cell r="D1087" t="str">
            <v>A1.4590</v>
          </cell>
        </row>
        <row r="1088">
          <cell r="D1088" t="str">
            <v>A1.4590</v>
          </cell>
        </row>
        <row r="1089">
          <cell r="D1089" t="str">
            <v>A1.4590</v>
          </cell>
        </row>
        <row r="1090">
          <cell r="D1090" t="str">
            <v>A1.4590</v>
          </cell>
        </row>
        <row r="1091">
          <cell r="D1091" t="str">
            <v>A1.4590</v>
          </cell>
        </row>
        <row r="1092">
          <cell r="D1092" t="str">
            <v>A1.4591</v>
          </cell>
        </row>
        <row r="1093">
          <cell r="D1093" t="str">
            <v>A1.4591</v>
          </cell>
        </row>
        <row r="1094">
          <cell r="D1094" t="str">
            <v>A1.4591</v>
          </cell>
        </row>
        <row r="1095">
          <cell r="D1095" t="str">
            <v>A1.4591</v>
          </cell>
          <cell r="E1095" t="str">
            <v>A1.0174</v>
          </cell>
        </row>
        <row r="1096">
          <cell r="D1096" t="str">
            <v>A1.4591</v>
          </cell>
          <cell r="E1096" t="str">
            <v>A1.0174</v>
          </cell>
        </row>
        <row r="1097">
          <cell r="D1097" t="str">
            <v>A1.4591</v>
          </cell>
        </row>
        <row r="1098">
          <cell r="D1098" t="str">
            <v>A1.4591</v>
          </cell>
        </row>
        <row r="1099">
          <cell r="D1099" t="str">
            <v>A1.4591</v>
          </cell>
        </row>
        <row r="1100">
          <cell r="D1100" t="str">
            <v>A1.4591</v>
          </cell>
        </row>
        <row r="1101">
          <cell r="D1101" t="str">
            <v>A1.4591</v>
          </cell>
        </row>
        <row r="1102">
          <cell r="D1102" t="str">
            <v>A1.4591</v>
          </cell>
        </row>
        <row r="1103">
          <cell r="D1103" t="str">
            <v>A1.4591</v>
          </cell>
        </row>
        <row r="1104">
          <cell r="D1104" t="str">
            <v>A1.4592</v>
          </cell>
          <cell r="E1104" t="str">
            <v>A1.0586</v>
          </cell>
        </row>
        <row r="1105">
          <cell r="D1105" t="str">
            <v>A1.4592</v>
          </cell>
        </row>
        <row r="1106">
          <cell r="D1106" t="str">
            <v>A1.4592</v>
          </cell>
        </row>
        <row r="1107">
          <cell r="D1107" t="str">
            <v>A1.4593</v>
          </cell>
        </row>
        <row r="1108">
          <cell r="D1108" t="str">
            <v>A1.4593</v>
          </cell>
        </row>
        <row r="1109">
          <cell r="D1109" t="str">
            <v>A1.4593</v>
          </cell>
        </row>
        <row r="1110">
          <cell r="D1110" t="str">
            <v>A1.4593</v>
          </cell>
          <cell r="E1110" t="str">
            <v>A1.0184</v>
          </cell>
        </row>
        <row r="1111">
          <cell r="D1111" t="str">
            <v>A1.4593</v>
          </cell>
        </row>
        <row r="1112">
          <cell r="D1112" t="str">
            <v>A1.4593</v>
          </cell>
        </row>
        <row r="1113">
          <cell r="D1113" t="str">
            <v>A1.4593</v>
          </cell>
        </row>
        <row r="1114">
          <cell r="D1114" t="str">
            <v>A1.4593</v>
          </cell>
        </row>
        <row r="1115">
          <cell r="D1115" t="str">
            <v>A1.4593</v>
          </cell>
        </row>
        <row r="1116">
          <cell r="D1116" t="str">
            <v>A1.4594</v>
          </cell>
        </row>
        <row r="1117">
          <cell r="D1117" t="str">
            <v>A1.4594</v>
          </cell>
        </row>
        <row r="1118">
          <cell r="D1118" t="str">
            <v>A1.4595</v>
          </cell>
        </row>
        <row r="1119">
          <cell r="D1119" t="str">
            <v>A1.4596</v>
          </cell>
        </row>
        <row r="1120">
          <cell r="D1120" t="str">
            <v>A1.4596</v>
          </cell>
        </row>
        <row r="1121">
          <cell r="D1121" t="str">
            <v>A1.4596</v>
          </cell>
        </row>
        <row r="1122">
          <cell r="D1122" t="str">
            <v>A1.4596</v>
          </cell>
        </row>
        <row r="1123">
          <cell r="D1123" t="str">
            <v>A5.4597</v>
          </cell>
        </row>
        <row r="1124">
          <cell r="D1124" t="str">
            <v>A1.4598</v>
          </cell>
        </row>
        <row r="1125">
          <cell r="D1125" t="str">
            <v>A1.4599</v>
          </cell>
        </row>
        <row r="1126">
          <cell r="D1126" t="str">
            <v>A1.4599</v>
          </cell>
        </row>
        <row r="1127">
          <cell r="D1127" t="str">
            <v>A1.4600</v>
          </cell>
          <cell r="E1127" t="str">
            <v>A1.1349</v>
          </cell>
        </row>
        <row r="1128">
          <cell r="D1128" t="str">
            <v>A1.4600</v>
          </cell>
        </row>
        <row r="1129">
          <cell r="D1129" t="str">
            <v>A1.4601</v>
          </cell>
        </row>
        <row r="1130">
          <cell r="D1130" t="str">
            <v>A1.4601</v>
          </cell>
        </row>
        <row r="1131">
          <cell r="D1131" t="str">
            <v>A1.4602</v>
          </cell>
        </row>
        <row r="1132">
          <cell r="D1132" t="str">
            <v>A1.4602</v>
          </cell>
        </row>
        <row r="1133">
          <cell r="D1133" t="str">
            <v>A1.4602</v>
          </cell>
        </row>
        <row r="1134">
          <cell r="D1134" t="str">
            <v>A1.4602</v>
          </cell>
        </row>
        <row r="1135">
          <cell r="D1135" t="str">
            <v>A1.4602</v>
          </cell>
        </row>
        <row r="1136">
          <cell r="D1136" t="str">
            <v>A1.4602</v>
          </cell>
        </row>
        <row r="1137">
          <cell r="D1137" t="str">
            <v>A5.4603</v>
          </cell>
          <cell r="E1137" t="str">
            <v>A5.0055</v>
          </cell>
        </row>
        <row r="1138">
          <cell r="D1138" t="str">
            <v>A5.4604</v>
          </cell>
        </row>
        <row r="1139">
          <cell r="D1139" t="str">
            <v>A1.4605</v>
          </cell>
        </row>
        <row r="1140">
          <cell r="D1140" t="str">
            <v>A1.4605</v>
          </cell>
        </row>
        <row r="1141">
          <cell r="D1141" t="str">
            <v>A1.4606</v>
          </cell>
        </row>
        <row r="1142">
          <cell r="D1142" t="str">
            <v>A1.4606</v>
          </cell>
          <cell r="E1142" t="str">
            <v>A1.1654</v>
          </cell>
        </row>
        <row r="1143">
          <cell r="D1143" t="str">
            <v>A1.4606</v>
          </cell>
        </row>
        <row r="1144">
          <cell r="D1144" t="str">
            <v>A1.4606</v>
          </cell>
        </row>
        <row r="1145">
          <cell r="D1145" t="str">
            <v>A1.4607</v>
          </cell>
        </row>
        <row r="1146">
          <cell r="D1146" t="str">
            <v>A1.4607</v>
          </cell>
        </row>
        <row r="1147">
          <cell r="D1147" t="str">
            <v>A1.4479</v>
          </cell>
        </row>
        <row r="1148">
          <cell r="D1148" t="str">
            <v>A1.4479</v>
          </cell>
          <cell r="E1148" t="str">
            <v>A1.1507</v>
          </cell>
        </row>
        <row r="1149">
          <cell r="D1149" t="str">
            <v>A1.4479</v>
          </cell>
        </row>
        <row r="1150">
          <cell r="D1150" t="str">
            <v>A1.4479</v>
          </cell>
        </row>
        <row r="1151">
          <cell r="D1151" t="str">
            <v>A1.4608</v>
          </cell>
        </row>
        <row r="1152">
          <cell r="D1152" t="str">
            <v>A1.4608</v>
          </cell>
        </row>
        <row r="1153">
          <cell r="D1153" t="str">
            <v>A1.4608</v>
          </cell>
        </row>
        <row r="1154">
          <cell r="D1154" t="str">
            <v>A1.4608</v>
          </cell>
        </row>
        <row r="1155">
          <cell r="D1155" t="str">
            <v>A1.4609</v>
          </cell>
        </row>
        <row r="1156">
          <cell r="D1156" t="str">
            <v>A1.4610</v>
          </cell>
        </row>
        <row r="1157">
          <cell r="D1157" t="str">
            <v>A1.4611</v>
          </cell>
        </row>
        <row r="1158">
          <cell r="D1158" t="str">
            <v>A1.4612</v>
          </cell>
        </row>
        <row r="1159">
          <cell r="D1159" t="str">
            <v>A1.4613</v>
          </cell>
        </row>
        <row r="1160">
          <cell r="D1160" t="str">
            <v>A1.4614</v>
          </cell>
        </row>
        <row r="1161">
          <cell r="D1161" t="str">
            <v>A1.4615</v>
          </cell>
          <cell r="E1161" t="str">
            <v>A1.1591</v>
          </cell>
        </row>
        <row r="1162">
          <cell r="D1162" t="str">
            <v>A1.4615</v>
          </cell>
        </row>
        <row r="1163">
          <cell r="D1163" t="str">
            <v>A1.4616</v>
          </cell>
        </row>
        <row r="1164">
          <cell r="D1164" t="str">
            <v>A1.4616</v>
          </cell>
          <cell r="E1164" t="str">
            <v>A1.0984</v>
          </cell>
        </row>
        <row r="1165">
          <cell r="D1165" t="str">
            <v>A5.4617</v>
          </cell>
          <cell r="E1165" t="str">
            <v>A5.1830</v>
          </cell>
        </row>
        <row r="1166">
          <cell r="D1166" t="str">
            <v>A5.4618</v>
          </cell>
          <cell r="E1166" t="str">
            <v>A5.0492</v>
          </cell>
        </row>
        <row r="1167">
          <cell r="D1167" t="str">
            <v>A5.4619</v>
          </cell>
          <cell r="E1167" t="str">
            <v>A5.0243</v>
          </cell>
        </row>
        <row r="1168">
          <cell r="D1168" t="str">
            <v>A5.4620</v>
          </cell>
          <cell r="E1168" t="str">
            <v>A5.1912</v>
          </cell>
        </row>
        <row r="1169">
          <cell r="D1169" t="str">
            <v>A5.4621</v>
          </cell>
          <cell r="E1169" t="str">
            <v>A5.0806</v>
          </cell>
        </row>
        <row r="1170">
          <cell r="D1170" t="str">
            <v>A5.4622</v>
          </cell>
          <cell r="E1170" t="str">
            <v>A5.0241</v>
          </cell>
        </row>
        <row r="1171">
          <cell r="D1171" t="str">
            <v>A5.4623</v>
          </cell>
        </row>
        <row r="1172">
          <cell r="D1172" t="str">
            <v>A5.4624</v>
          </cell>
          <cell r="E1172" t="str">
            <v>A5.0014</v>
          </cell>
        </row>
        <row r="1173">
          <cell r="D1173" t="str">
            <v>A1.4625</v>
          </cell>
        </row>
        <row r="1174">
          <cell r="D1174" t="str">
            <v>A1.4626</v>
          </cell>
        </row>
        <row r="1175">
          <cell r="D1175" t="str">
            <v>A1.4627</v>
          </cell>
        </row>
        <row r="1176">
          <cell r="D1176" t="str">
            <v>A1.4627</v>
          </cell>
        </row>
        <row r="1177">
          <cell r="D1177" t="str">
            <v>A1.4627</v>
          </cell>
        </row>
        <row r="1178">
          <cell r="D1178" t="str">
            <v>A1.4627</v>
          </cell>
        </row>
        <row r="1179">
          <cell r="D1179" t="str">
            <v>A1.4627</v>
          </cell>
        </row>
        <row r="1180">
          <cell r="D1180" t="str">
            <v>A1.4628</v>
          </cell>
        </row>
        <row r="1181">
          <cell r="D1181" t="str">
            <v>A1.4628</v>
          </cell>
        </row>
        <row r="1182">
          <cell r="D1182" t="str">
            <v>A1.4629</v>
          </cell>
        </row>
        <row r="1183">
          <cell r="D1183" t="str">
            <v>A1.4630</v>
          </cell>
        </row>
        <row r="1184">
          <cell r="D1184" t="str">
            <v>A1.4631</v>
          </cell>
        </row>
        <row r="1185">
          <cell r="D1185" t="str">
            <v>A1.4632</v>
          </cell>
        </row>
        <row r="1186">
          <cell r="D1186" t="str">
            <v>A1.4632</v>
          </cell>
        </row>
        <row r="1187">
          <cell r="D1187" t="str">
            <v>A1.4632</v>
          </cell>
        </row>
        <row r="1188">
          <cell r="D1188" t="str">
            <v>A1.4496</v>
          </cell>
        </row>
        <row r="1189">
          <cell r="D1189" t="str">
            <v>A1.4633</v>
          </cell>
        </row>
        <row r="1190">
          <cell r="D1190" t="str">
            <v>A1.4634</v>
          </cell>
        </row>
        <row r="1191">
          <cell r="D1191" t="str">
            <v>A1.4635</v>
          </cell>
        </row>
        <row r="1192">
          <cell r="D1192" t="str">
            <v>A1.4636</v>
          </cell>
        </row>
        <row r="1193">
          <cell r="D1193" t="str">
            <v>A1.4636</v>
          </cell>
        </row>
        <row r="1194">
          <cell r="D1194" t="str">
            <v>A1.4636</v>
          </cell>
        </row>
        <row r="1195">
          <cell r="D1195" t="str">
            <v>A1.4636</v>
          </cell>
        </row>
        <row r="1196">
          <cell r="D1196" t="str">
            <v>A1.4636</v>
          </cell>
        </row>
        <row r="1197">
          <cell r="D1197" t="str">
            <v>A1.4636</v>
          </cell>
        </row>
        <row r="1198">
          <cell r="D1198" t="str">
            <v>A1.4636</v>
          </cell>
        </row>
        <row r="1199">
          <cell r="D1199" t="str">
            <v>A1.4636</v>
          </cell>
        </row>
        <row r="1200">
          <cell r="D1200" t="str">
            <v>A1.4636</v>
          </cell>
        </row>
        <row r="1201">
          <cell r="D1201" t="str">
            <v>A1.4636</v>
          </cell>
        </row>
        <row r="1202">
          <cell r="D1202" t="str">
            <v>A1.4636</v>
          </cell>
          <cell r="E1202" t="str">
            <v>A1.1309</v>
          </cell>
        </row>
        <row r="1203">
          <cell r="D1203" t="str">
            <v>A1.4636</v>
          </cell>
          <cell r="E1203" t="str">
            <v>A1.1309</v>
          </cell>
        </row>
        <row r="1204">
          <cell r="D1204" t="str">
            <v>A1.4636</v>
          </cell>
          <cell r="E1204" t="str">
            <v>A1.1309</v>
          </cell>
        </row>
        <row r="1205">
          <cell r="D1205" t="str">
            <v>A1.4636</v>
          </cell>
        </row>
        <row r="1206">
          <cell r="D1206" t="str">
            <v>A1.4636</v>
          </cell>
        </row>
        <row r="1207">
          <cell r="D1207" t="str">
            <v>A1.4636</v>
          </cell>
        </row>
        <row r="1208">
          <cell r="D1208" t="str">
            <v>A1.4636</v>
          </cell>
        </row>
        <row r="1209">
          <cell r="D1209" t="str">
            <v>A1.4636</v>
          </cell>
        </row>
        <row r="1210">
          <cell r="D1210" t="str">
            <v>A1.4636</v>
          </cell>
        </row>
        <row r="1211">
          <cell r="D1211" t="str">
            <v>A1.4636</v>
          </cell>
        </row>
        <row r="1212">
          <cell r="D1212" t="str">
            <v>A1.4636</v>
          </cell>
        </row>
        <row r="1213">
          <cell r="D1213" t="str">
            <v>A1.4637</v>
          </cell>
        </row>
        <row r="1214">
          <cell r="D1214" t="str">
            <v>A1.4638</v>
          </cell>
        </row>
        <row r="1215">
          <cell r="D1215" t="str">
            <v>A1.4638</v>
          </cell>
        </row>
        <row r="1216">
          <cell r="D1216" t="str">
            <v>A1.4639</v>
          </cell>
        </row>
        <row r="1217">
          <cell r="D1217" t="str">
            <v>A1.4640</v>
          </cell>
          <cell r="E1217" t="str">
            <v>A1.1653</v>
          </cell>
        </row>
        <row r="1218">
          <cell r="D1218" t="str">
            <v>A5.4641</v>
          </cell>
        </row>
        <row r="1219">
          <cell r="D1219" t="str">
            <v>A1.4642</v>
          </cell>
        </row>
        <row r="1220">
          <cell r="D1220" t="str">
            <v>A1.4643</v>
          </cell>
          <cell r="E1220" t="str">
            <v>A1.1714</v>
          </cell>
        </row>
        <row r="1221">
          <cell r="D1221" t="str">
            <v>A1.4644</v>
          </cell>
          <cell r="E1221" t="str">
            <v>A1.1715</v>
          </cell>
        </row>
        <row r="1222">
          <cell r="D1222" t="str">
            <v>A1.4645</v>
          </cell>
          <cell r="E1222" t="str">
            <v>A1.1716</v>
          </cell>
        </row>
        <row r="1223">
          <cell r="D1223" t="str">
            <v>A1.4646</v>
          </cell>
          <cell r="E1223" t="str">
            <v>A1.1752</v>
          </cell>
        </row>
        <row r="1224">
          <cell r="D1224" t="str">
            <v>A1.4647</v>
          </cell>
          <cell r="E1224" t="str">
            <v>A1.1690</v>
          </cell>
        </row>
        <row r="1225">
          <cell r="D1225" t="str">
            <v>A1.4648</v>
          </cell>
          <cell r="E1225" t="str">
            <v>A1.1543</v>
          </cell>
        </row>
        <row r="1226">
          <cell r="D1226" t="str">
            <v>A1.4649</v>
          </cell>
          <cell r="E1226" t="str">
            <v>A1.1480</v>
          </cell>
        </row>
        <row r="1227">
          <cell r="D1227" t="str">
            <v>A1.4650</v>
          </cell>
          <cell r="E1227" t="str">
            <v>A1.1717</v>
          </cell>
        </row>
        <row r="1228">
          <cell r="D1228" t="str">
            <v>A1.4651</v>
          </cell>
        </row>
        <row r="1229">
          <cell r="D1229" t="str">
            <v>A1.4652</v>
          </cell>
        </row>
        <row r="1230">
          <cell r="D1230" t="str">
            <v>A1.4652</v>
          </cell>
        </row>
        <row r="1231">
          <cell r="D1231" t="str">
            <v>A1.4652</v>
          </cell>
        </row>
        <row r="1232">
          <cell r="D1232" t="str">
            <v>A1.4652</v>
          </cell>
        </row>
        <row r="1233">
          <cell r="D1233" t="str">
            <v>A1.4653</v>
          </cell>
        </row>
        <row r="1234">
          <cell r="D1234" t="str">
            <v>A1.4653</v>
          </cell>
        </row>
        <row r="1235">
          <cell r="D1235" t="str">
            <v>A1.4654</v>
          </cell>
        </row>
        <row r="1236">
          <cell r="D1236" t="str">
            <v>A1.4655</v>
          </cell>
        </row>
        <row r="1237">
          <cell r="D1237" t="str">
            <v>A5.4656</v>
          </cell>
        </row>
        <row r="1238">
          <cell r="D1238" t="str">
            <v>A5.4657</v>
          </cell>
          <cell r="E1238" t="str">
            <v>A5.0900</v>
          </cell>
        </row>
        <row r="1239">
          <cell r="D1239" t="str">
            <v>A5.4658</v>
          </cell>
          <cell r="E1239" t="str">
            <v>A5.0006</v>
          </cell>
        </row>
        <row r="1240">
          <cell r="D1240" t="str">
            <v>A5.4659</v>
          </cell>
          <cell r="E1240" t="str">
            <v>A5.0256</v>
          </cell>
        </row>
        <row r="1241">
          <cell r="D1241" t="str">
            <v>A5.4660</v>
          </cell>
          <cell r="E1241" t="str">
            <v>A5.0094</v>
          </cell>
        </row>
        <row r="1242">
          <cell r="D1242" t="str">
            <v>A5.4661</v>
          </cell>
          <cell r="E1242" t="str">
            <v>A5.0801</v>
          </cell>
        </row>
        <row r="1243">
          <cell r="D1243" t="str">
            <v>A5.4661</v>
          </cell>
        </row>
        <row r="1244">
          <cell r="D1244" t="str">
            <v>A5.4662</v>
          </cell>
          <cell r="E1244" t="str">
            <v>A5.0353</v>
          </cell>
        </row>
        <row r="1245">
          <cell r="D1245" t="str">
            <v>A5.4663</v>
          </cell>
        </row>
        <row r="1246">
          <cell r="D1246" t="str">
            <v>A5.4664</v>
          </cell>
        </row>
        <row r="1247">
          <cell r="D1247" t="str">
            <v>A5.4665</v>
          </cell>
        </row>
        <row r="1248">
          <cell r="D1248" t="str">
            <v>A5.4666</v>
          </cell>
        </row>
        <row r="1249">
          <cell r="D1249" t="str">
            <v>A5.4667</v>
          </cell>
        </row>
        <row r="1250">
          <cell r="D1250" t="str">
            <v>A5.4668</v>
          </cell>
        </row>
        <row r="1251">
          <cell r="D1251" t="str">
            <v>A5.4669</v>
          </cell>
        </row>
        <row r="1252">
          <cell r="D1252" t="str">
            <v>A5.4670</v>
          </cell>
          <cell r="E1252" t="str">
            <v>A5.0454</v>
          </cell>
        </row>
        <row r="1253">
          <cell r="D1253" t="str">
            <v>A5.4670</v>
          </cell>
        </row>
        <row r="1254">
          <cell r="D1254" t="str">
            <v>A5.4671</v>
          </cell>
        </row>
        <row r="1255">
          <cell r="D1255" t="str">
            <v>A5.4672</v>
          </cell>
          <cell r="E1255" t="str">
            <v>A5.0935</v>
          </cell>
        </row>
        <row r="1256">
          <cell r="D1256" t="str">
            <v>A1.4673</v>
          </cell>
          <cell r="E1256" t="str">
            <v>A1.1111</v>
          </cell>
        </row>
        <row r="1257">
          <cell r="D1257" t="str">
            <v>A1.4674</v>
          </cell>
          <cell r="E1257" t="str">
            <v>A1.1631</v>
          </cell>
        </row>
        <row r="1258">
          <cell r="D1258" t="str">
            <v>A1.4675</v>
          </cell>
          <cell r="E1258" t="str">
            <v>A1.0229</v>
          </cell>
        </row>
        <row r="1259">
          <cell r="D1259" t="str">
            <v>A1.4675</v>
          </cell>
        </row>
        <row r="1260">
          <cell r="D1260" t="str">
            <v>A1.4676</v>
          </cell>
        </row>
        <row r="1261">
          <cell r="D1261" t="str">
            <v>A1.4677</v>
          </cell>
        </row>
        <row r="1262">
          <cell r="D1262" t="str">
            <v>A1.4677</v>
          </cell>
          <cell r="E1262" t="str">
            <v>A1.0811</v>
          </cell>
        </row>
        <row r="1263">
          <cell r="D1263" t="str">
            <v>A1.4678</v>
          </cell>
          <cell r="E1263" t="str">
            <v>A1.0206</v>
          </cell>
        </row>
        <row r="1264">
          <cell r="D1264" t="str">
            <v>A1.4678</v>
          </cell>
        </row>
        <row r="1265">
          <cell r="D1265" t="str">
            <v>A1.4678</v>
          </cell>
        </row>
        <row r="1266">
          <cell r="D1266" t="str">
            <v>A1.4679</v>
          </cell>
          <cell r="E1266" t="str">
            <v>A1.0329</v>
          </cell>
        </row>
        <row r="1267">
          <cell r="D1267" t="str">
            <v>A1.4679</v>
          </cell>
        </row>
        <row r="1268">
          <cell r="D1268" t="str">
            <v>A1.4680</v>
          </cell>
        </row>
        <row r="1269">
          <cell r="D1269" t="str">
            <v>A1.4681</v>
          </cell>
          <cell r="E1269" t="str">
            <v>A1.1813</v>
          </cell>
        </row>
        <row r="1270">
          <cell r="D1270" t="str">
            <v>A1.4682</v>
          </cell>
        </row>
        <row r="1271">
          <cell r="D1271" t="str">
            <v>A1.4683</v>
          </cell>
        </row>
        <row r="1272">
          <cell r="D1272" t="str">
            <v>A1.4683</v>
          </cell>
        </row>
        <row r="1273">
          <cell r="D1273" t="str">
            <v>A1.4684</v>
          </cell>
        </row>
        <row r="1274">
          <cell r="D1274" t="str">
            <v>A1.4685</v>
          </cell>
          <cell r="E1274" t="str">
            <v>A1.1439</v>
          </cell>
        </row>
        <row r="1275">
          <cell r="D1275" t="str">
            <v>A1.4685</v>
          </cell>
        </row>
        <row r="1276">
          <cell r="D1276" t="str">
            <v>A1.4685</v>
          </cell>
        </row>
        <row r="1277">
          <cell r="D1277" t="str">
            <v>A1.4686</v>
          </cell>
        </row>
        <row r="1278">
          <cell r="D1278" t="str">
            <v>A1.4687</v>
          </cell>
          <cell r="E1278" t="str">
            <v>A1.1440</v>
          </cell>
        </row>
        <row r="1279">
          <cell r="D1279" t="str">
            <v>A1.4688</v>
          </cell>
        </row>
        <row r="1280">
          <cell r="D1280" t="str">
            <v>A1.4688</v>
          </cell>
          <cell r="E1280" t="str">
            <v>A1.1758</v>
          </cell>
        </row>
        <row r="1281">
          <cell r="D1281" t="str">
            <v>A1.4689</v>
          </cell>
          <cell r="E1281" t="str">
            <v>A1.1414</v>
          </cell>
        </row>
        <row r="1282">
          <cell r="D1282" t="str">
            <v>A1.4689</v>
          </cell>
        </row>
        <row r="1283">
          <cell r="D1283" t="str">
            <v>A5.4690</v>
          </cell>
          <cell r="E1283" t="str">
            <v>A5.1760</v>
          </cell>
        </row>
        <row r="1284">
          <cell r="D1284" t="str">
            <v>A5.4691</v>
          </cell>
          <cell r="E1284" t="str">
            <v>A5.0509</v>
          </cell>
        </row>
        <row r="1285">
          <cell r="D1285" t="str">
            <v>A5.4692</v>
          </cell>
          <cell r="E1285" t="str">
            <v>A5.1841</v>
          </cell>
        </row>
        <row r="1286">
          <cell r="D1286" t="str">
            <v>A5.4693</v>
          </cell>
          <cell r="E1286" t="str">
            <v>A5.1842</v>
          </cell>
        </row>
        <row r="1287">
          <cell r="D1287" t="str">
            <v>A5.4694</v>
          </cell>
          <cell r="E1287" t="str">
            <v>A5.0508</v>
          </cell>
        </row>
        <row r="1288">
          <cell r="D1288" t="str">
            <v>A1.4695</v>
          </cell>
        </row>
        <row r="1289">
          <cell r="D1289" t="str">
            <v>A1.4696</v>
          </cell>
          <cell r="E1289" t="str">
            <v>A1.1462</v>
          </cell>
        </row>
        <row r="1290">
          <cell r="D1290" t="str">
            <v>A5.4697</v>
          </cell>
        </row>
        <row r="1291">
          <cell r="D1291" t="str">
            <v>A1.4698</v>
          </cell>
        </row>
        <row r="1292">
          <cell r="D1292" t="str">
            <v>A5.4698</v>
          </cell>
        </row>
        <row r="1293">
          <cell r="D1293" t="str">
            <v>A5.4698</v>
          </cell>
        </row>
        <row r="1294">
          <cell r="D1294" t="str">
            <v>A1.4699</v>
          </cell>
        </row>
        <row r="1295">
          <cell r="D1295" t="str">
            <v>A5.4699</v>
          </cell>
        </row>
        <row r="1296">
          <cell r="D1296" t="str">
            <v>A5.4700</v>
          </cell>
          <cell r="E1296" t="str">
            <v>A5.1236</v>
          </cell>
        </row>
        <row r="1297">
          <cell r="D1297" t="str">
            <v>A1.4701</v>
          </cell>
          <cell r="E1297" t="str">
            <v>A1.1944</v>
          </cell>
        </row>
        <row r="1298">
          <cell r="D1298" t="str">
            <v>A1.4702</v>
          </cell>
        </row>
        <row r="1299">
          <cell r="D1299" t="str">
            <v>A1.4703</v>
          </cell>
        </row>
        <row r="1300">
          <cell r="D1300" t="str">
            <v>A5.4703</v>
          </cell>
        </row>
        <row r="1301">
          <cell r="D1301" t="str">
            <v>A5.4703</v>
          </cell>
        </row>
        <row r="1302">
          <cell r="D1302" t="str">
            <v>A5.4703</v>
          </cell>
        </row>
        <row r="1303">
          <cell r="D1303" t="str">
            <v>A5.4704</v>
          </cell>
        </row>
        <row r="1304">
          <cell r="D1304" t="str">
            <v>A5.4705</v>
          </cell>
        </row>
        <row r="1305">
          <cell r="D1305" t="str">
            <v>A5.4706</v>
          </cell>
        </row>
        <row r="1306">
          <cell r="D1306" t="str">
            <v>A5.4707</v>
          </cell>
        </row>
        <row r="1307">
          <cell r="D1307" t="str">
            <v>A5.4708</v>
          </cell>
        </row>
        <row r="1308">
          <cell r="D1308" t="str">
            <v>A5.4709</v>
          </cell>
        </row>
        <row r="1309">
          <cell r="D1309" t="str">
            <v>A5.4710</v>
          </cell>
        </row>
        <row r="1310">
          <cell r="D1310" t="str">
            <v>A5.4711</v>
          </cell>
        </row>
        <row r="1311">
          <cell r="D1311" t="str">
            <v>A5.4712</v>
          </cell>
          <cell r="E1311" t="str">
            <v>A5.0007</v>
          </cell>
        </row>
        <row r="1312">
          <cell r="D1312" t="str">
            <v>A5.4713</v>
          </cell>
          <cell r="E1312" t="str">
            <v>A5.1348</v>
          </cell>
        </row>
        <row r="1313">
          <cell r="D1313" t="str">
            <v>A5.4714</v>
          </cell>
          <cell r="E1313" t="str">
            <v>A5.0003</v>
          </cell>
        </row>
        <row r="1314">
          <cell r="D1314" t="str">
            <v>A5.4715</v>
          </cell>
          <cell r="E1314" t="str">
            <v>A5.0015</v>
          </cell>
        </row>
        <row r="1315">
          <cell r="D1315" t="str">
            <v>A5.4716</v>
          </cell>
          <cell r="E1315" t="str">
            <v>A5.1400</v>
          </cell>
        </row>
        <row r="1316">
          <cell r="D1316" t="str">
            <v>A5.4717</v>
          </cell>
          <cell r="E1316" t="str">
            <v>A5.0901</v>
          </cell>
        </row>
        <row r="1317">
          <cell r="D1317" t="str">
            <v>A5.4718</v>
          </cell>
          <cell r="E1317" t="str">
            <v>A5.1232</v>
          </cell>
        </row>
        <row r="1318">
          <cell r="D1318" t="str">
            <v>A5.4719</v>
          </cell>
          <cell r="E1318" t="str">
            <v>A5.1754</v>
          </cell>
        </row>
        <row r="1319">
          <cell r="D1319" t="str">
            <v>A5.4720</v>
          </cell>
          <cell r="E1319" t="str">
            <v>A5.1404</v>
          </cell>
        </row>
        <row r="1320">
          <cell r="D1320" t="str">
            <v>A5.4721</v>
          </cell>
          <cell r="E1320" t="str">
            <v>A5.1792</v>
          </cell>
        </row>
        <row r="1321">
          <cell r="D1321" t="str">
            <v>A5.4722</v>
          </cell>
          <cell r="E1321" t="str">
            <v>A5.1915</v>
          </cell>
        </row>
        <row r="1322">
          <cell r="D1322" t="str">
            <v>A1.4723</v>
          </cell>
        </row>
        <row r="1323">
          <cell r="D1323" t="str">
            <v>A5.4723</v>
          </cell>
        </row>
        <row r="1324">
          <cell r="D1324" t="str">
            <v>A1.4724</v>
          </cell>
        </row>
        <row r="1325">
          <cell r="D1325" t="str">
            <v>A5.4724</v>
          </cell>
        </row>
        <row r="1326">
          <cell r="D1326" t="str">
            <v>A5.4725</v>
          </cell>
        </row>
        <row r="1327">
          <cell r="D1327" t="str">
            <v>A5.4726</v>
          </cell>
        </row>
        <row r="1328">
          <cell r="D1328" t="str">
            <v>A5.4727</v>
          </cell>
        </row>
        <row r="1329">
          <cell r="D1329" t="str">
            <v>A1.4728</v>
          </cell>
          <cell r="E1329" t="str">
            <v>A1.1714</v>
          </cell>
        </row>
        <row r="1330">
          <cell r="D1330" t="str">
            <v>A1.4729</v>
          </cell>
          <cell r="E1330" t="str">
            <v>A1.1715</v>
          </cell>
        </row>
        <row r="1331">
          <cell r="D1331" t="str">
            <v>A5.4730</v>
          </cell>
          <cell r="E1331" t="str">
            <v>A5.0013</v>
          </cell>
        </row>
        <row r="1332">
          <cell r="D1332" t="str">
            <v>A5.4731</v>
          </cell>
          <cell r="E1332" t="str">
            <v>A5.0012</v>
          </cell>
        </row>
        <row r="1333">
          <cell r="D1333" t="str">
            <v>A5.4732</v>
          </cell>
          <cell r="E1333" t="str">
            <v>A5.1838</v>
          </cell>
        </row>
        <row r="1334">
          <cell r="D1334" t="str">
            <v>A5.4733</v>
          </cell>
          <cell r="E1334" t="str">
            <v>A5.1829</v>
          </cell>
        </row>
        <row r="1335">
          <cell r="D1335" t="str">
            <v>A5.4734</v>
          </cell>
          <cell r="E1335" t="str">
            <v>A5.1917</v>
          </cell>
        </row>
        <row r="1336">
          <cell r="D1336" t="str">
            <v>A1.4735</v>
          </cell>
        </row>
        <row r="1337">
          <cell r="D1337" t="str">
            <v>A1.4736</v>
          </cell>
          <cell r="E1337" t="str">
            <v>A1.1510</v>
          </cell>
        </row>
        <row r="1338">
          <cell r="D1338" t="str">
            <v>A1.4737</v>
          </cell>
        </row>
        <row r="1339">
          <cell r="D1339" t="str">
            <v>A1.4738</v>
          </cell>
          <cell r="E1339" t="str">
            <v>A1.0779</v>
          </cell>
        </row>
        <row r="1340">
          <cell r="D1340" t="str">
            <v>A1.4739</v>
          </cell>
        </row>
        <row r="1341">
          <cell r="D1341" t="str">
            <v>A1.4739</v>
          </cell>
        </row>
        <row r="1342">
          <cell r="D1342" t="str">
            <v>A1.4740</v>
          </cell>
          <cell r="E1342" t="str">
            <v>A1.0545</v>
          </cell>
        </row>
        <row r="1343">
          <cell r="D1343" t="str">
            <v>A1.4740</v>
          </cell>
        </row>
        <row r="1344">
          <cell r="D1344" t="str">
            <v>A1.4741</v>
          </cell>
        </row>
        <row r="1345">
          <cell r="D1345" t="str">
            <v>A1.4742</v>
          </cell>
          <cell r="E1345" t="str">
            <v>A1.1996</v>
          </cell>
        </row>
        <row r="1346">
          <cell r="D1346" t="str">
            <v>A1.4743</v>
          </cell>
          <cell r="E1346" t="str">
            <v>A1.1904</v>
          </cell>
        </row>
        <row r="1347">
          <cell r="D1347" t="str">
            <v>A1.4744</v>
          </cell>
          <cell r="E1347" t="str">
            <v>A1.2000</v>
          </cell>
        </row>
        <row r="1348">
          <cell r="D1348" t="str">
            <v>A1.4745</v>
          </cell>
          <cell r="E1348" t="str">
            <v>A1.2007</v>
          </cell>
        </row>
        <row r="1349">
          <cell r="D1349" t="str">
            <v>A1.4746</v>
          </cell>
        </row>
        <row r="1350">
          <cell r="D1350" t="str">
            <v>A1.4746</v>
          </cell>
        </row>
        <row r="1351">
          <cell r="D1351" t="str">
            <v>A1.4747</v>
          </cell>
        </row>
        <row r="1352">
          <cell r="D1352" t="str">
            <v>A1.4748</v>
          </cell>
        </row>
        <row r="1353">
          <cell r="D1353" t="str">
            <v>A1.4749</v>
          </cell>
          <cell r="E1353" t="str">
            <v>A1.1471</v>
          </cell>
        </row>
        <row r="1354">
          <cell r="D1354" t="str">
            <v>A1.4749</v>
          </cell>
        </row>
        <row r="1355">
          <cell r="D1355" t="str">
            <v>A1.4750</v>
          </cell>
        </row>
        <row r="1356">
          <cell r="D1356" t="str">
            <v>A1.4750</v>
          </cell>
        </row>
        <row r="1357">
          <cell r="D1357" t="str">
            <v>A1.4751</v>
          </cell>
          <cell r="E1357" t="str">
            <v>A1.0852</v>
          </cell>
        </row>
        <row r="1358">
          <cell r="D1358" t="str">
            <v>A1.4752</v>
          </cell>
        </row>
        <row r="1359">
          <cell r="D1359" t="str">
            <v>A1.4753</v>
          </cell>
        </row>
        <row r="1360">
          <cell r="D1360" t="str">
            <v>A1.4753</v>
          </cell>
        </row>
        <row r="1361">
          <cell r="D1361" t="str">
            <v>A1.4754</v>
          </cell>
        </row>
        <row r="1362">
          <cell r="D1362" t="str">
            <v>A1.4755</v>
          </cell>
        </row>
        <row r="1363">
          <cell r="D1363" t="str">
            <v>A1.4756</v>
          </cell>
        </row>
        <row r="1364">
          <cell r="D1364" t="str">
            <v>A1.4757</v>
          </cell>
          <cell r="E1364" t="str">
            <v>A1.1601</v>
          </cell>
        </row>
        <row r="1365">
          <cell r="D1365" t="str">
            <v>A1.4757</v>
          </cell>
          <cell r="E1365" t="str">
            <v>A1.1601</v>
          </cell>
        </row>
        <row r="1366">
          <cell r="D1366" t="str">
            <v>A1.4758</v>
          </cell>
        </row>
        <row r="1367">
          <cell r="D1367" t="str">
            <v>A1.4758</v>
          </cell>
          <cell r="E1367" t="str">
            <v>A1.1467</v>
          </cell>
        </row>
        <row r="1368">
          <cell r="D1368" t="str">
            <v>A1.4759</v>
          </cell>
        </row>
        <row r="1369">
          <cell r="D1369" t="str">
            <v>A1.4759</v>
          </cell>
          <cell r="E1369" t="str">
            <v>A1.0856</v>
          </cell>
        </row>
        <row r="1370">
          <cell r="D1370" t="str">
            <v>A1.4760</v>
          </cell>
          <cell r="E1370" t="str">
            <v>A1.1564</v>
          </cell>
        </row>
        <row r="1371">
          <cell r="D1371" t="str">
            <v>A1.4760</v>
          </cell>
          <cell r="E1371" t="str">
            <v>A1.1564</v>
          </cell>
        </row>
        <row r="1372">
          <cell r="D1372" t="str">
            <v>A1.4761</v>
          </cell>
        </row>
        <row r="1373">
          <cell r="D1373" t="str">
            <v>A1.4762</v>
          </cell>
        </row>
        <row r="1374">
          <cell r="D1374" t="str">
            <v>A1.4763</v>
          </cell>
        </row>
        <row r="1375">
          <cell r="D1375" t="str">
            <v>A1.4764</v>
          </cell>
          <cell r="E1375" t="str">
            <v>A1.2001</v>
          </cell>
        </row>
        <row r="1376">
          <cell r="D1376" t="str">
            <v>A1.4765</v>
          </cell>
          <cell r="E1376" t="str">
            <v>A1.2002</v>
          </cell>
        </row>
        <row r="1377">
          <cell r="D1377" t="str">
            <v>A5.4766</v>
          </cell>
        </row>
        <row r="1378">
          <cell r="D1378" t="str">
            <v>A5.4767</v>
          </cell>
        </row>
        <row r="1379">
          <cell r="D1379" t="str">
            <v>A1.4768</v>
          </cell>
          <cell r="E1379" t="str">
            <v>A1.1343</v>
          </cell>
        </row>
        <row r="1380">
          <cell r="D1380" t="str">
            <v>A1.4769</v>
          </cell>
        </row>
        <row r="1381">
          <cell r="D1381" t="str">
            <v>A1.4769</v>
          </cell>
        </row>
        <row r="1382">
          <cell r="D1382" t="str">
            <v>A1.4769</v>
          </cell>
        </row>
        <row r="1383">
          <cell r="D1383" t="str">
            <v>A1.4769</v>
          </cell>
        </row>
        <row r="1384">
          <cell r="D1384" t="str">
            <v>A1.4770</v>
          </cell>
          <cell r="E1384" t="str">
            <v>A1.1422</v>
          </cell>
        </row>
        <row r="1385">
          <cell r="D1385" t="str">
            <v>A1.4771</v>
          </cell>
        </row>
        <row r="1386">
          <cell r="D1386" t="str">
            <v>A1.4771</v>
          </cell>
        </row>
        <row r="1387">
          <cell r="D1387" t="str">
            <v>A1.4771</v>
          </cell>
        </row>
        <row r="1388">
          <cell r="D1388" t="str">
            <v>A1.4771</v>
          </cell>
        </row>
        <row r="1389">
          <cell r="D1389" t="str">
            <v>A1.4772</v>
          </cell>
        </row>
        <row r="1390">
          <cell r="D1390" t="str">
            <v>A1.4772</v>
          </cell>
        </row>
        <row r="1391">
          <cell r="D1391" t="str">
            <v>A1.4773</v>
          </cell>
          <cell r="E1391" t="str">
            <v>A1.1833</v>
          </cell>
        </row>
        <row r="1392">
          <cell r="D1392" t="str">
            <v>A1.4774</v>
          </cell>
          <cell r="E1392" t="str">
            <v>A1.1695</v>
          </cell>
        </row>
        <row r="1393">
          <cell r="D1393" t="str">
            <v>A1.4775</v>
          </cell>
          <cell r="E1393" t="str">
            <v>A1.0925</v>
          </cell>
        </row>
        <row r="1394">
          <cell r="D1394" t="str">
            <v>A5.4776</v>
          </cell>
        </row>
        <row r="1395">
          <cell r="D1395" t="str">
            <v>A5.4777</v>
          </cell>
        </row>
        <row r="1396">
          <cell r="D1396" t="str">
            <v>A5.4778</v>
          </cell>
        </row>
        <row r="1397">
          <cell r="D1397" t="str">
            <v>A5.4778</v>
          </cell>
        </row>
        <row r="1398">
          <cell r="D1398" t="str">
            <v>A1.4779</v>
          </cell>
        </row>
        <row r="1399">
          <cell r="D1399" t="str">
            <v>A5.4779</v>
          </cell>
        </row>
        <row r="1400">
          <cell r="D1400" t="str">
            <v>A5.4780</v>
          </cell>
        </row>
        <row r="1401">
          <cell r="D1401" t="str">
            <v>A1.4781</v>
          </cell>
        </row>
        <row r="1402">
          <cell r="D1402" t="str">
            <v>A5.4782</v>
          </cell>
        </row>
        <row r="1403">
          <cell r="D1403" t="str">
            <v>A5.4783</v>
          </cell>
        </row>
        <row r="1404">
          <cell r="D1404" t="str">
            <v>A5.4784</v>
          </cell>
        </row>
        <row r="1405">
          <cell r="D1405" t="str">
            <v>A5.4784</v>
          </cell>
        </row>
        <row r="1406">
          <cell r="D1406" t="str">
            <v>A5.4784</v>
          </cell>
        </row>
        <row r="1407">
          <cell r="D1407" t="str">
            <v>A1.4785</v>
          </cell>
          <cell r="E1407" t="str">
            <v>A1.1740</v>
          </cell>
        </row>
        <row r="1408">
          <cell r="D1408" t="str">
            <v>A1.4785</v>
          </cell>
          <cell r="E1408" t="str">
            <v>A1.1740</v>
          </cell>
        </row>
        <row r="1409">
          <cell r="D1409" t="str">
            <v>A1.4786</v>
          </cell>
          <cell r="E1409" t="str">
            <v>A1.1646</v>
          </cell>
        </row>
        <row r="1410">
          <cell r="D1410" t="str">
            <v>A1.4787</v>
          </cell>
          <cell r="E1410" t="str">
            <v>A1.1470</v>
          </cell>
        </row>
        <row r="1411">
          <cell r="D1411" t="str">
            <v>A1.4787</v>
          </cell>
        </row>
        <row r="1412">
          <cell r="D1412" t="str">
            <v>A1.4788</v>
          </cell>
          <cell r="E1412" t="str">
            <v>A1.1486</v>
          </cell>
        </row>
        <row r="1413">
          <cell r="D1413" t="str">
            <v>A1.4789</v>
          </cell>
          <cell r="E1413" t="str">
            <v>A1.1716</v>
          </cell>
        </row>
        <row r="1414">
          <cell r="D1414" t="str">
            <v>A5.4790</v>
          </cell>
        </row>
        <row r="1415">
          <cell r="D1415" t="str">
            <v>A5.4791</v>
          </cell>
        </row>
        <row r="1416">
          <cell r="D1416" t="str">
            <v>A1.4792</v>
          </cell>
          <cell r="E1416" t="str">
            <v>A1.1291</v>
          </cell>
        </row>
        <row r="1417">
          <cell r="D1417" t="str">
            <v>A1.4535</v>
          </cell>
          <cell r="E1417" t="str">
            <v>A1.0817</v>
          </cell>
        </row>
        <row r="1418">
          <cell r="D1418" t="str">
            <v>A1.4793</v>
          </cell>
          <cell r="E1418" t="str">
            <v>A1.0859</v>
          </cell>
        </row>
        <row r="1419">
          <cell r="D1419" t="str">
            <v>A1.4794</v>
          </cell>
          <cell r="E1419" t="str">
            <v>A1.1686</v>
          </cell>
        </row>
        <row r="1420">
          <cell r="D1420" t="str">
            <v>A1.4795</v>
          </cell>
          <cell r="E1420" t="str">
            <v>A1.1385</v>
          </cell>
        </row>
        <row r="1421">
          <cell r="D1421" t="str">
            <v>A1.4796</v>
          </cell>
          <cell r="E1421" t="str">
            <v>A1.1269</v>
          </cell>
        </row>
        <row r="1422">
          <cell r="D1422" t="str">
            <v>A1.4796</v>
          </cell>
          <cell r="E1422" t="str">
            <v>A1.1269</v>
          </cell>
        </row>
        <row r="1423">
          <cell r="D1423" t="str">
            <v>A1.4796</v>
          </cell>
        </row>
        <row r="1424">
          <cell r="D1424" t="str">
            <v>A1.4552</v>
          </cell>
        </row>
        <row r="1425">
          <cell r="D1425" t="str">
            <v>A1.4552</v>
          </cell>
        </row>
        <row r="1426">
          <cell r="D1426" t="str">
            <v>A1.4552</v>
          </cell>
          <cell r="E1426" t="str">
            <v>A1.1130</v>
          </cell>
        </row>
        <row r="1427">
          <cell r="D1427" t="str">
            <v>A1.4552</v>
          </cell>
          <cell r="E1427" t="str">
            <v>A1.1130</v>
          </cell>
        </row>
        <row r="1428">
          <cell r="D1428" t="str">
            <v>A1.4552</v>
          </cell>
          <cell r="E1428" t="str">
            <v>A1.1130</v>
          </cell>
        </row>
        <row r="1429">
          <cell r="D1429" t="str">
            <v>A1.4552</v>
          </cell>
          <cell r="E1429" t="str">
            <v>A1.1130</v>
          </cell>
        </row>
        <row r="1430">
          <cell r="D1430" t="str">
            <v>A1.4552</v>
          </cell>
        </row>
        <row r="1431">
          <cell r="D1431" t="str">
            <v>A1.4552</v>
          </cell>
        </row>
        <row r="1432">
          <cell r="D1432" t="str">
            <v>A1.4552</v>
          </cell>
        </row>
        <row r="1433">
          <cell r="D1433" t="str">
            <v>A1.4552</v>
          </cell>
        </row>
        <row r="1434">
          <cell r="D1434" t="str">
            <v>A1.4552</v>
          </cell>
        </row>
        <row r="1435">
          <cell r="D1435" t="str">
            <v>A1.4797</v>
          </cell>
          <cell r="E1435" t="str">
            <v>A1.1529</v>
          </cell>
        </row>
        <row r="1436">
          <cell r="D1436" t="str">
            <v>A1.4797</v>
          </cell>
          <cell r="E1436" t="str">
            <v>A1.1529</v>
          </cell>
        </row>
        <row r="1437">
          <cell r="D1437" t="str">
            <v>A1.4798</v>
          </cell>
          <cell r="E1437" t="str">
            <v>A1.1779</v>
          </cell>
        </row>
        <row r="1438">
          <cell r="D1438" t="str">
            <v>A1.4799</v>
          </cell>
          <cell r="E1438" t="str">
            <v>A1.1490</v>
          </cell>
        </row>
        <row r="1439">
          <cell r="D1439" t="str">
            <v>A1.4799</v>
          </cell>
          <cell r="E1439" t="str">
            <v>A1.1490</v>
          </cell>
        </row>
        <row r="1440">
          <cell r="D1440" t="str">
            <v>A1.4799</v>
          </cell>
          <cell r="E1440" t="str">
            <v>A1.1490</v>
          </cell>
        </row>
        <row r="1441">
          <cell r="D1441" t="str">
            <v>A1.4799</v>
          </cell>
        </row>
        <row r="1442">
          <cell r="D1442" t="str">
            <v>A1.4800</v>
          </cell>
          <cell r="E1442" t="str">
            <v>A1.1704</v>
          </cell>
        </row>
        <row r="1443">
          <cell r="D1443" t="str">
            <v>A1.4800</v>
          </cell>
        </row>
        <row r="1444">
          <cell r="D1444" t="str">
            <v>A1.4800</v>
          </cell>
        </row>
        <row r="1445">
          <cell r="D1445" t="str">
            <v>A1.4801</v>
          </cell>
          <cell r="E1445" t="str">
            <v>A1.1763</v>
          </cell>
        </row>
        <row r="1446">
          <cell r="D1446" t="str">
            <v>A1.4801</v>
          </cell>
        </row>
        <row r="1447">
          <cell r="D1447" t="str">
            <v>A1.4802</v>
          </cell>
        </row>
        <row r="1448">
          <cell r="D1448" t="str">
            <v>A1.4803</v>
          </cell>
        </row>
        <row r="1449">
          <cell r="D1449" t="str">
            <v>A1.4803</v>
          </cell>
        </row>
        <row r="1450">
          <cell r="D1450" t="str">
            <v>A1.4803</v>
          </cell>
        </row>
        <row r="1451">
          <cell r="D1451" t="str">
            <v>A1.4803</v>
          </cell>
        </row>
        <row r="1452">
          <cell r="D1452" t="str">
            <v>A1.4803</v>
          </cell>
        </row>
        <row r="1453">
          <cell r="D1453" t="str">
            <v>A1.4803</v>
          </cell>
          <cell r="E1453" t="str">
            <v>A1.1209</v>
          </cell>
        </row>
        <row r="1454">
          <cell r="D1454" t="str">
            <v>A1.4803</v>
          </cell>
          <cell r="E1454" t="str">
            <v>A1.1209</v>
          </cell>
        </row>
        <row r="1455">
          <cell r="D1455" t="str">
            <v>A1.4803</v>
          </cell>
          <cell r="E1455" t="str">
            <v>A1.1209</v>
          </cell>
        </row>
        <row r="1456">
          <cell r="D1456" t="str">
            <v>A1.4803</v>
          </cell>
        </row>
        <row r="1457">
          <cell r="D1457" t="str">
            <v>A1.4803</v>
          </cell>
        </row>
        <row r="1458">
          <cell r="D1458" t="str">
            <v>A1.4804</v>
          </cell>
        </row>
        <row r="1459">
          <cell r="D1459" t="str">
            <v>A1.4805</v>
          </cell>
          <cell r="E1459" t="str">
            <v>A1.1602</v>
          </cell>
        </row>
        <row r="1460">
          <cell r="D1460" t="str">
            <v>A1.4805</v>
          </cell>
        </row>
        <row r="1461">
          <cell r="D1461" t="str">
            <v>A1.4806</v>
          </cell>
          <cell r="E1461" t="str">
            <v>A1.1603</v>
          </cell>
        </row>
        <row r="1462">
          <cell r="D1462" t="str">
            <v>A5.4807</v>
          </cell>
          <cell r="E1462" t="str">
            <v>A5.0444</v>
          </cell>
        </row>
        <row r="1463">
          <cell r="D1463" t="str">
            <v>A5.4808</v>
          </cell>
          <cell r="E1463" t="str">
            <v>A5.1049</v>
          </cell>
        </row>
        <row r="1464">
          <cell r="D1464" t="str">
            <v>A5.4809</v>
          </cell>
          <cell r="E1464" t="str">
            <v>A5.0495</v>
          </cell>
        </row>
        <row r="1465">
          <cell r="D1465" t="str">
            <v>A5.4810</v>
          </cell>
          <cell r="E1465" t="str">
            <v>A5.0051</v>
          </cell>
        </row>
        <row r="1466">
          <cell r="D1466" t="str">
            <v>A5.4811</v>
          </cell>
        </row>
        <row r="1467">
          <cell r="D1467" t="str">
            <v>A5.4812</v>
          </cell>
        </row>
        <row r="1468">
          <cell r="D1468" t="str">
            <v>A5.4813</v>
          </cell>
        </row>
        <row r="1469">
          <cell r="D1469" t="str">
            <v>A5.4814</v>
          </cell>
        </row>
        <row r="1470">
          <cell r="D1470" t="str">
            <v>A5.4815</v>
          </cell>
        </row>
        <row r="1471">
          <cell r="D1471" t="str">
            <v>A5.4816</v>
          </cell>
        </row>
        <row r="1472">
          <cell r="D1472" t="str">
            <v>A5.4817</v>
          </cell>
        </row>
        <row r="1473">
          <cell r="D1473" t="str">
            <v>A5.4818</v>
          </cell>
        </row>
        <row r="1474">
          <cell r="D1474" t="str">
            <v>A5.4819</v>
          </cell>
        </row>
        <row r="1475">
          <cell r="D1475" t="str">
            <v>A5.4820</v>
          </cell>
          <cell r="E1475" t="str">
            <v>A5.1791</v>
          </cell>
        </row>
        <row r="1476">
          <cell r="D1476" t="str">
            <v>A5.4821</v>
          </cell>
          <cell r="E1476" t="str">
            <v>A5.1913</v>
          </cell>
        </row>
        <row r="1477">
          <cell r="D1477" t="str">
            <v>A5.4822</v>
          </cell>
          <cell r="E1477" t="str">
            <v>A5.1819</v>
          </cell>
        </row>
        <row r="1478">
          <cell r="D1478" t="str">
            <v>A5.4823</v>
          </cell>
          <cell r="E1478" t="str">
            <v>A5.1759</v>
          </cell>
        </row>
        <row r="1479">
          <cell r="D1479" t="str">
            <v>A5.4824</v>
          </cell>
          <cell r="E1479" t="str">
            <v>A5.1406</v>
          </cell>
        </row>
        <row r="1480">
          <cell r="D1480" t="str">
            <v>A1.4825</v>
          </cell>
        </row>
        <row r="1481">
          <cell r="D1481" t="str">
            <v>A5.4825</v>
          </cell>
        </row>
        <row r="1482">
          <cell r="D1482" t="str">
            <v>A1.4826</v>
          </cell>
        </row>
        <row r="1483">
          <cell r="D1483" t="str">
            <v>A5.4826</v>
          </cell>
        </row>
        <row r="1484">
          <cell r="D1484" t="str">
            <v>A1.4827</v>
          </cell>
        </row>
        <row r="1485">
          <cell r="D1485" t="str">
            <v>A5.4827</v>
          </cell>
        </row>
        <row r="1486">
          <cell r="D1486" t="str">
            <v>A1.4828</v>
          </cell>
        </row>
        <row r="1487">
          <cell r="D1487" t="str">
            <v>A5.4828</v>
          </cell>
        </row>
        <row r="1488">
          <cell r="D1488" t="str">
            <v>A5.4829</v>
          </cell>
          <cell r="E1488" t="str">
            <v>A5.0874</v>
          </cell>
        </row>
        <row r="1489">
          <cell r="D1489" t="str">
            <v>A5.4830</v>
          </cell>
          <cell r="E1489" t="str">
            <v>A5.0233</v>
          </cell>
        </row>
        <row r="1490">
          <cell r="D1490" t="str">
            <v>A5.4831</v>
          </cell>
          <cell r="E1490" t="str">
            <v>A5.0111</v>
          </cell>
        </row>
        <row r="1491">
          <cell r="D1491" t="str">
            <v>A5.4832</v>
          </cell>
          <cell r="E1491" t="str">
            <v>A5.0877</v>
          </cell>
        </row>
        <row r="1492">
          <cell r="D1492" t="str">
            <v>A5.4833</v>
          </cell>
          <cell r="E1492" t="str">
            <v>A5.0110</v>
          </cell>
        </row>
        <row r="1493">
          <cell r="D1493" t="str">
            <v>A5.4834</v>
          </cell>
          <cell r="E1493" t="str">
            <v>A5.0010</v>
          </cell>
        </row>
        <row r="1494">
          <cell r="D1494" t="str">
            <v>A5.4835</v>
          </cell>
          <cell r="E1494" t="str">
            <v>A5.0873</v>
          </cell>
        </row>
        <row r="1495">
          <cell r="D1495" t="str">
            <v>A5.4836</v>
          </cell>
          <cell r="E1495" t="str">
            <v>A5.0237</v>
          </cell>
        </row>
        <row r="1496">
          <cell r="D1496" t="str">
            <v>A5.4837</v>
          </cell>
          <cell r="E1496" t="str">
            <v>A5.0875</v>
          </cell>
        </row>
        <row r="1497">
          <cell r="D1497" t="str">
            <v>A5.4838</v>
          </cell>
          <cell r="E1497" t="str">
            <v>A5.0001</v>
          </cell>
        </row>
        <row r="1498">
          <cell r="D1498" t="str">
            <v>A5.4839</v>
          </cell>
          <cell r="E1498" t="str">
            <v>A5.0240</v>
          </cell>
        </row>
        <row r="1499">
          <cell r="D1499" t="str">
            <v>A5.4840</v>
          </cell>
          <cell r="E1499" t="str">
            <v>A5.0011</v>
          </cell>
        </row>
        <row r="1500">
          <cell r="D1500" t="str">
            <v>A5.4841</v>
          </cell>
        </row>
        <row r="1501">
          <cell r="D1501" t="str">
            <v>A5.4841</v>
          </cell>
        </row>
        <row r="1502">
          <cell r="D1502" t="str">
            <v>A5.4842</v>
          </cell>
        </row>
        <row r="1503">
          <cell r="D1503" t="str">
            <v>A5.4843</v>
          </cell>
        </row>
        <row r="1504">
          <cell r="D1504" t="str">
            <v>A5.4844</v>
          </cell>
        </row>
        <row r="1505">
          <cell r="D1505" t="str">
            <v>A1.4845</v>
          </cell>
        </row>
        <row r="1506">
          <cell r="D1506" t="str">
            <v>A5.4845</v>
          </cell>
        </row>
        <row r="1507">
          <cell r="D1507" t="str">
            <v>A5.4845</v>
          </cell>
        </row>
        <row r="1508">
          <cell r="D1508" t="str">
            <v>A5.4845</v>
          </cell>
        </row>
        <row r="1509">
          <cell r="D1509" t="str">
            <v>A1.4846</v>
          </cell>
        </row>
        <row r="1510">
          <cell r="D1510" t="str">
            <v>A5.4846</v>
          </cell>
        </row>
        <row r="1511">
          <cell r="D1511" t="str">
            <v>A5.4847</v>
          </cell>
        </row>
        <row r="1512">
          <cell r="D1512" t="str">
            <v>A5.4847</v>
          </cell>
        </row>
        <row r="1513">
          <cell r="D1513" t="str">
            <v>A1.4881</v>
          </cell>
        </row>
        <row r="1514">
          <cell r="D1514" t="str">
            <v>A5.4881</v>
          </cell>
        </row>
        <row r="1515">
          <cell r="D1515" t="str">
            <v>A1.4882</v>
          </cell>
        </row>
        <row r="1516">
          <cell r="D1516" t="str">
            <v>A5.4883</v>
          </cell>
        </row>
        <row r="1517">
          <cell r="D1517" t="str">
            <v>A1.4884</v>
          </cell>
        </row>
        <row r="1518">
          <cell r="D1518" t="str">
            <v>A5.4884</v>
          </cell>
        </row>
        <row r="1519">
          <cell r="D1519" t="str">
            <v>A1.4885</v>
          </cell>
        </row>
        <row r="1520">
          <cell r="D1520" t="str">
            <v>A5.4885</v>
          </cell>
        </row>
        <row r="1521">
          <cell r="D1521" t="str">
            <v>A5.4886</v>
          </cell>
        </row>
        <row r="1522">
          <cell r="D1522" t="str">
            <v>A5.4887</v>
          </cell>
        </row>
        <row r="1523">
          <cell r="D1523" t="str">
            <v>A5.4888</v>
          </cell>
        </row>
        <row r="1524">
          <cell r="D1524" t="str">
            <v>A5.4888</v>
          </cell>
        </row>
        <row r="1525">
          <cell r="D1525" t="str">
            <v>A5.4889</v>
          </cell>
        </row>
        <row r="1526">
          <cell r="D1526" t="str">
            <v>A5.4890</v>
          </cell>
          <cell r="E1526" t="str">
            <v>A5.0496</v>
          </cell>
        </row>
        <row r="1527">
          <cell r="D1527" t="str">
            <v>A5.4891</v>
          </cell>
        </row>
        <row r="1528">
          <cell r="D1528" t="str">
            <v>A5.4892</v>
          </cell>
        </row>
        <row r="1529">
          <cell r="D1529" t="str">
            <v>A5.4893</v>
          </cell>
        </row>
        <row r="1530">
          <cell r="D1530" t="str">
            <v>A5.4894</v>
          </cell>
        </row>
        <row r="1531">
          <cell r="D1531" t="str">
            <v>A5.4895</v>
          </cell>
        </row>
        <row r="1532">
          <cell r="D1532" t="str">
            <v>A5.4895</v>
          </cell>
        </row>
        <row r="1533">
          <cell r="D1533" t="str">
            <v>A5.4895</v>
          </cell>
        </row>
        <row r="1534">
          <cell r="D1534" t="str">
            <v>A1.4896</v>
          </cell>
        </row>
        <row r="1535">
          <cell r="D1535" t="str">
            <v>A5.4896</v>
          </cell>
        </row>
        <row r="1536">
          <cell r="D1536" t="str">
            <v>A1.4897</v>
          </cell>
        </row>
        <row r="1537">
          <cell r="D1537" t="str">
            <v>A5.4897</v>
          </cell>
        </row>
        <row r="1538">
          <cell r="D1538" t="str">
            <v>A5.4897</v>
          </cell>
        </row>
        <row r="1539">
          <cell r="D1539" t="str">
            <v>A5.4897</v>
          </cell>
        </row>
        <row r="1540">
          <cell r="D1540" t="str">
            <v>A5.4898</v>
          </cell>
        </row>
        <row r="1541">
          <cell r="D1541" t="str">
            <v>A5.4899</v>
          </cell>
        </row>
        <row r="1542">
          <cell r="D1542" t="str">
            <v>A5.4900</v>
          </cell>
        </row>
        <row r="1543">
          <cell r="D1543" t="str">
            <v>A5.4901</v>
          </cell>
        </row>
        <row r="1544">
          <cell r="D1544" t="str">
            <v>A1.4902</v>
          </cell>
        </row>
        <row r="1545">
          <cell r="D1545" t="str">
            <v>A5.4902</v>
          </cell>
        </row>
        <row r="1546">
          <cell r="D1546" t="str">
            <v>A5.4902</v>
          </cell>
        </row>
        <row r="1547">
          <cell r="D1547" t="str">
            <v>A5.4902</v>
          </cell>
        </row>
        <row r="1548">
          <cell r="D1548" t="str">
            <v>A5.4903</v>
          </cell>
        </row>
        <row r="1549">
          <cell r="D1549" t="str">
            <v>A5.4904</v>
          </cell>
        </row>
        <row r="1550">
          <cell r="D1550" t="str">
            <v>A5.4904</v>
          </cell>
        </row>
        <row r="1551">
          <cell r="D1551" t="str">
            <v>A5.4905</v>
          </cell>
        </row>
        <row r="1552">
          <cell r="D1552" t="str">
            <v>A5.4906</v>
          </cell>
        </row>
        <row r="1553">
          <cell r="D1553" t="str">
            <v>A5.4907</v>
          </cell>
        </row>
        <row r="1554">
          <cell r="D1554" t="str">
            <v>A5.4908</v>
          </cell>
        </row>
        <row r="1555">
          <cell r="D1555" t="str">
            <v>A5.4909</v>
          </cell>
        </row>
        <row r="1556">
          <cell r="D1556" t="str">
            <v>A5.4910</v>
          </cell>
        </row>
        <row r="1557">
          <cell r="D1557" t="str">
            <v>A5.4911</v>
          </cell>
        </row>
        <row r="1558">
          <cell r="D1558" t="str">
            <v>A5.4911</v>
          </cell>
        </row>
        <row r="1559">
          <cell r="D1559" t="str">
            <v>A5.4912</v>
          </cell>
        </row>
        <row r="1560">
          <cell r="D1560" t="str">
            <v>A5.4913</v>
          </cell>
        </row>
        <row r="1561">
          <cell r="D1561" t="str">
            <v>A5.4914</v>
          </cell>
        </row>
        <row r="1562">
          <cell r="D1562" t="str">
            <v>A5.4915</v>
          </cell>
        </row>
        <row r="1563">
          <cell r="D1563" t="str">
            <v>A5.4916</v>
          </cell>
        </row>
        <row r="1564">
          <cell r="D1564" t="str">
            <v>A5.4917</v>
          </cell>
        </row>
        <row r="1565">
          <cell r="D1565" t="str">
            <v>A5.4918</v>
          </cell>
        </row>
        <row r="1566">
          <cell r="D1566" t="str">
            <v>A5.4919</v>
          </cell>
        </row>
        <row r="1567">
          <cell r="D1567" t="str">
            <v>A1.4920</v>
          </cell>
        </row>
        <row r="1568">
          <cell r="D1568" t="str">
            <v>A1.4921</v>
          </cell>
        </row>
        <row r="1569">
          <cell r="D1569" t="str">
            <v>A1.4922</v>
          </cell>
        </row>
        <row r="1570">
          <cell r="D1570" t="str">
            <v>A1.4923</v>
          </cell>
        </row>
        <row r="1571">
          <cell r="D1571" t="str">
            <v>A5.4924</v>
          </cell>
        </row>
        <row r="1572">
          <cell r="D1572" t="str">
            <v>A5.4925</v>
          </cell>
        </row>
        <row r="1573">
          <cell r="D1573" t="str">
            <v>A5.4925</v>
          </cell>
        </row>
        <row r="1574">
          <cell r="D1574" t="str">
            <v>A5.4926</v>
          </cell>
        </row>
        <row r="1575">
          <cell r="D1575" t="str">
            <v>A1.4927</v>
          </cell>
        </row>
        <row r="1576">
          <cell r="D1576" t="str">
            <v>A5.4927</v>
          </cell>
        </row>
        <row r="1577">
          <cell r="D1577" t="str">
            <v>A1.4928</v>
          </cell>
        </row>
        <row r="1578">
          <cell r="D1578" t="str">
            <v>A5.4928</v>
          </cell>
        </row>
        <row r="1579">
          <cell r="D1579" t="str">
            <v>A5.4929</v>
          </cell>
        </row>
        <row r="1580">
          <cell r="D1580" t="str">
            <v>A5.4929</v>
          </cell>
        </row>
        <row r="1581">
          <cell r="D1581" t="str">
            <v>A5.4930</v>
          </cell>
        </row>
        <row r="1582">
          <cell r="D1582" t="str">
            <v>A5.4931</v>
          </cell>
        </row>
        <row r="1583">
          <cell r="D1583" t="str">
            <v>A5.4931</v>
          </cell>
        </row>
        <row r="1584">
          <cell r="D1584" t="str">
            <v>A5.4931</v>
          </cell>
        </row>
        <row r="1585">
          <cell r="D1585" t="str">
            <v>A5.4932</v>
          </cell>
        </row>
        <row r="1586">
          <cell r="D1586" t="str">
            <v>A1.4933</v>
          </cell>
        </row>
        <row r="1587">
          <cell r="D1587" t="str">
            <v>A5.4933</v>
          </cell>
        </row>
        <row r="1588">
          <cell r="D1588" t="str">
            <v>A5.4934</v>
          </cell>
        </row>
        <row r="1589">
          <cell r="D1589" t="str">
            <v>A5.4935</v>
          </cell>
        </row>
        <row r="1590">
          <cell r="D1590" t="str">
            <v>A5.4936</v>
          </cell>
        </row>
        <row r="1591">
          <cell r="D1591" t="str">
            <v>A5.4937</v>
          </cell>
        </row>
        <row r="1592">
          <cell r="D1592" t="str">
            <v>A5.4938</v>
          </cell>
        </row>
        <row r="1593">
          <cell r="D1593" t="str">
            <v>A1.4939</v>
          </cell>
        </row>
        <row r="1594">
          <cell r="D1594" t="str">
            <v>A1.4939</v>
          </cell>
        </row>
        <row r="1595">
          <cell r="D1595" t="str">
            <v>A5.4939</v>
          </cell>
        </row>
        <row r="1596">
          <cell r="D1596" t="str">
            <v>A1.4940</v>
          </cell>
        </row>
        <row r="1597">
          <cell r="D1597" t="str">
            <v>A1.4941</v>
          </cell>
          <cell r="E1597" t="str">
            <v>A1.1298</v>
          </cell>
        </row>
        <row r="1598">
          <cell r="D1598" t="str">
            <v>A1.4941</v>
          </cell>
        </row>
        <row r="1599">
          <cell r="D1599" t="str">
            <v>A1.4941</v>
          </cell>
        </row>
        <row r="1600">
          <cell r="D1600" t="str">
            <v>A1.4941</v>
          </cell>
        </row>
        <row r="1601">
          <cell r="D1601" t="str">
            <v>A1.4941</v>
          </cell>
        </row>
        <row r="1602">
          <cell r="D1602" t="str">
            <v>A1.4942</v>
          </cell>
          <cell r="E1602" t="str">
            <v>A1.1547</v>
          </cell>
        </row>
        <row r="1603">
          <cell r="D1603" t="str">
            <v>A1.4942</v>
          </cell>
        </row>
        <row r="1604">
          <cell r="D1604" t="str">
            <v>A1.4942</v>
          </cell>
        </row>
        <row r="1605">
          <cell r="D1605" t="str">
            <v>A1.4943</v>
          </cell>
          <cell r="E1605" t="str">
            <v>A1.0855</v>
          </cell>
        </row>
        <row r="1606">
          <cell r="D1606" t="str">
            <v>A1.4944</v>
          </cell>
        </row>
        <row r="1607">
          <cell r="D1607" t="str">
            <v>A1.4944</v>
          </cell>
        </row>
        <row r="1608">
          <cell r="D1608" t="str">
            <v>A1.4944</v>
          </cell>
        </row>
        <row r="1609">
          <cell r="D1609" t="str">
            <v>A1.4944</v>
          </cell>
        </row>
        <row r="1610">
          <cell r="D1610" t="str">
            <v>A1.4944</v>
          </cell>
          <cell r="E1610" t="str">
            <v>A1.1296</v>
          </cell>
        </row>
        <row r="1611">
          <cell r="D1611" t="str">
            <v>A1.4944</v>
          </cell>
          <cell r="E1611" t="str">
            <v>A1.1296</v>
          </cell>
        </row>
        <row r="1612">
          <cell r="D1612" t="str">
            <v>A1.4944</v>
          </cell>
        </row>
        <row r="1613">
          <cell r="D1613" t="str">
            <v>A1.4944</v>
          </cell>
        </row>
        <row r="1614">
          <cell r="D1614" t="str">
            <v>A1.4944</v>
          </cell>
        </row>
        <row r="1615">
          <cell r="D1615" t="str">
            <v>A1.4944</v>
          </cell>
        </row>
        <row r="1616">
          <cell r="D1616" t="str">
            <v>A1.4944</v>
          </cell>
        </row>
        <row r="1617">
          <cell r="D1617" t="str">
            <v>A1.4944</v>
          </cell>
        </row>
        <row r="1618">
          <cell r="D1618" t="str">
            <v>A1.4944</v>
          </cell>
        </row>
        <row r="1619">
          <cell r="D1619" t="str">
            <v>A1.4944</v>
          </cell>
        </row>
        <row r="1620">
          <cell r="D1620" t="str">
            <v>A1.4945</v>
          </cell>
        </row>
        <row r="1621">
          <cell r="D1621" t="str">
            <v>A1.4945</v>
          </cell>
          <cell r="E1621" t="str">
            <v>A1.0858</v>
          </cell>
        </row>
        <row r="1622">
          <cell r="D1622" t="str">
            <v>A1.4945</v>
          </cell>
          <cell r="E1622" t="str">
            <v>A1.0858</v>
          </cell>
        </row>
        <row r="1623">
          <cell r="D1623" t="str">
            <v>A1.4946</v>
          </cell>
        </row>
        <row r="1624">
          <cell r="D1624" t="str">
            <v>A1.4946</v>
          </cell>
        </row>
        <row r="1625">
          <cell r="D1625" t="str">
            <v>A1.4947</v>
          </cell>
        </row>
        <row r="1626">
          <cell r="D1626" t="str">
            <v>A1.4948</v>
          </cell>
        </row>
        <row r="1627">
          <cell r="D1627" t="str">
            <v>A1.4948</v>
          </cell>
        </row>
        <row r="1628">
          <cell r="D1628" t="str">
            <v>A1.4948</v>
          </cell>
        </row>
        <row r="1629">
          <cell r="D1629" t="str">
            <v>A1.4948</v>
          </cell>
        </row>
        <row r="1630">
          <cell r="D1630" t="str">
            <v>A1.4948</v>
          </cell>
        </row>
        <row r="1631">
          <cell r="D1631" t="str">
            <v>A1.4949</v>
          </cell>
        </row>
        <row r="1632">
          <cell r="D1632" t="str">
            <v>A1.4949</v>
          </cell>
        </row>
        <row r="1633">
          <cell r="D1633" t="str">
            <v>A1.4949</v>
          </cell>
          <cell r="E1633" t="str">
            <v>A1.1249</v>
          </cell>
        </row>
        <row r="1634">
          <cell r="D1634" t="str">
            <v>A1.4950</v>
          </cell>
        </row>
        <row r="1635">
          <cell r="D1635" t="str">
            <v>A1.4951</v>
          </cell>
        </row>
        <row r="1636">
          <cell r="D1636" t="str">
            <v>A1.4951</v>
          </cell>
        </row>
        <row r="1637">
          <cell r="D1637" t="str">
            <v>A1.4951</v>
          </cell>
        </row>
        <row r="1638">
          <cell r="D1638" t="str">
            <v>A1.4952</v>
          </cell>
        </row>
        <row r="1639">
          <cell r="D1639" t="str">
            <v>A1.4952</v>
          </cell>
        </row>
        <row r="1640">
          <cell r="D1640" t="str">
            <v>A1.4952</v>
          </cell>
        </row>
        <row r="1641">
          <cell r="D1641" t="str">
            <v>A1.4952</v>
          </cell>
        </row>
        <row r="1642">
          <cell r="D1642" t="str">
            <v>A1.4952</v>
          </cell>
        </row>
        <row r="1643">
          <cell r="D1643" t="str">
            <v>A1.4952</v>
          </cell>
        </row>
        <row r="1644">
          <cell r="D1644" t="str">
            <v>A1.4952</v>
          </cell>
        </row>
        <row r="1645">
          <cell r="D1645" t="str">
            <v>A1.4952</v>
          </cell>
        </row>
        <row r="1646">
          <cell r="D1646" t="str">
            <v>A1.4952</v>
          </cell>
        </row>
        <row r="1647">
          <cell r="D1647" t="str">
            <v>A1.4952</v>
          </cell>
        </row>
        <row r="1648">
          <cell r="D1648" t="str">
            <v>A1.4953</v>
          </cell>
        </row>
        <row r="1649">
          <cell r="D1649" t="str">
            <v>A1.4953</v>
          </cell>
        </row>
        <row r="1650">
          <cell r="D1650" t="str">
            <v>A1.4953</v>
          </cell>
        </row>
        <row r="1651">
          <cell r="D1651" t="str">
            <v>A1.4953</v>
          </cell>
          <cell r="E1651" t="str">
            <v>A1.1600</v>
          </cell>
        </row>
        <row r="1652">
          <cell r="D1652" t="str">
            <v>A1.4954</v>
          </cell>
          <cell r="E1652" t="str">
            <v>A1.1429</v>
          </cell>
        </row>
        <row r="1653">
          <cell r="D1653" t="str">
            <v>A1.4954</v>
          </cell>
        </row>
        <row r="1654">
          <cell r="D1654" t="str">
            <v>A1.4955</v>
          </cell>
          <cell r="E1654" t="str">
            <v>A1.0385</v>
          </cell>
        </row>
        <row r="1655">
          <cell r="D1655" t="str">
            <v>A1.4955</v>
          </cell>
        </row>
        <row r="1656">
          <cell r="D1656" t="str">
            <v>A1.4956</v>
          </cell>
        </row>
        <row r="1657">
          <cell r="D1657" t="str">
            <v>A1.4956</v>
          </cell>
        </row>
        <row r="1658">
          <cell r="D1658" t="str">
            <v>A1.4957</v>
          </cell>
        </row>
        <row r="1659">
          <cell r="D1659" t="str">
            <v>A1.4957</v>
          </cell>
        </row>
        <row r="1660">
          <cell r="D1660" t="str">
            <v>A1.4958</v>
          </cell>
        </row>
        <row r="1661">
          <cell r="D1661" t="str">
            <v>A1.4958</v>
          </cell>
          <cell r="E1661" t="str">
            <v>A1.1070</v>
          </cell>
        </row>
        <row r="1662">
          <cell r="D1662" t="str">
            <v>A1.4958</v>
          </cell>
        </row>
        <row r="1663">
          <cell r="D1663" t="str">
            <v>A1.4958</v>
          </cell>
        </row>
        <row r="1664">
          <cell r="D1664" t="str">
            <v>A1.4958</v>
          </cell>
        </row>
        <row r="1665">
          <cell r="D1665" t="str">
            <v>A1.4959</v>
          </cell>
        </row>
        <row r="1666">
          <cell r="D1666" t="str">
            <v>A1.4960</v>
          </cell>
          <cell r="E1666" t="str">
            <v>A1.1158</v>
          </cell>
        </row>
        <row r="1667">
          <cell r="D1667" t="str">
            <v>A1.4960</v>
          </cell>
        </row>
        <row r="1668">
          <cell r="D1668" t="str">
            <v>A1.4961</v>
          </cell>
        </row>
        <row r="1669">
          <cell r="D1669" t="str">
            <v>A1.4961</v>
          </cell>
        </row>
        <row r="1670">
          <cell r="D1670" t="str">
            <v>A1.4961</v>
          </cell>
        </row>
        <row r="1671">
          <cell r="D1671" t="str">
            <v>A1.4961</v>
          </cell>
        </row>
        <row r="1672">
          <cell r="D1672" t="str">
            <v>A1.4961</v>
          </cell>
        </row>
        <row r="1673">
          <cell r="D1673" t="str">
            <v>A1.4961</v>
          </cell>
          <cell r="E1673" t="str">
            <v>A1.0975</v>
          </cell>
        </row>
        <row r="1674">
          <cell r="D1674" t="str">
            <v>A1.4961</v>
          </cell>
          <cell r="E1674" t="str">
            <v>A1.0975</v>
          </cell>
        </row>
        <row r="1675">
          <cell r="D1675" t="str">
            <v>A1.4961</v>
          </cell>
        </row>
        <row r="1676">
          <cell r="D1676" t="str">
            <v>A1.4961</v>
          </cell>
        </row>
        <row r="1677">
          <cell r="D1677" t="str">
            <v>A1.4961</v>
          </cell>
        </row>
        <row r="1678">
          <cell r="D1678" t="str">
            <v>A1.4961</v>
          </cell>
        </row>
        <row r="1679">
          <cell r="D1679" t="str">
            <v>A1.4961</v>
          </cell>
        </row>
        <row r="1680">
          <cell r="D1680" t="str">
            <v>A1.4961</v>
          </cell>
        </row>
        <row r="1681">
          <cell r="D1681" t="str">
            <v>A1.4961</v>
          </cell>
        </row>
        <row r="1682">
          <cell r="D1682" t="str">
            <v>A1.4962</v>
          </cell>
        </row>
        <row r="1683">
          <cell r="D1683" t="str">
            <v>A1.4962</v>
          </cell>
        </row>
        <row r="1684">
          <cell r="D1684" t="str">
            <v>A1.4963</v>
          </cell>
        </row>
        <row r="1685">
          <cell r="D1685" t="str">
            <v>A1.4963</v>
          </cell>
          <cell r="E1685" t="str">
            <v>A1.1273</v>
          </cell>
        </row>
        <row r="1686">
          <cell r="D1686" t="str">
            <v>A1.4963</v>
          </cell>
        </row>
        <row r="1687">
          <cell r="D1687" t="str">
            <v>A1.4964</v>
          </cell>
          <cell r="E1687" t="str">
            <v>A1.1606</v>
          </cell>
        </row>
        <row r="1688">
          <cell r="D1688" t="str">
            <v>A1.4965</v>
          </cell>
        </row>
        <row r="1689">
          <cell r="D1689" t="str">
            <v>A1.4966</v>
          </cell>
          <cell r="E1689" t="str">
            <v>A1.1246</v>
          </cell>
        </row>
        <row r="1690">
          <cell r="D1690" t="str">
            <v>A1.4966</v>
          </cell>
        </row>
        <row r="1691">
          <cell r="D1691" t="str">
            <v>A1.4966</v>
          </cell>
        </row>
        <row r="1692">
          <cell r="D1692" t="str">
            <v>A1.4967</v>
          </cell>
        </row>
        <row r="1693">
          <cell r="D1693" t="str">
            <v>A1.4967</v>
          </cell>
        </row>
        <row r="1694">
          <cell r="D1694" t="str">
            <v>A1.4967</v>
          </cell>
        </row>
        <row r="1695">
          <cell r="D1695" t="str">
            <v>A1.4967</v>
          </cell>
        </row>
        <row r="1696">
          <cell r="D1696" t="str">
            <v>A1.4968</v>
          </cell>
        </row>
        <row r="1697">
          <cell r="D1697" t="str">
            <v>A1.4968</v>
          </cell>
          <cell r="E1697" t="str">
            <v>A1.0651</v>
          </cell>
        </row>
        <row r="1698">
          <cell r="D1698" t="str">
            <v>A1.4969</v>
          </cell>
        </row>
        <row r="1699">
          <cell r="D1699" t="str">
            <v>A1.4970</v>
          </cell>
        </row>
        <row r="1700">
          <cell r="D1700" t="str">
            <v>A1.4970</v>
          </cell>
          <cell r="E1700" t="str">
            <v>A1.0654</v>
          </cell>
        </row>
        <row r="1701">
          <cell r="D1701" t="str">
            <v>A1.4971</v>
          </cell>
        </row>
        <row r="1702">
          <cell r="D1702" t="str">
            <v>A1.4972</v>
          </cell>
          <cell r="E1702" t="str">
            <v>A1.1265</v>
          </cell>
        </row>
        <row r="1703">
          <cell r="D1703" t="str">
            <v>A1.4972</v>
          </cell>
        </row>
        <row r="1704">
          <cell r="D1704" t="str">
            <v>A1.4973</v>
          </cell>
          <cell r="E1704" t="str">
            <v>A1.1326</v>
          </cell>
        </row>
        <row r="1705">
          <cell r="D1705" t="str">
            <v>A1.4974</v>
          </cell>
        </row>
        <row r="1706">
          <cell r="D1706" t="str">
            <v>A1.4974</v>
          </cell>
        </row>
        <row r="1707">
          <cell r="D1707" t="str">
            <v>A1.4974</v>
          </cell>
        </row>
        <row r="1708">
          <cell r="D1708" t="str">
            <v>A1.4974</v>
          </cell>
        </row>
        <row r="1709">
          <cell r="D1709" t="str">
            <v>A1.4974</v>
          </cell>
          <cell r="E1709" t="str">
            <v>A1.1640</v>
          </cell>
        </row>
        <row r="1710">
          <cell r="D1710" t="str">
            <v>A1.4974</v>
          </cell>
          <cell r="E1710" t="str">
            <v>A1.1640</v>
          </cell>
        </row>
        <row r="1711">
          <cell r="D1711" t="str">
            <v>A1.4974</v>
          </cell>
        </row>
        <row r="1712">
          <cell r="D1712" t="str">
            <v>A1.4975</v>
          </cell>
        </row>
        <row r="1713">
          <cell r="D1713" t="str">
            <v>A1.4975</v>
          </cell>
        </row>
        <row r="1714">
          <cell r="D1714" t="str">
            <v>A1.4975</v>
          </cell>
        </row>
        <row r="1715">
          <cell r="D1715" t="str">
            <v>A1.4975</v>
          </cell>
        </row>
        <row r="1716">
          <cell r="D1716" t="str">
            <v>A1.4976</v>
          </cell>
        </row>
        <row r="1717">
          <cell r="D1717" t="str">
            <v>A1.4977</v>
          </cell>
        </row>
        <row r="1718">
          <cell r="D1718" t="str">
            <v>A1.4977</v>
          </cell>
          <cell r="E1718" t="str">
            <v>A1.1397</v>
          </cell>
        </row>
        <row r="1719">
          <cell r="D1719" t="str">
            <v>A1.4977</v>
          </cell>
          <cell r="E1719" t="str">
            <v>A1.1397</v>
          </cell>
        </row>
        <row r="1720">
          <cell r="D1720" t="str">
            <v>A1.4977</v>
          </cell>
        </row>
        <row r="1721">
          <cell r="D1721" t="str">
            <v>A1.4978</v>
          </cell>
        </row>
        <row r="1722">
          <cell r="D1722" t="str">
            <v>A1.4978</v>
          </cell>
          <cell r="E1722" t="str">
            <v>A1.1300</v>
          </cell>
        </row>
        <row r="1723">
          <cell r="D1723" t="str">
            <v>A1.4978</v>
          </cell>
          <cell r="E1723" t="str">
            <v>A1.1300</v>
          </cell>
        </row>
        <row r="1724">
          <cell r="D1724" t="str">
            <v>A1.4978</v>
          </cell>
        </row>
        <row r="1725">
          <cell r="D1725" t="str">
            <v>A1.4978</v>
          </cell>
        </row>
        <row r="1726">
          <cell r="D1726" t="str">
            <v>A1.4979</v>
          </cell>
        </row>
        <row r="1727">
          <cell r="D1727" t="str">
            <v>A1.4979</v>
          </cell>
        </row>
        <row r="1728">
          <cell r="D1728" t="str">
            <v>A1.4979</v>
          </cell>
        </row>
        <row r="1729">
          <cell r="D1729" t="str">
            <v>A1.4979</v>
          </cell>
        </row>
        <row r="1730">
          <cell r="D1730" t="str">
            <v>A1.4979</v>
          </cell>
        </row>
        <row r="1731">
          <cell r="D1731" t="str">
            <v>A1.4979</v>
          </cell>
        </row>
        <row r="1732">
          <cell r="D1732" t="str">
            <v>A1.4979</v>
          </cell>
        </row>
        <row r="1733">
          <cell r="D1733" t="str">
            <v>A1.4979</v>
          </cell>
        </row>
        <row r="1734">
          <cell r="D1734" t="str">
            <v>A1.4979</v>
          </cell>
          <cell r="E1734" t="str">
            <v>A1.1036</v>
          </cell>
        </row>
        <row r="1735">
          <cell r="D1735" t="str">
            <v>A1.4979</v>
          </cell>
          <cell r="E1735" t="str">
            <v>A1.1036</v>
          </cell>
        </row>
        <row r="1736">
          <cell r="D1736" t="str">
            <v>A1.4979</v>
          </cell>
        </row>
        <row r="1737">
          <cell r="D1737" t="str">
            <v>A1.4979</v>
          </cell>
        </row>
        <row r="1738">
          <cell r="D1738" t="str">
            <v>A1.4979</v>
          </cell>
        </row>
        <row r="1739">
          <cell r="D1739" t="str">
            <v>A1.4980</v>
          </cell>
        </row>
        <row r="1740">
          <cell r="D1740" t="str">
            <v>A1.4980</v>
          </cell>
          <cell r="E1740" t="str">
            <v>A1.0604</v>
          </cell>
        </row>
        <row r="1741">
          <cell r="D1741" t="str">
            <v>A1.4980</v>
          </cell>
        </row>
        <row r="1742">
          <cell r="D1742" t="str">
            <v>A1.4980</v>
          </cell>
        </row>
        <row r="1743">
          <cell r="D1743" t="str">
            <v>A1.4980</v>
          </cell>
        </row>
        <row r="1744">
          <cell r="D1744" t="str">
            <v>A1.4981</v>
          </cell>
        </row>
        <row r="1745">
          <cell r="D1745" t="str">
            <v>A5.4981</v>
          </cell>
        </row>
        <row r="1746">
          <cell r="D1746" t="str">
            <v>A1.4982</v>
          </cell>
          <cell r="E1746" t="str">
            <v>A1.2004</v>
          </cell>
        </row>
        <row r="1747">
          <cell r="D1747" t="str">
            <v>A1.4983</v>
          </cell>
        </row>
        <row r="1748">
          <cell r="D1748" t="str">
            <v>A5.4984</v>
          </cell>
        </row>
        <row r="1749">
          <cell r="D1749" t="str">
            <v>A5.4985</v>
          </cell>
        </row>
        <row r="1750">
          <cell r="D1750" t="str">
            <v>A5.4986</v>
          </cell>
        </row>
        <row r="1751">
          <cell r="D1751" t="str">
            <v>A5.4987</v>
          </cell>
        </row>
        <row r="1752">
          <cell r="D1752" t="str">
            <v>A5.4987</v>
          </cell>
        </row>
        <row r="1753">
          <cell r="D1753" t="str">
            <v>A5.4988</v>
          </cell>
        </row>
        <row r="1754">
          <cell r="D1754" t="str">
            <v>A5.4989</v>
          </cell>
        </row>
        <row r="1755">
          <cell r="D1755" t="str">
            <v>A5.4990</v>
          </cell>
        </row>
        <row r="1756">
          <cell r="D1756" t="str">
            <v>A1.4991</v>
          </cell>
        </row>
        <row r="1757">
          <cell r="D1757" t="str">
            <v>A5.4991</v>
          </cell>
        </row>
        <row r="1758">
          <cell r="D1758" t="str">
            <v>A5.4991</v>
          </cell>
        </row>
        <row r="1759">
          <cell r="D1759" t="str">
            <v>A5.4992</v>
          </cell>
        </row>
        <row r="1760">
          <cell r="D1760" t="str">
            <v>A5.4993</v>
          </cell>
        </row>
        <row r="1761">
          <cell r="D1761" t="str">
            <v>A5.4994</v>
          </cell>
        </row>
        <row r="1762">
          <cell r="D1762" t="str">
            <v>A5.4995</v>
          </cell>
        </row>
        <row r="1763">
          <cell r="D1763" t="str">
            <v>A5.4995</v>
          </cell>
        </row>
        <row r="1764">
          <cell r="D1764" t="str">
            <v>A5.4995</v>
          </cell>
        </row>
        <row r="1765">
          <cell r="D1765" t="str">
            <v>A1.4996</v>
          </cell>
        </row>
        <row r="1766">
          <cell r="D1766" t="str">
            <v>A1.4997</v>
          </cell>
        </row>
        <row r="1767">
          <cell r="D1767" t="str">
            <v>A1.4998</v>
          </cell>
        </row>
        <row r="1768">
          <cell r="D1768" t="str">
            <v>A1.4999</v>
          </cell>
        </row>
        <row r="1769">
          <cell r="D1769" t="str">
            <v>A1.5000</v>
          </cell>
        </row>
        <row r="1770">
          <cell r="D1770" t="str">
            <v>A1.5001</v>
          </cell>
        </row>
        <row r="1771">
          <cell r="D1771" t="str">
            <v>A1.5002</v>
          </cell>
        </row>
        <row r="1772">
          <cell r="D1772" t="str">
            <v>A1.5003</v>
          </cell>
        </row>
        <row r="1773">
          <cell r="D1773" t="str">
            <v>A1.5004</v>
          </cell>
        </row>
        <row r="1774">
          <cell r="D1774" t="str">
            <v>A1.5005</v>
          </cell>
        </row>
        <row r="1775">
          <cell r="D1775" t="str">
            <v>A1.5006</v>
          </cell>
        </row>
        <row r="1776">
          <cell r="D1776" t="str">
            <v>A5.5007</v>
          </cell>
        </row>
        <row r="1777">
          <cell r="D1777" t="str">
            <v>A5.5008</v>
          </cell>
        </row>
        <row r="1778">
          <cell r="D1778" t="str">
            <v>A5.5009</v>
          </cell>
        </row>
        <row r="1779">
          <cell r="D1779" t="str">
            <v>A1.5010</v>
          </cell>
        </row>
        <row r="1780">
          <cell r="D1780" t="str">
            <v>A1.5010</v>
          </cell>
        </row>
        <row r="1781">
          <cell r="D1781" t="str">
            <v>A1.5011</v>
          </cell>
          <cell r="E1781" t="str">
            <v>A1.1448</v>
          </cell>
        </row>
        <row r="1782">
          <cell r="D1782" t="str">
            <v>A5.5012</v>
          </cell>
        </row>
        <row r="1783">
          <cell r="D1783" t="str">
            <v>A5.5013</v>
          </cell>
        </row>
        <row r="1784">
          <cell r="D1784" t="str">
            <v>A1.5014</v>
          </cell>
        </row>
        <row r="1785">
          <cell r="D1785" t="str">
            <v>A1.5015</v>
          </cell>
          <cell r="E1785" t="str">
            <v>A1.1550</v>
          </cell>
        </row>
        <row r="1786">
          <cell r="D1786" t="str">
            <v>A1.5016</v>
          </cell>
        </row>
        <row r="1787">
          <cell r="D1787" t="str">
            <v>A1.5017</v>
          </cell>
        </row>
        <row r="1788">
          <cell r="D1788" t="str">
            <v>A1.5018</v>
          </cell>
          <cell r="E1788" t="str">
            <v>A1.1453</v>
          </cell>
        </row>
        <row r="1789">
          <cell r="D1789" t="str">
            <v>A1.5019</v>
          </cell>
        </row>
        <row r="1790">
          <cell r="D1790" t="str">
            <v>A1.5020</v>
          </cell>
        </row>
        <row r="1791">
          <cell r="D1791" t="str">
            <v>A1.5020</v>
          </cell>
          <cell r="E1791" t="str">
            <v>A1.1207</v>
          </cell>
        </row>
        <row r="1792">
          <cell r="D1792" t="str">
            <v>A1.5020</v>
          </cell>
          <cell r="E1792" t="str">
            <v>A1.1207</v>
          </cell>
        </row>
        <row r="1793">
          <cell r="D1793" t="str">
            <v>A1.5020</v>
          </cell>
          <cell r="E1793" t="str">
            <v>A1.1207</v>
          </cell>
        </row>
        <row r="1794">
          <cell r="D1794" t="str">
            <v>A1.5020</v>
          </cell>
        </row>
        <row r="1795">
          <cell r="D1795" t="str">
            <v>A1.5020</v>
          </cell>
        </row>
        <row r="1796">
          <cell r="D1796" t="str">
            <v>A1.5020</v>
          </cell>
        </row>
        <row r="1797">
          <cell r="D1797" t="str">
            <v>A1.5021</v>
          </cell>
        </row>
        <row r="1798">
          <cell r="D1798" t="str">
            <v>A1.5022</v>
          </cell>
        </row>
        <row r="1799">
          <cell r="D1799" t="str">
            <v>A1.5022</v>
          </cell>
        </row>
        <row r="1800">
          <cell r="D1800" t="str">
            <v>A1.5023</v>
          </cell>
        </row>
        <row r="1801">
          <cell r="D1801" t="str">
            <v>A1.5023</v>
          </cell>
        </row>
        <row r="1802">
          <cell r="D1802" t="str">
            <v>A1.5024</v>
          </cell>
        </row>
        <row r="1803">
          <cell r="D1803" t="str">
            <v>A1.5025</v>
          </cell>
          <cell r="E1803" t="str">
            <v>A1.1280</v>
          </cell>
        </row>
        <row r="1804">
          <cell r="D1804" t="str">
            <v>A1.5025</v>
          </cell>
          <cell r="E1804" t="str">
            <v>A1.1280</v>
          </cell>
        </row>
        <row r="1805">
          <cell r="D1805" t="str">
            <v>A1.5026</v>
          </cell>
        </row>
        <row r="1806">
          <cell r="D1806" t="str">
            <v>A5.5027</v>
          </cell>
        </row>
        <row r="1807">
          <cell r="D1807" t="str">
            <v>A1.5028</v>
          </cell>
        </row>
        <row r="1808">
          <cell r="D1808" t="str">
            <v>A5.5029</v>
          </cell>
        </row>
        <row r="1809">
          <cell r="D1809" t="str">
            <v>A5.5030</v>
          </cell>
        </row>
        <row r="1810">
          <cell r="D1810" t="str">
            <v>A1.5031</v>
          </cell>
        </row>
        <row r="1811">
          <cell r="D1811" t="str">
            <v>A5.5031</v>
          </cell>
        </row>
        <row r="1812">
          <cell r="D1812" t="str">
            <v>A1.5032</v>
          </cell>
        </row>
        <row r="1813">
          <cell r="D1813" t="str">
            <v>A5.5033</v>
          </cell>
        </row>
        <row r="1814">
          <cell r="D1814" t="str">
            <v>A5.5034</v>
          </cell>
        </row>
        <row r="1815">
          <cell r="D1815" t="str">
            <v>A1.5035</v>
          </cell>
        </row>
        <row r="1816">
          <cell r="D1816" t="str">
            <v>A1.5035</v>
          </cell>
        </row>
        <row r="1817">
          <cell r="D1817" t="str">
            <v>A1.5036</v>
          </cell>
        </row>
        <row r="1818">
          <cell r="D1818" t="str">
            <v>A5.5036</v>
          </cell>
        </row>
        <row r="1819">
          <cell r="D1819" t="str">
            <v>A1.5037</v>
          </cell>
          <cell r="E1819" t="str">
            <v>A1.1901</v>
          </cell>
        </row>
        <row r="1820">
          <cell r="D1820" t="str">
            <v>A1.5038</v>
          </cell>
          <cell r="E1820" t="str">
            <v>A1.1935</v>
          </cell>
        </row>
        <row r="1821">
          <cell r="D1821" t="str">
            <v>A1.5039</v>
          </cell>
        </row>
        <row r="1822">
          <cell r="D1822" t="str">
            <v>A1.5040</v>
          </cell>
        </row>
        <row r="1823">
          <cell r="D1823" t="str">
            <v>A1.5041</v>
          </cell>
        </row>
        <row r="1824">
          <cell r="D1824" t="str">
            <v>A5.5042</v>
          </cell>
          <cell r="E1824" t="str">
            <v>A5.0117</v>
          </cell>
        </row>
        <row r="1825">
          <cell r="D1825" t="str">
            <v>A5.5042</v>
          </cell>
        </row>
        <row r="1826">
          <cell r="D1826" t="str">
            <v>A5.5043</v>
          </cell>
        </row>
        <row r="1827">
          <cell r="D1827" t="str">
            <v>A1.5044</v>
          </cell>
        </row>
        <row r="1828">
          <cell r="D1828" t="str">
            <v>A1.5045</v>
          </cell>
        </row>
        <row r="1829">
          <cell r="D1829" t="str">
            <v>A5.5046</v>
          </cell>
        </row>
        <row r="1830">
          <cell r="D1830" t="str">
            <v>A1.5047</v>
          </cell>
        </row>
        <row r="1831">
          <cell r="D1831" t="str">
            <v>A5.5047</v>
          </cell>
        </row>
        <row r="1832">
          <cell r="D1832" t="str">
            <v>A1.5048</v>
          </cell>
        </row>
        <row r="1833">
          <cell r="D1833" t="str">
            <v>A1.5049</v>
          </cell>
        </row>
        <row r="1834">
          <cell r="D1834" t="str">
            <v>A1.5050</v>
          </cell>
        </row>
        <row r="1835">
          <cell r="D1835" t="str">
            <v>A1.5050</v>
          </cell>
        </row>
        <row r="1836">
          <cell r="D1836" t="str">
            <v>A1.5051</v>
          </cell>
        </row>
        <row r="1837">
          <cell r="D1837" t="str">
            <v>A1.5052</v>
          </cell>
        </row>
        <row r="1838">
          <cell r="D1838" t="str">
            <v>A5.5053</v>
          </cell>
        </row>
        <row r="1839">
          <cell r="D1839" t="str">
            <v>A5.5054</v>
          </cell>
        </row>
        <row r="1840">
          <cell r="D1840" t="str">
            <v>A1.5055</v>
          </cell>
        </row>
        <row r="1841">
          <cell r="D1841" t="str">
            <v>A1.5056</v>
          </cell>
        </row>
        <row r="1842">
          <cell r="D1842" t="str">
            <v>A1.5057</v>
          </cell>
        </row>
        <row r="1843">
          <cell r="D1843" t="str">
            <v>A1.5057</v>
          </cell>
        </row>
        <row r="1844">
          <cell r="D1844" t="str">
            <v>A1.5057</v>
          </cell>
        </row>
        <row r="1845">
          <cell r="D1845" t="str">
            <v>A1.5057</v>
          </cell>
        </row>
        <row r="1846">
          <cell r="D1846" t="str">
            <v>A1.5057</v>
          </cell>
          <cell r="E1846" t="str">
            <v>A1.0564</v>
          </cell>
        </row>
        <row r="1847">
          <cell r="D1847" t="str">
            <v>A1.5057</v>
          </cell>
          <cell r="E1847" t="str">
            <v>A1.0564</v>
          </cell>
        </row>
        <row r="1848">
          <cell r="D1848" t="str">
            <v>A1.5057</v>
          </cell>
        </row>
        <row r="1849">
          <cell r="D1849" t="str">
            <v>A1.5057</v>
          </cell>
        </row>
        <row r="1850">
          <cell r="D1850" t="str">
            <v>A1.5057</v>
          </cell>
        </row>
        <row r="1851">
          <cell r="D1851" t="str">
            <v>A1.5057</v>
          </cell>
        </row>
        <row r="1852">
          <cell r="D1852" t="str">
            <v>A1.5057</v>
          </cell>
        </row>
        <row r="1853">
          <cell r="D1853" t="str">
            <v>A1.5057</v>
          </cell>
        </row>
        <row r="1854">
          <cell r="D1854" t="str">
            <v>A1.5057</v>
          </cell>
        </row>
        <row r="1855">
          <cell r="D1855" t="str">
            <v>A1.5058</v>
          </cell>
        </row>
        <row r="1856">
          <cell r="D1856" t="str">
            <v>A1.5059</v>
          </cell>
        </row>
        <row r="1857">
          <cell r="D1857" t="str">
            <v>A1.5059</v>
          </cell>
          <cell r="E1857" t="str">
            <v>A1.1408</v>
          </cell>
        </row>
        <row r="1858">
          <cell r="D1858" t="str">
            <v>A1.5060</v>
          </cell>
        </row>
        <row r="1859">
          <cell r="D1859" t="str">
            <v>A1.5061</v>
          </cell>
        </row>
        <row r="1860">
          <cell r="D1860" t="str">
            <v>A1.5061</v>
          </cell>
        </row>
        <row r="1861">
          <cell r="D1861" t="str">
            <v>A1.5061</v>
          </cell>
        </row>
        <row r="1862">
          <cell r="D1862" t="str">
            <v>A1.5061</v>
          </cell>
        </row>
        <row r="1863">
          <cell r="D1863" t="str">
            <v>A1.5061</v>
          </cell>
        </row>
        <row r="1864">
          <cell r="D1864" t="str">
            <v>A1.5061</v>
          </cell>
          <cell r="E1864" t="str">
            <v>A1.0747</v>
          </cell>
        </row>
        <row r="1865">
          <cell r="D1865" t="str">
            <v>A1.5061</v>
          </cell>
        </row>
        <row r="1866">
          <cell r="D1866" t="str">
            <v>A1.5062</v>
          </cell>
        </row>
        <row r="1867">
          <cell r="D1867" t="str">
            <v>A1.5063</v>
          </cell>
        </row>
        <row r="1868">
          <cell r="D1868" t="str">
            <v>A1.5063</v>
          </cell>
        </row>
        <row r="1869">
          <cell r="D1869" t="str">
            <v>A1.5063</v>
          </cell>
        </row>
        <row r="1870">
          <cell r="D1870" t="str">
            <v>A1.5063</v>
          </cell>
        </row>
        <row r="1871">
          <cell r="D1871" t="str">
            <v>A1.5063</v>
          </cell>
        </row>
        <row r="1872">
          <cell r="D1872" t="str">
            <v>A1.5063</v>
          </cell>
        </row>
        <row r="1873">
          <cell r="D1873" t="str">
            <v>A1.5063</v>
          </cell>
        </row>
        <row r="1874">
          <cell r="D1874" t="str">
            <v>A1.5063</v>
          </cell>
        </row>
        <row r="1875">
          <cell r="D1875" t="str">
            <v>A1.5063</v>
          </cell>
        </row>
        <row r="1876">
          <cell r="D1876" t="str">
            <v>A1.5064</v>
          </cell>
          <cell r="E1876" t="str">
            <v>A1.1464</v>
          </cell>
        </row>
        <row r="1877">
          <cell r="D1877" t="str">
            <v>A1.5065</v>
          </cell>
        </row>
        <row r="1878">
          <cell r="D1878" t="str">
            <v>A1.5065</v>
          </cell>
        </row>
        <row r="1879">
          <cell r="D1879" t="str">
            <v>A1.5066</v>
          </cell>
        </row>
        <row r="1880">
          <cell r="D1880" t="str">
            <v>A1.5066</v>
          </cell>
          <cell r="E1880" t="str">
            <v>A1.1537</v>
          </cell>
        </row>
        <row r="1881">
          <cell r="D1881" t="str">
            <v>A1.5066</v>
          </cell>
        </row>
        <row r="1882">
          <cell r="D1882" t="str">
            <v>A1.5066</v>
          </cell>
        </row>
        <row r="1883">
          <cell r="D1883" t="str">
            <v>A1.5066</v>
          </cell>
        </row>
        <row r="1884">
          <cell r="D1884" t="str">
            <v>A1.5067</v>
          </cell>
          <cell r="E1884" t="str">
            <v>A1.1936</v>
          </cell>
        </row>
        <row r="1885">
          <cell r="D1885" t="str">
            <v>A1.5067</v>
          </cell>
          <cell r="E1885" t="str">
            <v>A1.1936</v>
          </cell>
        </row>
        <row r="1886">
          <cell r="D1886" t="str">
            <v>A1.5068</v>
          </cell>
        </row>
        <row r="1887">
          <cell r="D1887" t="str">
            <v>A1.5069</v>
          </cell>
        </row>
        <row r="1888">
          <cell r="D1888" t="str">
            <v>A1.5070</v>
          </cell>
          <cell r="E1888" t="str">
            <v>A1.1465</v>
          </cell>
        </row>
        <row r="1889">
          <cell r="D1889" t="str">
            <v>A1.5071</v>
          </cell>
        </row>
        <row r="1890">
          <cell r="D1890" t="str">
            <v>A1.5072</v>
          </cell>
        </row>
        <row r="1891">
          <cell r="D1891" t="str">
            <v>A1.5073</v>
          </cell>
          <cell r="E1891" t="str">
            <v>A1.1572</v>
          </cell>
        </row>
        <row r="1892">
          <cell r="D1892" t="str">
            <v>A1.5074</v>
          </cell>
        </row>
        <row r="1893">
          <cell r="D1893" t="str">
            <v>A1.5075</v>
          </cell>
        </row>
        <row r="1894">
          <cell r="D1894" t="str">
            <v>A1.5075</v>
          </cell>
        </row>
        <row r="1895">
          <cell r="D1895" t="str">
            <v>A1.5075</v>
          </cell>
        </row>
        <row r="1896">
          <cell r="D1896" t="str">
            <v>A1.5076</v>
          </cell>
        </row>
        <row r="1897">
          <cell r="D1897" t="str">
            <v>A1.5077</v>
          </cell>
          <cell r="E1897" t="str">
            <v>A1.0041</v>
          </cell>
        </row>
        <row r="1898">
          <cell r="D1898" t="str">
            <v>A1.5077</v>
          </cell>
        </row>
        <row r="1899">
          <cell r="D1899" t="str">
            <v>A1.5078</v>
          </cell>
          <cell r="E1899" t="str">
            <v>A1.1712</v>
          </cell>
        </row>
        <row r="1900">
          <cell r="D1900" t="str">
            <v>A1.5079</v>
          </cell>
        </row>
        <row r="1901">
          <cell r="D1901" t="str">
            <v>A1.5080</v>
          </cell>
        </row>
        <row r="1902">
          <cell r="D1902" t="str">
            <v>A1.5080</v>
          </cell>
        </row>
        <row r="1903">
          <cell r="D1903" t="str">
            <v>A1.5081</v>
          </cell>
        </row>
        <row r="1904">
          <cell r="D1904" t="str">
            <v>A1.5081</v>
          </cell>
        </row>
        <row r="1905">
          <cell r="D1905" t="str">
            <v>A1.5082</v>
          </cell>
          <cell r="E1905" t="str">
            <v>A1.1463</v>
          </cell>
        </row>
        <row r="1906">
          <cell r="D1906" t="str">
            <v>A1.5083</v>
          </cell>
        </row>
        <row r="1907">
          <cell r="D1907" t="str">
            <v>A1.5083</v>
          </cell>
        </row>
        <row r="1908">
          <cell r="D1908" t="str">
            <v>A1.5083</v>
          </cell>
        </row>
        <row r="1909">
          <cell r="D1909" t="str">
            <v>A1.5083</v>
          </cell>
          <cell r="E1909" t="str">
            <v>A1.2005</v>
          </cell>
        </row>
        <row r="1910">
          <cell r="D1910" t="str">
            <v>A1.5084</v>
          </cell>
        </row>
        <row r="1911">
          <cell r="D1911" t="str">
            <v>A1.5085</v>
          </cell>
        </row>
        <row r="1912">
          <cell r="D1912" t="str">
            <v>A1.5086</v>
          </cell>
        </row>
        <row r="1913">
          <cell r="D1913" t="str">
            <v>A1.5086</v>
          </cell>
        </row>
        <row r="1914">
          <cell r="D1914" t="str">
            <v>A1.5086</v>
          </cell>
        </row>
        <row r="1915">
          <cell r="D1915" t="str">
            <v>A1.5086</v>
          </cell>
          <cell r="E1915" t="str">
            <v>A1.0134</v>
          </cell>
        </row>
        <row r="1916">
          <cell r="D1916" t="str">
            <v>A1.5086</v>
          </cell>
        </row>
        <row r="1917">
          <cell r="D1917" t="str">
            <v>A1.5086</v>
          </cell>
        </row>
        <row r="1918">
          <cell r="D1918" t="str">
            <v>A1.5087</v>
          </cell>
        </row>
        <row r="1919">
          <cell r="D1919" t="str">
            <v>A1.5087</v>
          </cell>
        </row>
        <row r="1920">
          <cell r="D1920" t="str">
            <v>A1.5088</v>
          </cell>
        </row>
        <row r="1921">
          <cell r="D1921" t="str">
            <v>A1.5089</v>
          </cell>
        </row>
        <row r="1922">
          <cell r="D1922" t="str">
            <v>A1.5090</v>
          </cell>
          <cell r="E1922" t="str">
            <v>A1.1505</v>
          </cell>
        </row>
        <row r="1923">
          <cell r="D1923" t="str">
            <v>A1.5090</v>
          </cell>
        </row>
        <row r="1924">
          <cell r="D1924" t="str">
            <v>A1.5091</v>
          </cell>
        </row>
        <row r="1925">
          <cell r="D1925" t="str">
            <v>A1.5092</v>
          </cell>
        </row>
        <row r="1926">
          <cell r="D1926" t="str">
            <v>A1.5092</v>
          </cell>
          <cell r="E1926" t="str">
            <v>A1.1667</v>
          </cell>
        </row>
        <row r="1927">
          <cell r="D1927" t="str">
            <v>A1.5093</v>
          </cell>
        </row>
        <row r="1928">
          <cell r="D1928" t="str">
            <v>A1.5093</v>
          </cell>
        </row>
        <row r="1929">
          <cell r="D1929" t="str">
            <v>A1.5093</v>
          </cell>
          <cell r="E1929" t="str">
            <v>A1.0650</v>
          </cell>
        </row>
        <row r="1930">
          <cell r="D1930" t="str">
            <v>A1.5094</v>
          </cell>
        </row>
        <row r="1931">
          <cell r="D1931" t="str">
            <v>A1.5095</v>
          </cell>
        </row>
        <row r="1932">
          <cell r="D1932" t="str">
            <v>A1.5096</v>
          </cell>
        </row>
        <row r="1933">
          <cell r="D1933" t="str">
            <v>A1.5096</v>
          </cell>
        </row>
        <row r="1934">
          <cell r="D1934" t="str">
            <v>A1.5096</v>
          </cell>
        </row>
        <row r="1935">
          <cell r="D1935" t="str">
            <v>A1.5096</v>
          </cell>
        </row>
        <row r="1936">
          <cell r="D1936" t="str">
            <v>A1.5096</v>
          </cell>
        </row>
        <row r="1937">
          <cell r="D1937" t="str">
            <v>A1.5096</v>
          </cell>
          <cell r="E1937" t="str">
            <v>A1.0432</v>
          </cell>
        </row>
        <row r="1938">
          <cell r="D1938" t="str">
            <v>A1.5096</v>
          </cell>
          <cell r="E1938" t="str">
            <v>A1.0432</v>
          </cell>
        </row>
        <row r="1939">
          <cell r="D1939" t="str">
            <v>A1.5096</v>
          </cell>
          <cell r="E1939" t="str">
            <v>A1.0432</v>
          </cell>
        </row>
        <row r="1940">
          <cell r="D1940" t="str">
            <v>A1.5096</v>
          </cell>
          <cell r="E1940" t="str">
            <v>A1.0432</v>
          </cell>
        </row>
        <row r="1941">
          <cell r="D1941" t="str">
            <v>A1.5096</v>
          </cell>
        </row>
        <row r="1942">
          <cell r="D1942" t="str">
            <v>A1.5096</v>
          </cell>
        </row>
        <row r="1943">
          <cell r="D1943" t="str">
            <v>A1.5096</v>
          </cell>
        </row>
        <row r="1944">
          <cell r="D1944" t="str">
            <v>A1.5096</v>
          </cell>
        </row>
        <row r="1945">
          <cell r="D1945" t="str">
            <v>A1.5096</v>
          </cell>
        </row>
        <row r="1946">
          <cell r="D1946" t="str">
            <v>A1.5096</v>
          </cell>
        </row>
        <row r="1947">
          <cell r="D1947" t="str">
            <v>A1.5096</v>
          </cell>
        </row>
        <row r="1948">
          <cell r="D1948" t="str">
            <v>A1.5097</v>
          </cell>
        </row>
        <row r="1949">
          <cell r="D1949" t="str">
            <v>A1.5097</v>
          </cell>
        </row>
        <row r="1950">
          <cell r="D1950" t="str">
            <v>A1.5098</v>
          </cell>
        </row>
        <row r="1951">
          <cell r="D1951" t="str">
            <v>A1.5099</v>
          </cell>
        </row>
        <row r="1952">
          <cell r="D1952" t="str">
            <v>A1.5100</v>
          </cell>
          <cell r="E1952" t="str">
            <v>A1.1700</v>
          </cell>
        </row>
        <row r="1953">
          <cell r="D1953" t="str">
            <v>A1.5101</v>
          </cell>
          <cell r="E1953" t="str">
            <v>A1.1885</v>
          </cell>
        </row>
        <row r="1954">
          <cell r="D1954" t="str">
            <v>A1.5102</v>
          </cell>
          <cell r="E1954" t="str">
            <v>A1.1710</v>
          </cell>
        </row>
        <row r="1955">
          <cell r="D1955" t="str">
            <v>A1.5103</v>
          </cell>
          <cell r="E1955" t="str">
            <v>A1.1834</v>
          </cell>
        </row>
        <row r="1956">
          <cell r="D1956" t="str">
            <v>A1.5104</v>
          </cell>
          <cell r="E1956" t="str">
            <v>A1.0569</v>
          </cell>
        </row>
        <row r="1957">
          <cell r="D1957" t="str">
            <v>A1.5104</v>
          </cell>
          <cell r="E1957" t="str">
            <v>A1.0569</v>
          </cell>
        </row>
        <row r="1958">
          <cell r="D1958" t="str">
            <v>A1.5105</v>
          </cell>
          <cell r="E1958" t="str">
            <v>A1.1329</v>
          </cell>
        </row>
        <row r="1959">
          <cell r="D1959" t="str">
            <v>A1.5105</v>
          </cell>
        </row>
        <row r="1960">
          <cell r="D1960" t="str">
            <v>A1.5105</v>
          </cell>
        </row>
        <row r="1961">
          <cell r="D1961" t="str">
            <v>A1.5106</v>
          </cell>
        </row>
        <row r="1962">
          <cell r="D1962" t="str">
            <v>A1.5107</v>
          </cell>
          <cell r="E1962" t="str">
            <v>A1.0015</v>
          </cell>
        </row>
        <row r="1963">
          <cell r="D1963" t="str">
            <v>A1.5107</v>
          </cell>
        </row>
        <row r="1964">
          <cell r="D1964" t="str">
            <v>A1.5108</v>
          </cell>
          <cell r="E1964" t="str">
            <v>A1.0360</v>
          </cell>
        </row>
        <row r="1965">
          <cell r="D1965" t="str">
            <v>A1.5109</v>
          </cell>
          <cell r="E1965" t="str">
            <v>A1.0831</v>
          </cell>
        </row>
        <row r="1966">
          <cell r="D1966" t="str">
            <v>A1.5109</v>
          </cell>
          <cell r="E1966" t="str">
            <v>A1.0831</v>
          </cell>
        </row>
        <row r="1967">
          <cell r="D1967" t="str">
            <v>A5.5110</v>
          </cell>
        </row>
        <row r="1968">
          <cell r="D1968" t="str">
            <v>A5.5110</v>
          </cell>
          <cell r="E1968" t="str">
            <v>A5.0354</v>
          </cell>
        </row>
        <row r="1969">
          <cell r="D1969" t="str">
            <v>A5.5111</v>
          </cell>
          <cell r="E1969" t="str">
            <v>A5.1627</v>
          </cell>
        </row>
        <row r="1970">
          <cell r="D1970" t="str">
            <v>A5.5112</v>
          </cell>
          <cell r="E1970" t="str">
            <v>A5.0299</v>
          </cell>
        </row>
        <row r="1971">
          <cell r="D1971" t="str">
            <v>A5.5112</v>
          </cell>
        </row>
        <row r="1972">
          <cell r="D1972" t="str">
            <v>A1.5113</v>
          </cell>
        </row>
        <row r="1973">
          <cell r="D1973" t="str">
            <v>A5.5114</v>
          </cell>
          <cell r="E1973" t="str">
            <v>A5.0017</v>
          </cell>
        </row>
        <row r="1974">
          <cell r="D1974" t="str">
            <v>A5.5115</v>
          </cell>
          <cell r="E1974" t="str">
            <v>A5.0016</v>
          </cell>
        </row>
        <row r="1975">
          <cell r="D1975" t="str">
            <v>A5.5116</v>
          </cell>
        </row>
        <row r="1976">
          <cell r="D1976" t="str">
            <v>A1.5117</v>
          </cell>
          <cell r="E1976" t="str">
            <v>A1.0750</v>
          </cell>
        </row>
        <row r="1977">
          <cell r="D1977" t="str">
            <v>A1.5117</v>
          </cell>
        </row>
        <row r="1978">
          <cell r="D1978" t="str">
            <v>A1.5117</v>
          </cell>
        </row>
        <row r="1979">
          <cell r="D1979" t="str">
            <v>A1.5117</v>
          </cell>
        </row>
        <row r="1980">
          <cell r="D1980" t="str">
            <v>A1.5118</v>
          </cell>
        </row>
        <row r="1981">
          <cell r="D1981" t="str">
            <v>A1.5118</v>
          </cell>
        </row>
        <row r="1982">
          <cell r="D1982" t="str">
            <v>A1.5118</v>
          </cell>
        </row>
        <row r="1983">
          <cell r="D1983" t="str">
            <v>A1.5118</v>
          </cell>
        </row>
        <row r="1984">
          <cell r="D1984" t="str">
            <v>A1.5118</v>
          </cell>
        </row>
        <row r="1985">
          <cell r="D1985" t="str">
            <v>A1.5118</v>
          </cell>
          <cell r="E1985" t="str">
            <v>A1.0705</v>
          </cell>
        </row>
        <row r="1986">
          <cell r="D1986" t="str">
            <v>A1.5118</v>
          </cell>
          <cell r="E1986" t="str">
            <v>A1.0705</v>
          </cell>
        </row>
        <row r="1987">
          <cell r="D1987" t="str">
            <v>A1.5118</v>
          </cell>
          <cell r="E1987" t="str">
            <v>A1.0705</v>
          </cell>
        </row>
        <row r="1988">
          <cell r="D1988" t="str">
            <v>A1.5118</v>
          </cell>
        </row>
        <row r="1989">
          <cell r="D1989" t="str">
            <v>A1.5118</v>
          </cell>
        </row>
        <row r="1990">
          <cell r="D1990" t="str">
            <v>A1.5118</v>
          </cell>
        </row>
        <row r="1991">
          <cell r="D1991" t="str">
            <v>A1.5119</v>
          </cell>
        </row>
        <row r="1992">
          <cell r="D1992" t="str">
            <v>A1.5119</v>
          </cell>
          <cell r="E1992" t="str">
            <v>A1.0771</v>
          </cell>
        </row>
        <row r="1993">
          <cell r="D1993" t="str">
            <v>A1.5119</v>
          </cell>
        </row>
        <row r="1994">
          <cell r="D1994" t="str">
            <v>A1.5120</v>
          </cell>
        </row>
        <row r="1995">
          <cell r="D1995" t="str">
            <v>A5.5121</v>
          </cell>
          <cell r="E1995" t="str">
            <v>A5.1237</v>
          </cell>
        </row>
        <row r="1996">
          <cell r="D1996" t="str">
            <v>A1.5122</v>
          </cell>
        </row>
        <row r="1997">
          <cell r="D1997" t="str">
            <v>A5.5122</v>
          </cell>
        </row>
        <row r="1998">
          <cell r="D1998" t="str">
            <v>A5.5123</v>
          </cell>
        </row>
        <row r="1999">
          <cell r="D1999" t="str">
            <v>A1.5124</v>
          </cell>
        </row>
        <row r="2000">
          <cell r="D2000" t="str">
            <v>A1.5125</v>
          </cell>
        </row>
        <row r="2001">
          <cell r="D2001" t="str">
            <v>A1.5126</v>
          </cell>
        </row>
        <row r="2002">
          <cell r="D2002" t="str">
            <v>A1.5127</v>
          </cell>
        </row>
        <row r="2003">
          <cell r="D2003" t="str">
            <v>A5.5127</v>
          </cell>
        </row>
        <row r="2004">
          <cell r="D2004" t="str">
            <v>A5.5128</v>
          </cell>
        </row>
        <row r="2005">
          <cell r="D2005" t="str">
            <v>A1.5129</v>
          </cell>
        </row>
        <row r="2006">
          <cell r="D2006" t="str">
            <v>A5.5130</v>
          </cell>
        </row>
        <row r="2007">
          <cell r="D2007" t="str">
            <v>A5.5131</v>
          </cell>
        </row>
        <row r="2008">
          <cell r="D2008" t="str">
            <v>A1.5132</v>
          </cell>
        </row>
        <row r="2009">
          <cell r="D2009" t="str">
            <v>A5.5132</v>
          </cell>
        </row>
        <row r="2010">
          <cell r="D2010" t="str">
            <v>A1.5133</v>
          </cell>
        </row>
        <row r="2011">
          <cell r="D2011" t="str">
            <v>A1.5133</v>
          </cell>
        </row>
        <row r="2012">
          <cell r="D2012" t="str">
            <v>A1.5133</v>
          </cell>
          <cell r="E2012" t="str">
            <v>A1.0274</v>
          </cell>
        </row>
        <row r="2013">
          <cell r="D2013" t="str">
            <v>A1.5134</v>
          </cell>
          <cell r="E2013" t="str">
            <v>A1.1831</v>
          </cell>
        </row>
        <row r="2014">
          <cell r="D2014" t="str">
            <v>A1.5135</v>
          </cell>
          <cell r="E2014" t="str">
            <v>A1.1098</v>
          </cell>
        </row>
        <row r="2015">
          <cell r="D2015" t="str">
            <v>A1.5135</v>
          </cell>
        </row>
        <row r="2016">
          <cell r="D2016" t="str">
            <v>A1.5136</v>
          </cell>
          <cell r="E2016" t="str">
            <v>A1.1638</v>
          </cell>
        </row>
        <row r="2017">
          <cell r="D2017" t="str">
            <v>A1.5137</v>
          </cell>
        </row>
        <row r="2018">
          <cell r="D2018" t="str">
            <v>A1.5137</v>
          </cell>
        </row>
        <row r="2019">
          <cell r="D2019" t="str">
            <v>A1.5138</v>
          </cell>
        </row>
        <row r="2020">
          <cell r="D2020" t="str">
            <v>A5.5139</v>
          </cell>
        </row>
        <row r="2021">
          <cell r="D2021" t="str">
            <v>A5.5140</v>
          </cell>
        </row>
        <row r="2022">
          <cell r="D2022" t="str">
            <v>A5.5141</v>
          </cell>
        </row>
        <row r="2023">
          <cell r="D2023" t="str">
            <v>A1.5142</v>
          </cell>
        </row>
        <row r="2024">
          <cell r="D2024" t="str">
            <v>A5.5142</v>
          </cell>
        </row>
        <row r="2025">
          <cell r="D2025" t="str">
            <v>A1.5143</v>
          </cell>
          <cell r="E2025" t="str">
            <v>A1.1338</v>
          </cell>
        </row>
        <row r="2026">
          <cell r="D2026" t="str">
            <v>A1.5143</v>
          </cell>
        </row>
        <row r="2027">
          <cell r="D2027" t="str">
            <v>A5.5144</v>
          </cell>
        </row>
        <row r="2028">
          <cell r="D2028" t="str">
            <v>A5.5145</v>
          </cell>
        </row>
        <row r="2029">
          <cell r="D2029" t="str">
            <v>A1.5146</v>
          </cell>
        </row>
        <row r="2030">
          <cell r="D2030" t="str">
            <v>A1.5147</v>
          </cell>
          <cell r="E2030" t="str">
            <v>A1.1427</v>
          </cell>
        </row>
        <row r="2031">
          <cell r="D2031" t="str">
            <v>A1.5148</v>
          </cell>
        </row>
        <row r="2032">
          <cell r="D2032" t="str">
            <v>A5.5149</v>
          </cell>
          <cell r="E2032" t="str">
            <v>A5.1916</v>
          </cell>
        </row>
        <row r="2033">
          <cell r="D2033" t="str">
            <v>A1.5150</v>
          </cell>
        </row>
        <row r="2034">
          <cell r="D2034" t="str">
            <v>A1.5150</v>
          </cell>
        </row>
        <row r="2035">
          <cell r="D2035" t="str">
            <v>A1.5150</v>
          </cell>
        </row>
        <row r="2036">
          <cell r="D2036" t="str">
            <v>A5.5150</v>
          </cell>
        </row>
        <row r="2037">
          <cell r="D2037" t="str">
            <v>A1.5151</v>
          </cell>
          <cell r="E2037" t="str">
            <v>A1.0103</v>
          </cell>
        </row>
        <row r="2038">
          <cell r="D2038" t="str">
            <v>A1.5151</v>
          </cell>
        </row>
        <row r="2039">
          <cell r="D2039" t="str">
            <v>A5.5152</v>
          </cell>
        </row>
        <row r="2040">
          <cell r="D2040" t="str">
            <v>A5.5153</v>
          </cell>
          <cell r="E2040" t="str">
            <v>A5.1890</v>
          </cell>
        </row>
        <row r="2041">
          <cell r="D2041" t="str">
            <v>A5.5154</v>
          </cell>
          <cell r="E2041" t="str">
            <v>A5.0304</v>
          </cell>
        </row>
        <row r="2042">
          <cell r="D2042" t="str">
            <v>A5.5155</v>
          </cell>
        </row>
        <row r="2043">
          <cell r="D2043" t="str">
            <v>A5.5156</v>
          </cell>
        </row>
        <row r="2044">
          <cell r="D2044" t="str">
            <v>A5.5157</v>
          </cell>
          <cell r="E2044" t="str">
            <v>A5.1942</v>
          </cell>
        </row>
        <row r="2045">
          <cell r="D2045" t="str">
            <v>A5.5158</v>
          </cell>
        </row>
        <row r="2046">
          <cell r="D2046" t="str">
            <v>A5.5159</v>
          </cell>
        </row>
        <row r="2047">
          <cell r="D2047" t="str">
            <v>A5.5160</v>
          </cell>
        </row>
        <row r="2048">
          <cell r="D2048" t="str">
            <v>A1.5161</v>
          </cell>
        </row>
        <row r="2049">
          <cell r="D2049" t="str">
            <v>A1.5162</v>
          </cell>
        </row>
        <row r="2050">
          <cell r="D2050" t="str">
            <v>A1.5163</v>
          </cell>
        </row>
        <row r="2051">
          <cell r="D2051" t="str">
            <v>A1.5164</v>
          </cell>
        </row>
        <row r="2052">
          <cell r="D2052" t="str">
            <v>A1.5165</v>
          </cell>
          <cell r="E2052" t="str">
            <v>A1.1325</v>
          </cell>
        </row>
        <row r="2053">
          <cell r="D2053" t="str">
            <v>A1.5165</v>
          </cell>
        </row>
        <row r="2054">
          <cell r="D2054" t="str">
            <v>A5.5166</v>
          </cell>
        </row>
        <row r="2055">
          <cell r="D2055" t="str">
            <v>A5.5167</v>
          </cell>
          <cell r="E2055" t="str">
            <v>A5.0038</v>
          </cell>
        </row>
        <row r="2056">
          <cell r="D2056" t="str">
            <v>A5.5167</v>
          </cell>
        </row>
        <row r="2057">
          <cell r="D2057" t="str">
            <v>A1.5168</v>
          </cell>
        </row>
        <row r="2058">
          <cell r="D2058" t="str">
            <v>A5.5168</v>
          </cell>
        </row>
        <row r="2059">
          <cell r="D2059" t="str">
            <v>A5.5169</v>
          </cell>
        </row>
        <row r="2060">
          <cell r="D2060" t="str">
            <v>A5.5170</v>
          </cell>
          <cell r="E2060" t="str">
            <v>A5.1051</v>
          </cell>
        </row>
        <row r="2061">
          <cell r="D2061" t="str">
            <v>A5.5171</v>
          </cell>
        </row>
        <row r="2062">
          <cell r="D2062" t="str">
            <v>A5.5172</v>
          </cell>
        </row>
        <row r="2063">
          <cell r="D2063" t="str">
            <v>A1.5173</v>
          </cell>
          <cell r="E2063" t="str">
            <v>A1.1475</v>
          </cell>
        </row>
        <row r="2064">
          <cell r="D2064" t="str">
            <v>A1.5174</v>
          </cell>
        </row>
        <row r="2065">
          <cell r="D2065" t="str">
            <v>A5.5174</v>
          </cell>
          <cell r="E2065" t="str">
            <v>A5.0692</v>
          </cell>
        </row>
        <row r="2066">
          <cell r="D2066" t="str">
            <v>A5.5175</v>
          </cell>
          <cell r="E2066" t="str">
            <v>A5.0315</v>
          </cell>
        </row>
        <row r="2067">
          <cell r="D2067" t="str">
            <v>A5.5175</v>
          </cell>
        </row>
        <row r="2068">
          <cell r="D2068" t="str">
            <v>A5.5176</v>
          </cell>
        </row>
        <row r="2069">
          <cell r="D2069" t="str">
            <v>A1.5177</v>
          </cell>
          <cell r="E2069" t="str">
            <v>A1.1552</v>
          </cell>
        </row>
        <row r="2070">
          <cell r="D2070" t="str">
            <v>A1.5178</v>
          </cell>
        </row>
        <row r="2071">
          <cell r="D2071" t="str">
            <v>A5.5178</v>
          </cell>
        </row>
        <row r="2072">
          <cell r="D2072" t="str">
            <v>A5.5179</v>
          </cell>
        </row>
        <row r="2073">
          <cell r="D2073" t="str">
            <v>A1.5180</v>
          </cell>
        </row>
        <row r="2074">
          <cell r="D2074" t="str">
            <v>A1.5180</v>
          </cell>
          <cell r="E2074" t="str">
            <v>A1.1569</v>
          </cell>
        </row>
        <row r="2075">
          <cell r="D2075" t="str">
            <v>A1.5180</v>
          </cell>
        </row>
        <row r="2076">
          <cell r="D2076" t="str">
            <v>A1.5180</v>
          </cell>
        </row>
        <row r="2077">
          <cell r="D2077" t="str">
            <v>A1.5181</v>
          </cell>
        </row>
        <row r="2078">
          <cell r="D2078" t="str">
            <v>A1.5181</v>
          </cell>
        </row>
        <row r="2079">
          <cell r="D2079" t="str">
            <v>A1.5182</v>
          </cell>
        </row>
        <row r="2080">
          <cell r="D2080" t="str">
            <v>A1.5183</v>
          </cell>
        </row>
        <row r="2081">
          <cell r="D2081" t="str">
            <v>A1.5184</v>
          </cell>
        </row>
        <row r="2082">
          <cell r="D2082" t="str">
            <v>A1.5185</v>
          </cell>
        </row>
        <row r="2083">
          <cell r="D2083" t="str">
            <v>A1.5186</v>
          </cell>
        </row>
        <row r="2084">
          <cell r="D2084" t="str">
            <v>A1.5187</v>
          </cell>
        </row>
        <row r="2085">
          <cell r="D2085" t="str">
            <v>A1.5188</v>
          </cell>
        </row>
        <row r="2086">
          <cell r="D2086" t="str">
            <v>A1.5189</v>
          </cell>
        </row>
        <row r="2087">
          <cell r="D2087" t="str">
            <v>A1.5190</v>
          </cell>
          <cell r="E2087" t="str">
            <v>A1.1574</v>
          </cell>
        </row>
        <row r="2088">
          <cell r="D2088" t="str">
            <v>A1.5190</v>
          </cell>
          <cell r="E2088" t="str">
            <v>A1.1574</v>
          </cell>
        </row>
        <row r="2089">
          <cell r="D2089" t="str">
            <v>A1.5191</v>
          </cell>
          <cell r="E2089" t="str">
            <v>A1.1706</v>
          </cell>
        </row>
        <row r="2090">
          <cell r="D2090" t="str">
            <v>A1.5191</v>
          </cell>
          <cell r="E2090" t="str">
            <v>A1.1706</v>
          </cell>
        </row>
        <row r="2091">
          <cell r="D2091" t="str">
            <v>A1.5192</v>
          </cell>
        </row>
        <row r="2092">
          <cell r="D2092" t="str">
            <v>A1.5193</v>
          </cell>
          <cell r="E2092" t="str">
            <v>A1.1678</v>
          </cell>
        </row>
        <row r="2093">
          <cell r="D2093" t="str">
            <v>A1.5194</v>
          </cell>
        </row>
        <row r="2094">
          <cell r="D2094" t="str">
            <v>A1.5195</v>
          </cell>
          <cell r="E2094" t="str">
            <v>A1.1681</v>
          </cell>
        </row>
        <row r="2095">
          <cell r="D2095" t="str">
            <v>A1.5196</v>
          </cell>
          <cell r="E2095" t="str">
            <v>A1.1816</v>
          </cell>
        </row>
        <row r="2096">
          <cell r="D2096" t="str">
            <v>A1.5197</v>
          </cell>
        </row>
        <row r="2097">
          <cell r="D2097" t="str">
            <v>A1.5198</v>
          </cell>
        </row>
        <row r="2098">
          <cell r="D2098" t="str">
            <v>A1.5199</v>
          </cell>
          <cell r="E2098" t="str">
            <v>A1.1973</v>
          </cell>
        </row>
        <row r="2099">
          <cell r="D2099" t="str">
            <v>A1.5200</v>
          </cell>
          <cell r="E2099" t="str">
            <v>A1.1974</v>
          </cell>
        </row>
        <row r="2100">
          <cell r="D2100" t="str">
            <v>A1.5201</v>
          </cell>
          <cell r="E2100" t="str">
            <v>A1.1975</v>
          </cell>
        </row>
        <row r="2101">
          <cell r="D2101" t="str">
            <v>A1.5202</v>
          </cell>
          <cell r="E2101" t="str">
            <v>A1.1301</v>
          </cell>
        </row>
        <row r="2102">
          <cell r="D2102" t="str">
            <v>A1.5203</v>
          </cell>
          <cell r="E2102" t="str">
            <v>A1.1515</v>
          </cell>
        </row>
        <row r="2103">
          <cell r="D2103" t="str">
            <v>A1.5203</v>
          </cell>
        </row>
        <row r="2104">
          <cell r="D2104" t="str">
            <v>A1.5204</v>
          </cell>
        </row>
        <row r="2105">
          <cell r="D2105" t="str">
            <v>A1.5204</v>
          </cell>
          <cell r="E2105" t="str">
            <v>A1.1711</v>
          </cell>
        </row>
        <row r="2106">
          <cell r="D2106" t="str">
            <v>A1.5205</v>
          </cell>
          <cell r="E2106" t="str">
            <v>A1.1151</v>
          </cell>
        </row>
        <row r="2107">
          <cell r="D2107" t="str">
            <v>A1.5206</v>
          </cell>
          <cell r="E2107" t="str">
            <v>A1.1687</v>
          </cell>
        </row>
        <row r="2108">
          <cell r="D2108" t="str">
            <v>A1.5206</v>
          </cell>
        </row>
        <row r="2109">
          <cell r="D2109" t="str">
            <v>A1.5207</v>
          </cell>
          <cell r="E2109" t="str">
            <v>A1.1284</v>
          </cell>
        </row>
        <row r="2110">
          <cell r="D2110" t="str">
            <v>A1.5207</v>
          </cell>
        </row>
        <row r="2111">
          <cell r="D2111" t="str">
            <v>A1.5208</v>
          </cell>
        </row>
        <row r="2112">
          <cell r="D2112" t="str">
            <v>A1.5209</v>
          </cell>
          <cell r="E2112" t="str">
            <v>A1.1961</v>
          </cell>
        </row>
        <row r="2113">
          <cell r="D2113" t="str">
            <v>A1.5210</v>
          </cell>
          <cell r="E2113" t="str">
            <v>A1.1508</v>
          </cell>
        </row>
        <row r="2114">
          <cell r="D2114" t="str">
            <v>A1.5210</v>
          </cell>
        </row>
        <row r="2115">
          <cell r="D2115" t="str">
            <v>A1.5211</v>
          </cell>
          <cell r="E2115" t="str">
            <v>A1.1650</v>
          </cell>
        </row>
        <row r="2116">
          <cell r="D2116" t="str">
            <v>A1.5212</v>
          </cell>
          <cell r="E2116" t="str">
            <v>A1.0915</v>
          </cell>
        </row>
        <row r="2117">
          <cell r="D2117" t="str">
            <v>A1.5213</v>
          </cell>
          <cell r="E2117" t="str">
            <v>A1.0761</v>
          </cell>
        </row>
        <row r="2118">
          <cell r="D2118" t="str">
            <v>A1.5214</v>
          </cell>
        </row>
        <row r="2119">
          <cell r="D2119" t="str">
            <v>A1.5215</v>
          </cell>
        </row>
        <row r="2120">
          <cell r="D2120" t="str">
            <v>A1.5215</v>
          </cell>
          <cell r="E2120" t="str">
            <v>A1.1450</v>
          </cell>
        </row>
        <row r="2121">
          <cell r="D2121" t="str">
            <v>A1.5216</v>
          </cell>
        </row>
        <row r="2122">
          <cell r="D2122" t="str">
            <v>A1.5217</v>
          </cell>
          <cell r="E2122" t="str">
            <v>A1.0386</v>
          </cell>
        </row>
        <row r="2123">
          <cell r="D2123" t="str">
            <v>A1.5217</v>
          </cell>
        </row>
        <row r="2124">
          <cell r="D2124" t="str">
            <v>A1.5218</v>
          </cell>
        </row>
        <row r="2125">
          <cell r="D2125" t="str">
            <v>A1.5219</v>
          </cell>
        </row>
        <row r="2126">
          <cell r="D2126" t="str">
            <v>A1.5220</v>
          </cell>
        </row>
        <row r="2127">
          <cell r="D2127" t="str">
            <v>A5.5221</v>
          </cell>
        </row>
        <row r="2128">
          <cell r="D2128" t="str">
            <v>A1.5222</v>
          </cell>
        </row>
        <row r="2129">
          <cell r="D2129" t="str">
            <v>A5.5223</v>
          </cell>
        </row>
        <row r="2130">
          <cell r="D2130" t="str">
            <v>A5.5224</v>
          </cell>
        </row>
        <row r="2131">
          <cell r="D2131" t="str">
            <v>A1.5225</v>
          </cell>
        </row>
        <row r="2132">
          <cell r="D2132" t="str">
            <v>A1.5226</v>
          </cell>
          <cell r="E2132" t="str">
            <v>A1.1923</v>
          </cell>
        </row>
        <row r="2133">
          <cell r="D2133" t="str">
            <v>A1.5227</v>
          </cell>
          <cell r="E2133" t="str">
            <v>A1.1826</v>
          </cell>
        </row>
        <row r="2134">
          <cell r="D2134" t="str">
            <v>A1.5228</v>
          </cell>
          <cell r="E2134" t="str">
            <v>A1.1680</v>
          </cell>
        </row>
        <row r="2135">
          <cell r="D2135" t="str">
            <v>A1.5229</v>
          </cell>
          <cell r="E2135" t="str">
            <v>A1.1322</v>
          </cell>
        </row>
        <row r="2136">
          <cell r="D2136" t="str">
            <v>A1.5229</v>
          </cell>
        </row>
        <row r="2137">
          <cell r="D2137" t="str">
            <v>A1.5230</v>
          </cell>
          <cell r="E2137" t="str">
            <v>A1.1908</v>
          </cell>
        </row>
        <row r="2138">
          <cell r="D2138" t="str">
            <v>A1.5231</v>
          </cell>
          <cell r="E2138" t="str">
            <v>A1.1721</v>
          </cell>
        </row>
        <row r="2139">
          <cell r="D2139" t="str">
            <v>A1.5232</v>
          </cell>
          <cell r="E2139" t="str">
            <v>A1.1909</v>
          </cell>
        </row>
        <row r="2140">
          <cell r="D2140" t="str">
            <v>A1.5233</v>
          </cell>
          <cell r="E2140" t="str">
            <v>A1.1918</v>
          </cell>
        </row>
        <row r="2141">
          <cell r="D2141" t="str">
            <v>A1.5234</v>
          </cell>
        </row>
        <row r="2142">
          <cell r="D2142" t="str">
            <v>A1.5235</v>
          </cell>
          <cell r="E2142" t="str">
            <v>A1.0853</v>
          </cell>
        </row>
        <row r="2143">
          <cell r="D2143" t="str">
            <v>A1.5236</v>
          </cell>
          <cell r="E2143" t="str">
            <v>A1.1814</v>
          </cell>
        </row>
        <row r="2144">
          <cell r="D2144" t="str">
            <v>A1.5237</v>
          </cell>
          <cell r="E2144" t="str">
            <v>A1.1596</v>
          </cell>
        </row>
        <row r="2145">
          <cell r="D2145" t="str">
            <v>A1.5238</v>
          </cell>
          <cell r="E2145" t="str">
            <v>A1.1520</v>
          </cell>
        </row>
        <row r="2146">
          <cell r="D2146" t="str">
            <v>A1.5239</v>
          </cell>
        </row>
        <row r="2147">
          <cell r="D2147" t="str">
            <v>A1.5239</v>
          </cell>
          <cell r="E2147" t="str">
            <v>A1.1421</v>
          </cell>
        </row>
        <row r="2148">
          <cell r="D2148" t="str">
            <v>A1.5240</v>
          </cell>
        </row>
        <row r="2149">
          <cell r="D2149" t="str">
            <v>A1.5240</v>
          </cell>
        </row>
        <row r="2150">
          <cell r="D2150" t="str">
            <v>A1.5241</v>
          </cell>
        </row>
        <row r="2151">
          <cell r="D2151" t="str">
            <v>A1.5241</v>
          </cell>
        </row>
        <row r="2152">
          <cell r="D2152" t="str">
            <v>A1.5242</v>
          </cell>
        </row>
        <row r="2153">
          <cell r="D2153" t="str">
            <v>A1.5242</v>
          </cell>
        </row>
        <row r="2154">
          <cell r="D2154" t="str">
            <v>A1.5243</v>
          </cell>
        </row>
        <row r="2155">
          <cell r="D2155" t="str">
            <v>A1.5243</v>
          </cell>
          <cell r="E2155" t="str">
            <v>A1.1143</v>
          </cell>
        </row>
        <row r="2156">
          <cell r="D2156" t="str">
            <v>A1.5244</v>
          </cell>
          <cell r="E2156" t="str">
            <v>A1.1299</v>
          </cell>
        </row>
        <row r="2157">
          <cell r="D2157" t="str">
            <v>A1.5245</v>
          </cell>
        </row>
        <row r="2158">
          <cell r="D2158" t="str">
            <v>A1.5246</v>
          </cell>
          <cell r="E2158" t="str">
            <v>A1.1073</v>
          </cell>
        </row>
        <row r="2159">
          <cell r="D2159" t="str">
            <v>A1.5247</v>
          </cell>
          <cell r="E2159" t="str">
            <v>A1.1109</v>
          </cell>
        </row>
        <row r="2160">
          <cell r="D2160" t="str">
            <v>A1.5248</v>
          </cell>
        </row>
        <row r="2161">
          <cell r="D2161" t="str">
            <v>A1.5249</v>
          </cell>
          <cell r="E2161" t="str">
            <v>A1.0722</v>
          </cell>
        </row>
        <row r="2162">
          <cell r="D2162" t="str">
            <v>A1.5250</v>
          </cell>
          <cell r="E2162" t="str">
            <v>A1.1175</v>
          </cell>
        </row>
        <row r="2163">
          <cell r="D2163" t="str">
            <v>A1.5251</v>
          </cell>
        </row>
        <row r="2164">
          <cell r="D2164" t="str">
            <v>A1.5251</v>
          </cell>
        </row>
        <row r="2165">
          <cell r="D2165" t="str">
            <v>A1.5252</v>
          </cell>
        </row>
        <row r="2166">
          <cell r="D2166" t="str">
            <v>A1.5252</v>
          </cell>
        </row>
        <row r="2167">
          <cell r="D2167" t="str">
            <v>A1.5253</v>
          </cell>
        </row>
        <row r="2168">
          <cell r="D2168" t="str">
            <v>A1.5254</v>
          </cell>
        </row>
        <row r="2169">
          <cell r="D2169" t="str">
            <v>A1.5255</v>
          </cell>
        </row>
        <row r="2170">
          <cell r="D2170" t="str">
            <v>A1.5256</v>
          </cell>
          <cell r="E2170" t="str">
            <v>A1.1378</v>
          </cell>
        </row>
        <row r="2171">
          <cell r="D2171" t="str">
            <v>A1.5257</v>
          </cell>
          <cell r="E2171" t="str">
            <v>A1.1379</v>
          </cell>
        </row>
        <row r="2172">
          <cell r="D2172" t="str">
            <v>A1.5258</v>
          </cell>
          <cell r="E2172" t="str">
            <v>A1.0578</v>
          </cell>
        </row>
        <row r="2173">
          <cell r="D2173" t="str">
            <v>A1.5259</v>
          </cell>
        </row>
        <row r="2174">
          <cell r="D2174" t="str">
            <v>A1.5260</v>
          </cell>
          <cell r="E2174" t="str">
            <v>A1.1769</v>
          </cell>
        </row>
        <row r="2175">
          <cell r="D2175" t="str">
            <v>A1.5261</v>
          </cell>
        </row>
        <row r="2176">
          <cell r="D2176" t="str">
            <v>A1.5262</v>
          </cell>
          <cell r="E2176" t="str">
            <v>A1.1303</v>
          </cell>
        </row>
        <row r="2177">
          <cell r="D2177" t="str">
            <v>A1.5263</v>
          </cell>
          <cell r="E2177" t="str">
            <v>A1.1649</v>
          </cell>
        </row>
        <row r="2178">
          <cell r="D2178" t="str">
            <v>A1.5264</v>
          </cell>
        </row>
        <row r="2179">
          <cell r="D2179" t="str">
            <v>A1.5265</v>
          </cell>
        </row>
        <row r="2180">
          <cell r="D2180" t="str">
            <v>A1.5266</v>
          </cell>
        </row>
        <row r="2181">
          <cell r="D2181" t="str">
            <v>A1.5267</v>
          </cell>
        </row>
        <row r="2182">
          <cell r="D2182" t="str">
            <v>A1.5268</v>
          </cell>
        </row>
        <row r="2183">
          <cell r="D2183" t="str">
            <v>A1.5269</v>
          </cell>
        </row>
        <row r="2184">
          <cell r="D2184" t="str">
            <v>A1.5270</v>
          </cell>
        </row>
        <row r="2185">
          <cell r="D2185" t="str">
            <v>A1.5270</v>
          </cell>
          <cell r="E2185" t="str">
            <v>A1.1127</v>
          </cell>
        </row>
        <row r="2186">
          <cell r="D2186" t="str">
            <v>A1.5270</v>
          </cell>
        </row>
        <row r="2187">
          <cell r="D2187" t="str">
            <v>A1.5270</v>
          </cell>
        </row>
        <row r="2188">
          <cell r="D2188" t="str">
            <v>A1.5270</v>
          </cell>
        </row>
        <row r="2189">
          <cell r="D2189" t="str">
            <v>A1.5271</v>
          </cell>
        </row>
        <row r="2190">
          <cell r="D2190" t="str">
            <v>A1.5272</v>
          </cell>
          <cell r="E2190" t="str">
            <v>A1.1289</v>
          </cell>
        </row>
        <row r="2191">
          <cell r="D2191" t="str">
            <v>A1.5272</v>
          </cell>
        </row>
        <row r="2192">
          <cell r="D2192" t="str">
            <v>A1.5273</v>
          </cell>
          <cell r="E2192" t="str">
            <v>A1.1542</v>
          </cell>
        </row>
        <row r="2193">
          <cell r="D2193" t="str">
            <v>A1.5274</v>
          </cell>
          <cell r="E2193" t="str">
            <v>A1.0833</v>
          </cell>
        </row>
        <row r="2194">
          <cell r="D2194" t="str">
            <v>A1.5275</v>
          </cell>
        </row>
        <row r="2195">
          <cell r="D2195" t="str">
            <v>A1.5276</v>
          </cell>
        </row>
        <row r="2196">
          <cell r="D2196" t="str">
            <v>A1.5277</v>
          </cell>
          <cell r="E2196" t="str">
            <v>A1.1488</v>
          </cell>
        </row>
        <row r="2197">
          <cell r="D2197" t="str">
            <v>A1.5278</v>
          </cell>
          <cell r="E2197" t="str">
            <v>A1.0906</v>
          </cell>
        </row>
        <row r="2198">
          <cell r="D2198" t="str">
            <v>A1.5279</v>
          </cell>
          <cell r="E2198" t="str">
            <v>A1.1924</v>
          </cell>
        </row>
        <row r="2199">
          <cell r="D2199" t="str">
            <v>A1.5280</v>
          </cell>
        </row>
        <row r="2200">
          <cell r="D2200" t="str">
            <v>A1.5280</v>
          </cell>
        </row>
        <row r="2201">
          <cell r="D2201" t="str">
            <v>A1.5310</v>
          </cell>
        </row>
        <row r="2202">
          <cell r="D2202" t="str">
            <v>A1.5311</v>
          </cell>
          <cell r="E2202" t="str">
            <v>A1.1694</v>
          </cell>
        </row>
        <row r="2203">
          <cell r="D2203" t="str">
            <v>A1.5312</v>
          </cell>
          <cell r="E2203" t="str">
            <v>A1.1894</v>
          </cell>
        </row>
        <row r="2204">
          <cell r="D2204" t="str">
            <v>A1.5313</v>
          </cell>
        </row>
        <row r="2205">
          <cell r="D2205" t="str">
            <v>A1.5313</v>
          </cell>
        </row>
        <row r="2206">
          <cell r="D2206" t="str">
            <v>A1.5313</v>
          </cell>
          <cell r="E2206" t="str">
            <v>A1.1648</v>
          </cell>
        </row>
        <row r="2207">
          <cell r="D2207" t="str">
            <v>A1.5313</v>
          </cell>
        </row>
        <row r="2208">
          <cell r="D2208" t="str">
            <v>A1.5313</v>
          </cell>
        </row>
        <row r="2209">
          <cell r="D2209" t="str">
            <v>A1.5314</v>
          </cell>
        </row>
        <row r="2210">
          <cell r="D2210" t="str">
            <v>A1.5314</v>
          </cell>
        </row>
        <row r="2211">
          <cell r="D2211" t="str">
            <v>A1.5315</v>
          </cell>
        </row>
        <row r="2212">
          <cell r="D2212" t="str">
            <v>A1.5316</v>
          </cell>
        </row>
        <row r="2213">
          <cell r="D2213" t="str">
            <v>A1.5316</v>
          </cell>
        </row>
        <row r="2214">
          <cell r="D2214" t="str">
            <v>A1.5316</v>
          </cell>
        </row>
        <row r="2215">
          <cell r="D2215" t="str">
            <v>A1.5316</v>
          </cell>
        </row>
        <row r="2216">
          <cell r="D2216" t="str">
            <v>A1.5317</v>
          </cell>
        </row>
        <row r="2217">
          <cell r="D2217" t="str">
            <v>A1.5317</v>
          </cell>
          <cell r="E2217" t="str">
            <v>A1.0307</v>
          </cell>
        </row>
        <row r="2218">
          <cell r="D2218" t="str">
            <v>A1.5317</v>
          </cell>
        </row>
        <row r="2219">
          <cell r="D2219" t="str">
            <v>A1.5317</v>
          </cell>
        </row>
        <row r="2220">
          <cell r="D2220" t="str">
            <v>A1.5317</v>
          </cell>
        </row>
        <row r="2221">
          <cell r="D2221" t="str">
            <v>A1.5317</v>
          </cell>
        </row>
        <row r="2222">
          <cell r="D2222" t="str">
            <v>A1.5317</v>
          </cell>
        </row>
        <row r="2223">
          <cell r="D2223" t="str">
            <v>A1.5318</v>
          </cell>
        </row>
        <row r="2224">
          <cell r="D2224" t="str">
            <v>A1.5319</v>
          </cell>
        </row>
        <row r="2225">
          <cell r="D2225" t="str">
            <v>A1.5320</v>
          </cell>
        </row>
        <row r="2226">
          <cell r="D2226" t="str">
            <v>A1.5320</v>
          </cell>
        </row>
        <row r="2227">
          <cell r="D2227" t="str">
            <v>A1.5321</v>
          </cell>
          <cell r="E2227" t="str">
            <v>A1.0699</v>
          </cell>
        </row>
        <row r="2228">
          <cell r="D2228" t="str">
            <v>A1.5321</v>
          </cell>
        </row>
        <row r="2229">
          <cell r="D2229" t="str">
            <v>A1.5322</v>
          </cell>
          <cell r="E2229" t="str">
            <v>A1.1746</v>
          </cell>
        </row>
        <row r="2230">
          <cell r="D2230" t="str">
            <v>A1.5323</v>
          </cell>
          <cell r="E2230" t="str">
            <v>A1.1252</v>
          </cell>
        </row>
        <row r="2231">
          <cell r="D2231" t="str">
            <v>A1.5324</v>
          </cell>
        </row>
        <row r="2232">
          <cell r="D2232" t="str">
            <v>A1.5325</v>
          </cell>
        </row>
        <row r="2233">
          <cell r="D2233" t="str">
            <v>A1.5326</v>
          </cell>
          <cell r="E2233" t="str">
            <v>A1.1811</v>
          </cell>
        </row>
        <row r="2234">
          <cell r="D2234" t="str">
            <v>A1.5327</v>
          </cell>
        </row>
        <row r="2235">
          <cell r="D2235" t="str">
            <v>A1.5328</v>
          </cell>
          <cell r="E2235" t="str">
            <v>A1.1511</v>
          </cell>
        </row>
        <row r="2236">
          <cell r="D2236" t="str">
            <v>A1.5328</v>
          </cell>
        </row>
        <row r="2237">
          <cell r="D2237" t="str">
            <v>A1.5329</v>
          </cell>
          <cell r="E2237" t="str">
            <v>A1.1512</v>
          </cell>
        </row>
        <row r="2238">
          <cell r="D2238" t="str">
            <v>A1.5329</v>
          </cell>
        </row>
        <row r="2239">
          <cell r="D2239" t="str">
            <v>A1.5330</v>
          </cell>
        </row>
        <row r="2240">
          <cell r="D2240" t="str">
            <v>A1.5330</v>
          </cell>
        </row>
        <row r="2241">
          <cell r="D2241" t="str">
            <v>A1.5330</v>
          </cell>
        </row>
        <row r="2242">
          <cell r="D2242" t="str">
            <v>A1.5331</v>
          </cell>
          <cell r="E2242" t="str">
            <v>A1.1666</v>
          </cell>
        </row>
        <row r="2243">
          <cell r="D2243" t="str">
            <v>A1.5331</v>
          </cell>
        </row>
        <row r="2244">
          <cell r="D2244" t="str">
            <v>A1.5332</v>
          </cell>
          <cell r="E2244" t="str">
            <v>A1.1063</v>
          </cell>
        </row>
        <row r="2245">
          <cell r="D2245" t="str">
            <v>A1.5333</v>
          </cell>
          <cell r="E2245" t="str">
            <v>A1.0850</v>
          </cell>
        </row>
        <row r="2246">
          <cell r="D2246" t="str">
            <v>A1.5334</v>
          </cell>
        </row>
        <row r="2247">
          <cell r="D2247" t="str">
            <v>A1.5335</v>
          </cell>
        </row>
        <row r="2248">
          <cell r="D2248" t="str">
            <v>A1.5336</v>
          </cell>
          <cell r="E2248" t="str">
            <v>A1.1495</v>
          </cell>
        </row>
        <row r="2249">
          <cell r="D2249" t="str">
            <v>A1.5337</v>
          </cell>
        </row>
        <row r="2250">
          <cell r="D2250" t="str">
            <v>A1.5338</v>
          </cell>
          <cell r="E2250" t="str">
            <v>A1.1886</v>
          </cell>
        </row>
        <row r="2251">
          <cell r="D2251" t="str">
            <v>A1.5339</v>
          </cell>
        </row>
        <row r="2252">
          <cell r="D2252" t="str">
            <v>A1.5340</v>
          </cell>
        </row>
        <row r="2253">
          <cell r="D2253" t="str">
            <v>A1.5341</v>
          </cell>
          <cell r="E2253" t="str">
            <v>A1.1709</v>
          </cell>
        </row>
        <row r="2254">
          <cell r="D2254" t="str">
            <v>A1.5341</v>
          </cell>
        </row>
        <row r="2255">
          <cell r="D2255" t="str">
            <v>A1.5342</v>
          </cell>
          <cell r="E2255" t="str">
            <v>A1.1212</v>
          </cell>
        </row>
        <row r="2256">
          <cell r="D2256" t="str">
            <v>A1.5343</v>
          </cell>
        </row>
        <row r="2257">
          <cell r="D2257" t="str">
            <v>A1.5344</v>
          </cell>
        </row>
        <row r="2258">
          <cell r="D2258" t="str">
            <v>A1.5345</v>
          </cell>
          <cell r="E2258" t="str">
            <v>A1.1703</v>
          </cell>
        </row>
        <row r="2259">
          <cell r="D2259" t="str">
            <v>A1.5346</v>
          </cell>
          <cell r="E2259" t="str">
            <v>A1.1765</v>
          </cell>
        </row>
        <row r="2260">
          <cell r="D2260" t="str">
            <v>A1.5346</v>
          </cell>
        </row>
        <row r="2261">
          <cell r="D2261" t="str">
            <v>A1.5347</v>
          </cell>
          <cell r="E2261" t="str">
            <v>A1.1374</v>
          </cell>
        </row>
        <row r="2262">
          <cell r="D2262" t="str">
            <v>A1.5348</v>
          </cell>
          <cell r="E2262" t="str">
            <v>A1.1285</v>
          </cell>
        </row>
        <row r="2263">
          <cell r="D2263" t="str">
            <v>A1.5349</v>
          </cell>
        </row>
        <row r="2264">
          <cell r="D2264" t="str">
            <v>A5.5350</v>
          </cell>
          <cell r="E2264" t="str">
            <v>A5.0344</v>
          </cell>
        </row>
        <row r="2265">
          <cell r="D2265" t="str">
            <v>A1.5351</v>
          </cell>
        </row>
        <row r="2266">
          <cell r="D2266" t="str">
            <v>A1.5352</v>
          </cell>
        </row>
        <row r="2267">
          <cell r="D2267" t="str">
            <v>A1.5353</v>
          </cell>
          <cell r="E2267" t="str">
            <v>A1.1430</v>
          </cell>
        </row>
        <row r="2268">
          <cell r="D2268" t="str">
            <v>A1.5353</v>
          </cell>
          <cell r="E2268" t="str">
            <v>A1.1430</v>
          </cell>
        </row>
        <row r="2269">
          <cell r="D2269" t="str">
            <v>A1.5354</v>
          </cell>
          <cell r="E2269" t="str">
            <v>A1.1455</v>
          </cell>
        </row>
        <row r="2270">
          <cell r="D2270" t="str">
            <v>A1.5355</v>
          </cell>
        </row>
        <row r="2271">
          <cell r="D2271" t="str">
            <v>A1.5356</v>
          </cell>
        </row>
        <row r="2272">
          <cell r="D2272" t="str">
            <v>A1.5357</v>
          </cell>
          <cell r="E2272" t="str">
            <v>A1.1906</v>
          </cell>
        </row>
        <row r="2273">
          <cell r="D2273" t="str">
            <v>A1.5358</v>
          </cell>
          <cell r="E2273" t="str">
            <v>A1.1907</v>
          </cell>
        </row>
        <row r="2274">
          <cell r="D2274" t="str">
            <v>A1.5359</v>
          </cell>
        </row>
        <row r="2275">
          <cell r="D2275" t="str">
            <v>A1.5360</v>
          </cell>
          <cell r="E2275" t="str">
            <v>A1.1494</v>
          </cell>
        </row>
        <row r="2276">
          <cell r="D2276" t="str">
            <v>A1.5361</v>
          </cell>
        </row>
        <row r="2277">
          <cell r="D2277" t="str">
            <v>A1.5361</v>
          </cell>
        </row>
        <row r="2278">
          <cell r="D2278" t="str">
            <v>A1.5361</v>
          </cell>
        </row>
        <row r="2279">
          <cell r="D2279" t="str">
            <v>A1.5361</v>
          </cell>
        </row>
        <row r="2280">
          <cell r="D2280" t="str">
            <v>A1.5362</v>
          </cell>
        </row>
        <row r="2281">
          <cell r="D2281" t="str">
            <v>A1.5363</v>
          </cell>
        </row>
        <row r="2282">
          <cell r="D2282" t="str">
            <v>A1.5364</v>
          </cell>
        </row>
        <row r="2283">
          <cell r="D2283" t="str">
            <v>A1.5365</v>
          </cell>
        </row>
        <row r="2284">
          <cell r="D2284" t="str">
            <v>A1.5366</v>
          </cell>
        </row>
        <row r="2285">
          <cell r="D2285" t="str">
            <v>A1.5367</v>
          </cell>
        </row>
        <row r="2286">
          <cell r="D2286" t="str">
            <v>A1.5367</v>
          </cell>
        </row>
        <row r="2287">
          <cell r="D2287" t="str">
            <v>A1.5368</v>
          </cell>
        </row>
        <row r="2288">
          <cell r="D2288" t="str">
            <v>A1.5369</v>
          </cell>
        </row>
        <row r="2289">
          <cell r="D2289" t="str">
            <v>A1.5370</v>
          </cell>
          <cell r="E2289" t="str">
            <v>A1.1599</v>
          </cell>
        </row>
        <row r="2290">
          <cell r="D2290" t="str">
            <v>A1.5370</v>
          </cell>
        </row>
        <row r="2291">
          <cell r="D2291" t="str">
            <v>A1.5371</v>
          </cell>
        </row>
        <row r="2292">
          <cell r="D2292" t="str">
            <v>A1.5372</v>
          </cell>
          <cell r="E2292" t="str">
            <v>A1.1060</v>
          </cell>
        </row>
        <row r="2293">
          <cell r="D2293" t="str">
            <v>A1.5372</v>
          </cell>
        </row>
        <row r="2294">
          <cell r="D2294" t="str">
            <v>A1.5373</v>
          </cell>
        </row>
        <row r="2295">
          <cell r="D2295" t="str">
            <v>A1.5374</v>
          </cell>
        </row>
        <row r="2296">
          <cell r="D2296" t="str">
            <v>A1.5375</v>
          </cell>
        </row>
        <row r="2297">
          <cell r="D2297" t="str">
            <v>A1.5375</v>
          </cell>
        </row>
        <row r="2298">
          <cell r="D2298" t="str">
            <v>A1.5376</v>
          </cell>
        </row>
        <row r="2299">
          <cell r="D2299" t="str">
            <v>A1.5376</v>
          </cell>
        </row>
        <row r="2300">
          <cell r="D2300" t="str">
            <v>A1.5377</v>
          </cell>
          <cell r="E2300" t="str">
            <v>A1.1476</v>
          </cell>
        </row>
        <row r="2301">
          <cell r="D2301" t="str">
            <v>A1.5377</v>
          </cell>
        </row>
        <row r="2302">
          <cell r="D2302" t="str">
            <v>A1.5378</v>
          </cell>
        </row>
        <row r="2303">
          <cell r="D2303" t="str">
            <v>A1.5379</v>
          </cell>
        </row>
        <row r="2304">
          <cell r="D2304" t="str">
            <v>A1.5380</v>
          </cell>
          <cell r="E2304" t="str">
            <v>A1.1915</v>
          </cell>
        </row>
        <row r="2305">
          <cell r="D2305" t="str">
            <v>A1.5381</v>
          </cell>
          <cell r="E2305" t="str">
            <v>A1.1641</v>
          </cell>
        </row>
        <row r="2306">
          <cell r="D2306" t="str">
            <v>A1.5382</v>
          </cell>
          <cell r="E2306" t="str">
            <v>A1.1294</v>
          </cell>
        </row>
        <row r="2307">
          <cell r="D2307" t="str">
            <v>A1.5383</v>
          </cell>
        </row>
        <row r="2308">
          <cell r="D2308" t="str">
            <v>A1.5384</v>
          </cell>
        </row>
        <row r="2309">
          <cell r="D2309" t="str">
            <v>A1.5385</v>
          </cell>
          <cell r="E2309" t="str">
            <v>A1.0688</v>
          </cell>
        </row>
        <row r="2310">
          <cell r="D2310" t="str">
            <v>A1.5385</v>
          </cell>
        </row>
        <row r="2311">
          <cell r="D2311" t="str">
            <v>A1.5385</v>
          </cell>
        </row>
        <row r="2312">
          <cell r="D2312" t="str">
            <v>A1.5386</v>
          </cell>
          <cell r="E2312" t="str">
            <v>A1.1308</v>
          </cell>
        </row>
        <row r="2313">
          <cell r="D2313" t="str">
            <v>A1.5386</v>
          </cell>
        </row>
        <row r="2314">
          <cell r="D2314" t="str">
            <v>A1.5387</v>
          </cell>
        </row>
        <row r="2315">
          <cell r="D2315" t="str">
            <v>A1.5388</v>
          </cell>
        </row>
        <row r="2316">
          <cell r="D2316" t="str">
            <v>A1.5388</v>
          </cell>
          <cell r="E2316" t="str">
            <v>A1.1313</v>
          </cell>
        </row>
        <row r="2317">
          <cell r="D2317" t="str">
            <v>A1.5389</v>
          </cell>
          <cell r="E2317" t="str">
            <v>A1.1368</v>
          </cell>
        </row>
        <row r="2318">
          <cell r="D2318" t="str">
            <v>A1.5390</v>
          </cell>
          <cell r="E2318" t="str">
            <v>A1.1651</v>
          </cell>
        </row>
        <row r="2319">
          <cell r="D2319" t="str">
            <v>A1.5391</v>
          </cell>
          <cell r="E2319" t="str">
            <v>A1.1144</v>
          </cell>
        </row>
        <row r="2320">
          <cell r="D2320" t="str">
            <v>A1.5392</v>
          </cell>
          <cell r="E2320" t="str">
            <v>A1.0908</v>
          </cell>
        </row>
        <row r="2321">
          <cell r="D2321" t="str">
            <v>A1.5392</v>
          </cell>
        </row>
        <row r="2322">
          <cell r="D2322" t="str">
            <v>A1.5393</v>
          </cell>
        </row>
        <row r="2323">
          <cell r="D2323" t="str">
            <v>A1.5393</v>
          </cell>
        </row>
        <row r="2324">
          <cell r="D2324" t="str">
            <v>A1.5394</v>
          </cell>
        </row>
        <row r="2325">
          <cell r="D2325" t="str">
            <v>A1.5395</v>
          </cell>
        </row>
        <row r="2326">
          <cell r="D2326" t="str">
            <v>A1.5396</v>
          </cell>
          <cell r="E2326" t="str">
            <v>A1.0125</v>
          </cell>
        </row>
        <row r="2327">
          <cell r="D2327" t="str">
            <v>A1.5396</v>
          </cell>
        </row>
        <row r="2328">
          <cell r="D2328" t="str">
            <v>A1.5397</v>
          </cell>
        </row>
        <row r="2329">
          <cell r="D2329" t="str">
            <v>A1.5397</v>
          </cell>
        </row>
        <row r="2330">
          <cell r="D2330" t="str">
            <v>A1.5398</v>
          </cell>
        </row>
        <row r="2331">
          <cell r="D2331" t="str">
            <v>A1.5399</v>
          </cell>
          <cell r="E2331" t="str">
            <v>A1.0082</v>
          </cell>
        </row>
        <row r="2332">
          <cell r="D2332" t="str">
            <v>A1.5399</v>
          </cell>
        </row>
        <row r="2333">
          <cell r="D2333" t="str">
            <v>A1.5399</v>
          </cell>
        </row>
        <row r="2334">
          <cell r="D2334" t="str">
            <v>A1.5399</v>
          </cell>
        </row>
        <row r="2335">
          <cell r="D2335" t="str">
            <v>A1.5399</v>
          </cell>
        </row>
        <row r="2336">
          <cell r="D2336" t="str">
            <v>A1.5399</v>
          </cell>
        </row>
        <row r="2337">
          <cell r="D2337" t="str">
            <v>A1.5399</v>
          </cell>
        </row>
        <row r="2338">
          <cell r="D2338" t="str">
            <v>A1.5400</v>
          </cell>
          <cell r="E2338" t="str">
            <v>A1.1554</v>
          </cell>
        </row>
        <row r="2339">
          <cell r="D2339" t="str">
            <v>A1.5400</v>
          </cell>
        </row>
        <row r="2340">
          <cell r="D2340" t="str">
            <v>A1.5401</v>
          </cell>
        </row>
        <row r="2341">
          <cell r="D2341" t="str">
            <v>A1.5402</v>
          </cell>
        </row>
        <row r="2342">
          <cell r="D2342" t="str">
            <v>A1.5403</v>
          </cell>
        </row>
        <row r="2343">
          <cell r="D2343" t="str">
            <v>A1.5403</v>
          </cell>
        </row>
        <row r="2344">
          <cell r="D2344" t="str">
            <v>A1.5404</v>
          </cell>
          <cell r="E2344" t="str">
            <v>A1.0037</v>
          </cell>
        </row>
        <row r="2345">
          <cell r="D2345" t="str">
            <v>A1.5404</v>
          </cell>
        </row>
        <row r="2346">
          <cell r="D2346" t="str">
            <v>A1.5405</v>
          </cell>
        </row>
        <row r="2347">
          <cell r="D2347" t="str">
            <v>A1.5405</v>
          </cell>
          <cell r="E2347" t="str">
            <v>A1.0742</v>
          </cell>
        </row>
        <row r="2348">
          <cell r="D2348" t="str">
            <v>A1.5405</v>
          </cell>
        </row>
        <row r="2349">
          <cell r="D2349" t="str">
            <v>A1.5405</v>
          </cell>
        </row>
        <row r="2350">
          <cell r="D2350" t="str">
            <v>A1.5405</v>
          </cell>
        </row>
        <row r="2351">
          <cell r="D2351" t="str">
            <v>A1.5406</v>
          </cell>
        </row>
        <row r="2352">
          <cell r="D2352" t="str">
            <v>A1.5407</v>
          </cell>
          <cell r="E2352" t="str">
            <v>A1.0169</v>
          </cell>
        </row>
        <row r="2353">
          <cell r="D2353" t="str">
            <v>A1.5407</v>
          </cell>
        </row>
        <row r="2354">
          <cell r="D2354" t="str">
            <v>A1.5408</v>
          </cell>
        </row>
        <row r="2355">
          <cell r="D2355" t="str">
            <v>A1.5408</v>
          </cell>
        </row>
        <row r="2356">
          <cell r="D2356" t="str">
            <v>A1.5408</v>
          </cell>
          <cell r="E2356" t="str">
            <v>A1.0685</v>
          </cell>
        </row>
        <row r="2357">
          <cell r="D2357" t="str">
            <v>A1.5408</v>
          </cell>
        </row>
        <row r="2358">
          <cell r="D2358" t="str">
            <v>A1.5408</v>
          </cell>
        </row>
        <row r="2359">
          <cell r="D2359" t="str">
            <v>A1.5409</v>
          </cell>
          <cell r="E2359" t="str">
            <v>A1.0228</v>
          </cell>
        </row>
        <row r="2360">
          <cell r="D2360" t="str">
            <v>A1.5409</v>
          </cell>
        </row>
        <row r="2361">
          <cell r="D2361" t="str">
            <v>A1.5409</v>
          </cell>
        </row>
        <row r="2362">
          <cell r="D2362" t="str">
            <v>A1.5409</v>
          </cell>
        </row>
        <row r="2363">
          <cell r="D2363" t="str">
            <v>A1.5410</v>
          </cell>
        </row>
        <row r="2364">
          <cell r="D2364" t="str">
            <v>A1.5411</v>
          </cell>
          <cell r="E2364" t="str">
            <v>A1.1413</v>
          </cell>
        </row>
        <row r="2365">
          <cell r="D2365" t="str">
            <v>A1.5411</v>
          </cell>
        </row>
        <row r="2366">
          <cell r="D2366" t="str">
            <v>A1.5412</v>
          </cell>
        </row>
        <row r="2367">
          <cell r="D2367" t="str">
            <v>A1.5413</v>
          </cell>
          <cell r="E2367" t="str">
            <v>A1.1772</v>
          </cell>
        </row>
        <row r="2368">
          <cell r="D2368" t="str">
            <v>A1.5414</v>
          </cell>
          <cell r="E2368" t="str">
            <v>A1.1773</v>
          </cell>
        </row>
        <row r="2369">
          <cell r="D2369" t="str">
            <v>A1.5415</v>
          </cell>
          <cell r="E2369" t="str">
            <v>A1.1629</v>
          </cell>
        </row>
        <row r="2370">
          <cell r="D2370" t="str">
            <v>A1.5416</v>
          </cell>
        </row>
        <row r="2371">
          <cell r="D2371" t="str">
            <v>A1.5417</v>
          </cell>
        </row>
        <row r="2372">
          <cell r="D2372" t="str">
            <v>A1.5418</v>
          </cell>
          <cell r="E2372" t="str">
            <v>A1.1985</v>
          </cell>
        </row>
        <row r="2373">
          <cell r="D2373" t="str">
            <v>A1.5419</v>
          </cell>
          <cell r="E2373" t="str">
            <v>A1.1981</v>
          </cell>
        </row>
        <row r="2374">
          <cell r="D2374" t="str">
            <v>A1.5420</v>
          </cell>
          <cell r="E2374" t="str">
            <v>A1.1983</v>
          </cell>
        </row>
        <row r="2375">
          <cell r="D2375" t="str">
            <v>A1.5421</v>
          </cell>
          <cell r="E2375" t="str">
            <v>A1.1984</v>
          </cell>
        </row>
        <row r="2376">
          <cell r="D2376" t="str">
            <v>A1.5422</v>
          </cell>
          <cell r="E2376" t="str">
            <v>A1.1982</v>
          </cell>
        </row>
        <row r="2377">
          <cell r="D2377" t="str">
            <v>A1.5423</v>
          </cell>
          <cell r="E2377" t="str">
            <v>A1.1997</v>
          </cell>
        </row>
        <row r="2378">
          <cell r="D2378" t="str">
            <v>A1.5424</v>
          </cell>
          <cell r="E2378" t="str">
            <v>A1.1553</v>
          </cell>
        </row>
        <row r="2379">
          <cell r="D2379" t="str">
            <v>A1.5424</v>
          </cell>
        </row>
        <row r="2380">
          <cell r="D2380" t="str">
            <v>A1.5425</v>
          </cell>
          <cell r="E2380" t="str">
            <v>A1.1551</v>
          </cell>
        </row>
        <row r="2381">
          <cell r="D2381" t="str">
            <v>A1.5425</v>
          </cell>
          <cell r="E2381" t="str">
            <v>A1.1551</v>
          </cell>
        </row>
        <row r="2382">
          <cell r="D2382" t="str">
            <v>A1.5425</v>
          </cell>
        </row>
        <row r="2383">
          <cell r="D2383" t="str">
            <v>A1.5426</v>
          </cell>
          <cell r="E2383" t="str">
            <v>A1.1971</v>
          </cell>
        </row>
        <row r="2384">
          <cell r="D2384" t="str">
            <v>A1.5427</v>
          </cell>
          <cell r="E2384" t="str">
            <v>A1.1630</v>
          </cell>
        </row>
        <row r="2385">
          <cell r="D2385" t="str">
            <v>A5.5428</v>
          </cell>
          <cell r="E2385" t="str">
            <v>A5.0277</v>
          </cell>
        </row>
        <row r="2386">
          <cell r="D2386" t="str">
            <v>A1.5429</v>
          </cell>
        </row>
        <row r="2387">
          <cell r="D2387" t="str">
            <v>A1.5430</v>
          </cell>
        </row>
        <row r="2388">
          <cell r="D2388" t="str">
            <v>A1.5728</v>
          </cell>
        </row>
        <row r="2389">
          <cell r="D2389" t="str">
            <v>A1.5431</v>
          </cell>
        </row>
        <row r="2390">
          <cell r="D2390" t="str">
            <v>A1.5431</v>
          </cell>
        </row>
        <row r="2391">
          <cell r="D2391" t="str">
            <v>A1.5432</v>
          </cell>
        </row>
        <row r="2392">
          <cell r="D2392" t="str">
            <v>A1.5433</v>
          </cell>
          <cell r="E2392" t="str">
            <v>A1.1391</v>
          </cell>
        </row>
        <row r="2393">
          <cell r="D2393" t="str">
            <v>A1.5434</v>
          </cell>
        </row>
        <row r="2394">
          <cell r="D2394" t="str">
            <v>A1.5434</v>
          </cell>
        </row>
        <row r="2395">
          <cell r="D2395" t="str">
            <v>A5.5435</v>
          </cell>
        </row>
        <row r="2396">
          <cell r="D2396" t="str">
            <v>A5.5436</v>
          </cell>
        </row>
        <row r="2397">
          <cell r="D2397" t="str">
            <v>A5.5437</v>
          </cell>
          <cell r="E2397" t="str">
            <v>A5.1235</v>
          </cell>
        </row>
        <row r="2398">
          <cell r="D2398" t="str">
            <v>A5.5438</v>
          </cell>
          <cell r="E2398" t="str">
            <v>A5.0805</v>
          </cell>
        </row>
        <row r="2399">
          <cell r="D2399" t="str">
            <v>A5.5439</v>
          </cell>
        </row>
        <row r="2400">
          <cell r="D2400" t="str">
            <v>A5.5440</v>
          </cell>
        </row>
        <row r="2401">
          <cell r="D2401" t="str">
            <v>A5.5441</v>
          </cell>
        </row>
        <row r="2402">
          <cell r="D2402" t="str">
            <v>A5.5442</v>
          </cell>
        </row>
        <row r="2403">
          <cell r="D2403" t="str">
            <v>A1.5443</v>
          </cell>
        </row>
        <row r="2404">
          <cell r="D2404" t="str">
            <v>A5.5443</v>
          </cell>
        </row>
        <row r="2405">
          <cell r="D2405" t="str">
            <v>A5.5444</v>
          </cell>
        </row>
        <row r="2406">
          <cell r="D2406" t="str">
            <v>A5.5445</v>
          </cell>
        </row>
        <row r="2407">
          <cell r="D2407" t="str">
            <v>A1.5446</v>
          </cell>
          <cell r="E2407" t="str">
            <v>A1.1937</v>
          </cell>
        </row>
        <row r="2408">
          <cell r="D2408" t="str">
            <v>A5.5447</v>
          </cell>
          <cell r="E2408" t="str">
            <v>A5.0803</v>
          </cell>
        </row>
        <row r="2409">
          <cell r="D2409" t="str">
            <v>A5.5447</v>
          </cell>
          <cell r="E2409" t="str">
            <v>A5.0803</v>
          </cell>
        </row>
        <row r="2410">
          <cell r="D2410" t="str">
            <v>A5.5447</v>
          </cell>
        </row>
        <row r="2411">
          <cell r="D2411" t="str">
            <v>A1.5448</v>
          </cell>
          <cell r="E2411" t="str">
            <v>A1.0127</v>
          </cell>
        </row>
        <row r="2412">
          <cell r="D2412" t="str">
            <v>A1.5448</v>
          </cell>
        </row>
        <row r="2413">
          <cell r="D2413" t="str">
            <v>A1.5449</v>
          </cell>
        </row>
        <row r="2414">
          <cell r="D2414" t="str">
            <v>A5.5449</v>
          </cell>
        </row>
        <row r="2415">
          <cell r="D2415" t="str">
            <v>A1.5450</v>
          </cell>
        </row>
        <row r="2416">
          <cell r="D2416" t="str">
            <v>A1.5451</v>
          </cell>
        </row>
        <row r="2417">
          <cell r="D2417" t="str">
            <v>A1.5451</v>
          </cell>
          <cell r="E2417" t="str">
            <v>A1.0941</v>
          </cell>
        </row>
        <row r="2418">
          <cell r="D2418" t="str">
            <v>A1.5451</v>
          </cell>
        </row>
        <row r="2419">
          <cell r="D2419" t="str">
            <v>A1.5452</v>
          </cell>
        </row>
        <row r="2420">
          <cell r="D2420" t="str">
            <v>A1.5453</v>
          </cell>
        </row>
        <row r="2421">
          <cell r="D2421" t="str">
            <v>A1.5454</v>
          </cell>
        </row>
        <row r="2422">
          <cell r="D2422" t="str">
            <v>A1.5455</v>
          </cell>
          <cell r="E2422" t="str">
            <v>A1.0366</v>
          </cell>
        </row>
        <row r="2423">
          <cell r="D2423" t="str">
            <v>A5.5456</v>
          </cell>
        </row>
        <row r="2424">
          <cell r="D2424" t="str">
            <v>A1.5457</v>
          </cell>
        </row>
        <row r="2425">
          <cell r="D2425" t="str">
            <v>A5.5457</v>
          </cell>
        </row>
        <row r="2426">
          <cell r="D2426" t="str">
            <v>A5.5458</v>
          </cell>
        </row>
        <row r="2427">
          <cell r="D2427" t="str">
            <v>A5.5459</v>
          </cell>
        </row>
        <row r="2428">
          <cell r="D2428" t="str">
            <v>A5.5460</v>
          </cell>
        </row>
        <row r="2429">
          <cell r="D2429" t="str">
            <v>A5.5461</v>
          </cell>
        </row>
        <row r="2430">
          <cell r="D2430" t="str">
            <v>A5.5462</v>
          </cell>
        </row>
        <row r="2431">
          <cell r="D2431" t="str">
            <v>A1.5463</v>
          </cell>
        </row>
        <row r="2432">
          <cell r="D2432" t="str">
            <v>A5.5463</v>
          </cell>
        </row>
        <row r="2433">
          <cell r="D2433" t="str">
            <v>A1.5464</v>
          </cell>
        </row>
        <row r="2434">
          <cell r="D2434" t="str">
            <v>A5.5464</v>
          </cell>
        </row>
        <row r="2435">
          <cell r="D2435" t="str">
            <v>A5.5464</v>
          </cell>
        </row>
        <row r="2436">
          <cell r="D2436" t="str">
            <v>A5.5465</v>
          </cell>
        </row>
        <row r="2437">
          <cell r="D2437" t="str">
            <v>A5.5466</v>
          </cell>
        </row>
        <row r="2438">
          <cell r="D2438" t="str">
            <v>A5.5467</v>
          </cell>
        </row>
        <row r="2439">
          <cell r="D2439" t="str">
            <v>A5.5467</v>
          </cell>
        </row>
        <row r="2440">
          <cell r="D2440" t="str">
            <v>A1.5468</v>
          </cell>
        </row>
        <row r="2441">
          <cell r="D2441" t="str">
            <v>A5.5468</v>
          </cell>
        </row>
        <row r="2442">
          <cell r="D2442" t="str">
            <v>A1.5469</v>
          </cell>
        </row>
        <row r="2443">
          <cell r="D2443" t="str">
            <v>A5.5469</v>
          </cell>
        </row>
        <row r="2444">
          <cell r="D2444" t="str">
            <v>A1.5470</v>
          </cell>
        </row>
        <row r="2445">
          <cell r="D2445" t="str">
            <v>A5.5470</v>
          </cell>
        </row>
        <row r="2446">
          <cell r="D2446" t="str">
            <v>A5.5471</v>
          </cell>
        </row>
        <row r="2447">
          <cell r="D2447" t="str">
            <v>A1.5472</v>
          </cell>
        </row>
        <row r="2448">
          <cell r="D2448" t="str">
            <v>A5.5472</v>
          </cell>
        </row>
        <row r="2449">
          <cell r="D2449" t="str">
            <v>A5.5473</v>
          </cell>
        </row>
        <row r="2450">
          <cell r="D2450" t="str">
            <v>A1.5474</v>
          </cell>
        </row>
        <row r="2451">
          <cell r="D2451" t="str">
            <v>A5.5474</v>
          </cell>
        </row>
        <row r="2452">
          <cell r="D2452" t="str">
            <v>A1.5475</v>
          </cell>
        </row>
        <row r="2453">
          <cell r="D2453" t="str">
            <v>A5.5475</v>
          </cell>
        </row>
        <row r="2454">
          <cell r="D2454" t="str">
            <v>A5.5476</v>
          </cell>
        </row>
        <row r="2455">
          <cell r="D2455" t="str">
            <v>A5.5477</v>
          </cell>
        </row>
        <row r="2456">
          <cell r="D2456" t="str">
            <v>A5.5478</v>
          </cell>
          <cell r="E2456" t="str">
            <v>A5.0009</v>
          </cell>
        </row>
        <row r="2457">
          <cell r="D2457" t="str">
            <v>A5.5479</v>
          </cell>
          <cell r="E2457" t="str">
            <v>A5.1118</v>
          </cell>
        </row>
        <row r="2458">
          <cell r="D2458" t="str">
            <v>A5.5480</v>
          </cell>
        </row>
        <row r="2459">
          <cell r="D2459" t="str">
            <v>A5.5481</v>
          </cell>
        </row>
        <row r="2460">
          <cell r="D2460" t="str">
            <v>A1.5482</v>
          </cell>
        </row>
        <row r="2461">
          <cell r="D2461" t="str">
            <v>A1.5483</v>
          </cell>
          <cell r="E2461" t="str">
            <v>A1.1516</v>
          </cell>
        </row>
        <row r="2462">
          <cell r="D2462" t="str">
            <v>A1.5484</v>
          </cell>
        </row>
        <row r="2463">
          <cell r="D2463" t="str">
            <v>A1.5485</v>
          </cell>
          <cell r="E2463" t="str">
            <v>A1.1473</v>
          </cell>
        </row>
        <row r="2464">
          <cell r="D2464" t="str">
            <v>A1.5486</v>
          </cell>
          <cell r="E2464" t="str">
            <v>A1.1286</v>
          </cell>
        </row>
        <row r="2465">
          <cell r="D2465" t="str">
            <v>A1.5486</v>
          </cell>
          <cell r="E2465" t="str">
            <v>A1.1286</v>
          </cell>
        </row>
        <row r="2466">
          <cell r="D2466" t="str">
            <v>A1.5487</v>
          </cell>
          <cell r="E2466" t="str">
            <v>A1.1278</v>
          </cell>
        </row>
        <row r="2467">
          <cell r="D2467" t="str">
            <v>A1.5488</v>
          </cell>
        </row>
        <row r="2468">
          <cell r="D2468" t="str">
            <v>A1.5489</v>
          </cell>
          <cell r="E2468" t="str">
            <v>A1.0112</v>
          </cell>
        </row>
        <row r="2469">
          <cell r="D2469" t="str">
            <v>A1.5490</v>
          </cell>
          <cell r="E2469" t="str">
            <v>A1.0563</v>
          </cell>
        </row>
        <row r="2470">
          <cell r="D2470" t="str">
            <v>A1.5491</v>
          </cell>
        </row>
        <row r="2471">
          <cell r="D2471" t="str">
            <v>A1.5491</v>
          </cell>
        </row>
        <row r="2472">
          <cell r="D2472" t="str">
            <v>A1.5491</v>
          </cell>
          <cell r="E2472" t="str">
            <v>A1.1241</v>
          </cell>
        </row>
        <row r="2473">
          <cell r="D2473" t="str">
            <v>A1.5492</v>
          </cell>
          <cell r="E2473" t="str">
            <v>A1.1007</v>
          </cell>
        </row>
        <row r="2474">
          <cell r="D2474" t="str">
            <v>A1.5493</v>
          </cell>
          <cell r="E2474" t="str">
            <v>A1.1766</v>
          </cell>
        </row>
        <row r="2475">
          <cell r="D2475" t="str">
            <v>A1.5494</v>
          </cell>
          <cell r="E2475" t="str">
            <v>A1.1674</v>
          </cell>
        </row>
        <row r="2476">
          <cell r="D2476" t="str">
            <v>A1.5495</v>
          </cell>
          <cell r="E2476" t="str">
            <v>A1.1242</v>
          </cell>
        </row>
        <row r="2477">
          <cell r="D2477" t="str">
            <v>A1.5496</v>
          </cell>
          <cell r="E2477" t="str">
            <v>A1.0891</v>
          </cell>
        </row>
        <row r="2478">
          <cell r="D2478" t="str">
            <v>A1.5497</v>
          </cell>
          <cell r="E2478" t="str">
            <v>A1.1223</v>
          </cell>
        </row>
        <row r="2479">
          <cell r="D2479" t="str">
            <v>A1.5498</v>
          </cell>
          <cell r="E2479" t="str">
            <v>A1.1627</v>
          </cell>
        </row>
        <row r="2480">
          <cell r="D2480" t="str">
            <v>A1.5499</v>
          </cell>
          <cell r="E2480" t="str">
            <v>A1.1637</v>
          </cell>
        </row>
        <row r="2481">
          <cell r="D2481" t="str">
            <v>A1.5500</v>
          </cell>
          <cell r="E2481" t="str">
            <v>A1.1356</v>
          </cell>
        </row>
        <row r="2482">
          <cell r="D2482" t="str">
            <v>A1.5501</v>
          </cell>
          <cell r="E2482" t="str">
            <v>A1.1562</v>
          </cell>
        </row>
        <row r="2483">
          <cell r="D2483" t="str">
            <v>A1.5502</v>
          </cell>
          <cell r="E2483" t="str">
            <v>A1.1563</v>
          </cell>
        </row>
        <row r="2484">
          <cell r="D2484" t="str">
            <v>A1.5503</v>
          </cell>
          <cell r="E2484" t="str">
            <v>A1.1370</v>
          </cell>
        </row>
        <row r="2485">
          <cell r="D2485" t="str">
            <v>A1.5504</v>
          </cell>
          <cell r="E2485" t="str">
            <v>A1.1514</v>
          </cell>
        </row>
        <row r="2486">
          <cell r="D2486" t="str">
            <v>A1.5505</v>
          </cell>
          <cell r="E2486" t="str">
            <v>A1.1839</v>
          </cell>
        </row>
        <row r="2487">
          <cell r="D2487" t="str">
            <v>A1.5729</v>
          </cell>
          <cell r="E2487" t="str">
            <v>A1.1167</v>
          </cell>
        </row>
        <row r="2488">
          <cell r="D2488" t="str">
            <v>A1.5506</v>
          </cell>
        </row>
        <row r="2489">
          <cell r="D2489" t="str">
            <v>A1.5507</v>
          </cell>
          <cell r="E2489" t="str">
            <v>A1.1290</v>
          </cell>
        </row>
        <row r="2490">
          <cell r="D2490" t="str">
            <v>A1.5508</v>
          </cell>
          <cell r="E2490" t="str">
            <v>A1.1522</v>
          </cell>
        </row>
        <row r="2491">
          <cell r="D2491" t="str">
            <v>A1.5509</v>
          </cell>
        </row>
        <row r="2492">
          <cell r="D2492" t="str">
            <v>A1.5510</v>
          </cell>
          <cell r="E2492" t="str">
            <v>A1.0166</v>
          </cell>
        </row>
        <row r="2493">
          <cell r="D2493" t="str">
            <v>A1.5511</v>
          </cell>
          <cell r="E2493" t="str">
            <v>A1.1823</v>
          </cell>
        </row>
        <row r="2494">
          <cell r="D2494" t="str">
            <v>A1.5512</v>
          </cell>
        </row>
        <row r="2495">
          <cell r="D2495" t="str">
            <v>A1.5513</v>
          </cell>
        </row>
        <row r="2496">
          <cell r="D2496" t="str">
            <v>A1.5514</v>
          </cell>
        </row>
        <row r="2497">
          <cell r="D2497" t="str">
            <v>A1.5515</v>
          </cell>
        </row>
        <row r="2498">
          <cell r="D2498" t="str">
            <v>A1.5515</v>
          </cell>
        </row>
        <row r="2499">
          <cell r="D2499" t="str">
            <v>A1.5516</v>
          </cell>
        </row>
        <row r="2500">
          <cell r="D2500" t="str">
            <v>A1.5517</v>
          </cell>
          <cell r="E2500" t="str">
            <v>A1.0060</v>
          </cell>
        </row>
        <row r="2501">
          <cell r="D2501" t="str">
            <v>A1.5517</v>
          </cell>
          <cell r="E2501" t="str">
            <v>A1.0060</v>
          </cell>
        </row>
        <row r="2502">
          <cell r="D2502" t="str">
            <v>A1.5518</v>
          </cell>
          <cell r="E2502" t="str">
            <v>A1.0921</v>
          </cell>
        </row>
        <row r="2503">
          <cell r="D2503" t="str">
            <v>A1.5518</v>
          </cell>
        </row>
        <row r="2504">
          <cell r="D2504" t="str">
            <v>A1.5519</v>
          </cell>
        </row>
        <row r="2505">
          <cell r="D2505" t="str">
            <v>A1.5519</v>
          </cell>
        </row>
        <row r="2506">
          <cell r="D2506" t="str">
            <v>A1.5520</v>
          </cell>
          <cell r="E2506" t="str">
            <v>A1.1845</v>
          </cell>
        </row>
        <row r="2507">
          <cell r="D2507" t="str">
            <v>A1.5520</v>
          </cell>
        </row>
        <row r="2508">
          <cell r="D2508" t="str">
            <v>A1.5521</v>
          </cell>
          <cell r="E2508" t="str">
            <v>A1.1624</v>
          </cell>
        </row>
        <row r="2509">
          <cell r="D2509" t="str">
            <v>A1.5522</v>
          </cell>
          <cell r="E2509" t="str">
            <v>A1.1472</v>
          </cell>
        </row>
        <row r="2510">
          <cell r="D2510" t="str">
            <v>A1.5522</v>
          </cell>
          <cell r="E2510" t="str">
            <v>A1.1472</v>
          </cell>
        </row>
        <row r="2511">
          <cell r="D2511" t="str">
            <v>A1.5523</v>
          </cell>
          <cell r="E2511" t="str">
            <v>A1.1656</v>
          </cell>
        </row>
        <row r="2512">
          <cell r="D2512" t="str">
            <v>A1.5523</v>
          </cell>
        </row>
        <row r="2513">
          <cell r="D2513" t="str">
            <v>A1.5524</v>
          </cell>
        </row>
        <row r="2514">
          <cell r="D2514" t="str">
            <v>A1.5525</v>
          </cell>
        </row>
        <row r="2515">
          <cell r="D2515" t="str">
            <v>A1.5526</v>
          </cell>
        </row>
        <row r="2516">
          <cell r="D2516" t="str">
            <v>A1.5527</v>
          </cell>
        </row>
        <row r="2517">
          <cell r="D2517" t="str">
            <v>A1.5527</v>
          </cell>
        </row>
        <row r="2518">
          <cell r="D2518" t="str">
            <v>A1.5528</v>
          </cell>
          <cell r="E2518" t="str">
            <v>A1.0910</v>
          </cell>
        </row>
        <row r="2519">
          <cell r="D2519" t="str">
            <v>A1.5529</v>
          </cell>
        </row>
        <row r="2520">
          <cell r="D2520" t="str">
            <v>A1.5530</v>
          </cell>
        </row>
        <row r="2521">
          <cell r="D2521" t="str">
            <v>A1.5531</v>
          </cell>
        </row>
        <row r="2522">
          <cell r="D2522" t="str">
            <v>A1.5532</v>
          </cell>
        </row>
        <row r="2523">
          <cell r="D2523" t="str">
            <v>A1.5532</v>
          </cell>
        </row>
        <row r="2524">
          <cell r="D2524" t="str">
            <v>A1.5532</v>
          </cell>
        </row>
        <row r="2525">
          <cell r="D2525" t="str">
            <v>A1.5533</v>
          </cell>
        </row>
        <row r="2526">
          <cell r="D2526" t="str">
            <v>A1.5534</v>
          </cell>
        </row>
        <row r="2527">
          <cell r="D2527" t="str">
            <v>A1.5534</v>
          </cell>
        </row>
        <row r="2528">
          <cell r="D2528" t="str">
            <v>A1.5535</v>
          </cell>
        </row>
        <row r="2529">
          <cell r="D2529" t="str">
            <v>A1.5535</v>
          </cell>
          <cell r="E2529" t="str">
            <v>A1.1443</v>
          </cell>
        </row>
        <row r="2530">
          <cell r="D2530" t="str">
            <v>A1.5536</v>
          </cell>
          <cell r="E2530" t="str">
            <v>A1.1168</v>
          </cell>
        </row>
        <row r="2531">
          <cell r="D2531" t="str">
            <v>A1.5537</v>
          </cell>
          <cell r="E2531" t="str">
            <v>A1.0942</v>
          </cell>
        </row>
        <row r="2532">
          <cell r="D2532" t="str">
            <v>A1.5538</v>
          </cell>
          <cell r="E2532" t="str">
            <v>A1.1969</v>
          </cell>
        </row>
        <row r="2533">
          <cell r="D2533" t="str">
            <v>A1.5539</v>
          </cell>
          <cell r="E2533" t="str">
            <v>A1.1330</v>
          </cell>
        </row>
        <row r="2534">
          <cell r="D2534" t="str">
            <v>A1.5540</v>
          </cell>
          <cell r="E2534" t="str">
            <v>A1.1256</v>
          </cell>
        </row>
        <row r="2535">
          <cell r="D2535" t="str">
            <v>A1.5541</v>
          </cell>
          <cell r="E2535" t="str">
            <v>A1.1418</v>
          </cell>
        </row>
        <row r="2536">
          <cell r="D2536" t="str">
            <v>A1.5542</v>
          </cell>
          <cell r="E2536" t="str">
            <v>A1.1880</v>
          </cell>
        </row>
        <row r="2537">
          <cell r="D2537" t="str">
            <v>A1.5543</v>
          </cell>
          <cell r="E2537" t="str">
            <v>A1.1970</v>
          </cell>
        </row>
        <row r="2538">
          <cell r="D2538" t="str">
            <v>A1.5544</v>
          </cell>
          <cell r="E2538" t="str">
            <v>A1.1558</v>
          </cell>
        </row>
        <row r="2539">
          <cell r="D2539" t="str">
            <v>A1.5545</v>
          </cell>
          <cell r="E2539" t="str">
            <v>A1.1657</v>
          </cell>
        </row>
        <row r="2540">
          <cell r="D2540" t="str">
            <v>A1.5546</v>
          </cell>
        </row>
        <row r="2541">
          <cell r="D2541" t="str">
            <v>A1.5546</v>
          </cell>
        </row>
        <row r="2542">
          <cell r="D2542" t="str">
            <v>A1.5546</v>
          </cell>
          <cell r="E2542" t="str">
            <v>A1.1350</v>
          </cell>
        </row>
        <row r="2543">
          <cell r="D2543" t="str">
            <v>A1.5546</v>
          </cell>
          <cell r="E2543" t="str">
            <v>A1.1350</v>
          </cell>
        </row>
        <row r="2544">
          <cell r="D2544" t="str">
            <v>A1.5546</v>
          </cell>
        </row>
        <row r="2545">
          <cell r="D2545" t="str">
            <v>A1.5547</v>
          </cell>
          <cell r="E2545" t="str">
            <v>A1.1897</v>
          </cell>
        </row>
        <row r="2546">
          <cell r="D2546" t="str">
            <v>A1.5548</v>
          </cell>
          <cell r="E2546" t="str">
            <v>A1.1708</v>
          </cell>
        </row>
        <row r="2547">
          <cell r="D2547" t="str">
            <v>A1.5549</v>
          </cell>
          <cell r="E2547" t="str">
            <v>A1.1756</v>
          </cell>
        </row>
        <row r="2548">
          <cell r="D2548" t="str">
            <v>A1.5550</v>
          </cell>
          <cell r="E2548" t="str">
            <v>A1.1435</v>
          </cell>
        </row>
        <row r="2549">
          <cell r="D2549" t="str">
            <v>A1.5551</v>
          </cell>
          <cell r="E2549" t="str">
            <v>A1.1449</v>
          </cell>
        </row>
        <row r="2550">
          <cell r="D2550" t="str">
            <v>A5.5552</v>
          </cell>
          <cell r="E2550" t="str">
            <v>A5.0363</v>
          </cell>
        </row>
        <row r="2551">
          <cell r="D2551" t="str">
            <v>A1.5553</v>
          </cell>
          <cell r="E2551" t="str">
            <v>A1.1608</v>
          </cell>
        </row>
        <row r="2552">
          <cell r="D2552" t="str">
            <v>A1.5554</v>
          </cell>
          <cell r="E2552" t="str">
            <v>A1.0948</v>
          </cell>
        </row>
        <row r="2553">
          <cell r="D2553" t="str">
            <v>A1.5555</v>
          </cell>
          <cell r="E2553" t="str">
            <v>A1.1331</v>
          </cell>
        </row>
        <row r="2554">
          <cell r="D2554" t="str">
            <v>A1.5556</v>
          </cell>
          <cell r="E2554" t="str">
            <v>A1.1347</v>
          </cell>
        </row>
        <row r="2555">
          <cell r="D2555" t="str">
            <v>A1.5556</v>
          </cell>
          <cell r="E2555" t="str">
            <v>A1.1347</v>
          </cell>
        </row>
        <row r="2556">
          <cell r="D2556" t="str">
            <v>A1.5556</v>
          </cell>
          <cell r="E2556" t="str">
            <v>A1.1347</v>
          </cell>
        </row>
        <row r="2557">
          <cell r="D2557" t="str">
            <v>A1.5557</v>
          </cell>
          <cell r="E2557" t="str">
            <v>A1.1250</v>
          </cell>
        </row>
        <row r="2558">
          <cell r="D2558" t="str">
            <v>A1.5557</v>
          </cell>
          <cell r="E2558" t="str">
            <v>A1.1250</v>
          </cell>
        </row>
        <row r="2559">
          <cell r="D2559" t="str">
            <v>A1.5558</v>
          </cell>
        </row>
        <row r="2560">
          <cell r="D2560" t="str">
            <v>A1.5558</v>
          </cell>
          <cell r="E2560" t="str">
            <v>A1.0720</v>
          </cell>
        </row>
        <row r="2561">
          <cell r="D2561" t="str">
            <v>A1.5559</v>
          </cell>
          <cell r="E2561" t="str">
            <v>A1.1933</v>
          </cell>
        </row>
        <row r="2562">
          <cell r="D2562" t="str">
            <v>A1.5560</v>
          </cell>
          <cell r="E2562" t="str">
            <v>A1.1478</v>
          </cell>
        </row>
        <row r="2563">
          <cell r="D2563" t="str">
            <v>A1.5561</v>
          </cell>
          <cell r="E2563" t="str">
            <v>A1.1533</v>
          </cell>
        </row>
        <row r="2564">
          <cell r="D2564" t="str">
            <v>A1.5562</v>
          </cell>
          <cell r="E2564" t="str">
            <v>A1.1625</v>
          </cell>
        </row>
        <row r="2565">
          <cell r="D2565" t="str">
            <v>A1.5562</v>
          </cell>
          <cell r="E2565" t="str">
            <v>A1.1625</v>
          </cell>
        </row>
        <row r="2566">
          <cell r="D2566" t="str">
            <v>A1.5562</v>
          </cell>
        </row>
        <row r="2567">
          <cell r="D2567" t="str">
            <v>A1.5563</v>
          </cell>
          <cell r="E2567" t="str">
            <v>A1.1707</v>
          </cell>
        </row>
        <row r="2568">
          <cell r="D2568" t="str">
            <v>A1.5564</v>
          </cell>
          <cell r="E2568" t="str">
            <v>A1.0574</v>
          </cell>
        </row>
        <row r="2569">
          <cell r="D2569" t="str">
            <v>A1.5564</v>
          </cell>
          <cell r="E2569" t="str">
            <v>A1.0574</v>
          </cell>
        </row>
        <row r="2570">
          <cell r="D2570" t="str">
            <v>A1.5565</v>
          </cell>
          <cell r="E2570" t="str">
            <v>A1.1589</v>
          </cell>
        </row>
        <row r="2571">
          <cell r="D2571" t="str">
            <v>A1.5566</v>
          </cell>
          <cell r="E2571" t="str">
            <v>A1.1504</v>
          </cell>
        </row>
        <row r="2572">
          <cell r="D2572" t="str">
            <v>A1.5567</v>
          </cell>
          <cell r="E2572" t="str">
            <v>A1.1614</v>
          </cell>
        </row>
        <row r="2573">
          <cell r="D2573" t="str">
            <v>A1.5568</v>
          </cell>
          <cell r="E2573" t="str">
            <v>A1.1575</v>
          </cell>
        </row>
        <row r="2574">
          <cell r="D2574" t="str">
            <v>A1.5569</v>
          </cell>
          <cell r="E2574" t="str">
            <v>A1.1659</v>
          </cell>
        </row>
        <row r="2575">
          <cell r="D2575" t="str">
            <v>A1.5570</v>
          </cell>
          <cell r="E2575" t="str">
            <v>A1.1652</v>
          </cell>
        </row>
        <row r="2576">
          <cell r="D2576" t="str">
            <v>A1.5571</v>
          </cell>
          <cell r="E2576" t="str">
            <v>A1.1671</v>
          </cell>
        </row>
        <row r="2577">
          <cell r="D2577" t="str">
            <v>A1.5572</v>
          </cell>
          <cell r="E2577" t="str">
            <v>A1.0396</v>
          </cell>
        </row>
        <row r="2578">
          <cell r="D2578" t="str">
            <v>A1.5572</v>
          </cell>
        </row>
        <row r="2579">
          <cell r="D2579" t="str">
            <v>A1.5573</v>
          </cell>
          <cell r="E2579" t="str">
            <v>A1.0448</v>
          </cell>
        </row>
        <row r="2580">
          <cell r="D2580" t="str">
            <v>A1.5574</v>
          </cell>
          <cell r="E2580" t="str">
            <v>A1.0927</v>
          </cell>
        </row>
        <row r="2581">
          <cell r="D2581" t="str">
            <v>A1.5575</v>
          </cell>
          <cell r="E2581" t="str">
            <v>A1.0848</v>
          </cell>
        </row>
        <row r="2582">
          <cell r="D2582" t="str">
            <v>A1.5576</v>
          </cell>
          <cell r="E2582" t="str">
            <v>A1.0426</v>
          </cell>
        </row>
        <row r="2583">
          <cell r="D2583" t="str">
            <v>A1.5577</v>
          </cell>
          <cell r="E2583" t="str">
            <v>A1.0893</v>
          </cell>
        </row>
        <row r="2584">
          <cell r="D2584" t="str">
            <v>A1.5578</v>
          </cell>
          <cell r="E2584" t="str">
            <v>A1.0894</v>
          </cell>
        </row>
        <row r="2585">
          <cell r="D2585" t="str">
            <v>A1.5579</v>
          </cell>
          <cell r="E2585" t="str">
            <v>A1.1497</v>
          </cell>
        </row>
        <row r="2586">
          <cell r="D2586" t="str">
            <v>A1.5579</v>
          </cell>
          <cell r="E2586" t="str">
            <v>A1.1497</v>
          </cell>
        </row>
        <row r="2587">
          <cell r="D2587" t="str">
            <v>A1.5580</v>
          </cell>
          <cell r="E2587" t="str">
            <v>A1.0981</v>
          </cell>
        </row>
        <row r="2588">
          <cell r="D2588" t="str">
            <v>A1.5581</v>
          </cell>
          <cell r="E2588" t="str">
            <v>A1.0561</v>
          </cell>
        </row>
        <row r="2589">
          <cell r="D2589" t="str">
            <v>A1.5582</v>
          </cell>
          <cell r="E2589" t="str">
            <v>A1.0666</v>
          </cell>
        </row>
        <row r="2590">
          <cell r="D2590" t="str">
            <v>A1.5583</v>
          </cell>
          <cell r="E2590" t="str">
            <v>A1.1088</v>
          </cell>
        </row>
        <row r="2591">
          <cell r="D2591" t="str">
            <v>A1.5584</v>
          </cell>
          <cell r="E2591" t="str">
            <v>A1.1302</v>
          </cell>
        </row>
        <row r="2592">
          <cell r="D2592" t="str">
            <v>A1.5585</v>
          </cell>
          <cell r="E2592" t="str">
            <v>A1.1224</v>
          </cell>
        </row>
        <row r="2593">
          <cell r="D2593" t="str">
            <v>A1.5586</v>
          </cell>
          <cell r="E2593" t="str">
            <v>A1.0100</v>
          </cell>
        </row>
        <row r="2594">
          <cell r="D2594" t="str">
            <v>A1.5587</v>
          </cell>
        </row>
        <row r="2595">
          <cell r="D2595" t="str">
            <v>A1.5587</v>
          </cell>
          <cell r="E2595" t="str">
            <v>A1.0602</v>
          </cell>
        </row>
        <row r="2596">
          <cell r="D2596" t="str">
            <v>A1.5588</v>
          </cell>
          <cell r="E2596" t="str">
            <v>A1.1106</v>
          </cell>
        </row>
        <row r="2597">
          <cell r="D2597" t="str">
            <v>A1.5589</v>
          </cell>
          <cell r="E2597" t="str">
            <v>A1.0467</v>
          </cell>
        </row>
        <row r="2598">
          <cell r="D2598" t="str">
            <v>A1.5590</v>
          </cell>
          <cell r="E2598" t="str">
            <v>A1.1283</v>
          </cell>
        </row>
        <row r="2599">
          <cell r="D2599" t="str">
            <v>A1.5591</v>
          </cell>
        </row>
        <row r="2600">
          <cell r="D2600" t="str">
            <v>A1.5591</v>
          </cell>
        </row>
        <row r="2601">
          <cell r="D2601" t="str">
            <v>A1.5591</v>
          </cell>
          <cell r="E2601" t="str">
            <v>A1.1665</v>
          </cell>
        </row>
        <row r="2602">
          <cell r="D2602" t="str">
            <v>A1.5592</v>
          </cell>
          <cell r="E2602" t="str">
            <v>A1.1247</v>
          </cell>
        </row>
        <row r="2603">
          <cell r="D2603" t="str">
            <v>A1.5593</v>
          </cell>
        </row>
        <row r="2604">
          <cell r="D2604" t="str">
            <v>A1.5593</v>
          </cell>
          <cell r="E2604" t="str">
            <v>A1.0628</v>
          </cell>
        </row>
        <row r="2605">
          <cell r="D2605" t="str">
            <v>A1.5594</v>
          </cell>
          <cell r="E2605" t="str">
            <v>A1.1255</v>
          </cell>
        </row>
        <row r="2606">
          <cell r="D2606" t="str">
            <v>A1.5595</v>
          </cell>
          <cell r="E2606" t="str">
            <v>A1.0965</v>
          </cell>
        </row>
        <row r="2607">
          <cell r="D2607" t="str">
            <v>A1.5596</v>
          </cell>
          <cell r="E2607" t="str">
            <v>A1.1104</v>
          </cell>
        </row>
        <row r="2608">
          <cell r="D2608" t="str">
            <v>A1.5597</v>
          </cell>
          <cell r="E2608" t="str">
            <v>A1.1160</v>
          </cell>
        </row>
        <row r="2609">
          <cell r="D2609" t="str">
            <v>A1.5598</v>
          </cell>
          <cell r="E2609" t="str">
            <v>A1.1159</v>
          </cell>
        </row>
        <row r="2610">
          <cell r="D2610" t="str">
            <v>A1.5599</v>
          </cell>
          <cell r="E2610" t="str">
            <v>A1.0212</v>
          </cell>
        </row>
        <row r="2611">
          <cell r="D2611" t="str">
            <v>A1.5600</v>
          </cell>
          <cell r="E2611" t="str">
            <v>A1.1154</v>
          </cell>
        </row>
        <row r="2612">
          <cell r="D2612" t="str">
            <v>A1.5601</v>
          </cell>
          <cell r="E2612" t="str">
            <v>A1.0933</v>
          </cell>
        </row>
        <row r="2613">
          <cell r="D2613" t="str">
            <v>A1.5602</v>
          </cell>
          <cell r="E2613" t="str">
            <v>A1.0444</v>
          </cell>
        </row>
        <row r="2614">
          <cell r="D2614" t="str">
            <v>A1.5603</v>
          </cell>
          <cell r="E2614" t="str">
            <v>A1.0996</v>
          </cell>
        </row>
        <row r="2615">
          <cell r="D2615" t="str">
            <v>A1.5604</v>
          </cell>
          <cell r="E2615" t="str">
            <v>A1.0182</v>
          </cell>
        </row>
        <row r="2616">
          <cell r="D2616" t="str">
            <v>A1.5605</v>
          </cell>
          <cell r="E2616" t="str">
            <v>A1.0997</v>
          </cell>
        </row>
        <row r="2617">
          <cell r="D2617" t="str">
            <v>A1.5606</v>
          </cell>
          <cell r="E2617" t="str">
            <v>A1.0183</v>
          </cell>
        </row>
        <row r="2618">
          <cell r="D2618" t="str">
            <v>A1.5607</v>
          </cell>
          <cell r="E2618" t="str">
            <v>A1.1770</v>
          </cell>
        </row>
        <row r="2619">
          <cell r="D2619" t="str">
            <v>A1.5608</v>
          </cell>
          <cell r="E2619" t="str">
            <v>A1.1755</v>
          </cell>
        </row>
        <row r="2620">
          <cell r="D2620" t="str">
            <v>A1.5609</v>
          </cell>
          <cell r="E2620" t="str">
            <v>A1.1398</v>
          </cell>
        </row>
        <row r="2621">
          <cell r="D2621" t="str">
            <v>A1.5610</v>
          </cell>
          <cell r="E2621" t="str">
            <v>A1.1419</v>
          </cell>
        </row>
        <row r="2622">
          <cell r="D2622" t="str">
            <v>A1.5611</v>
          </cell>
          <cell r="E2622" t="str">
            <v>A1.1178</v>
          </cell>
        </row>
        <row r="2623">
          <cell r="D2623" t="str">
            <v>A1.5612</v>
          </cell>
          <cell r="E2623" t="str">
            <v>A1.0328</v>
          </cell>
        </row>
        <row r="2624">
          <cell r="D2624" t="str">
            <v>A1.5613</v>
          </cell>
          <cell r="E2624" t="str">
            <v>A1.1685</v>
          </cell>
        </row>
        <row r="2625">
          <cell r="D2625" t="str">
            <v>A1.5614</v>
          </cell>
          <cell r="E2625" t="str">
            <v>A1.1456</v>
          </cell>
        </row>
        <row r="2626">
          <cell r="D2626" t="str">
            <v>A1.5615</v>
          </cell>
          <cell r="E2626" t="str">
            <v>A1.1485</v>
          </cell>
        </row>
        <row r="2627">
          <cell r="D2627" t="str">
            <v>A1.5616</v>
          </cell>
          <cell r="E2627" t="str">
            <v>A1.1484</v>
          </cell>
        </row>
        <row r="2628">
          <cell r="D2628" t="str">
            <v>A1.5617</v>
          </cell>
          <cell r="E2628" t="str">
            <v>A1.1357</v>
          </cell>
        </row>
        <row r="2629">
          <cell r="D2629" t="str">
            <v>A1.5618</v>
          </cell>
          <cell r="E2629" t="str">
            <v>A1.1595</v>
          </cell>
        </row>
        <row r="2630">
          <cell r="D2630" t="str">
            <v>A1.5619</v>
          </cell>
          <cell r="E2630" t="str">
            <v>A1.1789</v>
          </cell>
        </row>
        <row r="2631">
          <cell r="D2631" t="str">
            <v>A1.5620</v>
          </cell>
          <cell r="E2631" t="str">
            <v>A1.1604</v>
          </cell>
        </row>
        <row r="2632">
          <cell r="D2632" t="str">
            <v>A1.5621</v>
          </cell>
          <cell r="E2632" t="str">
            <v>A1.1609</v>
          </cell>
        </row>
        <row r="2633">
          <cell r="D2633" t="str">
            <v>A1.5622</v>
          </cell>
          <cell r="E2633" t="str">
            <v>A1.1358</v>
          </cell>
        </row>
        <row r="2634">
          <cell r="D2634" t="str">
            <v>A1.5623</v>
          </cell>
          <cell r="E2634" t="str">
            <v>A1.1571</v>
          </cell>
        </row>
        <row r="2635">
          <cell r="D2635" t="str">
            <v>A1.5624</v>
          </cell>
          <cell r="E2635" t="str">
            <v>A1.1691</v>
          </cell>
        </row>
        <row r="2636">
          <cell r="D2636" t="str">
            <v>A1.5625</v>
          </cell>
          <cell r="E2636" t="str">
            <v>A1.1424</v>
          </cell>
        </row>
        <row r="2637">
          <cell r="D2637" t="str">
            <v>A1.5626</v>
          </cell>
          <cell r="E2637" t="str">
            <v>A1.0575</v>
          </cell>
        </row>
        <row r="2638">
          <cell r="D2638" t="str">
            <v>A1.5627</v>
          </cell>
          <cell r="E2638" t="str">
            <v>A1.1620</v>
          </cell>
        </row>
        <row r="2639">
          <cell r="D2639" t="str">
            <v>A1.5628</v>
          </cell>
          <cell r="E2639" t="str">
            <v>A1.1425</v>
          </cell>
        </row>
        <row r="2640">
          <cell r="D2640" t="str">
            <v>A1.5629</v>
          </cell>
          <cell r="E2640" t="str">
            <v>A1.1426</v>
          </cell>
        </row>
        <row r="2641">
          <cell r="D2641" t="str">
            <v>A1.5630</v>
          </cell>
          <cell r="E2641" t="str">
            <v>A1.0576</v>
          </cell>
        </row>
        <row r="2642">
          <cell r="D2642" t="str">
            <v>A1.5631</v>
          </cell>
          <cell r="E2642" t="str">
            <v>A1.1644</v>
          </cell>
        </row>
        <row r="2643">
          <cell r="D2643" t="str">
            <v>A1.5632</v>
          </cell>
          <cell r="E2643" t="str">
            <v>A1.1882</v>
          </cell>
        </row>
        <row r="2644">
          <cell r="D2644" t="str">
            <v>A1.5633</v>
          </cell>
          <cell r="E2644" t="str">
            <v>A1.1645</v>
          </cell>
        </row>
        <row r="2645">
          <cell r="D2645" t="str">
            <v>A1.5634</v>
          </cell>
          <cell r="E2645" t="str">
            <v>A1.1883</v>
          </cell>
        </row>
        <row r="2646">
          <cell r="D2646" t="str">
            <v>A1.5635</v>
          </cell>
          <cell r="E2646" t="str">
            <v>A1.1693</v>
          </cell>
        </row>
        <row r="2647">
          <cell r="D2647" t="str">
            <v>A1.5636</v>
          </cell>
          <cell r="E2647" t="str">
            <v>A1.1692</v>
          </cell>
        </row>
        <row r="2648">
          <cell r="D2648" t="str">
            <v>A1.5637</v>
          </cell>
          <cell r="E2648" t="str">
            <v>A1.1902</v>
          </cell>
        </row>
        <row r="2649">
          <cell r="D2649" t="str">
            <v>A1.5638</v>
          </cell>
          <cell r="E2649" t="str">
            <v>A1.1684</v>
          </cell>
        </row>
        <row r="2650">
          <cell r="D2650" t="str">
            <v>A1.5639</v>
          </cell>
          <cell r="E2650" t="str">
            <v>A1.1527</v>
          </cell>
        </row>
        <row r="2651">
          <cell r="D2651" t="str">
            <v>A1.5640</v>
          </cell>
          <cell r="E2651" t="str">
            <v>A1.0583</v>
          </cell>
        </row>
        <row r="2652">
          <cell r="D2652" t="str">
            <v>A1.5641</v>
          </cell>
          <cell r="E2652" t="str">
            <v>A1.1002</v>
          </cell>
        </row>
        <row r="2653">
          <cell r="D2653" t="str">
            <v>A1.5642</v>
          </cell>
          <cell r="E2653" t="str">
            <v>A1.1198</v>
          </cell>
        </row>
        <row r="2654">
          <cell r="D2654" t="str">
            <v>A1.5643</v>
          </cell>
          <cell r="E2654" t="str">
            <v>A1.1699</v>
          </cell>
        </row>
        <row r="2655">
          <cell r="D2655" t="str">
            <v>A1.5644</v>
          </cell>
          <cell r="E2655" t="str">
            <v>A1.1623</v>
          </cell>
        </row>
        <row r="2656">
          <cell r="D2656" t="str">
            <v>A1.5645</v>
          </cell>
          <cell r="E2656" t="str">
            <v>A1.1586</v>
          </cell>
        </row>
        <row r="2657">
          <cell r="D2657" t="str">
            <v>A1.5646</v>
          </cell>
          <cell r="E2657" t="str">
            <v>A1.1682</v>
          </cell>
        </row>
        <row r="2658">
          <cell r="D2658" t="str">
            <v>A1.5647</v>
          </cell>
          <cell r="E2658" t="str">
            <v>A1.1874</v>
          </cell>
        </row>
        <row r="2659">
          <cell r="D2659" t="str">
            <v>A1.5648</v>
          </cell>
          <cell r="E2659" t="str">
            <v>A1.1873</v>
          </cell>
        </row>
        <row r="2660">
          <cell r="D2660" t="str">
            <v>A1.5649</v>
          </cell>
          <cell r="E2660" t="str">
            <v>A1.1875</v>
          </cell>
        </row>
        <row r="2661">
          <cell r="D2661" t="str">
            <v>A1.5650</v>
          </cell>
        </row>
        <row r="2662">
          <cell r="D2662" t="str">
            <v>A1.5651</v>
          </cell>
          <cell r="E2662" t="str">
            <v>A1.1226</v>
          </cell>
        </row>
        <row r="2663">
          <cell r="D2663" t="str">
            <v>A1.5651</v>
          </cell>
        </row>
        <row r="2664">
          <cell r="D2664" t="str">
            <v>A1.5652</v>
          </cell>
          <cell r="E2664" t="str">
            <v>A1.0907</v>
          </cell>
        </row>
        <row r="2665">
          <cell r="D2665" t="str">
            <v>A1.5653</v>
          </cell>
          <cell r="E2665" t="str">
            <v>A1.0806</v>
          </cell>
        </row>
        <row r="2666">
          <cell r="D2666" t="str">
            <v>A1.5654</v>
          </cell>
          <cell r="E2666" t="str">
            <v>A1.0834</v>
          </cell>
        </row>
        <row r="2667">
          <cell r="D2667" t="str">
            <v>A1.5655</v>
          </cell>
          <cell r="E2667" t="str">
            <v>A1.0819</v>
          </cell>
        </row>
        <row r="2668">
          <cell r="D2668" t="str">
            <v>A1.5656</v>
          </cell>
          <cell r="E2668" t="str">
            <v>A1.1587</v>
          </cell>
        </row>
        <row r="2669">
          <cell r="D2669" t="str">
            <v>A1.5657</v>
          </cell>
        </row>
        <row r="2670">
          <cell r="D2670" t="str">
            <v>A1.5658</v>
          </cell>
        </row>
        <row r="2671">
          <cell r="D2671" t="str">
            <v>A1.5658</v>
          </cell>
          <cell r="E2671" t="str">
            <v>A1.1683</v>
          </cell>
        </row>
        <row r="2672">
          <cell r="D2672" t="str">
            <v>A1.5659</v>
          </cell>
          <cell r="E2672" t="str">
            <v>A1.1736</v>
          </cell>
        </row>
        <row r="2673">
          <cell r="D2673" t="str">
            <v>A1.5660</v>
          </cell>
          <cell r="E2673" t="str">
            <v>A1.1820</v>
          </cell>
        </row>
        <row r="2674">
          <cell r="D2674" t="str">
            <v>A1.5661</v>
          </cell>
          <cell r="E2674" t="str">
            <v>A1.1821</v>
          </cell>
        </row>
        <row r="2675">
          <cell r="D2675" t="str">
            <v>A1.5662</v>
          </cell>
          <cell r="E2675" t="str">
            <v>A1.1866</v>
          </cell>
        </row>
        <row r="2676">
          <cell r="D2676" t="str">
            <v>A1.5663</v>
          </cell>
          <cell r="E2676" t="str">
            <v>A1.1867</v>
          </cell>
        </row>
        <row r="2677">
          <cell r="D2677" t="str">
            <v>A1.5664</v>
          </cell>
          <cell r="E2677" t="str">
            <v>A1.1722</v>
          </cell>
        </row>
        <row r="2678">
          <cell r="D2678" t="str">
            <v>A1.5665</v>
          </cell>
          <cell r="E2678" t="str">
            <v>A1.1956</v>
          </cell>
        </row>
        <row r="2679">
          <cell r="D2679" t="str">
            <v>A1.5666</v>
          </cell>
        </row>
        <row r="2680">
          <cell r="D2680" t="str">
            <v>A1.5667</v>
          </cell>
        </row>
        <row r="2681">
          <cell r="D2681" t="str">
            <v>A1.5668</v>
          </cell>
          <cell r="E2681" t="str">
            <v>A1.1416</v>
          </cell>
        </row>
        <row r="2682">
          <cell r="D2682" t="str">
            <v>A1.5668</v>
          </cell>
          <cell r="E2682" t="str">
            <v>A1.1416</v>
          </cell>
        </row>
        <row r="2683">
          <cell r="D2683" t="str">
            <v>A1.5668</v>
          </cell>
        </row>
        <row r="2684">
          <cell r="D2684" t="str">
            <v>A1.5669</v>
          </cell>
        </row>
        <row r="2685">
          <cell r="D2685" t="str">
            <v>A1.5669</v>
          </cell>
          <cell r="E2685" t="str">
            <v>A1.1266</v>
          </cell>
        </row>
        <row r="2686">
          <cell r="D2686" t="str">
            <v>A1.5669</v>
          </cell>
          <cell r="E2686" t="str">
            <v>A1.1266</v>
          </cell>
        </row>
        <row r="2687">
          <cell r="D2687" t="str">
            <v>A1.5669</v>
          </cell>
          <cell r="E2687" t="str">
            <v>A1.1266</v>
          </cell>
        </row>
        <row r="2688">
          <cell r="D2688" t="str">
            <v>A1.5670</v>
          </cell>
        </row>
        <row r="2689">
          <cell r="D2689" t="str">
            <v>A1.5671</v>
          </cell>
          <cell r="E2689" t="str">
            <v>A1.0566</v>
          </cell>
        </row>
        <row r="2690">
          <cell r="D2690" t="str">
            <v>A1.5672</v>
          </cell>
          <cell r="E2690" t="str">
            <v>A1.1585</v>
          </cell>
        </row>
        <row r="2691">
          <cell r="D2691" t="str">
            <v>A1.5673</v>
          </cell>
          <cell r="E2691" t="str">
            <v>A1.1583</v>
          </cell>
        </row>
        <row r="2692">
          <cell r="D2692" t="str">
            <v>A1.5673</v>
          </cell>
        </row>
        <row r="2693">
          <cell r="D2693" t="str">
            <v>A1.5674</v>
          </cell>
          <cell r="E2693" t="str">
            <v>A1.1578</v>
          </cell>
        </row>
        <row r="2694">
          <cell r="D2694" t="str">
            <v>A1.5674</v>
          </cell>
        </row>
        <row r="2695">
          <cell r="D2695" t="str">
            <v>A1.5675</v>
          </cell>
          <cell r="E2695" t="str">
            <v>A1.1576</v>
          </cell>
        </row>
        <row r="2696">
          <cell r="D2696" t="str">
            <v>A1.5675</v>
          </cell>
        </row>
        <row r="2697">
          <cell r="D2697" t="str">
            <v>A1.5676</v>
          </cell>
          <cell r="E2697" t="str">
            <v>A1.1584</v>
          </cell>
        </row>
        <row r="2698">
          <cell r="D2698" t="str">
            <v>A1.5677</v>
          </cell>
          <cell r="E2698" t="str">
            <v>A1.1580</v>
          </cell>
        </row>
        <row r="2699">
          <cell r="D2699" t="str">
            <v>A1.5678</v>
          </cell>
        </row>
        <row r="2700">
          <cell r="D2700" t="str">
            <v>A1.5679</v>
          </cell>
          <cell r="E2700" t="str">
            <v>A1.1941</v>
          </cell>
        </row>
        <row r="2701">
          <cell r="D2701" t="str">
            <v>A1.5680</v>
          </cell>
          <cell r="E2701" t="str">
            <v>A1.1774</v>
          </cell>
        </row>
        <row r="2702">
          <cell r="D2702" t="str">
            <v>A1.5681</v>
          </cell>
          <cell r="E2702" t="str">
            <v>A1.1577</v>
          </cell>
        </row>
        <row r="2703">
          <cell r="D2703" t="str">
            <v>A1.5682</v>
          </cell>
          <cell r="E2703" t="str">
            <v>A1.1581</v>
          </cell>
        </row>
        <row r="2704">
          <cell r="D2704" t="str">
            <v>A1.5683</v>
          </cell>
          <cell r="E2704" t="str">
            <v>A1.1579</v>
          </cell>
        </row>
        <row r="2705">
          <cell r="D2705" t="str">
            <v>A1.5684</v>
          </cell>
          <cell r="E2705" t="str">
            <v>A1.1582</v>
          </cell>
        </row>
        <row r="2706">
          <cell r="D2706" t="str">
            <v>A1.5685</v>
          </cell>
          <cell r="E2706" t="str">
            <v>A1.1621</v>
          </cell>
        </row>
        <row r="2707">
          <cell r="D2707" t="str">
            <v>A1.5686</v>
          </cell>
          <cell r="E2707" t="str">
            <v>A1.1643</v>
          </cell>
        </row>
        <row r="2708">
          <cell r="D2708" t="str">
            <v>A1.5687</v>
          </cell>
          <cell r="E2708" t="str">
            <v>A1.1616</v>
          </cell>
        </row>
        <row r="2709">
          <cell r="D2709" t="str">
            <v>A1.5688</v>
          </cell>
        </row>
        <row r="2710">
          <cell r="D2710" t="str">
            <v>A1.5689</v>
          </cell>
          <cell r="E2710" t="str">
            <v>A1.1538</v>
          </cell>
        </row>
        <row r="2711">
          <cell r="D2711" t="str">
            <v>A1.5690</v>
          </cell>
        </row>
        <row r="2712">
          <cell r="D2712" t="str">
            <v>A1.5691</v>
          </cell>
        </row>
        <row r="2713">
          <cell r="D2713" t="str">
            <v>A1.5692</v>
          </cell>
        </row>
        <row r="2714">
          <cell r="D2714" t="str">
            <v>A1.5693</v>
          </cell>
          <cell r="E2714" t="str">
            <v>A1.1673</v>
          </cell>
        </row>
        <row r="2715">
          <cell r="D2715" t="str">
            <v>A1.5694</v>
          </cell>
          <cell r="E2715" t="str">
            <v>A1.2201</v>
          </cell>
        </row>
        <row r="2716">
          <cell r="D2716" t="str">
            <v>A1.5695</v>
          </cell>
          <cell r="E2716" t="str">
            <v>A1.1541</v>
          </cell>
        </row>
        <row r="2717">
          <cell r="D2717" t="str">
            <v>A1.5696</v>
          </cell>
          <cell r="E2717" t="str">
            <v>A1.1539</v>
          </cell>
        </row>
        <row r="2718">
          <cell r="D2718" t="str">
            <v>A1.5697</v>
          </cell>
        </row>
        <row r="2719">
          <cell r="D2719" t="str">
            <v>A1.5698</v>
          </cell>
        </row>
        <row r="2720">
          <cell r="D2720" t="str">
            <v>A1.5699</v>
          </cell>
          <cell r="E2720" t="str">
            <v>A1.1540</v>
          </cell>
        </row>
        <row r="2721">
          <cell r="D2721" t="str">
            <v>A1.5700</v>
          </cell>
          <cell r="E2721" t="str">
            <v>A1.1534</v>
          </cell>
        </row>
        <row r="2722">
          <cell r="D2722" t="str">
            <v>A1.5701</v>
          </cell>
        </row>
        <row r="2723">
          <cell r="D2723" t="str">
            <v>A1.5702</v>
          </cell>
        </row>
        <row r="2724">
          <cell r="D2724" t="str">
            <v>A1.5703</v>
          </cell>
        </row>
        <row r="2725">
          <cell r="D2725" t="str">
            <v>A1.5704</v>
          </cell>
        </row>
        <row r="2726">
          <cell r="D2726" t="str">
            <v>A1.5705</v>
          </cell>
          <cell r="E2726" t="str">
            <v>A1.1962</v>
          </cell>
        </row>
        <row r="2727">
          <cell r="D2727" t="str">
            <v>A1.5706</v>
          </cell>
          <cell r="E2727" t="str">
            <v>A1.1503</v>
          </cell>
        </row>
        <row r="2728">
          <cell r="D2728" t="str">
            <v>A1.5706</v>
          </cell>
          <cell r="E2728" t="str">
            <v>A1.1503</v>
          </cell>
        </row>
        <row r="2729">
          <cell r="D2729" t="str">
            <v>A1.5707</v>
          </cell>
          <cell r="E2729" t="str">
            <v>A1.1525</v>
          </cell>
        </row>
        <row r="2730">
          <cell r="D2730" t="str">
            <v>A1.5707</v>
          </cell>
          <cell r="E2730" t="str">
            <v>A1.1525</v>
          </cell>
        </row>
        <row r="2731">
          <cell r="D2731" t="str">
            <v>A1.5708</v>
          </cell>
          <cell r="E2731" t="str">
            <v>A1.1597</v>
          </cell>
        </row>
        <row r="2732">
          <cell r="D2732" t="str">
            <v>A1.5708</v>
          </cell>
          <cell r="E2732" t="str">
            <v>A1.1597</v>
          </cell>
        </row>
        <row r="2733">
          <cell r="D2733" t="str">
            <v>A1.5709</v>
          </cell>
          <cell r="E2733" t="str">
            <v>A1.1549</v>
          </cell>
        </row>
        <row r="2734">
          <cell r="D2734" t="str">
            <v>A1.5709</v>
          </cell>
          <cell r="E2734" t="str">
            <v>A1.1549</v>
          </cell>
        </row>
        <row r="2735">
          <cell r="D2735" t="str">
            <v>A1.5711</v>
          </cell>
        </row>
        <row r="2736">
          <cell r="D2736" t="str">
            <v>A1.5711</v>
          </cell>
        </row>
        <row r="2737">
          <cell r="D2737" t="str">
            <v>A1.5711</v>
          </cell>
          <cell r="E2737" t="str">
            <v>A1.1594</v>
          </cell>
        </row>
        <row r="2738">
          <cell r="D2738" t="str">
            <v>A1.5711</v>
          </cell>
          <cell r="E2738" t="str">
            <v>A1.1594</v>
          </cell>
        </row>
        <row r="2739">
          <cell r="D2739" t="str">
            <v>A1.5712</v>
          </cell>
          <cell r="E2739" t="str">
            <v>A1.1668</v>
          </cell>
        </row>
        <row r="2740">
          <cell r="D2740" t="str">
            <v>A1.5713</v>
          </cell>
          <cell r="E2740" t="str">
            <v>A1.1669</v>
          </cell>
        </row>
        <row r="2741">
          <cell r="D2741" t="str">
            <v>A1.5714</v>
          </cell>
          <cell r="E2741" t="str">
            <v>A1.1670</v>
          </cell>
        </row>
        <row r="2742">
          <cell r="D2742" t="str">
            <v>A1.5715</v>
          </cell>
          <cell r="E2742" t="str">
            <v>A1.1672</v>
          </cell>
        </row>
        <row r="2743">
          <cell r="D2743" t="str">
            <v>A1.5716</v>
          </cell>
        </row>
        <row r="2744">
          <cell r="D2744" t="str">
            <v>A1.5717</v>
          </cell>
          <cell r="E2744" t="str">
            <v>A1.1469</v>
          </cell>
        </row>
        <row r="2745">
          <cell r="D2745" t="str">
            <v>A1.5717</v>
          </cell>
        </row>
        <row r="2746">
          <cell r="D2746" t="str">
            <v>A1.5718</v>
          </cell>
          <cell r="E2746" t="str">
            <v>A1.0234</v>
          </cell>
        </row>
        <row r="2747">
          <cell r="D2747" t="str">
            <v>A1.5719</v>
          </cell>
          <cell r="E2747" t="str">
            <v>A1.0294</v>
          </cell>
        </row>
        <row r="2748">
          <cell r="D2748" t="str">
            <v>A1.5720</v>
          </cell>
        </row>
        <row r="2749">
          <cell r="D2749" t="str">
            <v>A1.5720</v>
          </cell>
          <cell r="E2749" t="str">
            <v>A1.0634</v>
          </cell>
        </row>
        <row r="2750">
          <cell r="D2750" t="str">
            <v>A1.5721</v>
          </cell>
        </row>
        <row r="2751">
          <cell r="D2751" t="str">
            <v>A1.5722</v>
          </cell>
        </row>
        <row r="2752">
          <cell r="D2752" t="str">
            <v>A1.5723</v>
          </cell>
          <cell r="E2752" t="str">
            <v>A1.1767</v>
          </cell>
        </row>
        <row r="2753">
          <cell r="D2753" t="str">
            <v>A1.5724</v>
          </cell>
          <cell r="E2753" t="str">
            <v>A1.1642</v>
          </cell>
        </row>
        <row r="2754">
          <cell r="D2754" t="str">
            <v>A1.5730</v>
          </cell>
        </row>
        <row r="2755">
          <cell r="D2755" t="str">
            <v>A1.5731</v>
          </cell>
        </row>
        <row r="2756">
          <cell r="D2756" t="str">
            <v>A1.5732</v>
          </cell>
        </row>
        <row r="2757">
          <cell r="D2757" t="str">
            <v>A1.4443</v>
          </cell>
        </row>
        <row r="2758">
          <cell r="D2758" t="str">
            <v>A1.5680</v>
          </cell>
        </row>
        <row r="2759">
          <cell r="D2759" t="str">
            <v>A5.4882</v>
          </cell>
        </row>
        <row r="2760">
          <cell r="D2760" t="str">
            <v>A1.5733</v>
          </cell>
        </row>
        <row r="2761">
          <cell r="D2761" t="str">
            <v>A1.5734</v>
          </cell>
        </row>
        <row r="2762">
          <cell r="D2762" t="str">
            <v>A5.5735</v>
          </cell>
        </row>
        <row r="2763">
          <cell r="D2763" t="str">
            <v>A5.5736</v>
          </cell>
        </row>
        <row r="2764">
          <cell r="D2764" t="str">
            <v>A1.5737</v>
          </cell>
        </row>
        <row r="2765">
          <cell r="D2765" t="str">
            <v>A5.5738</v>
          </cell>
        </row>
        <row r="2766">
          <cell r="D2766" t="str">
            <v>A1.5739</v>
          </cell>
        </row>
        <row r="2767">
          <cell r="D2767" t="str">
            <v>A5.5739</v>
          </cell>
        </row>
        <row r="2768">
          <cell r="D2768" t="str">
            <v>A1.5740</v>
          </cell>
        </row>
        <row r="2769">
          <cell r="D2769" t="str">
            <v>A5.5740</v>
          </cell>
        </row>
        <row r="2770">
          <cell r="D2770" t="str">
            <v>A1.5507</v>
          </cell>
        </row>
        <row r="2771">
          <cell r="D2771" t="str">
            <v>A1.5741</v>
          </cell>
        </row>
        <row r="2772">
          <cell r="D2772" t="str">
            <v>A1.5742</v>
          </cell>
          <cell r="E2772" t="str">
            <v>A1.2202</v>
          </cell>
        </row>
        <row r="2773">
          <cell r="D2773" t="str">
            <v>A1.5743</v>
          </cell>
          <cell r="E2773" t="str">
            <v>A1.2203</v>
          </cell>
        </row>
        <row r="2774">
          <cell r="D2774" t="str">
            <v>A1.5744</v>
          </cell>
          <cell r="E2774" t="str">
            <v>A1.2204</v>
          </cell>
        </row>
        <row r="2775">
          <cell r="D2775" t="str">
            <v>A1.5745</v>
          </cell>
          <cell r="E2775" t="str">
            <v>A1.2205</v>
          </cell>
        </row>
        <row r="2776">
          <cell r="D2776" t="str">
            <v>A1.5746</v>
          </cell>
          <cell r="E2776" t="str">
            <v>A1.2206</v>
          </cell>
        </row>
        <row r="2777">
          <cell r="D2777" t="str">
            <v>A1.5747</v>
          </cell>
          <cell r="E2777" t="str">
            <v>A1.2207</v>
          </cell>
        </row>
        <row r="2778">
          <cell r="D2778" t="str">
            <v>A1.5748</v>
          </cell>
        </row>
        <row r="2779">
          <cell r="D2779" t="str">
            <v>A1.5749</v>
          </cell>
        </row>
        <row r="2780">
          <cell r="D2780" t="str">
            <v>A1.5750</v>
          </cell>
        </row>
        <row r="2781">
          <cell r="D2781" t="str">
            <v>A1.5751</v>
          </cell>
        </row>
        <row r="2782">
          <cell r="D2782" t="str">
            <v>A1.5752</v>
          </cell>
        </row>
        <row r="2783">
          <cell r="D2783" t="str">
            <v>A1.5717</v>
          </cell>
        </row>
        <row r="2784">
          <cell r="D2784" t="str">
            <v>A1.5760</v>
          </cell>
        </row>
        <row r="2785">
          <cell r="D2785" t="str">
            <v>A1.4582</v>
          </cell>
        </row>
        <row r="2786">
          <cell r="D2786" t="str">
            <v>A1.5761</v>
          </cell>
        </row>
        <row r="2787">
          <cell r="D2787" t="str">
            <v>A1.5762</v>
          </cell>
        </row>
        <row r="2788">
          <cell r="D2788" t="str">
            <v>F1.0001</v>
          </cell>
          <cell r="E2788" t="str">
            <v>Z1.0996</v>
          </cell>
        </row>
        <row r="2789">
          <cell r="D2789" t="str">
            <v>F1.0002</v>
          </cell>
          <cell r="E2789" t="str">
            <v>Z1.0163</v>
          </cell>
        </row>
        <row r="2790">
          <cell r="D2790" t="str">
            <v>F1.0006</v>
          </cell>
          <cell r="E2790" t="str">
            <v>Z1.1062</v>
          </cell>
        </row>
        <row r="2791">
          <cell r="D2791" t="str">
            <v>F1.0007</v>
          </cell>
          <cell r="E2791" t="str">
            <v>Z1.1063</v>
          </cell>
        </row>
        <row r="2792">
          <cell r="D2792" t="str">
            <v>F1.0008</v>
          </cell>
          <cell r="E2792" t="str">
            <v>Z1.0583</v>
          </cell>
        </row>
        <row r="2793">
          <cell r="D2793" t="str">
            <v>F1.0009</v>
          </cell>
          <cell r="E2793" t="str">
            <v>Z1.0584</v>
          </cell>
        </row>
        <row r="2794">
          <cell r="D2794" t="str">
            <v>F1.0010</v>
          </cell>
          <cell r="E2794" t="str">
            <v>Z1.0582</v>
          </cell>
        </row>
        <row r="2795">
          <cell r="D2795" t="str">
            <v>F1.0011</v>
          </cell>
          <cell r="E2795" t="str">
            <v>Z1.1325</v>
          </cell>
        </row>
        <row r="2796">
          <cell r="D2796" t="str">
            <v>F1.0012</v>
          </cell>
          <cell r="E2796" t="str">
            <v>Z1.0103</v>
          </cell>
        </row>
        <row r="2797">
          <cell r="D2797" t="str">
            <v>F1.0014</v>
          </cell>
          <cell r="E2797" t="str">
            <v>Z1.1326</v>
          </cell>
        </row>
        <row r="2798">
          <cell r="D2798" t="str">
            <v>F1.0015</v>
          </cell>
          <cell r="E2798" t="str">
            <v>Z1.0599</v>
          </cell>
        </row>
        <row r="2799">
          <cell r="D2799" t="str">
            <v>F5.0016</v>
          </cell>
          <cell r="E2799" t="str">
            <v>Z5.1455</v>
          </cell>
        </row>
        <row r="2800">
          <cell r="D2800" t="str">
            <v>F5.0017</v>
          </cell>
          <cell r="E2800" t="str">
            <v>Z5.1372</v>
          </cell>
        </row>
        <row r="2801">
          <cell r="D2801" t="str">
            <v>F5.0018</v>
          </cell>
          <cell r="E2801" t="str">
            <v>Z5.1373</v>
          </cell>
        </row>
        <row r="2802">
          <cell r="D2802" t="str">
            <v>F5.0019</v>
          </cell>
          <cell r="E2802" t="str">
            <v>Z5.0012</v>
          </cell>
        </row>
        <row r="2803">
          <cell r="D2803" t="str">
            <v>F5.0020</v>
          </cell>
          <cell r="E2803" t="str">
            <v>Z5.0013</v>
          </cell>
        </row>
        <row r="2804">
          <cell r="D2804" t="str">
            <v>F5.0021</v>
          </cell>
          <cell r="E2804" t="str">
            <v>Z5.0014</v>
          </cell>
        </row>
        <row r="2805">
          <cell r="D2805" t="str">
            <v>F5.0032</v>
          </cell>
          <cell r="E2805" t="str">
            <v>Z5.1476</v>
          </cell>
        </row>
        <row r="2806">
          <cell r="D2806" t="str">
            <v>F1.0049</v>
          </cell>
          <cell r="E2806" t="str">
            <v>Z1.1350</v>
          </cell>
        </row>
        <row r="2807">
          <cell r="D2807" t="str">
            <v>F1.0050</v>
          </cell>
          <cell r="E2807" t="str">
            <v>Z1.0121</v>
          </cell>
        </row>
        <row r="2808">
          <cell r="D2808" t="str">
            <v>F1.0051</v>
          </cell>
          <cell r="E2808" t="str">
            <v>Z1.0475</v>
          </cell>
        </row>
        <row r="2809">
          <cell r="D2809" t="str">
            <v>F1.0052</v>
          </cell>
          <cell r="E2809" t="str">
            <v>Z1.1648</v>
          </cell>
        </row>
        <row r="2810">
          <cell r="D2810" t="str">
            <v>F1.0053</v>
          </cell>
          <cell r="E2810" t="str">
            <v>Z1.0465</v>
          </cell>
        </row>
        <row r="2811">
          <cell r="D2811" t="str">
            <v>F1.0055</v>
          </cell>
          <cell r="E2811" t="str">
            <v>Z1.0182</v>
          </cell>
        </row>
        <row r="2812">
          <cell r="D2812" t="str">
            <v>F1.0056</v>
          </cell>
          <cell r="E2812" t="str">
            <v>Z1.0183</v>
          </cell>
        </row>
        <row r="2813">
          <cell r="D2813" t="str">
            <v>F1.0059</v>
          </cell>
          <cell r="E2813" t="str">
            <v>Z1.0576</v>
          </cell>
        </row>
        <row r="2814">
          <cell r="D2814" t="str">
            <v>F1.0060</v>
          </cell>
          <cell r="E2814" t="str">
            <v>Z1.0577</v>
          </cell>
        </row>
        <row r="2815">
          <cell r="D2815" t="str">
            <v>F1.0061</v>
          </cell>
          <cell r="E2815" t="str">
            <v>Z1.0641</v>
          </cell>
        </row>
        <row r="2816">
          <cell r="D2816" t="str">
            <v>F1.0065</v>
          </cell>
          <cell r="E2816" t="str">
            <v>Z1.0479</v>
          </cell>
        </row>
        <row r="2817">
          <cell r="D2817" t="str">
            <v>F1.0066</v>
          </cell>
          <cell r="E2817" t="str">
            <v>Z1.0478</v>
          </cell>
        </row>
        <row r="2818">
          <cell r="D2818" t="str">
            <v>F1.0067</v>
          </cell>
          <cell r="E2818" t="str">
            <v>Z1.0530</v>
          </cell>
        </row>
        <row r="2819">
          <cell r="D2819" t="str">
            <v>F1.0068</v>
          </cell>
          <cell r="E2819" t="str">
            <v>Z1.0476</v>
          </cell>
        </row>
        <row r="2820">
          <cell r="D2820" t="str">
            <v>F1.0069</v>
          </cell>
          <cell r="E2820" t="str">
            <v>Z1.0477</v>
          </cell>
        </row>
        <row r="2821">
          <cell r="D2821" t="str">
            <v>F1.0070</v>
          </cell>
          <cell r="E2821" t="str">
            <v>Z1.0531</v>
          </cell>
        </row>
        <row r="2822">
          <cell r="D2822" t="str">
            <v>F1.0071</v>
          </cell>
          <cell r="E2822" t="str">
            <v>Z1.0482</v>
          </cell>
        </row>
        <row r="2823">
          <cell r="D2823" t="str">
            <v>F1.0072</v>
          </cell>
          <cell r="E2823" t="str">
            <v>Z1.0481</v>
          </cell>
        </row>
        <row r="2824">
          <cell r="D2824" t="str">
            <v>F1.0073</v>
          </cell>
          <cell r="E2824" t="str">
            <v>Z1.0483</v>
          </cell>
        </row>
        <row r="2825">
          <cell r="D2825" t="str">
            <v>F1.0074</v>
          </cell>
          <cell r="E2825" t="str">
            <v>Z1.0480</v>
          </cell>
        </row>
        <row r="2826">
          <cell r="D2826" t="str">
            <v>F1.0075</v>
          </cell>
          <cell r="E2826" t="str">
            <v>Z1.0486</v>
          </cell>
        </row>
        <row r="2827">
          <cell r="D2827" t="str">
            <v>F1.0076</v>
          </cell>
          <cell r="E2827" t="str">
            <v>Z1.0275</v>
          </cell>
        </row>
        <row r="2828">
          <cell r="D2828" t="str">
            <v>F1.0077</v>
          </cell>
          <cell r="E2828" t="str">
            <v>Z1.0529</v>
          </cell>
        </row>
        <row r="2829">
          <cell r="D2829" t="str">
            <v>F1.0078</v>
          </cell>
          <cell r="E2829" t="str">
            <v>Z1.0528</v>
          </cell>
        </row>
        <row r="2830">
          <cell r="D2830" t="str">
            <v>F1.0079</v>
          </cell>
          <cell r="E2830" t="str">
            <v>Z1.0532</v>
          </cell>
        </row>
        <row r="2831">
          <cell r="D2831" t="str">
            <v>F1.0086</v>
          </cell>
          <cell r="E2831" t="str">
            <v>Z1.0108</v>
          </cell>
        </row>
        <row r="2832">
          <cell r="D2832" t="str">
            <v>F1.0087</v>
          </cell>
          <cell r="E2832" t="str">
            <v>Z1.0106</v>
          </cell>
        </row>
        <row r="2833">
          <cell r="D2833" t="str">
            <v>F1.0088</v>
          </cell>
          <cell r="E2833" t="str">
            <v>Z1.1061</v>
          </cell>
        </row>
        <row r="2834">
          <cell r="D2834" t="str">
            <v>F1.0089</v>
          </cell>
          <cell r="E2834" t="str">
            <v>Z1.0107</v>
          </cell>
        </row>
        <row r="2835">
          <cell r="D2835" t="str">
            <v>F5.0092</v>
          </cell>
          <cell r="E2835" t="str">
            <v>Z5.0015</v>
          </cell>
        </row>
        <row r="2836">
          <cell r="D2836" t="str">
            <v>F1.0094</v>
          </cell>
          <cell r="E2836" t="str">
            <v>Z1.0519</v>
          </cell>
        </row>
        <row r="2837">
          <cell r="D2837" t="str">
            <v>F1.0106</v>
          </cell>
          <cell r="E2837" t="str">
            <v>Z1.0287</v>
          </cell>
        </row>
        <row r="2838">
          <cell r="D2838" t="str">
            <v>F1.0109</v>
          </cell>
          <cell r="E2838" t="str">
            <v>Z1.0995</v>
          </cell>
        </row>
        <row r="2839">
          <cell r="D2839" t="str">
            <v>F1.0110</v>
          </cell>
          <cell r="E2839" t="str">
            <v>Z1.0993</v>
          </cell>
        </row>
        <row r="2840">
          <cell r="D2840" t="str">
            <v>F1.0113</v>
          </cell>
          <cell r="E2840" t="str">
            <v>Z1.0164</v>
          </cell>
        </row>
        <row r="2841">
          <cell r="D2841" t="str">
            <v>F1.0114</v>
          </cell>
          <cell r="E2841" t="str">
            <v>Z1.0165</v>
          </cell>
        </row>
        <row r="2842">
          <cell r="D2842" t="str">
            <v>F1.0115</v>
          </cell>
          <cell r="E2842" t="str">
            <v>Z1.0155</v>
          </cell>
        </row>
        <row r="2843">
          <cell r="D2843" t="str">
            <v>F1.0116</v>
          </cell>
          <cell r="E2843" t="str">
            <v>Z1.0324</v>
          </cell>
        </row>
        <row r="2844">
          <cell r="D2844" t="str">
            <v>F2.0009</v>
          </cell>
          <cell r="E2844" t="str">
            <v>Z2.188</v>
          </cell>
        </row>
        <row r="2845">
          <cell r="D2845" t="str">
            <v>F1.0123</v>
          </cell>
          <cell r="E2845" t="str">
            <v>Z1.0540</v>
          </cell>
        </row>
        <row r="2846">
          <cell r="D2846" t="str">
            <v>F1.0124</v>
          </cell>
          <cell r="E2846" t="str">
            <v>Z1.0541</v>
          </cell>
        </row>
        <row r="2847">
          <cell r="D2847" t="str">
            <v>F1.0125</v>
          </cell>
          <cell r="E2847" t="str">
            <v>Z1.0542</v>
          </cell>
        </row>
        <row r="2848">
          <cell r="D2848" t="str">
            <v>F1.0129</v>
          </cell>
          <cell r="E2848" t="str">
            <v>Z1.0508</v>
          </cell>
        </row>
        <row r="2849">
          <cell r="D2849" t="str">
            <v>F1.0130</v>
          </cell>
          <cell r="E2849" t="str">
            <v>Z1.0509</v>
          </cell>
        </row>
        <row r="2850">
          <cell r="D2850" t="str">
            <v>F1.0132</v>
          </cell>
          <cell r="E2850" t="str">
            <v>Z1.1322</v>
          </cell>
        </row>
        <row r="2851">
          <cell r="D2851" t="str">
            <v>F5.0133</v>
          </cell>
          <cell r="E2851" t="str">
            <v>Z5.0135</v>
          </cell>
        </row>
        <row r="2852">
          <cell r="D2852" t="str">
            <v>F5.0134</v>
          </cell>
          <cell r="E2852" t="str">
            <v>Z5.0068</v>
          </cell>
        </row>
        <row r="2853">
          <cell r="D2853" t="str">
            <v>F5.0135</v>
          </cell>
          <cell r="E2853" t="str">
            <v>Z5.0136</v>
          </cell>
        </row>
        <row r="2854">
          <cell r="D2854" t="str">
            <v>F5.0136</v>
          </cell>
          <cell r="E2854" t="str">
            <v>Z5.0070</v>
          </cell>
        </row>
        <row r="2855">
          <cell r="D2855" t="str">
            <v>F5.0137</v>
          </cell>
          <cell r="E2855" t="str">
            <v>Z5.0071</v>
          </cell>
        </row>
        <row r="2856">
          <cell r="D2856" t="str">
            <v>F5.0138</v>
          </cell>
          <cell r="E2856" t="str">
            <v>Z5.1477</v>
          </cell>
        </row>
        <row r="2857">
          <cell r="D2857" t="str">
            <v>F5.0139</v>
          </cell>
          <cell r="E2857" t="str">
            <v>Z5.1478</v>
          </cell>
        </row>
        <row r="2858">
          <cell r="D2858" t="str">
            <v>F5.0140</v>
          </cell>
          <cell r="E2858" t="str">
            <v>Z5.1479</v>
          </cell>
        </row>
        <row r="2859">
          <cell r="D2859" t="str">
            <v>F5.0141</v>
          </cell>
          <cell r="E2859" t="str">
            <v>Z5.1480</v>
          </cell>
        </row>
        <row r="2860">
          <cell r="D2860" t="str">
            <v>F5.0142</v>
          </cell>
          <cell r="E2860" t="str">
            <v>Z5.1481</v>
          </cell>
        </row>
        <row r="2861">
          <cell r="D2861" t="str">
            <v>F5.0143</v>
          </cell>
          <cell r="E2861" t="str">
            <v>Z5.1482</v>
          </cell>
        </row>
        <row r="2862">
          <cell r="D2862" t="str">
            <v>F1.0013</v>
          </cell>
          <cell r="E2862" t="str">
            <v>Z1.1327</v>
          </cell>
        </row>
        <row r="2863">
          <cell r="D2863" t="str">
            <v>F1.0144</v>
          </cell>
          <cell r="E2863" t="str">
            <v>Z1.1477</v>
          </cell>
        </row>
        <row r="2864">
          <cell r="D2864" t="str">
            <v>F1.0145</v>
          </cell>
          <cell r="E2864" t="str">
            <v>Z1.0466</v>
          </cell>
        </row>
        <row r="2865">
          <cell r="D2865" t="str">
            <v>F2.0012</v>
          </cell>
          <cell r="E2865" t="str">
            <v>Z2.307</v>
          </cell>
        </row>
        <row r="2866">
          <cell r="D2866" t="str">
            <v>F1.0154</v>
          </cell>
          <cell r="E2866" t="str">
            <v>Z1.0544</v>
          </cell>
        </row>
        <row r="2867">
          <cell r="D2867" t="str">
            <v>F1.0155</v>
          </cell>
          <cell r="E2867" t="str">
            <v>Z1.0346</v>
          </cell>
        </row>
        <row r="2868">
          <cell r="D2868" t="str">
            <v>F1.0156</v>
          </cell>
          <cell r="E2868" t="str">
            <v>Z1.0266</v>
          </cell>
        </row>
        <row r="2869">
          <cell r="D2869" t="str">
            <v>F1.0158</v>
          </cell>
          <cell r="E2869" t="str">
            <v>Z1.0545</v>
          </cell>
        </row>
        <row r="2870">
          <cell r="D2870" t="str">
            <v>F1.0159</v>
          </cell>
          <cell r="E2870" t="str">
            <v>Z1.0522</v>
          </cell>
        </row>
        <row r="2871">
          <cell r="D2871" t="str">
            <v>F1.0160</v>
          </cell>
          <cell r="E2871" t="str">
            <v>Z1.0523</v>
          </cell>
        </row>
        <row r="2872">
          <cell r="D2872" t="str">
            <v>F1.0161</v>
          </cell>
          <cell r="E2872" t="str">
            <v>Z1.0407</v>
          </cell>
        </row>
        <row r="2873">
          <cell r="D2873" t="str">
            <v>F1.0168</v>
          </cell>
          <cell r="E2873" t="str">
            <v>Z1.0601</v>
          </cell>
        </row>
        <row r="2874">
          <cell r="D2874" t="str">
            <v>F1.0169</v>
          </cell>
          <cell r="E2874" t="str">
            <v>Z1.0602</v>
          </cell>
        </row>
        <row r="2875">
          <cell r="D2875" t="str">
            <v>F1.0170</v>
          </cell>
          <cell r="E2875" t="str">
            <v>Z1.0538</v>
          </cell>
        </row>
        <row r="2876">
          <cell r="D2876" t="str">
            <v>F2.0013</v>
          </cell>
          <cell r="E2876" t="str">
            <v>Z2.346</v>
          </cell>
        </row>
        <row r="2877">
          <cell r="D2877" t="str">
            <v>F2.0014</v>
          </cell>
          <cell r="E2877" t="str">
            <v>Z2.348</v>
          </cell>
        </row>
        <row r="2878">
          <cell r="D2878" t="str">
            <v>F1.0189</v>
          </cell>
          <cell r="E2878" t="str">
            <v>Z1.0244</v>
          </cell>
        </row>
        <row r="2879">
          <cell r="D2879" t="str">
            <v>F1.0190</v>
          </cell>
          <cell r="E2879" t="str">
            <v>Z1.0243</v>
          </cell>
        </row>
        <row r="2880">
          <cell r="D2880" t="str">
            <v>F1.0191</v>
          </cell>
          <cell r="E2880" t="str">
            <v>Z1.0240</v>
          </cell>
        </row>
        <row r="2881">
          <cell r="D2881" t="str">
            <v>F1.0192</v>
          </cell>
          <cell r="E2881" t="str">
            <v>Z1.0205</v>
          </cell>
        </row>
        <row r="2882">
          <cell r="D2882" t="str">
            <v>F1.0200</v>
          </cell>
          <cell r="E2882" t="str">
            <v>Z1.0550</v>
          </cell>
        </row>
        <row r="2883">
          <cell r="D2883" t="str">
            <v>F1.0201</v>
          </cell>
          <cell r="E2883" t="str">
            <v>Z1.0419</v>
          </cell>
        </row>
        <row r="2884">
          <cell r="D2884" t="str">
            <v>F1.2115</v>
          </cell>
          <cell r="E2884" t="str">
            <v>Z1.1314</v>
          </cell>
        </row>
        <row r="2885">
          <cell r="D2885" t="str">
            <v>F1.0217</v>
          </cell>
          <cell r="E2885" t="str">
            <v>Z1.0457</v>
          </cell>
        </row>
        <row r="2886">
          <cell r="D2886" t="str">
            <v>F1.0218</v>
          </cell>
          <cell r="E2886" t="str">
            <v>Z1.0565</v>
          </cell>
        </row>
        <row r="2887">
          <cell r="D2887" t="str">
            <v>F1.0227</v>
          </cell>
          <cell r="E2887" t="str">
            <v>Z1.0102</v>
          </cell>
        </row>
        <row r="2888">
          <cell r="D2888" t="str">
            <v>F1.0228</v>
          </cell>
          <cell r="E2888" t="str">
            <v>Z1.0549</v>
          </cell>
        </row>
        <row r="2889">
          <cell r="D2889" t="str">
            <v>F1.0230</v>
          </cell>
          <cell r="E2889" t="str">
            <v>Z1.0338</v>
          </cell>
        </row>
        <row r="2890">
          <cell r="D2890" t="str">
            <v>F1.0231</v>
          </cell>
          <cell r="E2890" t="str">
            <v>Z1.0491</v>
          </cell>
        </row>
        <row r="2891">
          <cell r="D2891" t="str">
            <v>F1.0232</v>
          </cell>
          <cell r="E2891" t="str">
            <v>Z1.0492</v>
          </cell>
        </row>
        <row r="2892">
          <cell r="D2892" t="str">
            <v>F1.0233</v>
          </cell>
          <cell r="E2892" t="str">
            <v>Z1.0525</v>
          </cell>
        </row>
        <row r="2893">
          <cell r="D2893" t="str">
            <v>F1.0234</v>
          </cell>
          <cell r="E2893" t="str">
            <v>Z1.0328</v>
          </cell>
        </row>
        <row r="2894">
          <cell r="D2894" t="str">
            <v>F1.0235</v>
          </cell>
          <cell r="E2894" t="str">
            <v>Z1.0364</v>
          </cell>
        </row>
        <row r="2895">
          <cell r="D2895" t="str">
            <v>F1.0235</v>
          </cell>
          <cell r="E2895" t="str">
            <v>Z1.0364</v>
          </cell>
        </row>
        <row r="2896">
          <cell r="D2896" t="str">
            <v>F1.0236</v>
          </cell>
          <cell r="E2896" t="str">
            <v>Z1.1232</v>
          </cell>
        </row>
        <row r="2897">
          <cell r="D2897" t="str">
            <v>F1.0237</v>
          </cell>
          <cell r="E2897" t="str">
            <v>Z1.0137</v>
          </cell>
        </row>
        <row r="2898">
          <cell r="D2898" t="str">
            <v>F1.0238</v>
          </cell>
          <cell r="E2898" t="str">
            <v>Z1.0333</v>
          </cell>
        </row>
        <row r="2899">
          <cell r="D2899" t="str">
            <v>F1.0239</v>
          </cell>
          <cell r="E2899" t="str">
            <v>Z1.0172</v>
          </cell>
        </row>
        <row r="2900">
          <cell r="D2900" t="str">
            <v>F1.0240</v>
          </cell>
          <cell r="E2900" t="str">
            <v>Z1.0170</v>
          </cell>
        </row>
        <row r="2901">
          <cell r="D2901" t="str">
            <v>F1.0241</v>
          </cell>
          <cell r="E2901" t="str">
            <v>Z1.0171</v>
          </cell>
        </row>
        <row r="2902">
          <cell r="D2902" t="str">
            <v>F1.0242</v>
          </cell>
          <cell r="E2902" t="str">
            <v>Z1.0173</v>
          </cell>
        </row>
        <row r="2903">
          <cell r="D2903" t="str">
            <v>F1.2110</v>
          </cell>
          <cell r="E2903" t="str">
            <v>Z1.0174</v>
          </cell>
        </row>
        <row r="2904">
          <cell r="D2904" t="str">
            <v>F1.0243</v>
          </cell>
          <cell r="E2904" t="str">
            <v>Z1.0175</v>
          </cell>
        </row>
        <row r="2905">
          <cell r="D2905" t="str">
            <v>F1.0244</v>
          </cell>
          <cell r="E2905" t="str">
            <v>Z1.0169</v>
          </cell>
        </row>
        <row r="2906">
          <cell r="D2906" t="str">
            <v>F1.0245</v>
          </cell>
          <cell r="E2906" t="str">
            <v>Z1.0167</v>
          </cell>
        </row>
        <row r="2907">
          <cell r="D2907" t="str">
            <v>F1.0246</v>
          </cell>
          <cell r="E2907" t="str">
            <v>Z1.0166</v>
          </cell>
        </row>
        <row r="2908">
          <cell r="D2908" t="str">
            <v>F1.0247</v>
          </cell>
          <cell r="E2908" t="str">
            <v>Z1.0192</v>
          </cell>
        </row>
        <row r="2909">
          <cell r="D2909" t="str">
            <v>F1.0248</v>
          </cell>
          <cell r="E2909" t="str">
            <v>Z1.0191</v>
          </cell>
        </row>
        <row r="2910">
          <cell r="D2910" t="str">
            <v>F1.0249</v>
          </cell>
          <cell r="E2910" t="str">
            <v>Z1.0168</v>
          </cell>
        </row>
        <row r="2911">
          <cell r="D2911" t="str">
            <v>F1.0250</v>
          </cell>
          <cell r="E2911" t="str">
            <v>Z1.0222</v>
          </cell>
        </row>
        <row r="2912">
          <cell r="D2912" t="str">
            <v>F1.0250</v>
          </cell>
          <cell r="E2912" t="str">
            <v>Z1.0222</v>
          </cell>
        </row>
        <row r="2913">
          <cell r="D2913" t="str">
            <v>F1.0252</v>
          </cell>
          <cell r="E2913" t="str">
            <v>Z1.0653</v>
          </cell>
        </row>
        <row r="2914">
          <cell r="D2914" t="str">
            <v>F1.0254</v>
          </cell>
          <cell r="E2914" t="str">
            <v>Z1.0147</v>
          </cell>
        </row>
        <row r="2915">
          <cell r="D2915" t="str">
            <v>F1.0255</v>
          </cell>
          <cell r="E2915" t="str">
            <v>Z1.0270</v>
          </cell>
        </row>
        <row r="2916">
          <cell r="D2916" t="str">
            <v>F1.0257</v>
          </cell>
          <cell r="E2916" t="str">
            <v>Z1.0077</v>
          </cell>
        </row>
        <row r="2917">
          <cell r="D2917" t="str">
            <v>F1.0258</v>
          </cell>
          <cell r="E2917" t="str">
            <v>Z1.0395</v>
          </cell>
        </row>
        <row r="2918">
          <cell r="D2918" t="str">
            <v>F1.0259</v>
          </cell>
          <cell r="E2918" t="str">
            <v>Z1.0076</v>
          </cell>
        </row>
        <row r="2919">
          <cell r="D2919" t="str">
            <v>F1.0260</v>
          </cell>
          <cell r="E2919" t="str">
            <v>Z1.0394</v>
          </cell>
        </row>
        <row r="2920">
          <cell r="D2920" t="str">
            <v>F1.0261</v>
          </cell>
          <cell r="E2920" t="str">
            <v>Z1.0626</v>
          </cell>
        </row>
        <row r="2921">
          <cell r="D2921" t="str">
            <v>F1.0262</v>
          </cell>
          <cell r="E2921" t="str">
            <v>Z1.0362</v>
          </cell>
        </row>
        <row r="2922">
          <cell r="D2922" t="str">
            <v>F1.0263</v>
          </cell>
          <cell r="E2922" t="str">
            <v>Z1.0363</v>
          </cell>
        </row>
        <row r="2923">
          <cell r="D2923" t="str">
            <v>F1.0265</v>
          </cell>
          <cell r="E2923" t="str">
            <v>Z1.0261</v>
          </cell>
        </row>
        <row r="2924">
          <cell r="D2924" t="str">
            <v>F1.0266</v>
          </cell>
          <cell r="E2924" t="str">
            <v>Z1.0262</v>
          </cell>
        </row>
        <row r="2925">
          <cell r="D2925" t="str">
            <v>F1.0270</v>
          </cell>
          <cell r="E2925" t="str">
            <v>Z1.0444</v>
          </cell>
        </row>
        <row r="2926">
          <cell r="D2926" t="str">
            <v>F1.0271</v>
          </cell>
          <cell r="E2926" t="str">
            <v>Z1.0326</v>
          </cell>
        </row>
        <row r="2927">
          <cell r="D2927" t="str">
            <v>F1.0271</v>
          </cell>
          <cell r="E2927" t="str">
            <v>Z1.0326</v>
          </cell>
        </row>
        <row r="2928">
          <cell r="D2928" t="str">
            <v>F1.0272</v>
          </cell>
          <cell r="E2928" t="str">
            <v>Z1.0401</v>
          </cell>
        </row>
        <row r="2929">
          <cell r="D2929" t="str">
            <v>F1.0273</v>
          </cell>
          <cell r="E2929" t="str">
            <v>Z1.0273</v>
          </cell>
        </row>
        <row r="2930">
          <cell r="D2930" t="str">
            <v>F1.0274</v>
          </cell>
          <cell r="E2930" t="str">
            <v>Z1.0272</v>
          </cell>
        </row>
        <row r="2931">
          <cell r="D2931" t="str">
            <v>F1.0275</v>
          </cell>
          <cell r="E2931" t="str">
            <v>Z1.0321</v>
          </cell>
        </row>
        <row r="2932">
          <cell r="D2932" t="str">
            <v>F1.0396</v>
          </cell>
          <cell r="E2932" t="str">
            <v>Z1.0403</v>
          </cell>
        </row>
        <row r="2933">
          <cell r="D2933" t="str">
            <v>F1.0397</v>
          </cell>
          <cell r="E2933" t="str">
            <v>Z1.0159</v>
          </cell>
        </row>
        <row r="2934">
          <cell r="D2934" t="str">
            <v>F1.0398</v>
          </cell>
          <cell r="E2934" t="str">
            <v>Z1.0255</v>
          </cell>
        </row>
        <row r="2935">
          <cell r="D2935" t="str">
            <v>F1.0401</v>
          </cell>
          <cell r="E2935" t="str">
            <v>Z1.0083</v>
          </cell>
        </row>
        <row r="2936">
          <cell r="D2936" t="str">
            <v>F1.0403</v>
          </cell>
          <cell r="E2936" t="str">
            <v>Z1.0986</v>
          </cell>
        </row>
        <row r="2937">
          <cell r="D2937" t="str">
            <v>F1.0404</v>
          </cell>
          <cell r="E2937" t="str">
            <v>Z1.0006</v>
          </cell>
        </row>
        <row r="2938">
          <cell r="D2938" t="str">
            <v>F1.0406</v>
          </cell>
          <cell r="E2938" t="str">
            <v>Z1.0320</v>
          </cell>
        </row>
        <row r="2939">
          <cell r="D2939" t="str">
            <v>F1.0407</v>
          </cell>
          <cell r="E2939" t="str">
            <v>Z1.0424</v>
          </cell>
        </row>
        <row r="2940">
          <cell r="D2940" t="str">
            <v>F1.0408</v>
          </cell>
          <cell r="E2940" t="str">
            <v>Z1.0425</v>
          </cell>
        </row>
        <row r="2941">
          <cell r="D2941" t="str">
            <v>F1.0409</v>
          </cell>
          <cell r="E2941" t="str">
            <v>Z1.0426</v>
          </cell>
        </row>
        <row r="2942">
          <cell r="D2942" t="str">
            <v>F1.0410</v>
          </cell>
          <cell r="E2942" t="str">
            <v>Z1.0423</v>
          </cell>
        </row>
        <row r="2943">
          <cell r="D2943" t="str">
            <v>F2.0018</v>
          </cell>
          <cell r="E2943" t="str">
            <v>Z2.347</v>
          </cell>
        </row>
        <row r="2944">
          <cell r="D2944" t="str">
            <v>F1.0411</v>
          </cell>
          <cell r="E2944" t="str">
            <v>Z1.0435</v>
          </cell>
        </row>
        <row r="2945">
          <cell r="D2945" t="str">
            <v>F1.0412</v>
          </cell>
          <cell r="E2945" t="str">
            <v>Z1.0436</v>
          </cell>
        </row>
        <row r="2946">
          <cell r="D2946" t="str">
            <v>F1.0413</v>
          </cell>
          <cell r="E2946" t="str">
            <v>Z1.0452</v>
          </cell>
        </row>
        <row r="2947">
          <cell r="D2947" t="str">
            <v>F1.0414</v>
          </cell>
          <cell r="E2947" t="str">
            <v>Z1.0451</v>
          </cell>
        </row>
        <row r="2948">
          <cell r="D2948" t="str">
            <v>F1.0415</v>
          </cell>
          <cell r="E2948" t="str">
            <v>Z1.0448</v>
          </cell>
        </row>
        <row r="2949">
          <cell r="D2949" t="str">
            <v>F1.0416</v>
          </cell>
          <cell r="E2949" t="str">
            <v>Z1.0450</v>
          </cell>
        </row>
        <row r="2950">
          <cell r="D2950" t="str">
            <v>F1.0417</v>
          </cell>
          <cell r="E2950" t="str">
            <v>Z1.0449</v>
          </cell>
        </row>
        <row r="2951">
          <cell r="D2951" t="str">
            <v>F1.0418</v>
          </cell>
          <cell r="E2951" t="str">
            <v>Z1.0453</v>
          </cell>
        </row>
        <row r="2952">
          <cell r="D2952" t="str">
            <v>F1.0433</v>
          </cell>
          <cell r="E2952" t="str">
            <v>Z1.0359</v>
          </cell>
        </row>
        <row r="2953">
          <cell r="D2953" t="str">
            <v>F1.0435</v>
          </cell>
          <cell r="E2953" t="str">
            <v>Z1.0109</v>
          </cell>
        </row>
        <row r="2954">
          <cell r="D2954" t="str">
            <v>F2.0021</v>
          </cell>
          <cell r="E2954" t="str">
            <v>Z2.361</v>
          </cell>
        </row>
        <row r="2955">
          <cell r="D2955" t="str">
            <v>F1.0436</v>
          </cell>
          <cell r="E2955" t="str">
            <v>Z1.0319</v>
          </cell>
        </row>
        <row r="2956">
          <cell r="D2956" t="str">
            <v>F1.0437</v>
          </cell>
          <cell r="E2956" t="str">
            <v>Z1.0352</v>
          </cell>
        </row>
        <row r="2957">
          <cell r="D2957" t="str">
            <v>F1.0438</v>
          </cell>
          <cell r="E2957" t="str">
            <v>Z1.0548</v>
          </cell>
        </row>
        <row r="2958">
          <cell r="D2958" t="str">
            <v>F1.0439</v>
          </cell>
          <cell r="E2958" t="str">
            <v>Z1.0563</v>
          </cell>
        </row>
        <row r="2959">
          <cell r="D2959" t="str">
            <v>F1.0440</v>
          </cell>
          <cell r="E2959" t="str">
            <v>Z1.0564</v>
          </cell>
        </row>
        <row r="2960">
          <cell r="D2960" t="str">
            <v>F1.0441</v>
          </cell>
          <cell r="E2960" t="str">
            <v>Z1.0561</v>
          </cell>
        </row>
        <row r="2961">
          <cell r="D2961" t="str">
            <v>F1.0442</v>
          </cell>
          <cell r="E2961" t="str">
            <v>Z1.0560</v>
          </cell>
        </row>
        <row r="2962">
          <cell r="D2962" t="str">
            <v>F1.0443</v>
          </cell>
          <cell r="E2962" t="str">
            <v>Z1.0562</v>
          </cell>
        </row>
        <row r="2963">
          <cell r="D2963" t="str">
            <v>F1.0444</v>
          </cell>
          <cell r="E2963" t="str">
            <v>Z1.0558</v>
          </cell>
        </row>
        <row r="2964">
          <cell r="D2964" t="str">
            <v>F1.0445</v>
          </cell>
          <cell r="E2964" t="str">
            <v>Z1.0559</v>
          </cell>
        </row>
        <row r="2965">
          <cell r="D2965" t="str">
            <v>F1.0446</v>
          </cell>
          <cell r="E2965" t="str">
            <v>Z1.0556</v>
          </cell>
        </row>
        <row r="2966">
          <cell r="D2966" t="str">
            <v>F1.0447</v>
          </cell>
          <cell r="E2966" t="str">
            <v>Z1.0555</v>
          </cell>
        </row>
        <row r="2967">
          <cell r="D2967" t="str">
            <v>F1.0448</v>
          </cell>
          <cell r="E2967" t="str">
            <v>Z1.0557</v>
          </cell>
        </row>
        <row r="2968">
          <cell r="D2968" t="str">
            <v>F1.0701</v>
          </cell>
          <cell r="E2968" t="str">
            <v>Z1.0256</v>
          </cell>
        </row>
        <row r="2969">
          <cell r="D2969" t="str">
            <v>F1.0731</v>
          </cell>
          <cell r="E2969" t="str">
            <v>Z1.0274</v>
          </cell>
        </row>
        <row r="2970">
          <cell r="D2970" t="str">
            <v>F2.0022</v>
          </cell>
          <cell r="E2970" t="str">
            <v>Z2.274</v>
          </cell>
        </row>
        <row r="2971">
          <cell r="D2971" t="str">
            <v>F1.0732</v>
          </cell>
          <cell r="E2971" t="str">
            <v>Z1.0369</v>
          </cell>
        </row>
        <row r="2972">
          <cell r="D2972" t="str">
            <v>F1.0733</v>
          </cell>
          <cell r="E2972" t="str">
            <v>Z1.0329</v>
          </cell>
        </row>
        <row r="2973">
          <cell r="D2973" t="str">
            <v>F1.0751</v>
          </cell>
          <cell r="E2973" t="str">
            <v>Z1.0410</v>
          </cell>
        </row>
        <row r="2974">
          <cell r="D2974" t="str">
            <v>F1.0755</v>
          </cell>
          <cell r="E2974" t="str">
            <v>Z1.0250</v>
          </cell>
        </row>
        <row r="2975">
          <cell r="D2975" t="str">
            <v>F1.0756</v>
          </cell>
          <cell r="E2975" t="str">
            <v>Z1.0249</v>
          </cell>
        </row>
        <row r="2976">
          <cell r="D2976" t="str">
            <v>F1.0858</v>
          </cell>
          <cell r="E2976" t="str">
            <v>Z1.0571</v>
          </cell>
        </row>
        <row r="2977">
          <cell r="D2977" t="str">
            <v>F1.0888</v>
          </cell>
          <cell r="E2977" t="str">
            <v>Z1.0572</v>
          </cell>
        </row>
        <row r="2978">
          <cell r="D2978" t="str">
            <v>F1.0900</v>
          </cell>
          <cell r="E2978" t="str">
            <v>Z1.0190</v>
          </cell>
        </row>
        <row r="2979">
          <cell r="D2979" t="str">
            <v>F1.0939</v>
          </cell>
          <cell r="E2979" t="str">
            <v>Z1.0652</v>
          </cell>
        </row>
        <row r="2980">
          <cell r="D2980" t="str">
            <v>F1.0944</v>
          </cell>
          <cell r="E2980" t="str">
            <v>Z1.0587</v>
          </cell>
        </row>
        <row r="2981">
          <cell r="D2981" t="str">
            <v>F1.1000</v>
          </cell>
          <cell r="E2981" t="str">
            <v>Z1.0148</v>
          </cell>
        </row>
        <row r="2982">
          <cell r="D2982" t="str">
            <v>F1.1001</v>
          </cell>
          <cell r="E2982" t="str">
            <v>Z1.0594</v>
          </cell>
        </row>
        <row r="2983">
          <cell r="D2983" t="str">
            <v>F1.1001</v>
          </cell>
          <cell r="E2983" t="str">
            <v>Z1.0594</v>
          </cell>
        </row>
        <row r="2984">
          <cell r="D2984" t="str">
            <v>F1.1002</v>
          </cell>
          <cell r="E2984" t="str">
            <v>Z1.0099</v>
          </cell>
        </row>
        <row r="2985">
          <cell r="D2985" t="str">
            <v>F1.1005</v>
          </cell>
          <cell r="E2985" t="str">
            <v>Z1.0189</v>
          </cell>
        </row>
        <row r="2986">
          <cell r="D2986" t="str">
            <v>F2.0023</v>
          </cell>
          <cell r="E2986" t="str">
            <v>Z2.206</v>
          </cell>
        </row>
        <row r="2987">
          <cell r="D2987" t="str">
            <v>F2.0024</v>
          </cell>
          <cell r="E2987" t="str">
            <v>Z2.169</v>
          </cell>
        </row>
        <row r="2988">
          <cell r="D2988" t="str">
            <v>F1.1006</v>
          </cell>
          <cell r="E2988" t="str">
            <v>Z1.0367</v>
          </cell>
        </row>
        <row r="2989">
          <cell r="D2989" t="str">
            <v>F1.1008</v>
          </cell>
          <cell r="E2989" t="str">
            <v>Z1.0303</v>
          </cell>
        </row>
        <row r="2990">
          <cell r="D2990" t="str">
            <v>F1.1009</v>
          </cell>
          <cell r="E2990" t="str">
            <v>Z1.0302</v>
          </cell>
        </row>
        <row r="2991">
          <cell r="D2991" t="str">
            <v>F1.1013</v>
          </cell>
          <cell r="E2991" t="str">
            <v>Z1.0474</v>
          </cell>
        </row>
        <row r="2992">
          <cell r="D2992" t="str">
            <v>F1.1014</v>
          </cell>
          <cell r="E2992" t="str">
            <v>Z1.0989</v>
          </cell>
        </row>
        <row r="2993">
          <cell r="D2993" t="str">
            <v>F1.1015</v>
          </cell>
          <cell r="E2993" t="str">
            <v>Z1.0184</v>
          </cell>
        </row>
        <row r="2994">
          <cell r="D2994" t="str">
            <v>F1.1016</v>
          </cell>
          <cell r="E2994" t="str">
            <v>Z1.0412</v>
          </cell>
        </row>
        <row r="2995">
          <cell r="D2995" t="str">
            <v>F1.1017</v>
          </cell>
          <cell r="E2995" t="str">
            <v>Z1.0242</v>
          </cell>
        </row>
        <row r="2996">
          <cell r="D2996" t="str">
            <v>F1.1018</v>
          </cell>
          <cell r="E2996" t="str">
            <v>Z1.0241</v>
          </cell>
        </row>
        <row r="2997">
          <cell r="D2997" t="str">
            <v>F1.1035</v>
          </cell>
          <cell r="E2997" t="str">
            <v>Z1.0005</v>
          </cell>
        </row>
        <row r="2998">
          <cell r="D2998" t="str">
            <v>F1.1038</v>
          </cell>
          <cell r="E2998" t="str">
            <v>Z1.0985</v>
          </cell>
        </row>
        <row r="2999">
          <cell r="D2999" t="str">
            <v>F1.1039</v>
          </cell>
          <cell r="E2999" t="str">
            <v>Z1.0446</v>
          </cell>
        </row>
        <row r="3000">
          <cell r="D3000" t="str">
            <v>F5.1040</v>
          </cell>
          <cell r="E3000" t="str">
            <v>Z5.0547</v>
          </cell>
        </row>
        <row r="3001">
          <cell r="D3001" t="str">
            <v>F1.1041</v>
          </cell>
          <cell r="E3001" t="str">
            <v>Z1.0348</v>
          </cell>
        </row>
        <row r="3002">
          <cell r="D3002" t="str">
            <v>F1.1042</v>
          </cell>
          <cell r="E3002" t="str">
            <v>Z1.0537</v>
          </cell>
        </row>
        <row r="3003">
          <cell r="D3003" t="str">
            <v>F1.1043</v>
          </cell>
          <cell r="E3003" t="str">
            <v>Z1.0349</v>
          </cell>
        </row>
        <row r="3004">
          <cell r="D3004" t="str">
            <v>F2.0025</v>
          </cell>
          <cell r="E3004" t="str">
            <v>Z2.217</v>
          </cell>
        </row>
        <row r="3005">
          <cell r="D3005" t="str">
            <v>F1.1045</v>
          </cell>
          <cell r="E3005" t="str">
            <v>Z1.0535</v>
          </cell>
        </row>
        <row r="3006">
          <cell r="D3006" t="str">
            <v>F1.1045</v>
          </cell>
          <cell r="E3006" t="str">
            <v>Z1.0535</v>
          </cell>
        </row>
        <row r="3007">
          <cell r="D3007" t="str">
            <v>F1.1046</v>
          </cell>
          <cell r="E3007" t="str">
            <v>Z1.0078</v>
          </cell>
        </row>
        <row r="3008">
          <cell r="D3008" t="str">
            <v>F1.1047</v>
          </cell>
          <cell r="E3008" t="str">
            <v>Z1.0396</v>
          </cell>
        </row>
        <row r="3009">
          <cell r="D3009" t="str">
            <v>F1.1051</v>
          </cell>
          <cell r="E3009" t="str">
            <v>Z1.0521</v>
          </cell>
        </row>
        <row r="3010">
          <cell r="D3010" t="str">
            <v>F1.1051</v>
          </cell>
          <cell r="E3010" t="str">
            <v>Z1.0521</v>
          </cell>
        </row>
        <row r="3011">
          <cell r="D3011" t="str">
            <v>F1.1067</v>
          </cell>
          <cell r="E3011" t="str">
            <v>Z1.0368</v>
          </cell>
        </row>
        <row r="3012">
          <cell r="D3012" t="str">
            <v>F1.1072</v>
          </cell>
          <cell r="E3012" t="str">
            <v>Z1.0502</v>
          </cell>
        </row>
        <row r="3013">
          <cell r="D3013" t="str">
            <v>F1.1077</v>
          </cell>
          <cell r="E3013" t="str">
            <v>Z1.0506</v>
          </cell>
        </row>
        <row r="3014">
          <cell r="D3014" t="str">
            <v>F1.1078</v>
          </cell>
          <cell r="E3014" t="str">
            <v>Z1.0539</v>
          </cell>
        </row>
        <row r="3015">
          <cell r="D3015" t="str">
            <v>F1.1079</v>
          </cell>
          <cell r="E3015" t="str">
            <v>Z1.0507</v>
          </cell>
        </row>
        <row r="3016">
          <cell r="D3016" t="str">
            <v>F2.0026</v>
          </cell>
          <cell r="E3016" t="str">
            <v>Z2.344</v>
          </cell>
        </row>
        <row r="3017">
          <cell r="D3017" t="str">
            <v>F1.1082</v>
          </cell>
          <cell r="E3017" t="str">
            <v>Z1.0292</v>
          </cell>
        </row>
        <row r="3018">
          <cell r="D3018" t="str">
            <v>F1.1083</v>
          </cell>
          <cell r="E3018" t="str">
            <v>Z1.0514</v>
          </cell>
        </row>
        <row r="3019">
          <cell r="D3019" t="str">
            <v>F1.1084</v>
          </cell>
          <cell r="E3019" t="str">
            <v>Z1.0515</v>
          </cell>
        </row>
        <row r="3020">
          <cell r="D3020" t="str">
            <v>F2.0029</v>
          </cell>
          <cell r="E3020" t="str">
            <v>Z2.349</v>
          </cell>
        </row>
        <row r="3021">
          <cell r="D3021" t="str">
            <v>F1.1086</v>
          </cell>
          <cell r="E3021" t="str">
            <v>Z1.0455</v>
          </cell>
        </row>
        <row r="3022">
          <cell r="D3022" t="str">
            <v>F1.1087</v>
          </cell>
          <cell r="E3022" t="str">
            <v>Z1.0638</v>
          </cell>
        </row>
        <row r="3023">
          <cell r="D3023" t="str">
            <v>F1.1088</v>
          </cell>
          <cell r="E3023" t="str">
            <v>Z1.0634</v>
          </cell>
        </row>
        <row r="3024">
          <cell r="D3024" t="str">
            <v>F1.1089</v>
          </cell>
          <cell r="E3024" t="str">
            <v>Z1.0636</v>
          </cell>
        </row>
        <row r="3025">
          <cell r="D3025" t="str">
            <v>F1.1090</v>
          </cell>
          <cell r="E3025" t="str">
            <v>Z1.0635</v>
          </cell>
        </row>
        <row r="3026">
          <cell r="D3026" t="str">
            <v>F1.1091</v>
          </cell>
          <cell r="E3026" t="str">
            <v>Z1.0637</v>
          </cell>
        </row>
        <row r="3027">
          <cell r="D3027" t="str">
            <v>F1.1104</v>
          </cell>
          <cell r="E3027" t="str">
            <v>Z1.0181</v>
          </cell>
        </row>
        <row r="3028">
          <cell r="D3028" t="str">
            <v>F1.1104</v>
          </cell>
          <cell r="E3028" t="str">
            <v>Z1.0181</v>
          </cell>
        </row>
        <row r="3029">
          <cell r="D3029" t="str">
            <v>F1.1105</v>
          </cell>
          <cell r="E3029" t="str">
            <v>Z1.0075</v>
          </cell>
        </row>
        <row r="3030">
          <cell r="D3030" t="str">
            <v>F1.1106</v>
          </cell>
          <cell r="E3030" t="str">
            <v>Z1.0393</v>
          </cell>
        </row>
        <row r="3031">
          <cell r="D3031" t="str">
            <v>F1.1107</v>
          </cell>
          <cell r="E3031" t="str">
            <v>Z1.0074</v>
          </cell>
        </row>
        <row r="3032">
          <cell r="D3032" t="str">
            <v>F1.1108</v>
          </cell>
          <cell r="E3032" t="str">
            <v>Z1.0392</v>
          </cell>
        </row>
        <row r="3033">
          <cell r="D3033" t="str">
            <v>F1.1111</v>
          </cell>
          <cell r="E3033" t="str">
            <v>Z1.0516</v>
          </cell>
        </row>
        <row r="3034">
          <cell r="D3034" t="str">
            <v>F1.1112</v>
          </cell>
          <cell r="E3034" t="str">
            <v>Z1.0517</v>
          </cell>
        </row>
        <row r="3035">
          <cell r="D3035" t="str">
            <v>F1.1113</v>
          </cell>
          <cell r="E3035" t="str">
            <v>Z1.0518</v>
          </cell>
        </row>
        <row r="3036">
          <cell r="D3036" t="str">
            <v>F1.1153</v>
          </cell>
          <cell r="E3036" t="str">
            <v>Z1.0574</v>
          </cell>
        </row>
        <row r="3037">
          <cell r="D3037" t="str">
            <v>F1.1154</v>
          </cell>
          <cell r="E3037" t="str">
            <v>Z1.0616</v>
          </cell>
        </row>
        <row r="3038">
          <cell r="D3038" t="str">
            <v>F1.1159</v>
          </cell>
          <cell r="E3038" t="str">
            <v>Z1.0427</v>
          </cell>
        </row>
        <row r="3039">
          <cell r="D3039" t="str">
            <v>F1.1160</v>
          </cell>
          <cell r="E3039" t="str">
            <v>Z1.0387</v>
          </cell>
        </row>
        <row r="3040">
          <cell r="D3040" t="str">
            <v>F1.1161</v>
          </cell>
          <cell r="E3040" t="str">
            <v>Z1.0386</v>
          </cell>
        </row>
        <row r="3041">
          <cell r="D3041" t="str">
            <v>F1.1166</v>
          </cell>
          <cell r="E3041" t="str">
            <v>Z1.0004</v>
          </cell>
        </row>
        <row r="3042">
          <cell r="D3042" t="str">
            <v>F1.1167</v>
          </cell>
          <cell r="E3042" t="str">
            <v>Z1.0003</v>
          </cell>
        </row>
        <row r="3043">
          <cell r="D3043" t="str">
            <v>F1.1170</v>
          </cell>
          <cell r="E3043" t="str">
            <v>Z1.0246</v>
          </cell>
        </row>
        <row r="3044">
          <cell r="D3044" t="str">
            <v>F1.1171</v>
          </cell>
          <cell r="E3044" t="str">
            <v>Z1.0245</v>
          </cell>
        </row>
        <row r="3045">
          <cell r="D3045" t="str">
            <v>F1.1178</v>
          </cell>
          <cell r="E3045" t="str">
            <v>Z1.0598</v>
          </cell>
        </row>
        <row r="3046">
          <cell r="D3046" t="str">
            <v>F1.1179</v>
          </cell>
          <cell r="E3046" t="str">
            <v>Z1.0421</v>
          </cell>
        </row>
        <row r="3047">
          <cell r="D3047" t="str">
            <v>F1.1180</v>
          </cell>
          <cell r="E3047" t="str">
            <v>Z1.0445</v>
          </cell>
        </row>
        <row r="3048">
          <cell r="D3048" t="str">
            <v>F1.1181</v>
          </cell>
          <cell r="E3048" t="str">
            <v>Z1.0640</v>
          </cell>
        </row>
        <row r="3049">
          <cell r="D3049" t="str">
            <v>F1.1182</v>
          </cell>
          <cell r="E3049" t="str">
            <v>Z1.0546</v>
          </cell>
        </row>
        <row r="3050">
          <cell r="D3050" t="str">
            <v>F1.1189</v>
          </cell>
          <cell r="E3050" t="str">
            <v>Z1.0283</v>
          </cell>
        </row>
        <row r="3051">
          <cell r="D3051" t="str">
            <v>F1.1190</v>
          </cell>
          <cell r="E3051" t="str">
            <v>Z1.0284</v>
          </cell>
        </row>
        <row r="3052">
          <cell r="D3052" t="str">
            <v>F1.1191</v>
          </cell>
          <cell r="E3052" t="str">
            <v>Z1.0186</v>
          </cell>
        </row>
        <row r="3053">
          <cell r="D3053" t="str">
            <v>F1.1192</v>
          </cell>
          <cell r="E3053" t="str">
            <v>Z1.0573</v>
          </cell>
        </row>
        <row r="3054">
          <cell r="D3054" t="str">
            <v>F1.1193</v>
          </cell>
          <cell r="E3054" t="str">
            <v>Z1.0187</v>
          </cell>
        </row>
        <row r="3055">
          <cell r="D3055" t="str">
            <v>F1.1194</v>
          </cell>
          <cell r="E3055" t="str">
            <v>Z1.0157</v>
          </cell>
        </row>
        <row r="3056">
          <cell r="D3056" t="str">
            <v>F1.2111</v>
          </cell>
          <cell r="E3056" t="str">
            <v>Z1.0156</v>
          </cell>
        </row>
        <row r="3057">
          <cell r="D3057" t="str">
            <v>F1.1195</v>
          </cell>
          <cell r="E3057" t="str">
            <v>Z1.0510</v>
          </cell>
        </row>
        <row r="3058">
          <cell r="D3058" t="str">
            <v>F1.1196</v>
          </cell>
          <cell r="E3058" t="str">
            <v>Z1.0456</v>
          </cell>
        </row>
        <row r="3059">
          <cell r="D3059" t="str">
            <v>F1.1197</v>
          </cell>
          <cell r="E3059" t="str">
            <v>Z1.0247</v>
          </cell>
        </row>
        <row r="3060">
          <cell r="D3060" t="str">
            <v>F2.0034</v>
          </cell>
          <cell r="E3060" t="str">
            <v>Z2.267</v>
          </cell>
        </row>
        <row r="3061">
          <cell r="D3061" t="str">
            <v>F1.1205</v>
          </cell>
          <cell r="E3061" t="str">
            <v>Z1.0358</v>
          </cell>
        </row>
        <row r="3062">
          <cell r="D3062" t="str">
            <v>F1.1209</v>
          </cell>
          <cell r="E3062" t="str">
            <v>Z1.0389</v>
          </cell>
        </row>
        <row r="3063">
          <cell r="D3063" t="str">
            <v>F1.1210</v>
          </cell>
          <cell r="E3063" t="str">
            <v>Z1.0390</v>
          </cell>
        </row>
        <row r="3064">
          <cell r="D3064" t="str">
            <v>F1.1219</v>
          </cell>
          <cell r="E3064" t="str">
            <v>Z1.0468</v>
          </cell>
        </row>
        <row r="3065">
          <cell r="D3065" t="str">
            <v>F1.1223</v>
          </cell>
          <cell r="E3065" t="str">
            <v>Z1.0493</v>
          </cell>
        </row>
        <row r="3066">
          <cell r="D3066" t="str">
            <v>F1.1224</v>
          </cell>
          <cell r="E3066" t="str">
            <v>Z1.0471</v>
          </cell>
        </row>
        <row r="3067">
          <cell r="D3067" t="str">
            <v>F1.1225</v>
          </cell>
          <cell r="E3067" t="str">
            <v>Z1.0472</v>
          </cell>
        </row>
        <row r="3068">
          <cell r="D3068" t="str">
            <v>F1.1226</v>
          </cell>
          <cell r="E3068" t="str">
            <v>Z1.0566</v>
          </cell>
        </row>
        <row r="3069">
          <cell r="D3069" t="str">
            <v>F1.1227</v>
          </cell>
          <cell r="E3069" t="str">
            <v>Z1.0010</v>
          </cell>
        </row>
        <row r="3070">
          <cell r="D3070" t="str">
            <v>F1.1228</v>
          </cell>
          <cell r="E3070" t="str">
            <v>Z1.0603</v>
          </cell>
        </row>
        <row r="3071">
          <cell r="D3071" t="str">
            <v>F1.1229</v>
          </cell>
          <cell r="E3071" t="str">
            <v>Z1.0385</v>
          </cell>
        </row>
        <row r="3072">
          <cell r="D3072" t="str">
            <v>F1.1234</v>
          </cell>
          <cell r="E3072" t="str">
            <v>Z1.0248</v>
          </cell>
        </row>
        <row r="3073">
          <cell r="D3073" t="str">
            <v>F1.1235</v>
          </cell>
          <cell r="E3073" t="str">
            <v>Z1.0463</v>
          </cell>
        </row>
        <row r="3074">
          <cell r="D3074" t="str">
            <v>F1.1238</v>
          </cell>
          <cell r="E3074" t="str">
            <v>Z1.0593</v>
          </cell>
        </row>
        <row r="3075">
          <cell r="D3075" t="str">
            <v>F1.1239</v>
          </cell>
          <cell r="E3075" t="str">
            <v>Z1.0591</v>
          </cell>
        </row>
        <row r="3076">
          <cell r="D3076" t="str">
            <v>F1.1240</v>
          </cell>
          <cell r="E3076" t="str">
            <v>Z1.0178</v>
          </cell>
        </row>
        <row r="3077">
          <cell r="D3077" t="str">
            <v>F1.1246</v>
          </cell>
          <cell r="E3077" t="str">
            <v>Z1.0536</v>
          </cell>
        </row>
        <row r="3078">
          <cell r="D3078" t="str">
            <v>F1.1247</v>
          </cell>
          <cell r="E3078" t="str">
            <v>Z1.0464</v>
          </cell>
        </row>
        <row r="3079">
          <cell r="D3079" t="str">
            <v>F1.1248</v>
          </cell>
          <cell r="E3079" t="str">
            <v>Z1.0408</v>
          </cell>
        </row>
        <row r="3080">
          <cell r="D3080" t="str">
            <v>F1.1249</v>
          </cell>
          <cell r="E3080" t="str">
            <v>Z1.1564</v>
          </cell>
        </row>
        <row r="3081">
          <cell r="D3081" t="str">
            <v>F1.1249</v>
          </cell>
          <cell r="E3081" t="str">
            <v>Z1.1564</v>
          </cell>
        </row>
        <row r="3082">
          <cell r="D3082" t="str">
            <v>F1.1250</v>
          </cell>
          <cell r="E3082" t="str">
            <v>Z1.0073</v>
          </cell>
        </row>
        <row r="3083">
          <cell r="D3083" t="str">
            <v>F1.1256</v>
          </cell>
          <cell r="E3083" t="str">
            <v>Z1.0366</v>
          </cell>
        </row>
        <row r="3084">
          <cell r="D3084" t="str">
            <v>F1.1257</v>
          </cell>
          <cell r="E3084" t="str">
            <v>Z1.0293</v>
          </cell>
        </row>
        <row r="3085">
          <cell r="D3085" t="str">
            <v>F1.1258</v>
          </cell>
          <cell r="E3085" t="str">
            <v>Z1.0239</v>
          </cell>
        </row>
        <row r="3086">
          <cell r="D3086" t="str">
            <v>F2.0035</v>
          </cell>
          <cell r="E3086" t="str">
            <v>Z2.245</v>
          </cell>
        </row>
        <row r="3087">
          <cell r="D3087" t="str">
            <v>F1.1260</v>
          </cell>
          <cell r="E3087" t="str">
            <v>Z1.0592</v>
          </cell>
        </row>
        <row r="3088">
          <cell r="D3088" t="str">
            <v>F1.1261</v>
          </cell>
          <cell r="E3088" t="str">
            <v>Z1.0595</v>
          </cell>
        </row>
        <row r="3089">
          <cell r="D3089" t="str">
            <v>F1.1262</v>
          </cell>
          <cell r="E3089" t="str">
            <v>Z1.0596</v>
          </cell>
        </row>
        <row r="3090">
          <cell r="D3090" t="str">
            <v>F1.1263</v>
          </cell>
          <cell r="E3090" t="str">
            <v>Z1.0294</v>
          </cell>
        </row>
        <row r="3091">
          <cell r="D3091" t="str">
            <v>F1.1268</v>
          </cell>
          <cell r="E3091" t="str">
            <v>Z1.0112</v>
          </cell>
        </row>
        <row r="3092">
          <cell r="D3092" t="str">
            <v>F1.1271</v>
          </cell>
          <cell r="E3092" t="str">
            <v>Z1.1316</v>
          </cell>
        </row>
        <row r="3093">
          <cell r="D3093" t="str">
            <v>F1.1272</v>
          </cell>
          <cell r="E3093" t="str">
            <v>Z1.1347</v>
          </cell>
        </row>
        <row r="3094">
          <cell r="D3094" t="str">
            <v>F1.1273</v>
          </cell>
          <cell r="E3094" t="str">
            <v>Z1.1315</v>
          </cell>
        </row>
        <row r="3095">
          <cell r="D3095" t="str">
            <v>F1.1274</v>
          </cell>
          <cell r="E3095" t="str">
            <v>Z1.1317</v>
          </cell>
        </row>
        <row r="3096">
          <cell r="D3096" t="str">
            <v>F1.1275</v>
          </cell>
          <cell r="E3096" t="str">
            <v>Z1.1344</v>
          </cell>
        </row>
        <row r="3097">
          <cell r="D3097" t="str">
            <v>F5.1276</v>
          </cell>
          <cell r="E3097" t="str">
            <v>Z5.0039</v>
          </cell>
        </row>
        <row r="3098">
          <cell r="D3098" t="str">
            <v>F5.1277</v>
          </cell>
          <cell r="E3098" t="str">
            <v>Z5.0037</v>
          </cell>
        </row>
        <row r="3099">
          <cell r="D3099" t="str">
            <v>F5.1278</v>
          </cell>
          <cell r="E3099" t="str">
            <v>Z5.1483</v>
          </cell>
        </row>
        <row r="3100">
          <cell r="D3100" t="str">
            <v>F5.1279</v>
          </cell>
          <cell r="E3100" t="str">
            <v>Z5.0038</v>
          </cell>
        </row>
        <row r="3101">
          <cell r="D3101" t="str">
            <v>F5.1280</v>
          </cell>
          <cell r="E3101" t="str">
            <v>Z5.1484</v>
          </cell>
        </row>
        <row r="3102">
          <cell r="D3102" t="str">
            <v>F1.1282</v>
          </cell>
          <cell r="E3102" t="str">
            <v>Z1.0251</v>
          </cell>
        </row>
        <row r="3103">
          <cell r="D3103" t="str">
            <v>F1.1285</v>
          </cell>
          <cell r="E3103" t="str">
            <v>Z1.0409</v>
          </cell>
        </row>
        <row r="3104">
          <cell r="D3104" t="str">
            <v>F1.1288</v>
          </cell>
          <cell r="E3104" t="str">
            <v>Z1.0289</v>
          </cell>
        </row>
        <row r="3105">
          <cell r="D3105" t="str">
            <v>F1.1289</v>
          </cell>
          <cell r="E3105" t="str">
            <v>Z1.0288</v>
          </cell>
        </row>
        <row r="3106">
          <cell r="D3106" t="str">
            <v>F1.1290</v>
          </cell>
          <cell r="E3106" t="str">
            <v>Z1.0581</v>
          </cell>
        </row>
        <row r="3107">
          <cell r="D3107" t="str">
            <v>F1.1291</v>
          </cell>
          <cell r="E3107" t="str">
            <v>Z1.0600</v>
          </cell>
        </row>
        <row r="3108">
          <cell r="D3108" t="str">
            <v>F1.1292</v>
          </cell>
          <cell r="E3108" t="str">
            <v>Z1.0513</v>
          </cell>
        </row>
        <row r="3109">
          <cell r="D3109" t="str">
            <v>F1.1294</v>
          </cell>
          <cell r="E3109" t="str">
            <v>Z1.0223</v>
          </cell>
        </row>
        <row r="3110">
          <cell r="D3110" t="str">
            <v>F1.1297</v>
          </cell>
          <cell r="E3110" t="str">
            <v>Z1.0357</v>
          </cell>
        </row>
        <row r="3111">
          <cell r="D3111" t="str">
            <v>F1.1298</v>
          </cell>
          <cell r="E3111" t="str">
            <v>Z1.0225</v>
          </cell>
        </row>
        <row r="3112">
          <cell r="D3112" t="str">
            <v>F1.1298</v>
          </cell>
          <cell r="E3112" t="str">
            <v>Z1.0225</v>
          </cell>
        </row>
        <row r="3113">
          <cell r="D3113" t="str">
            <v>F1.1301</v>
          </cell>
          <cell r="E3113" t="str">
            <v>Z1.0271</v>
          </cell>
        </row>
        <row r="3114">
          <cell r="D3114" t="str">
            <v>F1.1302</v>
          </cell>
          <cell r="E3114" t="str">
            <v>Z1.0433</v>
          </cell>
        </row>
        <row r="3115">
          <cell r="D3115" t="str">
            <v>F1.1303</v>
          </cell>
          <cell r="E3115" t="str">
            <v>Z1.0411</v>
          </cell>
        </row>
        <row r="3116">
          <cell r="D3116" t="str">
            <v>F1.1304</v>
          </cell>
          <cell r="E3116" t="str">
            <v>Z1.0384</v>
          </cell>
        </row>
        <row r="3117">
          <cell r="D3117" t="str">
            <v>F1.1305</v>
          </cell>
          <cell r="E3117" t="str">
            <v>Z1.0420</v>
          </cell>
        </row>
        <row r="3118">
          <cell r="D3118" t="str">
            <v>F1.1324</v>
          </cell>
          <cell r="E3118" t="str">
            <v>Z1.0604</v>
          </cell>
        </row>
        <row r="3119">
          <cell r="D3119" t="str">
            <v>F1.1326</v>
          </cell>
          <cell r="E3119" t="str">
            <v>Z1.0499</v>
          </cell>
        </row>
        <row r="3120">
          <cell r="D3120" t="str">
            <v>F1.1327</v>
          </cell>
          <cell r="E3120" t="str">
            <v>Z1.0501</v>
          </cell>
        </row>
        <row r="3121">
          <cell r="D3121" t="str">
            <v>F1.1328</v>
          </cell>
          <cell r="E3121" t="str">
            <v>Z1.0497</v>
          </cell>
        </row>
        <row r="3122">
          <cell r="D3122" t="str">
            <v>F1.1329</v>
          </cell>
          <cell r="E3122" t="str">
            <v>Z1.0498</v>
          </cell>
        </row>
        <row r="3123">
          <cell r="D3123" t="str">
            <v>F1.1330</v>
          </cell>
          <cell r="E3123" t="str">
            <v>Z1.0500</v>
          </cell>
        </row>
        <row r="3124">
          <cell r="D3124" t="str">
            <v>F1.1331</v>
          </cell>
          <cell r="E3124" t="str">
            <v>Z1.0575</v>
          </cell>
        </row>
        <row r="3125">
          <cell r="D3125" t="str">
            <v>F1.1340</v>
          </cell>
          <cell r="E3125" t="str">
            <v>Z1.0267</v>
          </cell>
        </row>
        <row r="3126">
          <cell r="D3126" t="str">
            <v>F1.1376</v>
          </cell>
          <cell r="E3126" t="str">
            <v>Z1.1320</v>
          </cell>
        </row>
        <row r="3127">
          <cell r="D3127" t="str">
            <v>F1.1377</v>
          </cell>
          <cell r="E3127" t="str">
            <v>Z1.1371</v>
          </cell>
        </row>
        <row r="3128">
          <cell r="D3128" t="str">
            <v>F1.1378</v>
          </cell>
          <cell r="E3128" t="str">
            <v>Z1.2302</v>
          </cell>
        </row>
        <row r="3129">
          <cell r="D3129" t="str">
            <v>F1.1379</v>
          </cell>
          <cell r="E3129" t="str">
            <v>Z1.0008</v>
          </cell>
        </row>
        <row r="3130">
          <cell r="D3130" t="str">
            <v>F2.0038</v>
          </cell>
          <cell r="E3130" t="str">
            <v>Z2.342</v>
          </cell>
        </row>
        <row r="3131">
          <cell r="D3131" t="str">
            <v>F1.1384</v>
          </cell>
          <cell r="E3131" t="str">
            <v>Z1.0589</v>
          </cell>
        </row>
        <row r="3132">
          <cell r="D3132" t="str">
            <v>F1.1385</v>
          </cell>
          <cell r="E3132" t="str">
            <v>Z1.0590</v>
          </cell>
        </row>
        <row r="3133">
          <cell r="D3133" t="str">
            <v>F2.0043</v>
          </cell>
          <cell r="E3133" t="str">
            <v>Z2.214</v>
          </cell>
        </row>
        <row r="3134">
          <cell r="D3134" t="str">
            <v>F2.0046</v>
          </cell>
          <cell r="E3134" t="str">
            <v>Z2.382</v>
          </cell>
        </row>
        <row r="3135">
          <cell r="D3135" t="str">
            <v>F1.1387</v>
          </cell>
          <cell r="E3135" t="str">
            <v>Z1.1334</v>
          </cell>
        </row>
        <row r="3136">
          <cell r="D3136" t="str">
            <v>F2.0047</v>
          </cell>
          <cell r="E3136" t="str">
            <v>Z2.152</v>
          </cell>
        </row>
        <row r="3137">
          <cell r="D3137" t="str">
            <v>F1.1388</v>
          </cell>
          <cell r="E3137" t="str">
            <v>Z1.0031</v>
          </cell>
        </row>
        <row r="3138">
          <cell r="D3138" t="str">
            <v>F1.1389</v>
          </cell>
          <cell r="E3138" t="str">
            <v>Z1.0991</v>
          </cell>
        </row>
        <row r="3139">
          <cell r="D3139" t="str">
            <v>F2.0048</v>
          </cell>
          <cell r="E3139" t="str">
            <v>Z2.227</v>
          </cell>
        </row>
        <row r="3140">
          <cell r="D3140" t="str">
            <v>F2.0050</v>
          </cell>
          <cell r="E3140" t="str">
            <v>Z2.228</v>
          </cell>
        </row>
        <row r="3141">
          <cell r="D3141" t="str">
            <v>F2.0053</v>
          </cell>
          <cell r="E3141" t="str">
            <v>Z2.251</v>
          </cell>
        </row>
        <row r="3142">
          <cell r="D3142" t="str">
            <v>F2.0056</v>
          </cell>
          <cell r="E3142" t="str">
            <v>Z2.227</v>
          </cell>
        </row>
        <row r="3143">
          <cell r="D3143" t="str">
            <v>F2.0059</v>
          </cell>
          <cell r="E3143" t="str">
            <v>Z2.228</v>
          </cell>
        </row>
        <row r="3144">
          <cell r="D3144" t="str">
            <v>F1.1390</v>
          </cell>
          <cell r="E3144" t="str">
            <v>Z1.1645</v>
          </cell>
        </row>
        <row r="3145">
          <cell r="D3145" t="str">
            <v>F5.1393</v>
          </cell>
          <cell r="E3145" t="str">
            <v>Z5.1336</v>
          </cell>
        </row>
        <row r="3146">
          <cell r="D3146" t="str">
            <v>F1.1398</v>
          </cell>
          <cell r="E3146" t="str">
            <v>Z1.0400</v>
          </cell>
        </row>
        <row r="3147">
          <cell r="D3147" t="str">
            <v>F1.1399</v>
          </cell>
          <cell r="E3147" t="str">
            <v>Z1.0430</v>
          </cell>
        </row>
        <row r="3148">
          <cell r="D3148" t="str">
            <v>F1.1400</v>
          </cell>
          <cell r="E3148" t="str">
            <v>Z1.1330</v>
          </cell>
        </row>
        <row r="3149">
          <cell r="D3149" t="str">
            <v>F1.1401</v>
          </cell>
          <cell r="E3149" t="str">
            <v>Z1.1331</v>
          </cell>
        </row>
        <row r="3150">
          <cell r="D3150" t="str">
            <v>F1.1402</v>
          </cell>
          <cell r="E3150" t="str">
            <v>Z1.1332</v>
          </cell>
        </row>
        <row r="3151">
          <cell r="D3151" t="str">
            <v>F1.1403</v>
          </cell>
          <cell r="E3151" t="str">
            <v>Z1.1333</v>
          </cell>
        </row>
        <row r="3152">
          <cell r="D3152" t="str">
            <v>F1.1404</v>
          </cell>
          <cell r="E3152" t="str">
            <v>Z1.0440</v>
          </cell>
        </row>
        <row r="3153">
          <cell r="D3153" t="str">
            <v>F1.1405</v>
          </cell>
          <cell r="E3153" t="str">
            <v>Z1.0631</v>
          </cell>
        </row>
        <row r="3154">
          <cell r="D3154" t="str">
            <v>F1.1406</v>
          </cell>
          <cell r="E3154" t="str">
            <v>Z1.0441</v>
          </cell>
        </row>
        <row r="3155">
          <cell r="D3155" t="str">
            <v>F1.1407</v>
          </cell>
          <cell r="E3155" t="str">
            <v>Z1.0485</v>
          </cell>
        </row>
        <row r="3156">
          <cell r="D3156" t="str">
            <v>F1.1408</v>
          </cell>
          <cell r="E3156" t="str">
            <v>Z1.0454</v>
          </cell>
        </row>
        <row r="3157">
          <cell r="D3157" t="str">
            <v>F5.1410</v>
          </cell>
          <cell r="E3157" t="str">
            <v>Z5.1337</v>
          </cell>
        </row>
        <row r="3158">
          <cell r="D3158" t="str">
            <v>F1.1418</v>
          </cell>
          <cell r="E3158" t="str">
            <v>Z1.0633</v>
          </cell>
        </row>
        <row r="3159">
          <cell r="D3159" t="str">
            <v>F1.1419</v>
          </cell>
          <cell r="E3159" t="str">
            <v>Z1.0632</v>
          </cell>
        </row>
        <row r="3160">
          <cell r="D3160" t="str">
            <v>F1.1426</v>
          </cell>
          <cell r="E3160" t="str">
            <v>Z1.0527</v>
          </cell>
        </row>
        <row r="3161">
          <cell r="D3161" t="str">
            <v>F1.1427</v>
          </cell>
          <cell r="E3161" t="str">
            <v>Z1.0526</v>
          </cell>
        </row>
        <row r="3162">
          <cell r="D3162" t="str">
            <v>F1.1428</v>
          </cell>
          <cell r="E3162" t="str">
            <v>Z1.0391</v>
          </cell>
        </row>
        <row r="3163">
          <cell r="D3163" t="str">
            <v>F1.1430</v>
          </cell>
          <cell r="E3163" t="str">
            <v>Z1.0520</v>
          </cell>
        </row>
        <row r="3164">
          <cell r="D3164" t="str">
            <v>F2.0073</v>
          </cell>
          <cell r="E3164" t="str">
            <v>Z2.210</v>
          </cell>
        </row>
        <row r="3165">
          <cell r="D3165" t="str">
            <v>F1.1431</v>
          </cell>
          <cell r="E3165" t="str">
            <v>Z1.0231</v>
          </cell>
        </row>
        <row r="3166">
          <cell r="D3166" t="str">
            <v>F1.1432</v>
          </cell>
          <cell r="E3166" t="str">
            <v>Z1.0230</v>
          </cell>
        </row>
        <row r="3167">
          <cell r="D3167" t="str">
            <v>F2.0074</v>
          </cell>
          <cell r="E3167" t="str">
            <v>Z2.161</v>
          </cell>
        </row>
        <row r="3169">
          <cell r="D3169" t="str">
            <v>F1.1434</v>
          </cell>
          <cell r="E3169" t="str">
            <v>Z1.0176</v>
          </cell>
        </row>
        <row r="3170">
          <cell r="D3170" t="str">
            <v>F2.0076</v>
          </cell>
          <cell r="E3170" t="str">
            <v>Z2.354</v>
          </cell>
        </row>
        <row r="3171">
          <cell r="D3171" t="str">
            <v>F2.0076</v>
          </cell>
          <cell r="E3171" t="str">
            <v>Z2.354</v>
          </cell>
        </row>
        <row r="3172">
          <cell r="D3172" t="str">
            <v>F1.1435</v>
          </cell>
          <cell r="E3172" t="str">
            <v>Z1.1915</v>
          </cell>
        </row>
        <row r="3173">
          <cell r="D3173" t="str">
            <v>F1.1435</v>
          </cell>
          <cell r="E3173" t="str">
            <v>Z1.1915</v>
          </cell>
        </row>
        <row r="3174">
          <cell r="D3174" t="str">
            <v>F1.1441</v>
          </cell>
          <cell r="E3174" t="str">
            <v>Z1.1672</v>
          </cell>
        </row>
        <row r="3175">
          <cell r="D3175" t="str">
            <v>F1.1441</v>
          </cell>
          <cell r="E3175" t="str">
            <v>Z1.1672</v>
          </cell>
        </row>
        <row r="3176">
          <cell r="D3176" t="str">
            <v>F1.1443</v>
          </cell>
          <cell r="E3176" t="str">
            <v>Z1.1654</v>
          </cell>
        </row>
        <row r="3177">
          <cell r="D3177" t="str">
            <v>F1.1444</v>
          </cell>
          <cell r="E3177" t="str">
            <v>Z1.1806</v>
          </cell>
        </row>
        <row r="3178">
          <cell r="D3178" t="str">
            <v>F1.1444</v>
          </cell>
          <cell r="E3178" t="str">
            <v>Z1.1806</v>
          </cell>
        </row>
        <row r="3179">
          <cell r="D3179" t="str">
            <v>F1.1445</v>
          </cell>
          <cell r="E3179" t="str">
            <v>Z1.1652</v>
          </cell>
        </row>
        <row r="3180">
          <cell r="D3180" t="str">
            <v>F1.1445</v>
          </cell>
          <cell r="E3180" t="str">
            <v>Z1.1652</v>
          </cell>
        </row>
        <row r="3181">
          <cell r="D3181" t="str">
            <v>F2.0078</v>
          </cell>
          <cell r="E3181" t="str">
            <v>Z2.239</v>
          </cell>
        </row>
        <row r="3182">
          <cell r="D3182" t="str">
            <v>F2.0079</v>
          </cell>
          <cell r="E3182" t="str">
            <v>Z2.374</v>
          </cell>
        </row>
        <row r="3183">
          <cell r="D3183" t="str">
            <v>F2.0080</v>
          </cell>
          <cell r="E3183" t="str">
            <v>Z2.376</v>
          </cell>
        </row>
        <row r="3184">
          <cell r="D3184" t="str">
            <v>F2.0081</v>
          </cell>
          <cell r="E3184" t="str">
            <v>Z2.375</v>
          </cell>
        </row>
        <row r="3185">
          <cell r="D3185" t="str">
            <v>F2.0082</v>
          </cell>
          <cell r="E3185" t="str">
            <v>Z2.343</v>
          </cell>
        </row>
        <row r="3186">
          <cell r="D3186" t="str">
            <v>F1.1448</v>
          </cell>
          <cell r="E3186" t="str">
            <v>Z1.0036</v>
          </cell>
        </row>
        <row r="3187">
          <cell r="D3187" t="str">
            <v>F1.1449</v>
          </cell>
          <cell r="E3187" t="str">
            <v>Z1.0056</v>
          </cell>
        </row>
        <row r="3188">
          <cell r="D3188" t="str">
            <v>F2.0084</v>
          </cell>
          <cell r="E3188" t="str">
            <v>Z2.249</v>
          </cell>
        </row>
        <row r="3189">
          <cell r="D3189" t="str">
            <v>F1.1501</v>
          </cell>
          <cell r="E3189" t="str">
            <v>Z1.0534</v>
          </cell>
        </row>
        <row r="3190">
          <cell r="D3190" t="str">
            <v>F2.0086</v>
          </cell>
          <cell r="E3190" t="str">
            <v>Z2.179</v>
          </cell>
        </row>
        <row r="3191">
          <cell r="D3191" t="str">
            <v>F1.1503</v>
          </cell>
          <cell r="E3191" t="str">
            <v>Z1.0193</v>
          </cell>
        </row>
        <row r="3192">
          <cell r="D3192" t="str">
            <v>F2.0087</v>
          </cell>
          <cell r="E3192" t="str">
            <v>Z2.192</v>
          </cell>
        </row>
        <row r="3193">
          <cell r="D3193" t="str">
            <v>F1.1504</v>
          </cell>
          <cell r="E3193" t="str">
            <v>Z1.0612</v>
          </cell>
        </row>
        <row r="3194">
          <cell r="D3194" t="str">
            <v>F1.1505</v>
          </cell>
          <cell r="E3194" t="str">
            <v>Z1.1313</v>
          </cell>
        </row>
        <row r="3195">
          <cell r="D3195" t="str">
            <v>F1.1506</v>
          </cell>
          <cell r="E3195" t="str">
            <v>Z1.0378</v>
          </cell>
        </row>
        <row r="3196">
          <cell r="D3196" t="str">
            <v>F1.1508</v>
          </cell>
          <cell r="E3196" t="str">
            <v>Z1.0642</v>
          </cell>
        </row>
        <row r="3197">
          <cell r="D3197" t="str">
            <v>F1.1509</v>
          </cell>
          <cell r="E3197" t="str">
            <v>Z1.0611</v>
          </cell>
        </row>
        <row r="3198">
          <cell r="D3198" t="str">
            <v>F2.0089</v>
          </cell>
          <cell r="E3198" t="str">
            <v>Z2.302</v>
          </cell>
        </row>
        <row r="3199">
          <cell r="D3199" t="str">
            <v>F1.1510</v>
          </cell>
          <cell r="E3199" t="str">
            <v>Z1.0404</v>
          </cell>
        </row>
        <row r="3200">
          <cell r="D3200" t="str">
            <v>F1.1511</v>
          </cell>
          <cell r="E3200" t="str">
            <v>Z1.0405</v>
          </cell>
        </row>
        <row r="3201">
          <cell r="D3201" t="str">
            <v>F1.1512</v>
          </cell>
          <cell r="E3201" t="str">
            <v>Z1.0406</v>
          </cell>
        </row>
        <row r="3202">
          <cell r="D3202" t="str">
            <v>F2.0090</v>
          </cell>
          <cell r="E3202" t="str">
            <v>Z2.364</v>
          </cell>
        </row>
        <row r="3203">
          <cell r="D3203" t="str">
            <v>F2.0091</v>
          </cell>
          <cell r="E3203" t="str">
            <v>Z2.365</v>
          </cell>
        </row>
        <row r="3204">
          <cell r="D3204" t="str">
            <v>F2.0092</v>
          </cell>
          <cell r="E3204" t="str">
            <v>Z2.366</v>
          </cell>
        </row>
        <row r="3205">
          <cell r="D3205" t="str">
            <v>F2.0095</v>
          </cell>
          <cell r="E3205" t="str">
            <v>Z2.355</v>
          </cell>
        </row>
        <row r="3206">
          <cell r="D3206" t="str">
            <v>F2.0096</v>
          </cell>
          <cell r="E3206" t="str">
            <v>Z2.208</v>
          </cell>
        </row>
        <row r="3207">
          <cell r="D3207" t="str">
            <v>F2.0097</v>
          </cell>
          <cell r="E3207" t="str">
            <v>Z2.357</v>
          </cell>
        </row>
        <row r="3208">
          <cell r="D3208" t="str">
            <v>F2.0098</v>
          </cell>
          <cell r="E3208" t="str">
            <v>Z2.356</v>
          </cell>
        </row>
        <row r="3209">
          <cell r="D3209" t="str">
            <v>F1.1515</v>
          </cell>
          <cell r="E3209" t="str">
            <v>Z1.1624</v>
          </cell>
        </row>
        <row r="3210">
          <cell r="D3210" t="str">
            <v>F1.1516</v>
          </cell>
          <cell r="E3210" t="str">
            <v>Z1.1649</v>
          </cell>
        </row>
        <row r="3211">
          <cell r="D3211" t="str">
            <v>F1.1516</v>
          </cell>
          <cell r="E3211" t="str">
            <v>Z1.1649</v>
          </cell>
        </row>
        <row r="3212">
          <cell r="D3212" t="str">
            <v>F1.1517</v>
          </cell>
          <cell r="E3212" t="str">
            <v>Z1.0397</v>
          </cell>
        </row>
        <row r="3213">
          <cell r="D3213" t="str">
            <v>F1.1518</v>
          </cell>
          <cell r="E3213" t="str">
            <v>Z1.0443</v>
          </cell>
        </row>
        <row r="3214">
          <cell r="D3214" t="str">
            <v>F1.1522</v>
          </cell>
          <cell r="E3214" t="str">
            <v>Z1.0567</v>
          </cell>
        </row>
        <row r="3215">
          <cell r="D3215" t="str">
            <v>F1.1523</v>
          </cell>
          <cell r="E3215" t="str">
            <v>Z1.0622</v>
          </cell>
        </row>
        <row r="3216">
          <cell r="D3216" t="str">
            <v>F1.1524</v>
          </cell>
          <cell r="E3216" t="str">
            <v>Z1.0226</v>
          </cell>
        </row>
        <row r="3217">
          <cell r="D3217" t="str">
            <v>F1.1525</v>
          </cell>
          <cell r="E3217" t="str">
            <v>Z1.0228</v>
          </cell>
        </row>
        <row r="3218">
          <cell r="D3218" t="str">
            <v>F1.1525</v>
          </cell>
          <cell r="E3218" t="str">
            <v>Z1.0228</v>
          </cell>
        </row>
        <row r="3219">
          <cell r="D3219" t="str">
            <v>F1.1529</v>
          </cell>
          <cell r="E3219" t="str">
            <v>Z1.0094</v>
          </cell>
        </row>
        <row r="3220">
          <cell r="D3220" t="str">
            <v>F2.0099</v>
          </cell>
          <cell r="E3220" t="str">
            <v>Z2.377</v>
          </cell>
        </row>
        <row r="3221">
          <cell r="E3221" t="str">
            <v>Z3.218</v>
          </cell>
        </row>
        <row r="3222">
          <cell r="D3222" t="str">
            <v>F2.0103</v>
          </cell>
          <cell r="E3222" t="str">
            <v>Z2.215</v>
          </cell>
        </row>
        <row r="3223">
          <cell r="D3223" t="str">
            <v>F2.0107</v>
          </cell>
          <cell r="E3223" t="str">
            <v>Z2.233</v>
          </cell>
        </row>
        <row r="3224">
          <cell r="D3224" t="str">
            <v>F2.0107</v>
          </cell>
          <cell r="E3224" t="str">
            <v>Z2.233</v>
          </cell>
        </row>
        <row r="3225">
          <cell r="D3225" t="str">
            <v>F2.0109</v>
          </cell>
          <cell r="E3225" t="str">
            <v>Z2.234</v>
          </cell>
        </row>
        <row r="3226">
          <cell r="D3226" t="str">
            <v>F2.0109</v>
          </cell>
          <cell r="E3226" t="str">
            <v>Z2.234</v>
          </cell>
        </row>
        <row r="3227">
          <cell r="D3227" t="str">
            <v>F2.0114</v>
          </cell>
          <cell r="E3227" t="str">
            <v>Z2.216</v>
          </cell>
        </row>
        <row r="3228">
          <cell r="D3228" t="str">
            <v>F2.0114</v>
          </cell>
          <cell r="E3228" t="str">
            <v>Z2.216</v>
          </cell>
        </row>
        <row r="3229">
          <cell r="D3229" t="str">
            <v>F2.0115</v>
          </cell>
          <cell r="E3229" t="str">
            <v>Z2.138</v>
          </cell>
        </row>
        <row r="3230">
          <cell r="D3230" t="str">
            <v>F2.0115</v>
          </cell>
          <cell r="E3230" t="str">
            <v>Z2.138</v>
          </cell>
        </row>
        <row r="3231">
          <cell r="D3231" t="str">
            <v>F2.0116</v>
          </cell>
          <cell r="E3231" t="str">
            <v>Z2.226</v>
          </cell>
        </row>
        <row r="3232">
          <cell r="D3232" t="str">
            <v>F2.0121</v>
          </cell>
          <cell r="E3232" t="str">
            <v>Z2.369</v>
          </cell>
        </row>
        <row r="3233">
          <cell r="D3233" t="str">
            <v>F2.0122</v>
          </cell>
          <cell r="E3233" t="str">
            <v>Z2.237</v>
          </cell>
        </row>
        <row r="3234">
          <cell r="D3234" t="str">
            <v>F2.0126</v>
          </cell>
          <cell r="E3234" t="str">
            <v>Z2.213</v>
          </cell>
        </row>
        <row r="3235">
          <cell r="D3235" t="str">
            <v>F1.1532</v>
          </cell>
          <cell r="E3235" t="str">
            <v>Z1.0437</v>
          </cell>
        </row>
        <row r="3236">
          <cell r="D3236" t="str">
            <v>F1.1534</v>
          </cell>
          <cell r="E3236" t="str">
            <v>Z1.0629</v>
          </cell>
        </row>
        <row r="3237">
          <cell r="D3237" t="str">
            <v>F1.1535</v>
          </cell>
          <cell r="E3237" t="str">
            <v>Z1.0628</v>
          </cell>
        </row>
        <row r="3238">
          <cell r="D3238" t="str">
            <v>F1.1536</v>
          </cell>
          <cell r="E3238" t="str">
            <v>Z1.0568</v>
          </cell>
        </row>
        <row r="3239">
          <cell r="D3239" t="str">
            <v>F1.1537</v>
          </cell>
          <cell r="E3239" t="str">
            <v>Z1.0639</v>
          </cell>
        </row>
        <row r="3240">
          <cell r="D3240" t="str">
            <v>F1.1538</v>
          </cell>
          <cell r="E3240" t="str">
            <v>Z1.0625</v>
          </cell>
        </row>
        <row r="3241">
          <cell r="D3241" t="str">
            <v>F1.1539</v>
          </cell>
          <cell r="E3241" t="str">
            <v>Z1.0570</v>
          </cell>
        </row>
        <row r="3242">
          <cell r="D3242" t="str">
            <v>F1.1540</v>
          </cell>
          <cell r="E3242" t="str">
            <v>Z1.0177</v>
          </cell>
        </row>
        <row r="3243">
          <cell r="D3243" t="str">
            <v>F2.0132</v>
          </cell>
          <cell r="E3243" t="str">
            <v>Z2.337</v>
          </cell>
        </row>
        <row r="3244">
          <cell r="D3244" t="str">
            <v>F1.1543</v>
          </cell>
          <cell r="E3244" t="str">
            <v>Z1.0579</v>
          </cell>
        </row>
        <row r="3245">
          <cell r="D3245" t="str">
            <v>F1.1546</v>
          </cell>
          <cell r="E3245" t="str">
            <v>Z1.1774</v>
          </cell>
        </row>
        <row r="3246">
          <cell r="D3246" t="str">
            <v>F1.1547</v>
          </cell>
          <cell r="E3246" t="str">
            <v>Z1.1657</v>
          </cell>
        </row>
        <row r="3247">
          <cell r="D3247" t="str">
            <v>F1.1548</v>
          </cell>
          <cell r="E3247" t="str">
            <v>Z1.0533</v>
          </cell>
        </row>
        <row r="3248">
          <cell r="D3248" t="str">
            <v>F1.1551</v>
          </cell>
          <cell r="E3248" t="str">
            <v>Z1.0621</v>
          </cell>
        </row>
        <row r="3249">
          <cell r="D3249" t="str">
            <v>F1.1555</v>
          </cell>
          <cell r="E3249" t="str">
            <v>Z1.1339</v>
          </cell>
        </row>
        <row r="3250">
          <cell r="D3250" t="str">
            <v>F1.1556</v>
          </cell>
          <cell r="E3250" t="str">
            <v>Z1.0418</v>
          </cell>
        </row>
        <row r="3251">
          <cell r="D3251" t="str">
            <v>F1.1557</v>
          </cell>
          <cell r="E3251" t="str">
            <v>Z1.0276</v>
          </cell>
        </row>
        <row r="3252">
          <cell r="D3252" t="str">
            <v>F1.1558</v>
          </cell>
          <cell r="E3252" t="str">
            <v>Z1.0200</v>
          </cell>
        </row>
        <row r="3253">
          <cell r="D3253" t="str">
            <v>F1.1559</v>
          </cell>
          <cell r="E3253" t="str">
            <v>Z1.0201</v>
          </cell>
        </row>
        <row r="3254">
          <cell r="D3254" t="str">
            <v>F1.1560</v>
          </cell>
          <cell r="E3254" t="str">
            <v>Z1.0627</v>
          </cell>
        </row>
        <row r="3255">
          <cell r="D3255" t="str">
            <v>F1.1561</v>
          </cell>
          <cell r="E3255" t="str">
            <v>Z1.0470</v>
          </cell>
        </row>
        <row r="3256">
          <cell r="D3256" t="str">
            <v>F1.1562</v>
          </cell>
          <cell r="E3256" t="str">
            <v>Z1.0488</v>
          </cell>
        </row>
        <row r="3257">
          <cell r="D3257" t="str">
            <v>F1.1563</v>
          </cell>
          <cell r="E3257" t="str">
            <v>Z1.0490</v>
          </cell>
        </row>
        <row r="3258">
          <cell r="D3258" t="str">
            <v>F1.1564</v>
          </cell>
          <cell r="E3258" t="str">
            <v>Z1.0489</v>
          </cell>
        </row>
        <row r="3259">
          <cell r="D3259" t="str">
            <v>F1.1565</v>
          </cell>
          <cell r="E3259" t="str">
            <v>Z1.0265</v>
          </cell>
        </row>
        <row r="3260">
          <cell r="D3260" t="str">
            <v>F1.1567</v>
          </cell>
          <cell r="E3260" t="str">
            <v>Z1.0370</v>
          </cell>
        </row>
        <row r="3261">
          <cell r="D3261" t="str">
            <v>F1.1572</v>
          </cell>
          <cell r="E3261" t="str">
            <v>Z1.0524</v>
          </cell>
        </row>
        <row r="3262">
          <cell r="D3262" t="str">
            <v>F1.1573</v>
          </cell>
          <cell r="E3262" t="str">
            <v>Z1.0285</v>
          </cell>
        </row>
        <row r="3263">
          <cell r="D3263" t="str">
            <v>F1.1577</v>
          </cell>
          <cell r="E3263" t="str">
            <v>Z1.0204</v>
          </cell>
        </row>
        <row r="3264">
          <cell r="D3264" t="str">
            <v>F2.0136</v>
          </cell>
          <cell r="E3264" t="str">
            <v>Z2.111</v>
          </cell>
        </row>
        <row r="3265">
          <cell r="D3265" t="str">
            <v>F1.1579</v>
          </cell>
          <cell r="E3265" t="str">
            <v>Z1.1949</v>
          </cell>
        </row>
        <row r="3266">
          <cell r="D3266" t="str">
            <v>F1.1581</v>
          </cell>
          <cell r="E3266" t="str">
            <v>Z1.0234</v>
          </cell>
        </row>
        <row r="3267">
          <cell r="D3267" t="str">
            <v>F1.1582</v>
          </cell>
          <cell r="E3267" t="str">
            <v>Z1.0597</v>
          </cell>
        </row>
        <row r="3268">
          <cell r="D3268" t="str">
            <v>F1.1583</v>
          </cell>
          <cell r="E3268" t="str">
            <v>Z1.0619</v>
          </cell>
        </row>
        <row r="3269">
          <cell r="D3269" t="str">
            <v>F1.1584</v>
          </cell>
          <cell r="E3269" t="str">
            <v>Z1.0495</v>
          </cell>
        </row>
        <row r="3270">
          <cell r="D3270" t="str">
            <v>F1.1585</v>
          </cell>
          <cell r="E3270" t="str">
            <v>Z1.0494</v>
          </cell>
        </row>
        <row r="3271">
          <cell r="D3271" t="str">
            <v>F1.1586</v>
          </cell>
          <cell r="E3271" t="str">
            <v>Z1.0609</v>
          </cell>
        </row>
        <row r="3272">
          <cell r="D3272" t="str">
            <v>F1.1587</v>
          </cell>
          <cell r="E3272" t="str">
            <v>Z1.0467</v>
          </cell>
        </row>
        <row r="3273">
          <cell r="D3273" t="str">
            <v>F1.1588</v>
          </cell>
          <cell r="E3273" t="str">
            <v>Z1.0623</v>
          </cell>
        </row>
        <row r="3274">
          <cell r="D3274" t="str">
            <v>F1.1589</v>
          </cell>
          <cell r="E3274" t="str">
            <v>Z1.0552</v>
          </cell>
        </row>
        <row r="3275">
          <cell r="D3275" t="str">
            <v>F1.1590</v>
          </cell>
          <cell r="E3275" t="str">
            <v>Z1.0551</v>
          </cell>
        </row>
        <row r="3276">
          <cell r="D3276" t="str">
            <v>F1.1591</v>
          </cell>
          <cell r="E3276" t="str">
            <v>Z1.0496</v>
          </cell>
        </row>
        <row r="3277">
          <cell r="D3277" t="str">
            <v>F1.1592</v>
          </cell>
          <cell r="E3277" t="str">
            <v>Z1.0608</v>
          </cell>
        </row>
        <row r="3278">
          <cell r="D3278" t="str">
            <v>F1.1593</v>
          </cell>
          <cell r="E3278" t="str">
            <v>Z1.0605</v>
          </cell>
        </row>
        <row r="3279">
          <cell r="D3279" t="str">
            <v>F1.1594</v>
          </cell>
          <cell r="E3279" t="str">
            <v>Z1.0586</v>
          </cell>
        </row>
        <row r="3280">
          <cell r="D3280" t="str">
            <v>F1.1594</v>
          </cell>
          <cell r="E3280" t="str">
            <v>Z1.0586</v>
          </cell>
        </row>
        <row r="3281">
          <cell r="D3281" t="str">
            <v>F1.1595</v>
          </cell>
          <cell r="E3281" t="str">
            <v>Z1.0484</v>
          </cell>
        </row>
        <row r="3282">
          <cell r="D3282" t="str">
            <v>F1.1596</v>
          </cell>
          <cell r="E3282" t="str">
            <v>Z1.0624</v>
          </cell>
        </row>
        <row r="3283">
          <cell r="D3283" t="str">
            <v>F1.1597</v>
          </cell>
          <cell r="E3283" t="str">
            <v>Z1.0344</v>
          </cell>
        </row>
        <row r="3284">
          <cell r="D3284" t="str">
            <v>F1.1598</v>
          </cell>
          <cell r="E3284" t="str">
            <v>Z1.0340</v>
          </cell>
        </row>
        <row r="3285">
          <cell r="D3285" t="str">
            <v>F1.1599</v>
          </cell>
          <cell r="E3285" t="str">
            <v>Z1.0345</v>
          </cell>
        </row>
        <row r="3286">
          <cell r="D3286" t="str">
            <v>F1.1600</v>
          </cell>
          <cell r="E3286" t="str">
            <v>Z1.0341</v>
          </cell>
        </row>
        <row r="3287">
          <cell r="D3287" t="str">
            <v>F1.1601</v>
          </cell>
          <cell r="E3287" t="str">
            <v>Z2.345</v>
          </cell>
        </row>
        <row r="3288">
          <cell r="D3288" t="str">
            <v>F1.1605</v>
          </cell>
          <cell r="E3288" t="str">
            <v>Z1.0388</v>
          </cell>
        </row>
        <row r="3289">
          <cell r="D3289" t="str">
            <v>F1.1606</v>
          </cell>
          <cell r="E3289" t="str">
            <v>Z1.0380</v>
          </cell>
        </row>
        <row r="3290">
          <cell r="D3290" t="str">
            <v>F1.1607</v>
          </cell>
          <cell r="E3290" t="str">
            <v>Z1.0377</v>
          </cell>
        </row>
        <row r="3291">
          <cell r="D3291" t="str">
            <v>F1.1608</v>
          </cell>
          <cell r="E3291" t="str">
            <v>Z1.0554</v>
          </cell>
        </row>
        <row r="3292">
          <cell r="D3292" t="str">
            <v>F1.1609</v>
          </cell>
          <cell r="E3292" t="str">
            <v>Z1.0160</v>
          </cell>
        </row>
        <row r="3293">
          <cell r="D3293" t="str">
            <v>F2.0140</v>
          </cell>
          <cell r="E3293" t="str">
            <v>Z2.195</v>
          </cell>
        </row>
        <row r="3294">
          <cell r="D3294" t="str">
            <v>F1.1613</v>
          </cell>
          <cell r="E3294" t="str">
            <v>Z1.1595</v>
          </cell>
        </row>
        <row r="3295">
          <cell r="D3295" t="str">
            <v>F1.1614</v>
          </cell>
          <cell r="E3295" t="str">
            <v>Z1.0383</v>
          </cell>
        </row>
        <row r="3296">
          <cell r="D3296" t="str">
            <v>F1.1615</v>
          </cell>
          <cell r="E3296" t="str">
            <v>Z1.0381</v>
          </cell>
        </row>
        <row r="3297">
          <cell r="D3297" t="str">
            <v>F1.1632</v>
          </cell>
          <cell r="E3297" t="str">
            <v>Z1.0588</v>
          </cell>
        </row>
        <row r="3298">
          <cell r="D3298" t="str">
            <v>F1.1633</v>
          </cell>
          <cell r="E3298" t="str">
            <v>Z1.0543</v>
          </cell>
        </row>
        <row r="3299">
          <cell r="D3299" t="str">
            <v>F1.1634</v>
          </cell>
          <cell r="E3299" t="str">
            <v>Z1.0398</v>
          </cell>
        </row>
        <row r="3300">
          <cell r="D3300" t="str">
            <v>F1.1638</v>
          </cell>
          <cell r="E3300" t="str">
            <v>Z1.0373</v>
          </cell>
        </row>
        <row r="3301">
          <cell r="D3301" t="str">
            <v>F1.1640</v>
          </cell>
          <cell r="E3301" t="str">
            <v>Z1.0085</v>
          </cell>
        </row>
        <row r="3302">
          <cell r="D3302" t="str">
            <v>F1.1641</v>
          </cell>
          <cell r="E3302" t="str">
            <v>Z1.0013</v>
          </cell>
        </row>
        <row r="3303">
          <cell r="D3303" t="str">
            <v>F1.1642</v>
          </cell>
          <cell r="E3303" t="str">
            <v>Z1.0580</v>
          </cell>
        </row>
        <row r="3304">
          <cell r="D3304" t="str">
            <v>F2.0143</v>
          </cell>
          <cell r="E3304" t="str">
            <v>Z2.132</v>
          </cell>
        </row>
        <row r="3305">
          <cell r="D3305" t="str">
            <v>F2.0144</v>
          </cell>
          <cell r="E3305" t="str">
            <v>Z2.186</v>
          </cell>
        </row>
        <row r="3306">
          <cell r="D3306" t="str">
            <v>F1.1646</v>
          </cell>
          <cell r="E3306" t="str">
            <v>Z1.0235</v>
          </cell>
        </row>
        <row r="3307">
          <cell r="D3307" t="str">
            <v>F1.1647</v>
          </cell>
          <cell r="E3307" t="str">
            <v>Z1.0432</v>
          </cell>
        </row>
        <row r="3308">
          <cell r="D3308" t="str">
            <v>F1.1648</v>
          </cell>
          <cell r="E3308" t="str">
            <v>Z1.0431</v>
          </cell>
        </row>
        <row r="3309">
          <cell r="D3309" t="str">
            <v>F1.1649</v>
          </cell>
          <cell r="E3309" t="str">
            <v>Z1.0415</v>
          </cell>
        </row>
        <row r="3310">
          <cell r="D3310" t="str">
            <v>F1.1652</v>
          </cell>
          <cell r="E3310" t="str">
            <v>Z1.0311</v>
          </cell>
        </row>
        <row r="3311">
          <cell r="D3311" t="str">
            <v>F1.1653</v>
          </cell>
          <cell r="E3311" t="str">
            <v>Z1.0310</v>
          </cell>
        </row>
        <row r="3312">
          <cell r="D3312" t="str">
            <v>F1.1654</v>
          </cell>
          <cell r="E3312" t="str">
            <v>Z1.0429</v>
          </cell>
        </row>
        <row r="3313">
          <cell r="D3313" t="str">
            <v>F1.1655</v>
          </cell>
          <cell r="E3313" t="str">
            <v>Z1.0438</v>
          </cell>
        </row>
        <row r="3314">
          <cell r="D3314" t="str">
            <v>F1.1656</v>
          </cell>
          <cell r="E3314" t="str">
            <v>Z1.0505</v>
          </cell>
        </row>
        <row r="3315">
          <cell r="D3315" t="str">
            <v>F1.1657</v>
          </cell>
          <cell r="E3315" t="str">
            <v>Z1.0220</v>
          </cell>
        </row>
        <row r="3316">
          <cell r="D3316" t="str">
            <v>F1.1658</v>
          </cell>
          <cell r="E3316" t="str">
            <v>Z1.0308</v>
          </cell>
        </row>
        <row r="3317">
          <cell r="D3317" t="str">
            <v>F1.1659</v>
          </cell>
          <cell r="E3317" t="str">
            <v>Z1.0307</v>
          </cell>
        </row>
        <row r="3318">
          <cell r="D3318" t="str">
            <v>F1.1660</v>
          </cell>
          <cell r="E3318" t="str">
            <v>Z1.0304</v>
          </cell>
        </row>
        <row r="3319">
          <cell r="D3319" t="str">
            <v>F1.1661</v>
          </cell>
          <cell r="E3319" t="str">
            <v>Z1.0306</v>
          </cell>
        </row>
        <row r="3320">
          <cell r="D3320" t="str">
            <v>F1.1662</v>
          </cell>
          <cell r="E3320" t="str">
            <v>Z1.0312</v>
          </cell>
        </row>
        <row r="3321">
          <cell r="D3321" t="str">
            <v>F1.1663</v>
          </cell>
          <cell r="E3321" t="str">
            <v>Z1.0305</v>
          </cell>
        </row>
        <row r="3322">
          <cell r="D3322" t="str">
            <v>F1.1664</v>
          </cell>
          <cell r="E3322" t="str">
            <v>Z1.0313</v>
          </cell>
        </row>
        <row r="3323">
          <cell r="D3323" t="str">
            <v>F1.1665</v>
          </cell>
          <cell r="E3323" t="str">
            <v>Z1.0309</v>
          </cell>
        </row>
        <row r="3324">
          <cell r="D3324" t="str">
            <v>F1.1666</v>
          </cell>
          <cell r="E3324" t="str">
            <v>Z1.0439</v>
          </cell>
        </row>
        <row r="3325">
          <cell r="D3325" t="str">
            <v>F1.1668</v>
          </cell>
          <cell r="E3325" t="str">
            <v>Z1.0442</v>
          </cell>
        </row>
        <row r="3326">
          <cell r="D3326" t="str">
            <v>F1.1681</v>
          </cell>
          <cell r="E3326" t="str">
            <v>Z1.0277</v>
          </cell>
        </row>
        <row r="3327">
          <cell r="D3327" t="str">
            <v>F1.1682</v>
          </cell>
          <cell r="E3327" t="str">
            <v>Z1.0236</v>
          </cell>
        </row>
        <row r="3328">
          <cell r="D3328" t="str">
            <v>F1.1683</v>
          </cell>
          <cell r="E3328" t="str">
            <v>Z1.0232</v>
          </cell>
        </row>
        <row r="3329">
          <cell r="D3329" t="str">
            <v>F2.0146</v>
          </cell>
          <cell r="E3329" t="str">
            <v>Z2.351</v>
          </cell>
        </row>
        <row r="3330">
          <cell r="D3330" t="str">
            <v>F2.0147</v>
          </cell>
          <cell r="E3330" t="str">
            <v>Z2.352</v>
          </cell>
        </row>
        <row r="3331">
          <cell r="D3331" t="str">
            <v>F2.0148</v>
          </cell>
          <cell r="E3331" t="str">
            <v>Z2.353</v>
          </cell>
        </row>
        <row r="3332">
          <cell r="D3332" t="str">
            <v>F2.0149</v>
          </cell>
          <cell r="E3332" t="str">
            <v>Z2.350</v>
          </cell>
        </row>
        <row r="3333">
          <cell r="D3333" t="str">
            <v>F1.1713</v>
          </cell>
          <cell r="E3333" t="str">
            <v>Z1.0371</v>
          </cell>
        </row>
        <row r="3334">
          <cell r="D3334" t="str">
            <v>F1.1714</v>
          </cell>
          <cell r="E3334" t="str">
            <v>Z1.0553</v>
          </cell>
        </row>
        <row r="3335">
          <cell r="D3335" t="str">
            <v>F1.1715</v>
          </cell>
          <cell r="E3335" t="str">
            <v>Z1.0610</v>
          </cell>
        </row>
        <row r="3336">
          <cell r="D3336" t="str">
            <v>F1.1722</v>
          </cell>
          <cell r="E3336" t="str">
            <v>Z1.0150</v>
          </cell>
        </row>
        <row r="3337">
          <cell r="D3337" t="str">
            <v>F1.1723</v>
          </cell>
          <cell r="E3337" t="str">
            <v>Z1.0151</v>
          </cell>
        </row>
        <row r="3338">
          <cell r="D3338" t="str">
            <v>F1.1724</v>
          </cell>
          <cell r="E3338" t="str">
            <v>Z1.0152</v>
          </cell>
        </row>
        <row r="3339">
          <cell r="D3339" t="str">
            <v>F1.1725</v>
          </cell>
          <cell r="E3339" t="str">
            <v>Z1.0434</v>
          </cell>
        </row>
        <row r="3340">
          <cell r="D3340" t="str">
            <v>F1.1726</v>
          </cell>
          <cell r="E3340" t="str">
            <v>Z1.0422</v>
          </cell>
        </row>
        <row r="3341">
          <cell r="D3341" t="str">
            <v>F1.1727</v>
          </cell>
          <cell r="E3341" t="str">
            <v>Z1.0585</v>
          </cell>
        </row>
        <row r="3342">
          <cell r="D3342" t="str">
            <v>F1.1728</v>
          </cell>
          <cell r="E3342" t="str">
            <v>Z1.0416</v>
          </cell>
        </row>
        <row r="3343">
          <cell r="D3343" t="str">
            <v>F1.1729</v>
          </cell>
          <cell r="E3343" t="str">
            <v>Z1.0417</v>
          </cell>
        </row>
        <row r="3344">
          <cell r="D3344" t="str">
            <v>F1.1730</v>
          </cell>
          <cell r="E3344" t="str">
            <v>Z1.0578</v>
          </cell>
        </row>
        <row r="3345">
          <cell r="D3345" t="str">
            <v>F1.1731</v>
          </cell>
          <cell r="E3345" t="str">
            <v>Z1.0080</v>
          </cell>
        </row>
        <row r="3346">
          <cell r="D3346" t="str">
            <v>F1.1732</v>
          </cell>
          <cell r="E3346" t="str">
            <v>Z1.0179</v>
          </cell>
        </row>
        <row r="3347">
          <cell r="D3347" t="str">
            <v>F1.1733</v>
          </cell>
          <cell r="E3347" t="str">
            <v>Z1.0260</v>
          </cell>
        </row>
        <row r="3348">
          <cell r="D3348" t="str">
            <v>F1.1734</v>
          </cell>
          <cell r="E3348" t="str">
            <v>Z1.0154</v>
          </cell>
        </row>
        <row r="3349">
          <cell r="D3349" t="str">
            <v>F1.1735</v>
          </cell>
          <cell r="E3349" t="str">
            <v>Z1.0089</v>
          </cell>
        </row>
        <row r="3350">
          <cell r="D3350" t="str">
            <v>F1.1735</v>
          </cell>
          <cell r="E3350" t="str">
            <v>Z1.0089</v>
          </cell>
        </row>
        <row r="3351">
          <cell r="D3351" t="str">
            <v>F2.0156</v>
          </cell>
          <cell r="E3351" t="str">
            <v>Z2.295</v>
          </cell>
        </row>
        <row r="3352">
          <cell r="D3352" t="str">
            <v>F2.0156</v>
          </cell>
          <cell r="E3352" t="str">
            <v>Z2.370</v>
          </cell>
        </row>
        <row r="3353">
          <cell r="D3353" t="str">
            <v>F2.0157</v>
          </cell>
          <cell r="E3353" t="str">
            <v>Z2.229</v>
          </cell>
        </row>
        <row r="3354">
          <cell r="D3354" t="str">
            <v>F2.0157</v>
          </cell>
          <cell r="E3354" t="str">
            <v>Z2.229</v>
          </cell>
        </row>
        <row r="3355">
          <cell r="D3355" t="str">
            <v>F1.1736</v>
          </cell>
          <cell r="E3355" t="str">
            <v>Z1.0253</v>
          </cell>
        </row>
        <row r="3356">
          <cell r="D3356" t="str">
            <v>F1.1736</v>
          </cell>
          <cell r="E3356" t="str">
            <v>Z1.0253</v>
          </cell>
        </row>
        <row r="3357">
          <cell r="D3357" t="str">
            <v>F1.1737</v>
          </cell>
          <cell r="E3357" t="str">
            <v>Z1.0376</v>
          </cell>
        </row>
        <row r="3358">
          <cell r="D3358" t="str">
            <v>F1.1738</v>
          </cell>
          <cell r="E3358" t="str">
            <v>Z1.0229</v>
          </cell>
        </row>
        <row r="3359">
          <cell r="D3359" t="str">
            <v>F2.0159</v>
          </cell>
          <cell r="E3359" t="str">
            <v>Z2.381</v>
          </cell>
        </row>
        <row r="3360">
          <cell r="D3360" t="str">
            <v>F2.0161</v>
          </cell>
          <cell r="E3360" t="str">
            <v>Z2.362</v>
          </cell>
        </row>
        <row r="3361">
          <cell r="D3361" t="str">
            <v>F2.0162</v>
          </cell>
          <cell r="E3361" t="str">
            <v>Z2.363</v>
          </cell>
        </row>
        <row r="3362">
          <cell r="D3362" t="str">
            <v>F1.1748</v>
          </cell>
          <cell r="E3362" t="str">
            <v>Z1.0413</v>
          </cell>
        </row>
        <row r="3363">
          <cell r="D3363" t="str">
            <v>F2.0166</v>
          </cell>
          <cell r="E3363" t="str">
            <v>Z2.378</v>
          </cell>
        </row>
        <row r="3364">
          <cell r="D3364" t="str">
            <v>F2.0167</v>
          </cell>
          <cell r="E3364" t="str">
            <v>Z2.379</v>
          </cell>
        </row>
        <row r="3365">
          <cell r="D3365" t="str">
            <v>F2.0168</v>
          </cell>
          <cell r="E3365" t="str">
            <v>Z2.380</v>
          </cell>
        </row>
        <row r="3366">
          <cell r="D3366" t="str">
            <v>F1.1749</v>
          </cell>
          <cell r="E3366" t="str">
            <v>Z1.0145</v>
          </cell>
        </row>
        <row r="3367">
          <cell r="D3367" t="str">
            <v>F2.0170</v>
          </cell>
          <cell r="E3367" t="str">
            <v>Z2.304</v>
          </cell>
        </row>
        <row r="3368">
          <cell r="D3368" t="str">
            <v>F1.1753</v>
          </cell>
          <cell r="E3368" t="str">
            <v>Z1.0613</v>
          </cell>
        </row>
        <row r="3369">
          <cell r="D3369" t="str">
            <v>F1.1754</v>
          </cell>
          <cell r="E3369" t="str">
            <v>Z1.0614</v>
          </cell>
        </row>
        <row r="3370">
          <cell r="D3370" t="str">
            <v>F1.1755</v>
          </cell>
          <cell r="E3370" t="str">
            <v>Z1.0615</v>
          </cell>
        </row>
        <row r="3371">
          <cell r="D3371" t="str">
            <v>F1.1756</v>
          </cell>
          <cell r="E3371" t="str">
            <v>Z1.0569</v>
          </cell>
        </row>
        <row r="3372">
          <cell r="D3372" t="str">
            <v>F1.1758</v>
          </cell>
          <cell r="E3372" t="str">
            <v>Z1.0233</v>
          </cell>
        </row>
        <row r="3373">
          <cell r="D3373" t="str">
            <v>F2.0172</v>
          </cell>
          <cell r="E3373" t="str">
            <v>Z2.372</v>
          </cell>
        </row>
        <row r="3374">
          <cell r="D3374" t="str">
            <v>F2.0173</v>
          </cell>
          <cell r="E3374" t="str">
            <v>Z2.373</v>
          </cell>
        </row>
        <row r="3375">
          <cell r="D3375" t="str">
            <v>F1.1801</v>
          </cell>
          <cell r="E3375" t="str">
            <v>Z1.0399</v>
          </cell>
        </row>
        <row r="3376">
          <cell r="D3376" t="str">
            <v>F2.0179</v>
          </cell>
          <cell r="E3376" t="str">
            <v>Z2.211</v>
          </cell>
        </row>
        <row r="3377">
          <cell r="D3377" t="str">
            <v>F2.0180</v>
          </cell>
          <cell r="E3377" t="str">
            <v>Z2.140</v>
          </cell>
        </row>
        <row r="3378">
          <cell r="D3378" t="str">
            <v>F2.0181</v>
          </cell>
          <cell r="E3378" t="str">
            <v>Z2.119</v>
          </cell>
        </row>
        <row r="3379">
          <cell r="D3379" t="str">
            <v>F2.0182</v>
          </cell>
          <cell r="E3379" t="str">
            <v>Z2.009</v>
          </cell>
        </row>
        <row r="3380">
          <cell r="E3380" t="str">
            <v>Z3.207</v>
          </cell>
        </row>
        <row r="3382">
          <cell r="E3382" t="str">
            <v>Z3.129</v>
          </cell>
        </row>
        <row r="3383">
          <cell r="D3383" t="str">
            <v>F2.0183</v>
          </cell>
          <cell r="E3383" t="str">
            <v>Z2.207</v>
          </cell>
        </row>
        <row r="3384">
          <cell r="D3384" t="str">
            <v>F2.0184</v>
          </cell>
          <cell r="E3384" t="str">
            <v>Z2.131</v>
          </cell>
        </row>
        <row r="3385">
          <cell r="D3385" t="str">
            <v>F2.0185</v>
          </cell>
          <cell r="E3385" t="str">
            <v>Z2.005</v>
          </cell>
        </row>
        <row r="3386">
          <cell r="D3386" t="str">
            <v>F2.0186</v>
          </cell>
          <cell r="E3386" t="str">
            <v>Z2.127</v>
          </cell>
        </row>
        <row r="3387">
          <cell r="D3387" t="str">
            <v>F2.0187</v>
          </cell>
          <cell r="E3387" t="str">
            <v>Z2.209</v>
          </cell>
        </row>
        <row r="3388">
          <cell r="D3388" t="str">
            <v>F1.1804</v>
          </cell>
          <cell r="E3388" t="str">
            <v>Z1.0087</v>
          </cell>
        </row>
        <row r="3389">
          <cell r="D3389" t="str">
            <v>F2.0189</v>
          </cell>
          <cell r="E3389" t="str">
            <v>Z2.113</v>
          </cell>
        </row>
        <row r="3390">
          <cell r="D3390" t="str">
            <v>F2.0190</v>
          </cell>
          <cell r="E3390" t="str">
            <v>Z2.103</v>
          </cell>
        </row>
        <row r="3391">
          <cell r="D3391" t="str">
            <v>F2.0191</v>
          </cell>
          <cell r="E3391" t="str">
            <v>Z2.202</v>
          </cell>
        </row>
        <row r="3392">
          <cell r="D3392" t="str">
            <v>F2.0192</v>
          </cell>
          <cell r="E3392" t="str">
            <v>Z2.197</v>
          </cell>
        </row>
        <row r="3393">
          <cell r="D3393" t="str">
            <v>F2.0193</v>
          </cell>
          <cell r="E3393" t="str">
            <v>Z2.200</v>
          </cell>
        </row>
        <row r="3394">
          <cell r="D3394" t="str">
            <v>F2.0194</v>
          </cell>
          <cell r="E3394" t="str">
            <v>Z2.201</v>
          </cell>
        </row>
        <row r="3395">
          <cell r="D3395" t="str">
            <v>F2.0195</v>
          </cell>
          <cell r="E3395" t="str">
            <v>Z2.199</v>
          </cell>
        </row>
        <row r="3396">
          <cell r="D3396" t="str">
            <v>F2.0196</v>
          </cell>
          <cell r="E3396" t="str">
            <v>Z2.205</v>
          </cell>
        </row>
        <row r="3397">
          <cell r="D3397" t="str">
            <v>F2.0197</v>
          </cell>
          <cell r="E3397" t="str">
            <v>Z2.204</v>
          </cell>
        </row>
        <row r="3398">
          <cell r="D3398" t="str">
            <v>F2.0198</v>
          </cell>
          <cell r="E3398" t="str">
            <v>Z2.203</v>
          </cell>
        </row>
        <row r="3399">
          <cell r="D3399" t="str">
            <v>F2.0199</v>
          </cell>
          <cell r="E3399" t="str">
            <v>Z2.198</v>
          </cell>
        </row>
        <row r="3400">
          <cell r="D3400" t="str">
            <v>F2.0200</v>
          </cell>
          <cell r="E3400" t="str">
            <v>Z2.196</v>
          </cell>
        </row>
        <row r="3401">
          <cell r="D3401" t="str">
            <v>F2.0201</v>
          </cell>
          <cell r="E3401" t="str">
            <v>Z2.157</v>
          </cell>
        </row>
        <row r="3402">
          <cell r="D3402" t="str">
            <v>F2.0201</v>
          </cell>
          <cell r="E3402" t="str">
            <v>Z2.157</v>
          </cell>
        </row>
        <row r="3403">
          <cell r="D3403" t="str">
            <v>F1.1805</v>
          </cell>
          <cell r="E3403" t="str">
            <v>Z1.0372</v>
          </cell>
        </row>
        <row r="3404">
          <cell r="D3404" t="str">
            <v>F1.1869</v>
          </cell>
          <cell r="E3404" t="str">
            <v>Z1.0336</v>
          </cell>
        </row>
        <row r="3405">
          <cell r="D3405" t="str">
            <v>F1.1870</v>
          </cell>
          <cell r="E3405" t="str">
            <v>Z1.0630</v>
          </cell>
        </row>
        <row r="3406">
          <cell r="D3406" t="str">
            <v>F1.1871</v>
          </cell>
          <cell r="E3406" t="str">
            <v>Z1.0618</v>
          </cell>
        </row>
        <row r="3407">
          <cell r="D3407" t="str">
            <v>F1.1872</v>
          </cell>
          <cell r="E3407" t="str">
            <v>Z1.0617</v>
          </cell>
        </row>
        <row r="3408">
          <cell r="D3408" t="str">
            <v>F1.1873</v>
          </cell>
          <cell r="E3408" t="str">
            <v>Z1.0504</v>
          </cell>
        </row>
        <row r="3409">
          <cell r="D3409" t="str">
            <v>F1.1874</v>
          </cell>
          <cell r="E3409" t="str">
            <v>Z1.0512</v>
          </cell>
        </row>
        <row r="3410">
          <cell r="D3410" t="str">
            <v>F1.1875</v>
          </cell>
          <cell r="E3410" t="str">
            <v>Z1.0503</v>
          </cell>
        </row>
        <row r="3411">
          <cell r="D3411" t="str">
            <v>F1.1876</v>
          </cell>
          <cell r="E3411" t="str">
            <v>Z1.0511</v>
          </cell>
        </row>
        <row r="3412">
          <cell r="D3412" t="str">
            <v>F1.1878</v>
          </cell>
          <cell r="E3412" t="str">
            <v>Z1.0379</v>
          </cell>
        </row>
        <row r="3413">
          <cell r="D3413" t="str">
            <v>F1.1879</v>
          </cell>
          <cell r="E3413" t="str">
            <v>Z1.0335</v>
          </cell>
        </row>
        <row r="3414">
          <cell r="D3414" t="str">
            <v>F1.1880</v>
          </cell>
          <cell r="E3414" t="str">
            <v>Z1.0144</v>
          </cell>
        </row>
        <row r="3415">
          <cell r="D3415" t="str">
            <v>F1.1881</v>
          </cell>
          <cell r="E3415" t="str">
            <v>Z1.0353</v>
          </cell>
        </row>
        <row r="3416">
          <cell r="D3416" t="str">
            <v>F2.0206</v>
          </cell>
          <cell r="E3416" t="str">
            <v>Z2.247</v>
          </cell>
        </row>
        <row r="3417">
          <cell r="D3417" t="str">
            <v>F1.1882</v>
          </cell>
          <cell r="E3417" t="str">
            <v>Z1.0033</v>
          </cell>
        </row>
        <row r="3418">
          <cell r="D3418" t="str">
            <v>F1.1883</v>
          </cell>
          <cell r="E3418" t="str">
            <v>Z1.1308</v>
          </cell>
        </row>
        <row r="3419">
          <cell r="D3419" t="str">
            <v>F2.0207</v>
          </cell>
          <cell r="E3419" t="str">
            <v>Z2.300</v>
          </cell>
        </row>
        <row r="3420">
          <cell r="D3420" t="str">
            <v>F1.1884</v>
          </cell>
          <cell r="E3420" t="str">
            <v>Z1.1328</v>
          </cell>
        </row>
        <row r="3421">
          <cell r="D3421" t="str">
            <v>F1.1885</v>
          </cell>
          <cell r="E3421" t="str">
            <v>Z1.0487</v>
          </cell>
        </row>
        <row r="3422">
          <cell r="D3422" t="str">
            <v>F1.1886</v>
          </cell>
          <cell r="E3422" t="str">
            <v>Z1.0374</v>
          </cell>
        </row>
        <row r="3423">
          <cell r="D3423" t="str">
            <v>F2.0210</v>
          </cell>
          <cell r="E3423" t="str">
            <v>Z2.303</v>
          </cell>
        </row>
        <row r="3424">
          <cell r="D3424" t="str">
            <v>F1.1887</v>
          </cell>
          <cell r="E3424" t="str">
            <v>Z1.0202</v>
          </cell>
        </row>
        <row r="3425">
          <cell r="D3425" t="str">
            <v>F2.0211</v>
          </cell>
          <cell r="E3425" t="str">
            <v>Z2.367</v>
          </cell>
        </row>
        <row r="3426">
          <cell r="D3426" t="str">
            <v>F2.0212</v>
          </cell>
          <cell r="E3426" t="str">
            <v>Z2.190</v>
          </cell>
        </row>
        <row r="3427">
          <cell r="D3427" t="str">
            <v>F2.0216</v>
          </cell>
          <cell r="E3427" t="str">
            <v>Z2.358</v>
          </cell>
        </row>
        <row r="3428">
          <cell r="D3428" t="str">
            <v>F2.0217</v>
          </cell>
          <cell r="E3428" t="str">
            <v>Z2.360</v>
          </cell>
        </row>
        <row r="3429">
          <cell r="D3429" t="str">
            <v>F2.0229</v>
          </cell>
          <cell r="E3429" t="str">
            <v>Z2.187</v>
          </cell>
        </row>
        <row r="3430">
          <cell r="D3430" t="str">
            <v>F1.1955</v>
          </cell>
          <cell r="E3430" t="str">
            <v>Z1.0607</v>
          </cell>
        </row>
        <row r="3431">
          <cell r="D3431" t="str">
            <v>F1.1956</v>
          </cell>
          <cell r="E3431" t="str">
            <v>Z1.1533</v>
          </cell>
        </row>
        <row r="3432">
          <cell r="D3432" t="str">
            <v>F1.1957</v>
          </cell>
          <cell r="E3432" t="str">
            <v>Z1.1651</v>
          </cell>
        </row>
        <row r="3433">
          <cell r="D3433" t="str">
            <v>F2.0234</v>
          </cell>
          <cell r="E3433" t="str">
            <v>Z2.368</v>
          </cell>
        </row>
        <row r="3434">
          <cell r="D3434" t="str">
            <v>F2.0235</v>
          </cell>
          <cell r="E3434" t="str">
            <v>Z2.301</v>
          </cell>
        </row>
        <row r="3435">
          <cell r="D3435" t="str">
            <v>F1.2104</v>
          </cell>
          <cell r="E3435" t="str">
            <v>Z1.1323</v>
          </cell>
        </row>
        <row r="3436">
          <cell r="D3436" t="str">
            <v>F1.2105</v>
          </cell>
          <cell r="E3436" t="str">
            <v>Z1.0473</v>
          </cell>
        </row>
        <row r="3437">
          <cell r="D3437" t="str">
            <v>F1.2107</v>
          </cell>
          <cell r="E3437" t="str">
            <v>Z1.0620</v>
          </cell>
        </row>
        <row r="3438">
          <cell r="D3438" t="str">
            <v>F1.2108</v>
          </cell>
          <cell r="E3438" t="str">
            <v>Z1.0606</v>
          </cell>
        </row>
        <row r="3439">
          <cell r="D3439" t="str">
            <v>F1.2109</v>
          </cell>
          <cell r="E3439" t="str">
            <v>Z1.0188</v>
          </cell>
        </row>
        <row r="3440">
          <cell r="D3440" t="str">
            <v>F2.0239</v>
          </cell>
          <cell r="E3440" t="str">
            <v>Z2.383</v>
          </cell>
        </row>
        <row r="3441">
          <cell r="D3441" t="str">
            <v>F2.0240</v>
          </cell>
          <cell r="E3441" t="str">
            <v>Z2.384</v>
          </cell>
        </row>
        <row r="3442">
          <cell r="D3442" t="str">
            <v>F1.2117</v>
          </cell>
        </row>
        <row r="3443">
          <cell r="D3443" t="str">
            <v>F1.2118</v>
          </cell>
        </row>
        <row r="3444">
          <cell r="D3444" t="str">
            <v>F3.0004</v>
          </cell>
          <cell r="E3444" t="str">
            <v>Z1.2409</v>
          </cell>
        </row>
        <row r="3445">
          <cell r="D3445" t="str">
            <v>F3.0005</v>
          </cell>
          <cell r="E3445" t="str">
            <v>Z1.2464</v>
          </cell>
        </row>
        <row r="3446">
          <cell r="D3446" t="str">
            <v>F3.0006</v>
          </cell>
          <cell r="E3446" t="str">
            <v>Z1.2019</v>
          </cell>
        </row>
        <row r="3447">
          <cell r="D3447" t="str">
            <v>F3.0007</v>
          </cell>
          <cell r="E3447" t="str">
            <v>Z1.1881</v>
          </cell>
        </row>
        <row r="3448">
          <cell r="D3448" t="str">
            <v>F3.0008</v>
          </cell>
          <cell r="E3448" t="str">
            <v>Z1.1933</v>
          </cell>
        </row>
        <row r="3449">
          <cell r="D3449" t="str">
            <v>F3.0009</v>
          </cell>
          <cell r="E3449" t="str">
            <v>Z1.2183</v>
          </cell>
        </row>
        <row r="3450">
          <cell r="D3450" t="str">
            <v>F3.0009</v>
          </cell>
          <cell r="E3450" t="str">
            <v>Z1.2183</v>
          </cell>
        </row>
        <row r="3451">
          <cell r="D3451" t="str">
            <v>F3.0012</v>
          </cell>
          <cell r="E3451" t="str">
            <v>Z1.2266</v>
          </cell>
        </row>
        <row r="3452">
          <cell r="D3452" t="str">
            <v>F3.0012</v>
          </cell>
          <cell r="E3452" t="str">
            <v>Z1.2266</v>
          </cell>
        </row>
        <row r="3453">
          <cell r="D3453" t="str">
            <v>F3.0013</v>
          </cell>
          <cell r="E3453" t="str">
            <v>Z1.2153</v>
          </cell>
        </row>
        <row r="3454">
          <cell r="D3454" t="str">
            <v>F3.0014</v>
          </cell>
          <cell r="E3454" t="str">
            <v>Z1.2267</v>
          </cell>
        </row>
        <row r="3455">
          <cell r="D3455" t="str">
            <v>F3.0014</v>
          </cell>
          <cell r="E3455" t="str">
            <v>Z1.2267</v>
          </cell>
        </row>
        <row r="3456">
          <cell r="D3456" t="str">
            <v>F3.0015</v>
          </cell>
          <cell r="E3456" t="str">
            <v>Z1.2226</v>
          </cell>
        </row>
        <row r="3457">
          <cell r="D3457" t="str">
            <v>F3.0016</v>
          </cell>
          <cell r="E3457" t="str">
            <v>Z1.2227</v>
          </cell>
        </row>
        <row r="3458">
          <cell r="D3458" t="str">
            <v>F3.0021</v>
          </cell>
          <cell r="E3458" t="str">
            <v>Z1.1882</v>
          </cell>
        </row>
        <row r="3459">
          <cell r="D3459" t="str">
            <v>F3.0022</v>
          </cell>
          <cell r="E3459" t="str">
            <v>Z1.1913</v>
          </cell>
        </row>
        <row r="3460">
          <cell r="D3460" t="str">
            <v>F3.0028</v>
          </cell>
          <cell r="E3460" t="str">
            <v>Z1.1883</v>
          </cell>
        </row>
        <row r="3461">
          <cell r="D3461" t="str">
            <v>F3.0029</v>
          </cell>
          <cell r="E3461" t="str">
            <v>Z1.1885</v>
          </cell>
        </row>
        <row r="3462">
          <cell r="D3462" t="str">
            <v>F3.0031</v>
          </cell>
          <cell r="E3462" t="str">
            <v>Z1.2127</v>
          </cell>
        </row>
        <row r="3463">
          <cell r="D3463" t="str">
            <v>F3.0032</v>
          </cell>
          <cell r="E3463" t="str">
            <v>Z1.2093</v>
          </cell>
        </row>
        <row r="3464">
          <cell r="D3464" t="str">
            <v>F3.0033</v>
          </cell>
          <cell r="E3464" t="str">
            <v>Z1.2193</v>
          </cell>
        </row>
        <row r="3465">
          <cell r="D3465" t="str">
            <v>F3.0034</v>
          </cell>
          <cell r="E3465" t="str">
            <v>Z1.2236</v>
          </cell>
        </row>
        <row r="3466">
          <cell r="D3466" t="str">
            <v>F3.0035</v>
          </cell>
          <cell r="E3466" t="str">
            <v>Z1.2235</v>
          </cell>
        </row>
        <row r="3467">
          <cell r="D3467" t="str">
            <v>F3.0036</v>
          </cell>
          <cell r="E3467" t="str">
            <v>Z1.2237</v>
          </cell>
        </row>
        <row r="3468">
          <cell r="D3468" t="str">
            <v>F3.0037</v>
          </cell>
          <cell r="E3468" t="str">
            <v>Z1.2202</v>
          </cell>
        </row>
        <row r="3469">
          <cell r="D3469" t="str">
            <v>F3.0038</v>
          </cell>
          <cell r="E3469" t="str">
            <v>Z1.2059</v>
          </cell>
        </row>
        <row r="3470">
          <cell r="D3470" t="str">
            <v>F3.0039</v>
          </cell>
          <cell r="E3470" t="str">
            <v>Z1.1988</v>
          </cell>
        </row>
        <row r="3471">
          <cell r="D3471" t="str">
            <v>F3.0040</v>
          </cell>
          <cell r="E3471" t="str">
            <v>Z1.2125</v>
          </cell>
        </row>
        <row r="3472">
          <cell r="D3472" t="str">
            <v>F3.0045</v>
          </cell>
          <cell r="E3472" t="str">
            <v>Z1.2182</v>
          </cell>
        </row>
        <row r="3473">
          <cell r="D3473" t="str">
            <v>F3.0045</v>
          </cell>
          <cell r="E3473" t="str">
            <v>Z1.2182</v>
          </cell>
        </row>
        <row r="3474">
          <cell r="D3474" t="str">
            <v>F3.0046</v>
          </cell>
          <cell r="E3474" t="str">
            <v>Z1.1964</v>
          </cell>
        </row>
        <row r="3475">
          <cell r="D3475" t="str">
            <v>F3.0047</v>
          </cell>
          <cell r="E3475" t="str">
            <v>Z1.2033</v>
          </cell>
        </row>
        <row r="3476">
          <cell r="D3476" t="str">
            <v>F3.0048</v>
          </cell>
          <cell r="E3476" t="str">
            <v>Z1.1886</v>
          </cell>
        </row>
        <row r="3477">
          <cell r="D3477" t="str">
            <v>F3.0049</v>
          </cell>
          <cell r="E3477" t="str">
            <v>Z1.1884</v>
          </cell>
        </row>
        <row r="3478">
          <cell r="D3478" t="str">
            <v>F3.0050</v>
          </cell>
          <cell r="E3478" t="str">
            <v>Z3.227</v>
          </cell>
        </row>
        <row r="3479">
          <cell r="D3479" t="str">
            <v>F3.0057</v>
          </cell>
          <cell r="E3479" t="str">
            <v>Z1.2002</v>
          </cell>
        </row>
        <row r="3480">
          <cell r="D3480" t="str">
            <v>F3.0058</v>
          </cell>
          <cell r="E3480" t="str">
            <v>Z1.2001</v>
          </cell>
        </row>
        <row r="3481">
          <cell r="D3481" t="str">
            <v>F3.0059</v>
          </cell>
          <cell r="E3481" t="str">
            <v>Z1.2184</v>
          </cell>
        </row>
        <row r="3482">
          <cell r="D3482" t="str">
            <v>F3.0059</v>
          </cell>
          <cell r="E3482" t="str">
            <v>Z1.2184</v>
          </cell>
        </row>
        <row r="3483">
          <cell r="D3483" t="str">
            <v>F3.0060</v>
          </cell>
          <cell r="E3483" t="str">
            <v>Z1.2279</v>
          </cell>
        </row>
        <row r="3484">
          <cell r="D3484" t="str">
            <v>F3.0062</v>
          </cell>
          <cell r="E3484" t="str">
            <v>Z1.1926</v>
          </cell>
        </row>
        <row r="3485">
          <cell r="D3485" t="str">
            <v>F3.0063</v>
          </cell>
          <cell r="E3485" t="str">
            <v>Z1.2288</v>
          </cell>
        </row>
        <row r="3486">
          <cell r="D3486" t="str">
            <v>F3.0064</v>
          </cell>
          <cell r="E3486" t="str">
            <v>Z1.2289</v>
          </cell>
        </row>
        <row r="3487">
          <cell r="D3487" t="str">
            <v>F3.0065</v>
          </cell>
          <cell r="E3487" t="str">
            <v>Z1.1959</v>
          </cell>
        </row>
        <row r="3488">
          <cell r="D3488" t="str">
            <v>F3.0066</v>
          </cell>
          <cell r="E3488" t="str">
            <v>Z1.1960</v>
          </cell>
        </row>
        <row r="3489">
          <cell r="D3489" t="str">
            <v>F3.0067</v>
          </cell>
          <cell r="E3489" t="str">
            <v>Z1.2249</v>
          </cell>
        </row>
        <row r="3490">
          <cell r="D3490" t="str">
            <v>F3.0068</v>
          </cell>
          <cell r="E3490" t="str">
            <v>Z1.2329</v>
          </cell>
        </row>
        <row r="3491">
          <cell r="D3491" t="str">
            <v>F3.0069</v>
          </cell>
          <cell r="E3491" t="str">
            <v>Z1.2016</v>
          </cell>
        </row>
        <row r="3492">
          <cell r="D3492" t="str">
            <v>F3.0070</v>
          </cell>
          <cell r="E3492" t="str">
            <v>Z1.2316</v>
          </cell>
        </row>
        <row r="3493">
          <cell r="D3493" t="str">
            <v>F3.0072</v>
          </cell>
          <cell r="E3493" t="str">
            <v>Z1.2103</v>
          </cell>
        </row>
        <row r="3494">
          <cell r="D3494" t="str">
            <v>F3.0073</v>
          </cell>
          <cell r="E3494" t="str">
            <v>Z1.2105</v>
          </cell>
        </row>
        <row r="3495">
          <cell r="D3495" t="str">
            <v>F3.0074</v>
          </cell>
          <cell r="E3495" t="str">
            <v>Z1.2462</v>
          </cell>
        </row>
        <row r="3496">
          <cell r="D3496" t="str">
            <v>F3.0075</v>
          </cell>
          <cell r="E3496" t="str">
            <v>Z1.2456</v>
          </cell>
        </row>
        <row r="3497">
          <cell r="D3497" t="str">
            <v>F3.0076</v>
          </cell>
          <cell r="E3497" t="str">
            <v>Z1.2174</v>
          </cell>
        </row>
        <row r="3498">
          <cell r="D3498" t="str">
            <v>F3.0076</v>
          </cell>
          <cell r="E3498" t="str">
            <v>Z1.2174</v>
          </cell>
        </row>
        <row r="3499">
          <cell r="D3499" t="str">
            <v>F3.0077</v>
          </cell>
          <cell r="E3499" t="str">
            <v>Z1.2029</v>
          </cell>
        </row>
        <row r="3500">
          <cell r="D3500" t="str">
            <v>F3.0078</v>
          </cell>
          <cell r="E3500" t="str">
            <v>Z1.1997</v>
          </cell>
        </row>
        <row r="3501">
          <cell r="D3501" t="str">
            <v>F3.0079</v>
          </cell>
          <cell r="E3501" t="str">
            <v>Z1.2420</v>
          </cell>
        </row>
        <row r="3502">
          <cell r="D3502" t="str">
            <v>F3.0080</v>
          </cell>
          <cell r="E3502" t="str">
            <v>Z1.2120</v>
          </cell>
        </row>
        <row r="3503">
          <cell r="D3503" t="str">
            <v>F3.0081</v>
          </cell>
          <cell r="E3503" t="str">
            <v>Z1.2021</v>
          </cell>
        </row>
        <row r="3504">
          <cell r="D3504" t="str">
            <v>F3.0082</v>
          </cell>
          <cell r="E3504" t="str">
            <v>Z1.2336</v>
          </cell>
        </row>
        <row r="3505">
          <cell r="D3505" t="str">
            <v>F3.0083</v>
          </cell>
          <cell r="E3505" t="str">
            <v>Z1.2467</v>
          </cell>
        </row>
        <row r="3506">
          <cell r="D3506" t="str">
            <v>F3.0084</v>
          </cell>
          <cell r="E3506" t="str">
            <v>Z1.2357</v>
          </cell>
        </row>
        <row r="3507">
          <cell r="D3507" t="str">
            <v>F3.0086</v>
          </cell>
          <cell r="E3507" t="str">
            <v>Z1.2440</v>
          </cell>
        </row>
        <row r="3508">
          <cell r="D3508" t="str">
            <v>F3.0087</v>
          </cell>
          <cell r="E3508" t="str">
            <v>Z1.2344</v>
          </cell>
        </row>
        <row r="3509">
          <cell r="D3509" t="str">
            <v>F3.0089</v>
          </cell>
          <cell r="E3509" t="str">
            <v>Z1.2064</v>
          </cell>
        </row>
        <row r="3510">
          <cell r="D3510" t="str">
            <v>F3.0090</v>
          </cell>
          <cell r="E3510" t="str">
            <v>Z1.2312</v>
          </cell>
        </row>
        <row r="3511">
          <cell r="D3511" t="str">
            <v>F3.0091</v>
          </cell>
          <cell r="E3511" t="str">
            <v>Z1.2359</v>
          </cell>
        </row>
        <row r="3512">
          <cell r="D3512" t="str">
            <v>F3.0092</v>
          </cell>
          <cell r="E3512" t="str">
            <v>Z1.2488</v>
          </cell>
        </row>
        <row r="3513">
          <cell r="D3513" t="str">
            <v>F3.0093</v>
          </cell>
          <cell r="E3513" t="str">
            <v>Z1.2362</v>
          </cell>
        </row>
        <row r="3514">
          <cell r="D3514" t="str">
            <v>F3.0094</v>
          </cell>
          <cell r="E3514" t="str">
            <v>Z1.2394</v>
          </cell>
        </row>
        <row r="3515">
          <cell r="D3515" t="str">
            <v>F3.0095</v>
          </cell>
          <cell r="E3515" t="str">
            <v>Z1.2368</v>
          </cell>
        </row>
        <row r="3516">
          <cell r="D3516" t="str">
            <v>F3.0096</v>
          </cell>
          <cell r="E3516" t="str">
            <v>Z1.2449</v>
          </cell>
        </row>
        <row r="3517">
          <cell r="D3517" t="str">
            <v>F3.0097</v>
          </cell>
          <cell r="E3517" t="str">
            <v>Z1.1753</v>
          </cell>
        </row>
        <row r="3518">
          <cell r="D3518" t="str">
            <v>F3.0098</v>
          </cell>
          <cell r="E3518" t="str">
            <v>Z1.1817</v>
          </cell>
        </row>
        <row r="3519">
          <cell r="D3519" t="str">
            <v>F3.0099</v>
          </cell>
          <cell r="E3519" t="str">
            <v>Z1.2452</v>
          </cell>
        </row>
        <row r="3520">
          <cell r="D3520" t="str">
            <v>F3.0100</v>
          </cell>
          <cell r="E3520" t="str">
            <v>Z1.2470</v>
          </cell>
        </row>
        <row r="3521">
          <cell r="D3521" t="str">
            <v>F3.0101</v>
          </cell>
          <cell r="E3521" t="str">
            <v>Z1.2220</v>
          </cell>
        </row>
        <row r="3522">
          <cell r="D3522" t="str">
            <v>F3.0102</v>
          </cell>
          <cell r="E3522" t="str">
            <v>Z1.2096</v>
          </cell>
        </row>
        <row r="3523">
          <cell r="D3523" t="str">
            <v>F3.0103</v>
          </cell>
          <cell r="E3523" t="str">
            <v>Z1.2376</v>
          </cell>
        </row>
        <row r="3524">
          <cell r="D3524" t="str">
            <v>F3.0105</v>
          </cell>
          <cell r="E3524" t="str">
            <v>Z1.2325</v>
          </cell>
        </row>
        <row r="3525">
          <cell r="D3525" t="str">
            <v>F3.0106</v>
          </cell>
          <cell r="E3525" t="str">
            <v>Z1.2514</v>
          </cell>
        </row>
        <row r="3526">
          <cell r="D3526" t="str">
            <v>F3.0107</v>
          </cell>
          <cell r="E3526" t="str">
            <v>Z1.1873</v>
          </cell>
        </row>
        <row r="3527">
          <cell r="D3527" t="str">
            <v>F3.0108</v>
          </cell>
          <cell r="E3527" t="str">
            <v>Z1.2304</v>
          </cell>
        </row>
        <row r="3528">
          <cell r="D3528" t="str">
            <v>F3.0109</v>
          </cell>
          <cell r="E3528" t="str">
            <v>Z1.2473</v>
          </cell>
        </row>
        <row r="3529">
          <cell r="D3529" t="str">
            <v>F3.0111</v>
          </cell>
          <cell r="E3529" t="str">
            <v>Z1.2195</v>
          </cell>
        </row>
        <row r="3530">
          <cell r="D3530" t="str">
            <v>F3.0112</v>
          </cell>
          <cell r="E3530" t="str">
            <v>Z1.2383</v>
          </cell>
        </row>
        <row r="3531">
          <cell r="D3531" t="str">
            <v>F3.0113</v>
          </cell>
          <cell r="E3531" t="str">
            <v>Z1.2479</v>
          </cell>
        </row>
        <row r="3532">
          <cell r="D3532" t="str">
            <v>F3.0114</v>
          </cell>
          <cell r="E3532" t="str">
            <v>Z1.2307</v>
          </cell>
        </row>
        <row r="3533">
          <cell r="D3533" t="str">
            <v>F3.0115</v>
          </cell>
          <cell r="E3533" t="str">
            <v>Z1.2242</v>
          </cell>
        </row>
        <row r="3534">
          <cell r="D3534" t="str">
            <v>F3.0116</v>
          </cell>
          <cell r="E3534" t="str">
            <v>Z1.2248</v>
          </cell>
        </row>
        <row r="3535">
          <cell r="D3535" t="str">
            <v>F3.0117</v>
          </cell>
          <cell r="E3535" t="str">
            <v>Z1.2018</v>
          </cell>
        </row>
        <row r="3536">
          <cell r="D3536" t="str">
            <v>F3.0118</v>
          </cell>
          <cell r="E3536" t="str">
            <v>Z1.2373</v>
          </cell>
        </row>
        <row r="3537">
          <cell r="D3537" t="str">
            <v>F3.0119</v>
          </cell>
          <cell r="E3537" t="str">
            <v>Z1.2455</v>
          </cell>
        </row>
        <row r="3538">
          <cell r="D3538" t="str">
            <v>F3.0120</v>
          </cell>
          <cell r="E3538" t="str">
            <v>Z1.2244</v>
          </cell>
        </row>
        <row r="3539">
          <cell r="D3539" t="str">
            <v>F3.0121</v>
          </cell>
          <cell r="E3539" t="str">
            <v>Z1.2296</v>
          </cell>
        </row>
        <row r="3540">
          <cell r="D3540" t="str">
            <v>F3.0122</v>
          </cell>
          <cell r="E3540" t="str">
            <v>Z1.2194</v>
          </cell>
        </row>
        <row r="3541">
          <cell r="D3541" t="str">
            <v>F3.0123</v>
          </cell>
          <cell r="E3541" t="str">
            <v>Z1.2381</v>
          </cell>
        </row>
        <row r="3542">
          <cell r="D3542" t="str">
            <v>F3.0124</v>
          </cell>
          <cell r="E3542" t="str">
            <v>Z1.2094</v>
          </cell>
        </row>
        <row r="3543">
          <cell r="D3543" t="str">
            <v>F3.0125</v>
          </cell>
          <cell r="E3543" t="str">
            <v>Z1.2379</v>
          </cell>
        </row>
        <row r="3544">
          <cell r="D3544" t="str">
            <v>F3.0126</v>
          </cell>
          <cell r="E3544" t="str">
            <v>Z1.2231</v>
          </cell>
        </row>
        <row r="3545">
          <cell r="D3545" t="str">
            <v>F3.0127</v>
          </cell>
          <cell r="E3545" t="str">
            <v>Z1.2219</v>
          </cell>
        </row>
        <row r="3546">
          <cell r="D3546" t="str">
            <v>F3.0128</v>
          </cell>
          <cell r="E3546" t="str">
            <v>Z1.2291</v>
          </cell>
        </row>
        <row r="3547">
          <cell r="D3547" t="str">
            <v>F3.0129</v>
          </cell>
          <cell r="E3547" t="str">
            <v>Z1.2097</v>
          </cell>
        </row>
        <row r="3548">
          <cell r="D3548" t="str">
            <v>F3.0130</v>
          </cell>
          <cell r="E3548" t="str">
            <v>Z1.2025</v>
          </cell>
        </row>
        <row r="3549">
          <cell r="D3549" t="str">
            <v>F3.0131</v>
          </cell>
          <cell r="E3549" t="str">
            <v>Z1.2031</v>
          </cell>
        </row>
        <row r="3550">
          <cell r="D3550" t="str">
            <v>F3.0132</v>
          </cell>
          <cell r="E3550" t="str">
            <v>Z1.2104</v>
          </cell>
        </row>
        <row r="3551">
          <cell r="D3551" t="str">
            <v>F3.0133</v>
          </cell>
          <cell r="E3551" t="str">
            <v>Z1.2239</v>
          </cell>
        </row>
        <row r="3552">
          <cell r="D3552" t="str">
            <v>F3.0134</v>
          </cell>
          <cell r="E3552" t="str">
            <v>Z1.2319</v>
          </cell>
        </row>
        <row r="3553">
          <cell r="D3553" t="str">
            <v>F3.0135</v>
          </cell>
          <cell r="E3553" t="str">
            <v>Z1.2482</v>
          </cell>
        </row>
        <row r="3554">
          <cell r="D3554" t="str">
            <v>F3.0136</v>
          </cell>
          <cell r="E3554" t="str">
            <v>Z1.2481</v>
          </cell>
        </row>
        <row r="3555">
          <cell r="D3555" t="str">
            <v>F3.0137</v>
          </cell>
          <cell r="E3555" t="str">
            <v>Z1.2458</v>
          </cell>
        </row>
        <row r="3556">
          <cell r="D3556" t="str">
            <v>F3.0138</v>
          </cell>
          <cell r="E3556" t="str">
            <v>Z1.2265</v>
          </cell>
        </row>
        <row r="3557">
          <cell r="D3557" t="str">
            <v>F3.0139</v>
          </cell>
          <cell r="E3557" t="str">
            <v>Z1.2176</v>
          </cell>
        </row>
        <row r="3558">
          <cell r="D3558" t="str">
            <v>F3.0140</v>
          </cell>
          <cell r="E3558" t="str">
            <v>Z1.2180</v>
          </cell>
        </row>
        <row r="3559">
          <cell r="D3559" t="str">
            <v>F3.0141</v>
          </cell>
          <cell r="E3559" t="str">
            <v>Z1.2192</v>
          </cell>
        </row>
        <row r="3560">
          <cell r="D3560" t="str">
            <v>F3.0142</v>
          </cell>
          <cell r="E3560" t="str">
            <v>Z1.2190</v>
          </cell>
        </row>
        <row r="3561">
          <cell r="D3561" t="str">
            <v>F3.0143</v>
          </cell>
          <cell r="E3561" t="str">
            <v>Z1.2212</v>
          </cell>
        </row>
        <row r="3562">
          <cell r="D3562" t="str">
            <v>F3.0144</v>
          </cell>
          <cell r="E3562" t="str">
            <v>Z1.2264</v>
          </cell>
        </row>
        <row r="3563">
          <cell r="D3563" t="str">
            <v>F3.0145</v>
          </cell>
          <cell r="E3563" t="str">
            <v>Z1.2295</v>
          </cell>
        </row>
        <row r="3564">
          <cell r="D3564" t="str">
            <v>F3.0146</v>
          </cell>
          <cell r="E3564" t="str">
            <v>Z1.2057</v>
          </cell>
        </row>
        <row r="3565">
          <cell r="D3565" t="str">
            <v>F3.0147</v>
          </cell>
          <cell r="E3565" t="str">
            <v>Z1.2146</v>
          </cell>
        </row>
        <row r="3566">
          <cell r="D3566" t="str">
            <v>F3.0148</v>
          </cell>
          <cell r="E3566" t="str">
            <v>Z1.2350</v>
          </cell>
        </row>
        <row r="3567">
          <cell r="D3567" t="str">
            <v>F3.0149</v>
          </cell>
          <cell r="E3567" t="str">
            <v>Z2.359</v>
          </cell>
        </row>
        <row r="3568">
          <cell r="D3568" t="str">
            <v>F3.0151</v>
          </cell>
          <cell r="E3568" t="str">
            <v>Z1.2063</v>
          </cell>
        </row>
        <row r="3569">
          <cell r="D3569" t="str">
            <v>F3.0152</v>
          </cell>
          <cell r="E3569" t="str">
            <v>Z1.2263</v>
          </cell>
        </row>
        <row r="3570">
          <cell r="D3570" t="str">
            <v>F3.0153</v>
          </cell>
          <cell r="E3570" t="str">
            <v>Z1.2262</v>
          </cell>
        </row>
        <row r="3571">
          <cell r="D3571" t="str">
            <v>F3.0154</v>
          </cell>
          <cell r="E3571" t="str">
            <v>Z1.2173</v>
          </cell>
        </row>
        <row r="3572">
          <cell r="D3572" t="str">
            <v>F3.0155</v>
          </cell>
          <cell r="E3572" t="str">
            <v>Z1.2179</v>
          </cell>
        </row>
        <row r="3573">
          <cell r="D3573" t="str">
            <v>F3.0156</v>
          </cell>
          <cell r="E3573" t="str">
            <v>Z1.2189</v>
          </cell>
        </row>
        <row r="3574">
          <cell r="D3574" t="str">
            <v>F3.0157</v>
          </cell>
          <cell r="E3574" t="str">
            <v>Z1.2211</v>
          </cell>
        </row>
        <row r="3575">
          <cell r="D3575" t="str">
            <v>F3.0158</v>
          </cell>
          <cell r="E3575" t="str">
            <v>Z1.2191</v>
          </cell>
        </row>
        <row r="3576">
          <cell r="D3576" t="str">
            <v>F3.0159</v>
          </cell>
          <cell r="E3576" t="str">
            <v>Z1.2294</v>
          </cell>
        </row>
        <row r="3577">
          <cell r="D3577" t="str">
            <v>F3.0160</v>
          </cell>
          <cell r="E3577" t="str">
            <v>Z1.2215</v>
          </cell>
        </row>
        <row r="3578">
          <cell r="D3578" t="str">
            <v>F3.0161</v>
          </cell>
          <cell r="E3578" t="str">
            <v>Z1.2241</v>
          </cell>
        </row>
        <row r="3579">
          <cell r="D3579" t="str">
            <v>F3.0162</v>
          </cell>
          <cell r="E3579" t="str">
            <v>Z1.2145</v>
          </cell>
        </row>
        <row r="3580">
          <cell r="D3580" t="str">
            <v>F3.0163</v>
          </cell>
          <cell r="E3580" t="str">
            <v>Z1.2261</v>
          </cell>
        </row>
        <row r="3581">
          <cell r="D3581" t="str">
            <v>F3.0164</v>
          </cell>
          <cell r="E3581" t="str">
            <v>Z1.2311</v>
          </cell>
        </row>
        <row r="3582">
          <cell r="D3582" t="str">
            <v>F3.0165</v>
          </cell>
          <cell r="E3582" t="str">
            <v>Z1.2314</v>
          </cell>
        </row>
        <row r="3583">
          <cell r="D3583" t="str">
            <v>F3.0166</v>
          </cell>
          <cell r="E3583" t="str">
            <v>Z1.2315</v>
          </cell>
        </row>
        <row r="3584">
          <cell r="D3584" t="str">
            <v>F3.0167</v>
          </cell>
          <cell r="E3584" t="str">
            <v>Z1.2243</v>
          </cell>
        </row>
        <row r="3585">
          <cell r="D3585" t="str">
            <v>F3.0168</v>
          </cell>
          <cell r="E3585" t="str">
            <v>Z1.2318</v>
          </cell>
        </row>
        <row r="3586">
          <cell r="D3586" t="str">
            <v>F3.0169</v>
          </cell>
          <cell r="E3586" t="str">
            <v>Z1.2185</v>
          </cell>
        </row>
        <row r="3587">
          <cell r="D3587" t="str">
            <v>F3.0170</v>
          </cell>
          <cell r="E3587" t="str">
            <v>Z2.136</v>
          </cell>
        </row>
        <row r="3588">
          <cell r="D3588" t="str">
            <v>F3.0171</v>
          </cell>
          <cell r="E3588" t="str">
            <v>Z2.142</v>
          </cell>
        </row>
        <row r="3589">
          <cell r="D3589" t="str">
            <v>F3.0173</v>
          </cell>
          <cell r="E3589" t="str">
            <v>Z1.2245</v>
          </cell>
        </row>
        <row r="3590">
          <cell r="D3590" t="str">
            <v>F3.0174</v>
          </cell>
          <cell r="E3590" t="str">
            <v>Z1.2221</v>
          </cell>
        </row>
        <row r="3591">
          <cell r="D3591" t="str">
            <v>F3.0175</v>
          </cell>
          <cell r="E3591" t="str">
            <v>Z2.340</v>
          </cell>
        </row>
        <row r="3592">
          <cell r="D3592" t="str">
            <v>F3.0176</v>
          </cell>
          <cell r="E3592" t="str">
            <v>Z2.338</v>
          </cell>
        </row>
        <row r="3593">
          <cell r="D3593" t="str">
            <v>F3.0177</v>
          </cell>
          <cell r="E3593" t="str">
            <v>Z1.2287</v>
          </cell>
        </row>
        <row r="3594">
          <cell r="D3594" t="str">
            <v>F3.0178</v>
          </cell>
          <cell r="E3594" t="str">
            <v>Z1.2281</v>
          </cell>
        </row>
        <row r="3595">
          <cell r="D3595" t="str">
            <v>F3.0179</v>
          </cell>
          <cell r="E3595" t="str">
            <v>Z1.2229</v>
          </cell>
        </row>
        <row r="3596">
          <cell r="D3596" t="str">
            <v>F3.0180</v>
          </cell>
          <cell r="E3596" t="str">
            <v>Z1.2322</v>
          </cell>
        </row>
        <row r="3597">
          <cell r="D3597" t="str">
            <v>F3.0181</v>
          </cell>
          <cell r="E3597" t="str">
            <v>Z1.2306</v>
          </cell>
        </row>
        <row r="3598">
          <cell r="D3598" t="str">
            <v>F3.0182</v>
          </cell>
          <cell r="E3598" t="str">
            <v>Z1.2228</v>
          </cell>
        </row>
        <row r="3599">
          <cell r="D3599" t="str">
            <v>F3.0183</v>
          </cell>
          <cell r="E3599" t="str">
            <v>Z1.2292</v>
          </cell>
        </row>
        <row r="3600">
          <cell r="D3600" t="str">
            <v>F3.0184</v>
          </cell>
          <cell r="E3600" t="str">
            <v>Z1.2300</v>
          </cell>
        </row>
        <row r="3601">
          <cell r="D3601" t="str">
            <v>F3.0185</v>
          </cell>
          <cell r="E3601" t="str">
            <v>Z1.2434</v>
          </cell>
        </row>
        <row r="3602">
          <cell r="D3602" t="str">
            <v>F3.0186</v>
          </cell>
          <cell r="E3602" t="str">
            <v>Z1.2232</v>
          </cell>
        </row>
        <row r="3603">
          <cell r="D3603" t="str">
            <v>F3.0187</v>
          </cell>
          <cell r="E3603" t="str">
            <v>Z1.2321</v>
          </cell>
        </row>
        <row r="3604">
          <cell r="D3604" t="str">
            <v>F3.0188</v>
          </cell>
          <cell r="E3604" t="str">
            <v>Z1.2299</v>
          </cell>
        </row>
        <row r="3605">
          <cell r="D3605" t="str">
            <v>F3.0189</v>
          </cell>
          <cell r="E3605" t="str">
            <v>Z1.2433</v>
          </cell>
        </row>
        <row r="3606">
          <cell r="D3606" t="str">
            <v>F3.0190</v>
          </cell>
          <cell r="E3606" t="str">
            <v>Z1.2443</v>
          </cell>
        </row>
        <row r="3607">
          <cell r="D3607" t="str">
            <v>F3.0191</v>
          </cell>
          <cell r="E3607" t="str">
            <v>Z1.2446</v>
          </cell>
        </row>
        <row r="3608">
          <cell r="D3608" t="str">
            <v>F3.0192</v>
          </cell>
          <cell r="E3608" t="str">
            <v>Z1.2445</v>
          </cell>
        </row>
        <row r="3609">
          <cell r="D3609" t="str">
            <v>F3.0193</v>
          </cell>
          <cell r="E3609" t="str">
            <v>Z1.2444</v>
          </cell>
        </row>
        <row r="3610">
          <cell r="D3610" t="str">
            <v>F3.0194</v>
          </cell>
          <cell r="E3610" t="str">
            <v>Z1.2282</v>
          </cell>
        </row>
        <row r="3611">
          <cell r="D3611" t="str">
            <v>F3.0195</v>
          </cell>
          <cell r="E3611" t="str">
            <v>Z2.341</v>
          </cell>
        </row>
        <row r="3612">
          <cell r="D3612" t="str">
            <v>F3.0196</v>
          </cell>
          <cell r="E3612" t="str">
            <v>Z2.339</v>
          </cell>
        </row>
        <row r="3613">
          <cell r="D3613" t="str">
            <v>F3.0197</v>
          </cell>
          <cell r="E3613" t="str">
            <v>Z1.2283</v>
          </cell>
        </row>
        <row r="3614">
          <cell r="D3614" t="str">
            <v>F3.0198</v>
          </cell>
          <cell r="E3614" t="str">
            <v>Z1.2284</v>
          </cell>
        </row>
        <row r="3615">
          <cell r="D3615" t="str">
            <v>F3.0199</v>
          </cell>
          <cell r="E3615" t="str">
            <v>Z1.2230</v>
          </cell>
        </row>
        <row r="3616">
          <cell r="D3616" t="str">
            <v>F3.0200</v>
          </cell>
          <cell r="E3616" t="str">
            <v>Z1.2223</v>
          </cell>
        </row>
        <row r="3617">
          <cell r="D3617" t="str">
            <v>F3.0203</v>
          </cell>
          <cell r="E3617" t="str">
            <v>Z1.2500</v>
          </cell>
        </row>
        <row r="3618">
          <cell r="D3618" t="str">
            <v>F3.0205</v>
          </cell>
          <cell r="E3618" t="str">
            <v>Z1.2206</v>
          </cell>
        </row>
        <row r="3619">
          <cell r="D3619" t="str">
            <v>F3.0214</v>
          </cell>
          <cell r="E3619" t="str">
            <v>Z1.2203</v>
          </cell>
        </row>
        <row r="3620">
          <cell r="D3620" t="str">
            <v>F3.0215</v>
          </cell>
          <cell r="E3620" t="str">
            <v>Z1.2204</v>
          </cell>
        </row>
        <row r="3621">
          <cell r="D3621" t="str">
            <v>F3.0216</v>
          </cell>
          <cell r="E3621" t="str">
            <v>Z1.2375</v>
          </cell>
        </row>
        <row r="3622">
          <cell r="D3622" t="str">
            <v>F3.0217</v>
          </cell>
          <cell r="E3622" t="str">
            <v>Z1.2330</v>
          </cell>
        </row>
        <row r="3623">
          <cell r="D3623" t="str">
            <v>F3.0218</v>
          </cell>
          <cell r="E3623" t="str">
            <v>Z1.1742</v>
          </cell>
        </row>
        <row r="3624">
          <cell r="D3624" t="str">
            <v>F3.0222</v>
          </cell>
          <cell r="E3624" t="str">
            <v>Z1.2214</v>
          </cell>
        </row>
        <row r="3625">
          <cell r="D3625" t="str">
            <v>F3.0222</v>
          </cell>
          <cell r="E3625" t="str">
            <v>Z1.2214</v>
          </cell>
        </row>
        <row r="3626">
          <cell r="D3626" t="str">
            <v>F3.0223</v>
          </cell>
          <cell r="E3626" t="str">
            <v>Z1.2106</v>
          </cell>
        </row>
        <row r="3627">
          <cell r="D3627" t="str">
            <v>F3.0224</v>
          </cell>
          <cell r="E3627" t="str">
            <v>Z1.2175</v>
          </cell>
        </row>
        <row r="3628">
          <cell r="D3628" t="str">
            <v>F3.0224</v>
          </cell>
          <cell r="E3628" t="str">
            <v>Z1.2175</v>
          </cell>
        </row>
        <row r="3629">
          <cell r="D3629" t="str">
            <v>F3.0225</v>
          </cell>
          <cell r="E3629" t="str">
            <v>Z1.2178</v>
          </cell>
        </row>
        <row r="3630">
          <cell r="D3630" t="str">
            <v>F3.0225</v>
          </cell>
          <cell r="E3630" t="str">
            <v>Z1.2178</v>
          </cell>
        </row>
        <row r="3631">
          <cell r="D3631" t="str">
            <v>F3.0226</v>
          </cell>
          <cell r="E3631" t="str">
            <v>Z1.2337</v>
          </cell>
        </row>
        <row r="3632">
          <cell r="D3632" t="str">
            <v>F3.0227</v>
          </cell>
          <cell r="E3632" t="str">
            <v>Z1.2334</v>
          </cell>
        </row>
        <row r="3633">
          <cell r="D3633" t="str">
            <v>F3.0228</v>
          </cell>
          <cell r="E3633" t="str">
            <v>Z1.2421</v>
          </cell>
        </row>
        <row r="3634">
          <cell r="D3634" t="str">
            <v>F3.0230</v>
          </cell>
          <cell r="E3634" t="str">
            <v>Z1.2426</v>
          </cell>
        </row>
        <row r="3635">
          <cell r="D3635" t="str">
            <v>F3.0231</v>
          </cell>
          <cell r="E3635" t="str">
            <v>Z1.2022</v>
          </cell>
        </row>
        <row r="3636">
          <cell r="D3636" t="str">
            <v>F3.0232</v>
          </cell>
          <cell r="E3636" t="str">
            <v>Z1.2425</v>
          </cell>
        </row>
        <row r="3637">
          <cell r="D3637" t="str">
            <v>F3.0233</v>
          </cell>
          <cell r="E3637" t="str">
            <v>Z1.2468</v>
          </cell>
        </row>
        <row r="3638">
          <cell r="D3638" t="str">
            <v>F3.0234</v>
          </cell>
          <cell r="E3638" t="str">
            <v>Z1.2056</v>
          </cell>
        </row>
        <row r="3639">
          <cell r="D3639" t="str">
            <v>F3.0235</v>
          </cell>
          <cell r="E3639" t="str">
            <v>Z1.2124</v>
          </cell>
        </row>
        <row r="3640">
          <cell r="D3640" t="str">
            <v>F3.0236</v>
          </cell>
          <cell r="E3640" t="str">
            <v>Z1.2459</v>
          </cell>
        </row>
        <row r="3641">
          <cell r="D3641" t="str">
            <v>F3.0237</v>
          </cell>
          <cell r="E3641" t="str">
            <v>Z1.2428</v>
          </cell>
        </row>
        <row r="3642">
          <cell r="D3642" t="str">
            <v>F3.0238</v>
          </cell>
          <cell r="E3642" t="str">
            <v>Z1.2121</v>
          </cell>
        </row>
        <row r="3643">
          <cell r="D3643" t="str">
            <v>F3.0239</v>
          </cell>
          <cell r="E3643" t="str">
            <v>Z1.2457</v>
          </cell>
        </row>
        <row r="3644">
          <cell r="D3644" t="str">
            <v>F3.0240</v>
          </cell>
          <cell r="E3644" t="str">
            <v>Z1.2404</v>
          </cell>
        </row>
        <row r="3645">
          <cell r="D3645" t="str">
            <v>F3.0241</v>
          </cell>
          <cell r="E3645" t="str">
            <v>Z1.2463</v>
          </cell>
        </row>
        <row r="3646">
          <cell r="D3646" t="str">
            <v>F3.0242</v>
          </cell>
          <cell r="E3646" t="str">
            <v>Z1.2345</v>
          </cell>
        </row>
        <row r="3647">
          <cell r="D3647" t="str">
            <v>F3.0243</v>
          </cell>
          <cell r="E3647" t="str">
            <v>Z1.2390</v>
          </cell>
        </row>
        <row r="3648">
          <cell r="D3648" t="str">
            <v>F3.0244</v>
          </cell>
          <cell r="E3648" t="str">
            <v>Z1.2388</v>
          </cell>
        </row>
        <row r="3649">
          <cell r="D3649" t="str">
            <v>F3.0245</v>
          </cell>
          <cell r="E3649" t="str">
            <v>Z1.2346</v>
          </cell>
        </row>
        <row r="3650">
          <cell r="D3650" t="str">
            <v>F3.0246</v>
          </cell>
          <cell r="E3650" t="str">
            <v>Z1.2142</v>
          </cell>
        </row>
        <row r="3651">
          <cell r="D3651" t="str">
            <v>F3.0247</v>
          </cell>
          <cell r="E3651" t="str">
            <v>Z1.2065</v>
          </cell>
        </row>
        <row r="3652">
          <cell r="D3652" t="str">
            <v>F3.0250</v>
          </cell>
          <cell r="E3652" t="str">
            <v>Z1.2113</v>
          </cell>
        </row>
        <row r="3653">
          <cell r="D3653" t="str">
            <v>F3.0251</v>
          </cell>
          <cell r="E3653" t="str">
            <v>Z1.2396</v>
          </cell>
        </row>
        <row r="3654">
          <cell r="D3654" t="str">
            <v>F3.0252</v>
          </cell>
          <cell r="E3654" t="str">
            <v>Z1.2046</v>
          </cell>
        </row>
        <row r="3655">
          <cell r="D3655" t="str">
            <v>F3.0253</v>
          </cell>
          <cell r="E3655" t="str">
            <v>Z1.2095</v>
          </cell>
        </row>
        <row r="3656">
          <cell r="D3656" t="str">
            <v>F3.0255</v>
          </cell>
          <cell r="E3656" t="str">
            <v>Z1.2152</v>
          </cell>
        </row>
        <row r="3657">
          <cell r="D3657" t="str">
            <v>F3.0256</v>
          </cell>
          <cell r="E3657" t="str">
            <v>Z1.2092</v>
          </cell>
        </row>
        <row r="3658">
          <cell r="D3658" t="str">
            <v>F3.0258</v>
          </cell>
          <cell r="E3658" t="str">
            <v>Z1.2489</v>
          </cell>
        </row>
        <row r="3659">
          <cell r="D3659" t="str">
            <v>F3.0259</v>
          </cell>
          <cell r="E3659" t="str">
            <v>Z1.2313</v>
          </cell>
        </row>
        <row r="3660">
          <cell r="D3660" t="str">
            <v>F3.0260</v>
          </cell>
          <cell r="E3660" t="str">
            <v>Z1.2360</v>
          </cell>
        </row>
        <row r="3661">
          <cell r="D3661" t="str">
            <v>F3.0261</v>
          </cell>
          <cell r="E3661" t="str">
            <v>Z1.2351</v>
          </cell>
        </row>
        <row r="3662">
          <cell r="D3662" t="str">
            <v>F3.0262</v>
          </cell>
          <cell r="E3662" t="str">
            <v>Z1.2392</v>
          </cell>
        </row>
        <row r="3663">
          <cell r="D3663" t="str">
            <v>F3.0263</v>
          </cell>
          <cell r="E3663" t="str">
            <v>Z1.2369</v>
          </cell>
        </row>
        <row r="3664">
          <cell r="D3664" t="str">
            <v>F3.0264</v>
          </cell>
          <cell r="E3664" t="str">
            <v>Z1.2366</v>
          </cell>
        </row>
        <row r="3665">
          <cell r="D3665" t="str">
            <v>F3.0265</v>
          </cell>
          <cell r="E3665" t="str">
            <v>Z1.2363</v>
          </cell>
        </row>
        <row r="3666">
          <cell r="D3666" t="str">
            <v>F3.0266</v>
          </cell>
          <cell r="E3666" t="str">
            <v>Z1.2372</v>
          </cell>
        </row>
        <row r="3667">
          <cell r="D3667" t="str">
            <v>F3.0267</v>
          </cell>
          <cell r="E3667" t="str">
            <v>Z1.2495</v>
          </cell>
        </row>
        <row r="3668">
          <cell r="D3668" t="str">
            <v>F3.0269</v>
          </cell>
          <cell r="E3668" t="str">
            <v>Z1.2471</v>
          </cell>
        </row>
        <row r="3669">
          <cell r="D3669" t="str">
            <v>F3.0271</v>
          </cell>
          <cell r="E3669" t="str">
            <v>Z1.1818</v>
          </cell>
        </row>
        <row r="3670">
          <cell r="D3670" t="str">
            <v>F3.0273</v>
          </cell>
          <cell r="E3670" t="str">
            <v>Z1.2450</v>
          </cell>
        </row>
        <row r="3671">
          <cell r="D3671" t="str">
            <v>F3.0274</v>
          </cell>
          <cell r="E3671" t="str">
            <v>Z1.2377</v>
          </cell>
        </row>
        <row r="3672">
          <cell r="D3672" t="str">
            <v>F3.0275</v>
          </cell>
          <cell r="E3672" t="str">
            <v>Z1.2301</v>
          </cell>
        </row>
        <row r="3673">
          <cell r="D3673" t="str">
            <v>F3.0276</v>
          </cell>
          <cell r="E3673" t="str">
            <v>Z1.2432</v>
          </cell>
        </row>
        <row r="3674">
          <cell r="D3674" t="str">
            <v>F3.0277</v>
          </cell>
          <cell r="E3674" t="str">
            <v>Z1.2305</v>
          </cell>
        </row>
        <row r="3675">
          <cell r="D3675" t="str">
            <v>F3.0278</v>
          </cell>
          <cell r="E3675" t="str">
            <v>Z1.2326</v>
          </cell>
        </row>
        <row r="3676">
          <cell r="D3676" t="str">
            <v>F3.0279</v>
          </cell>
          <cell r="E3676" t="str">
            <v>Z1.2216</v>
          </cell>
        </row>
        <row r="3677">
          <cell r="D3677" t="str">
            <v>F3.0280</v>
          </cell>
          <cell r="E3677" t="str">
            <v>Z1.1923</v>
          </cell>
        </row>
        <row r="3678">
          <cell r="D3678" t="str">
            <v>F3.0281</v>
          </cell>
          <cell r="E3678" t="str">
            <v>Z1.2501</v>
          </cell>
        </row>
        <row r="3679">
          <cell r="D3679" t="str">
            <v>F3.0282</v>
          </cell>
          <cell r="E3679" t="str">
            <v>Z1.2177</v>
          </cell>
        </row>
        <row r="3680">
          <cell r="D3680" t="str">
            <v>F3.0282</v>
          </cell>
          <cell r="E3680" t="str">
            <v>Z1.2177</v>
          </cell>
        </row>
        <row r="3681">
          <cell r="D3681" t="str">
            <v>F3.0283</v>
          </cell>
          <cell r="E3681" t="str">
            <v>Z1.2210</v>
          </cell>
        </row>
        <row r="3682">
          <cell r="D3682" t="str">
            <v>F3.0284</v>
          </cell>
          <cell r="E3682" t="str">
            <v>Z1.2310</v>
          </cell>
        </row>
        <row r="3683">
          <cell r="D3683" t="str">
            <v>F3.0285</v>
          </cell>
          <cell r="E3683" t="str">
            <v>Z1.2144</v>
          </cell>
        </row>
        <row r="3684">
          <cell r="D3684" t="str">
            <v>F3.0285</v>
          </cell>
          <cell r="E3684" t="str">
            <v>Z1.2144</v>
          </cell>
        </row>
        <row r="3685">
          <cell r="D3685" t="str">
            <v>F3.0286</v>
          </cell>
          <cell r="E3685" t="str">
            <v>Z1.2141</v>
          </cell>
        </row>
        <row r="3686">
          <cell r="D3686" t="str">
            <v>F3.0286</v>
          </cell>
          <cell r="E3686" t="str">
            <v>Z1.2141</v>
          </cell>
        </row>
        <row r="3687">
          <cell r="D3687" t="str">
            <v>F3.0291</v>
          </cell>
          <cell r="E3687" t="str">
            <v>Z1.2091</v>
          </cell>
        </row>
        <row r="3688">
          <cell r="D3688" t="str">
            <v>F3.0292</v>
          </cell>
          <cell r="E3688" t="str">
            <v>Z1.2354</v>
          </cell>
        </row>
        <row r="3689">
          <cell r="D3689" t="str">
            <v>F3.0293</v>
          </cell>
          <cell r="E3689" t="str">
            <v>Z1.2270</v>
          </cell>
        </row>
        <row r="3690">
          <cell r="D3690" t="str">
            <v>F3.0294</v>
          </cell>
          <cell r="E3690" t="str">
            <v>Z1.2272</v>
          </cell>
        </row>
        <row r="3691">
          <cell r="D3691" t="str">
            <v>F3.0295</v>
          </cell>
          <cell r="E3691" t="str">
            <v>Z1.2335</v>
          </cell>
        </row>
        <row r="3692">
          <cell r="D3692" t="str">
            <v>F3.0296</v>
          </cell>
          <cell r="E3692" t="str">
            <v>Z1.2474</v>
          </cell>
        </row>
        <row r="3693">
          <cell r="D3693" t="str">
            <v>F3.0297</v>
          </cell>
          <cell r="E3693" t="str">
            <v>Z1.2485</v>
          </cell>
        </row>
        <row r="3694">
          <cell r="D3694" t="str">
            <v>F3.0298</v>
          </cell>
          <cell r="E3694" t="str">
            <v>Z1.2502</v>
          </cell>
        </row>
        <row r="3695">
          <cell r="D3695" t="str">
            <v>F3.0299</v>
          </cell>
          <cell r="E3695" t="str">
            <v>Z1.2268</v>
          </cell>
        </row>
        <row r="3696">
          <cell r="D3696" t="str">
            <v>F3.0300</v>
          </cell>
          <cell r="E3696" t="str">
            <v>Z1.2497</v>
          </cell>
        </row>
        <row r="3697">
          <cell r="D3697" t="str">
            <v>F3.0301</v>
          </cell>
          <cell r="E3697" t="str">
            <v>Z1.2496</v>
          </cell>
        </row>
        <row r="3698">
          <cell r="D3698" t="str">
            <v>F3.0302</v>
          </cell>
          <cell r="E3698" t="str">
            <v>Z1.2407</v>
          </cell>
        </row>
        <row r="3699">
          <cell r="D3699" t="str">
            <v>F3.0303</v>
          </cell>
          <cell r="E3699" t="str">
            <v>Z1.2384</v>
          </cell>
        </row>
        <row r="3700">
          <cell r="D3700" t="str">
            <v>F3.0304</v>
          </cell>
          <cell r="E3700" t="str">
            <v>Z1.2385</v>
          </cell>
        </row>
        <row r="3701">
          <cell r="D3701" t="str">
            <v>F3.0305</v>
          </cell>
          <cell r="E3701" t="str">
            <v>Z1.2408</v>
          </cell>
        </row>
        <row r="3702">
          <cell r="D3702" t="str">
            <v>F3.0306</v>
          </cell>
          <cell r="E3702" t="str">
            <v>Z1.2412</v>
          </cell>
        </row>
        <row r="3703">
          <cell r="D3703" t="str">
            <v>F3.0307</v>
          </cell>
          <cell r="E3703" t="str">
            <v>Z1.2411</v>
          </cell>
        </row>
        <row r="3704">
          <cell r="D3704" t="str">
            <v>F3.0308</v>
          </cell>
          <cell r="E3704" t="str">
            <v>Z1.2461</v>
          </cell>
        </row>
        <row r="3705">
          <cell r="D3705" t="str">
            <v>F3.0309</v>
          </cell>
          <cell r="E3705" t="str">
            <v>Z1.2478</v>
          </cell>
        </row>
        <row r="3706">
          <cell r="D3706" t="str">
            <v>F3.0310</v>
          </cell>
          <cell r="E3706" t="str">
            <v>Z1.2477</v>
          </cell>
        </row>
        <row r="3707">
          <cell r="D3707" t="str">
            <v>F3.0311</v>
          </cell>
          <cell r="E3707" t="str">
            <v>Z1.2475</v>
          </cell>
        </row>
        <row r="3708">
          <cell r="D3708" t="str">
            <v>F3.0312</v>
          </cell>
          <cell r="E3708" t="str">
            <v>Z1.2484</v>
          </cell>
        </row>
        <row r="3709">
          <cell r="D3709" t="str">
            <v>F3.0313</v>
          </cell>
          <cell r="E3709" t="str">
            <v>Z1.2476</v>
          </cell>
        </row>
        <row r="3710">
          <cell r="D3710" t="str">
            <v>F3.0314</v>
          </cell>
          <cell r="E3710" t="str">
            <v>Z1.2370</v>
          </cell>
        </row>
        <row r="3711">
          <cell r="D3711" t="str">
            <v>F3.0315</v>
          </cell>
          <cell r="E3711" t="str">
            <v>Z1.2378</v>
          </cell>
        </row>
        <row r="3712">
          <cell r="D3712" t="str">
            <v>F3.0316</v>
          </cell>
          <cell r="E3712" t="str">
            <v>Z1.2422</v>
          </cell>
        </row>
        <row r="3713">
          <cell r="D3713" t="str">
            <v>F3.0317</v>
          </cell>
          <cell r="E3713" t="str">
            <v>Z1.2333</v>
          </cell>
        </row>
        <row r="3714">
          <cell r="D3714" t="str">
            <v>F3.0318</v>
          </cell>
          <cell r="E3714" t="str">
            <v>Z1.2419</v>
          </cell>
        </row>
        <row r="3715">
          <cell r="D3715" t="str">
            <v>F3.0319</v>
          </cell>
          <cell r="E3715" t="str">
            <v>Z1.2424</v>
          </cell>
        </row>
        <row r="3716">
          <cell r="D3716" t="str">
            <v>F3.0320</v>
          </cell>
          <cell r="E3716" t="str">
            <v>Z1.2427</v>
          </cell>
        </row>
        <row r="3717">
          <cell r="D3717" t="str">
            <v>F3.0322</v>
          </cell>
          <cell r="E3717" t="str">
            <v>Z1.2340</v>
          </cell>
        </row>
        <row r="3718">
          <cell r="D3718" t="str">
            <v>F3.0323</v>
          </cell>
          <cell r="E3718" t="str">
            <v>Z1.2341</v>
          </cell>
        </row>
        <row r="3719">
          <cell r="D3719" t="str">
            <v>F3.0324</v>
          </cell>
          <cell r="E3719" t="str">
            <v>Z1.2342</v>
          </cell>
        </row>
        <row r="3720">
          <cell r="D3720" t="str">
            <v>F3.0325</v>
          </cell>
          <cell r="E3720" t="str">
            <v>Z1.2343</v>
          </cell>
        </row>
        <row r="3721">
          <cell r="D3721" t="str">
            <v>F3.0326</v>
          </cell>
          <cell r="E3721" t="str">
            <v>Z1.2386</v>
          </cell>
        </row>
        <row r="3722">
          <cell r="D3722" t="str">
            <v>F3.0328</v>
          </cell>
          <cell r="E3722" t="str">
            <v>Z1.2387</v>
          </cell>
        </row>
        <row r="3723">
          <cell r="D3723" t="str">
            <v>F3.0329</v>
          </cell>
          <cell r="E3723" t="str">
            <v>Z1.2389</v>
          </cell>
        </row>
        <row r="3724">
          <cell r="D3724" t="str">
            <v>F3.0330</v>
          </cell>
          <cell r="E3724" t="str">
            <v>Z1.2483</v>
          </cell>
        </row>
        <row r="3725">
          <cell r="D3725" t="str">
            <v>F3.0331</v>
          </cell>
          <cell r="E3725" t="str">
            <v>Z1.2460</v>
          </cell>
        </row>
        <row r="3726">
          <cell r="D3726" t="str">
            <v>F3.0332</v>
          </cell>
          <cell r="E3726" t="str">
            <v>Z1.2339</v>
          </cell>
        </row>
        <row r="3727">
          <cell r="D3727" t="str">
            <v>F3.0333</v>
          </cell>
          <cell r="E3727" t="str">
            <v>Z1.2402</v>
          </cell>
        </row>
        <row r="3728">
          <cell r="D3728" t="str">
            <v>F3.0334</v>
          </cell>
          <cell r="E3728" t="str">
            <v>Z1.2401</v>
          </cell>
        </row>
        <row r="3729">
          <cell r="D3729" t="str">
            <v>F3.0335</v>
          </cell>
          <cell r="E3729" t="str">
            <v>Z1.2398</v>
          </cell>
        </row>
        <row r="3730">
          <cell r="D3730" t="str">
            <v>F3.0336</v>
          </cell>
          <cell r="E3730" t="str">
            <v>Z1.2399</v>
          </cell>
        </row>
        <row r="3731">
          <cell r="D3731" t="str">
            <v>F3.0339</v>
          </cell>
          <cell r="E3731" t="str">
            <v>Z1.2400</v>
          </cell>
        </row>
        <row r="3732">
          <cell r="D3732" t="str">
            <v>F3.0340</v>
          </cell>
          <cell r="E3732" t="str">
            <v>Z1.2338</v>
          </cell>
        </row>
        <row r="3733">
          <cell r="D3733" t="str">
            <v>F3.0341</v>
          </cell>
          <cell r="E3733" t="str">
            <v>Z1.2490</v>
          </cell>
        </row>
        <row r="3734">
          <cell r="D3734" t="str">
            <v>F3.0342</v>
          </cell>
          <cell r="E3734" t="str">
            <v>Z1.2491</v>
          </cell>
        </row>
        <row r="3735">
          <cell r="D3735" t="str">
            <v>F3.0343</v>
          </cell>
          <cell r="E3735" t="str">
            <v>Z1.2486</v>
          </cell>
        </row>
        <row r="3736">
          <cell r="D3736" t="str">
            <v>F3.0344</v>
          </cell>
          <cell r="E3736" t="str">
            <v>Z1.2328</v>
          </cell>
        </row>
        <row r="3737">
          <cell r="D3737" t="str">
            <v>F3.0345</v>
          </cell>
          <cell r="E3737" t="str">
            <v>Z1.2102</v>
          </cell>
        </row>
        <row r="3738">
          <cell r="D3738" t="str">
            <v>F3.0346</v>
          </cell>
          <cell r="E3738" t="str">
            <v>Z1.2238</v>
          </cell>
        </row>
        <row r="3739">
          <cell r="D3739" t="str">
            <v>F3.0347</v>
          </cell>
          <cell r="E3739" t="str">
            <v>Z1.2255</v>
          </cell>
        </row>
        <row r="3740">
          <cell r="D3740" t="str">
            <v>F3.0348</v>
          </cell>
          <cell r="E3740" t="str">
            <v>Z1.2253</v>
          </cell>
        </row>
        <row r="3741">
          <cell r="D3741" t="str">
            <v>F3.0349</v>
          </cell>
          <cell r="E3741" t="str">
            <v>Z1.2297</v>
          </cell>
        </row>
        <row r="3742">
          <cell r="D3742" t="str">
            <v>F3.0350</v>
          </cell>
          <cell r="E3742" t="str">
            <v>Z1.2246</v>
          </cell>
        </row>
        <row r="3743">
          <cell r="D3743" t="str">
            <v>F3.0351</v>
          </cell>
          <cell r="E3743" t="str">
            <v>Z1.2252</v>
          </cell>
        </row>
        <row r="3744">
          <cell r="D3744" t="str">
            <v>F3.0352</v>
          </cell>
          <cell r="E3744" t="str">
            <v>Z1.2251</v>
          </cell>
        </row>
        <row r="3745">
          <cell r="D3745" t="str">
            <v>F3.0353</v>
          </cell>
          <cell r="E3745" t="str">
            <v>Z1.2298</v>
          </cell>
        </row>
        <row r="3746">
          <cell r="D3746" t="str">
            <v>F3.0354</v>
          </cell>
          <cell r="E3746" t="str">
            <v>Z1.2429</v>
          </cell>
        </row>
        <row r="3747">
          <cell r="D3747" t="str">
            <v>F3.0355</v>
          </cell>
          <cell r="E3747" t="str">
            <v>Z1.2430</v>
          </cell>
        </row>
        <row r="3748">
          <cell r="D3748" t="str">
            <v>F3.0356</v>
          </cell>
          <cell r="E3748" t="str">
            <v>Z1.2447</v>
          </cell>
        </row>
        <row r="3749">
          <cell r="D3749" t="str">
            <v>F3.0357</v>
          </cell>
          <cell r="E3749" t="str">
            <v>Z1.2403</v>
          </cell>
        </row>
        <row r="3750">
          <cell r="D3750" t="str">
            <v>F3.0358</v>
          </cell>
          <cell r="E3750" t="str">
            <v>Z1.2247</v>
          </cell>
        </row>
        <row r="3751">
          <cell r="D3751" t="str">
            <v>F3.0359</v>
          </cell>
          <cell r="E3751" t="str">
            <v>Z1.2466</v>
          </cell>
        </row>
        <row r="3752">
          <cell r="D3752" t="str">
            <v>F3.0360</v>
          </cell>
          <cell r="E3752" t="str">
            <v>Z1.2320</v>
          </cell>
        </row>
        <row r="3753">
          <cell r="D3753" t="str">
            <v>F3.0361</v>
          </cell>
          <cell r="E3753" t="str">
            <v>Z1.1998</v>
          </cell>
        </row>
        <row r="3754">
          <cell r="D3754" t="str">
            <v>F3.0362</v>
          </cell>
          <cell r="E3754" t="str">
            <v>Z1.2159</v>
          </cell>
        </row>
        <row r="3755">
          <cell r="D3755" t="str">
            <v>F3.0363</v>
          </cell>
          <cell r="E3755" t="str">
            <v>Z1.2160</v>
          </cell>
        </row>
        <row r="3756">
          <cell r="D3756" t="str">
            <v>F3.0364</v>
          </cell>
          <cell r="E3756" t="str">
            <v>Z1.2024</v>
          </cell>
        </row>
        <row r="3757">
          <cell r="D3757" t="str">
            <v>F3.0365</v>
          </cell>
          <cell r="E3757" t="str">
            <v>Z1.2084</v>
          </cell>
        </row>
        <row r="3758">
          <cell r="D3758" t="str">
            <v>F3.0366</v>
          </cell>
          <cell r="E3758" t="str">
            <v>Z1.2273</v>
          </cell>
        </row>
        <row r="3759">
          <cell r="D3759" t="str">
            <v>F3.0367</v>
          </cell>
          <cell r="E3759" t="str">
            <v>Z1.2045</v>
          </cell>
        </row>
        <row r="3760">
          <cell r="D3760" t="str">
            <v>F3.0368</v>
          </cell>
          <cell r="E3760" t="str">
            <v>Z1.2132</v>
          </cell>
        </row>
        <row r="3761">
          <cell r="D3761" t="str">
            <v>F3.0369</v>
          </cell>
          <cell r="E3761" t="str">
            <v>Z1.2406</v>
          </cell>
        </row>
        <row r="3762">
          <cell r="D3762" t="str">
            <v>F3.0370</v>
          </cell>
          <cell r="E3762" t="str">
            <v>Z1.2465</v>
          </cell>
        </row>
        <row r="3763">
          <cell r="D3763" t="str">
            <v>F3.0371</v>
          </cell>
          <cell r="E3763" t="str">
            <v>Z1.2277</v>
          </cell>
        </row>
        <row r="3764">
          <cell r="D3764" t="str">
            <v>F3.0372</v>
          </cell>
          <cell r="E3764" t="str">
            <v>Z1.2119</v>
          </cell>
        </row>
        <row r="3765">
          <cell r="D3765" t="str">
            <v>F3.0373</v>
          </cell>
          <cell r="E3765" t="str">
            <v>Z1.2053</v>
          </cell>
        </row>
        <row r="3766">
          <cell r="D3766" t="str">
            <v>F3.0374</v>
          </cell>
          <cell r="E3766" t="str">
            <v>Z1.2080</v>
          </cell>
        </row>
        <row r="3767">
          <cell r="D3767" t="str">
            <v>F3.0375</v>
          </cell>
          <cell r="E3767" t="str">
            <v>Z1.2099</v>
          </cell>
        </row>
        <row r="3768">
          <cell r="D3768" t="str">
            <v>F3.0376</v>
          </cell>
          <cell r="E3768" t="str">
            <v>Z1.2290</v>
          </cell>
        </row>
        <row r="3769">
          <cell r="D3769" t="str">
            <v>F3.0377</v>
          </cell>
          <cell r="E3769" t="str">
            <v>Z1.2050</v>
          </cell>
        </row>
        <row r="3770">
          <cell r="D3770" t="str">
            <v>F3.0378</v>
          </cell>
          <cell r="E3770" t="str">
            <v>Z1.2259</v>
          </cell>
        </row>
        <row r="3771">
          <cell r="D3771" t="str">
            <v>F3.0379</v>
          </cell>
          <cell r="E3771" t="str">
            <v>Z1.2274</v>
          </cell>
        </row>
        <row r="3772">
          <cell r="D3772" t="str">
            <v>F3.0380</v>
          </cell>
          <cell r="E3772" t="str">
            <v>Z1.2276</v>
          </cell>
        </row>
        <row r="3773">
          <cell r="D3773" t="str">
            <v>F3.0381</v>
          </cell>
          <cell r="E3773" t="str">
            <v>Z1.2308</v>
          </cell>
        </row>
        <row r="3774">
          <cell r="D3774" t="str">
            <v>F3.0382</v>
          </cell>
          <cell r="E3774" t="str">
            <v>Z1.2317</v>
          </cell>
        </row>
        <row r="3775">
          <cell r="D3775" t="str">
            <v>F3.0383</v>
          </cell>
          <cell r="E3775" t="str">
            <v>Z1.2327</v>
          </cell>
        </row>
        <row r="3776">
          <cell r="D3776" t="str">
            <v>F3.0384</v>
          </cell>
          <cell r="E3776" t="str">
            <v>Z1.2332</v>
          </cell>
        </row>
        <row r="3777">
          <cell r="D3777" t="str">
            <v>F3.0385</v>
          </cell>
          <cell r="E3777" t="str">
            <v>Z1.2331</v>
          </cell>
        </row>
        <row r="3778">
          <cell r="D3778" t="str">
            <v>F3.0386</v>
          </cell>
          <cell r="E3778" t="str">
            <v>Z1.2348</v>
          </cell>
        </row>
        <row r="3779">
          <cell r="D3779" t="str">
            <v>F3.0387</v>
          </cell>
          <cell r="E3779" t="str">
            <v>Z1.2356</v>
          </cell>
        </row>
        <row r="3780">
          <cell r="D3780" t="str">
            <v>F3.0388</v>
          </cell>
          <cell r="E3780" t="str">
            <v>Z1.2196</v>
          </cell>
        </row>
        <row r="3781">
          <cell r="D3781" t="str">
            <v>F3.0389</v>
          </cell>
          <cell r="E3781" t="str">
            <v>Z1.2079</v>
          </cell>
        </row>
        <row r="3782">
          <cell r="D3782" t="str">
            <v>F3.0390</v>
          </cell>
          <cell r="E3782" t="str">
            <v>Z1.2040</v>
          </cell>
        </row>
        <row r="3783">
          <cell r="D3783" t="str">
            <v>F3.0391</v>
          </cell>
          <cell r="E3783" t="str">
            <v>Z1.2234</v>
          </cell>
        </row>
        <row r="3784">
          <cell r="D3784" t="str">
            <v>F3.0392</v>
          </cell>
          <cell r="E3784" t="str">
            <v>Z1.2260</v>
          </cell>
        </row>
        <row r="3785">
          <cell r="D3785" t="str">
            <v>F3.0393</v>
          </cell>
          <cell r="E3785" t="str">
            <v>Z1.2405</v>
          </cell>
        </row>
        <row r="3786">
          <cell r="D3786" t="str">
            <v>F3.0394</v>
          </cell>
          <cell r="E3786" t="str">
            <v>Z1.2280</v>
          </cell>
        </row>
        <row r="3787">
          <cell r="D3787" t="str">
            <v>F3.0395</v>
          </cell>
          <cell r="E3787" t="str">
            <v>Z1.2156</v>
          </cell>
        </row>
        <row r="3788">
          <cell r="D3788" t="str">
            <v>F3.0396</v>
          </cell>
          <cell r="E3788" t="str">
            <v>Z1.2126</v>
          </cell>
        </row>
        <row r="3789">
          <cell r="D3789" t="str">
            <v>F3.0397</v>
          </cell>
          <cell r="E3789" t="str">
            <v>Z1.2275</v>
          </cell>
        </row>
        <row r="3790">
          <cell r="D3790" t="str">
            <v>F3.0398</v>
          </cell>
          <cell r="E3790" t="str">
            <v>Z1.2423</v>
          </cell>
        </row>
        <row r="3791">
          <cell r="D3791" t="str">
            <v>F3.0400</v>
          </cell>
          <cell r="E3791" t="str">
            <v>Z1.2374</v>
          </cell>
        </row>
        <row r="3792">
          <cell r="D3792" t="str">
            <v>F3.0401</v>
          </cell>
          <cell r="E3792" t="str">
            <v>Z1.2416</v>
          </cell>
        </row>
        <row r="3793">
          <cell r="D3793" t="str">
            <v>F3.0402</v>
          </cell>
          <cell r="E3793" t="str">
            <v>Z1.2436</v>
          </cell>
        </row>
        <row r="3794">
          <cell r="D3794" t="str">
            <v>F3.0403</v>
          </cell>
          <cell r="E3794" t="str">
            <v>Z1.2417</v>
          </cell>
        </row>
        <row r="3795">
          <cell r="D3795" t="str">
            <v>F3.0404</v>
          </cell>
          <cell r="E3795" t="str">
            <v>Z1.2437</v>
          </cell>
        </row>
        <row r="3796">
          <cell r="D3796" t="str">
            <v>F3.0405</v>
          </cell>
          <cell r="E3796" t="str">
            <v>Z1.2418</v>
          </cell>
        </row>
        <row r="3797">
          <cell r="D3797" t="str">
            <v>F3.0406</v>
          </cell>
          <cell r="E3797" t="str">
            <v>Z1.2438</v>
          </cell>
        </row>
        <row r="3798">
          <cell r="D3798" t="str">
            <v>F3.0407</v>
          </cell>
          <cell r="E3798" t="str">
            <v>Z1.2415</v>
          </cell>
        </row>
        <row r="3799">
          <cell r="D3799" t="str">
            <v>F3.0408</v>
          </cell>
          <cell r="E3799" t="str">
            <v>Z1.2435</v>
          </cell>
        </row>
        <row r="3800">
          <cell r="D3800" t="str">
            <v>F3.0409</v>
          </cell>
          <cell r="E3800" t="str">
            <v>Z1.2439</v>
          </cell>
        </row>
        <row r="3801">
          <cell r="D3801" t="str">
            <v>F3.0410</v>
          </cell>
          <cell r="E3801" t="str">
            <v>Z1.2498</v>
          </cell>
        </row>
        <row r="3802">
          <cell r="D3802" t="str">
            <v>F3.0411</v>
          </cell>
          <cell r="E3802" t="str">
            <v>Z1.2382</v>
          </cell>
        </row>
        <row r="3803">
          <cell r="D3803" t="str">
            <v>F3.0412</v>
          </cell>
          <cell r="E3803" t="str">
            <v>Z1.2441</v>
          </cell>
        </row>
        <row r="3804">
          <cell r="D3804" t="str">
            <v>F3.0413</v>
          </cell>
          <cell r="E3804" t="str">
            <v>Z1.2442</v>
          </cell>
        </row>
        <row r="3805">
          <cell r="D3805" t="str">
            <v>F3.0414</v>
          </cell>
          <cell r="E3805" t="str">
            <v>Z1.2451</v>
          </cell>
        </row>
        <row r="3806">
          <cell r="D3806" t="str">
            <v>F3.0415</v>
          </cell>
          <cell r="E3806" t="str">
            <v>Z1.2410</v>
          </cell>
        </row>
        <row r="3807">
          <cell r="D3807" t="str">
            <v>F3.0416</v>
          </cell>
          <cell r="E3807" t="str">
            <v>Z1.2309</v>
          </cell>
        </row>
        <row r="3808">
          <cell r="D3808" t="str">
            <v>F3.0417</v>
          </cell>
          <cell r="E3808" t="str">
            <v>Z1.2197</v>
          </cell>
        </row>
        <row r="3809">
          <cell r="D3809" t="str">
            <v>F3.0418</v>
          </cell>
          <cell r="E3809" t="str">
            <v>Z1.2207</v>
          </cell>
        </row>
        <row r="3810">
          <cell r="D3810" t="str">
            <v>F3.0419</v>
          </cell>
          <cell r="E3810" t="str">
            <v>Z1.2371</v>
          </cell>
        </row>
        <row r="3811">
          <cell r="D3811" t="str">
            <v>F3.0420</v>
          </cell>
          <cell r="E3811" t="str">
            <v>Z1.2293</v>
          </cell>
        </row>
        <row r="3812">
          <cell r="D3812" t="str">
            <v>F3.0420</v>
          </cell>
          <cell r="E3812" t="str">
            <v>Z1.2293</v>
          </cell>
        </row>
        <row r="3813">
          <cell r="D3813" t="str">
            <v>F3.0421</v>
          </cell>
          <cell r="E3813" t="str">
            <v>Z1.2492</v>
          </cell>
        </row>
        <row r="3814">
          <cell r="D3814" t="str">
            <v>F3.0422</v>
          </cell>
          <cell r="E3814" t="str">
            <v>Z1.2493</v>
          </cell>
        </row>
        <row r="3815">
          <cell r="D3815" t="str">
            <v>F3.0424</v>
          </cell>
          <cell r="E3815" t="str">
            <v>Z1.2233</v>
          </cell>
        </row>
        <row r="3816">
          <cell r="D3816" t="str">
            <v>F3.0425</v>
          </cell>
          <cell r="E3816" t="str">
            <v>Z1.2250</v>
          </cell>
        </row>
        <row r="3817">
          <cell r="D3817" t="str">
            <v>F3.0426</v>
          </cell>
          <cell r="E3817" t="str">
            <v>Z1.2494</v>
          </cell>
        </row>
        <row r="3818">
          <cell r="D3818" t="str">
            <v>F3.0427</v>
          </cell>
          <cell r="E3818" t="str">
            <v>Z1.2323</v>
          </cell>
        </row>
        <row r="3819">
          <cell r="D3819" t="str">
            <v>F3.0428</v>
          </cell>
          <cell r="E3819" t="str">
            <v>Z1.2355</v>
          </cell>
        </row>
        <row r="3820">
          <cell r="D3820" t="str">
            <v>F3.0429</v>
          </cell>
          <cell r="E3820" t="str">
            <v>Z1.2431</v>
          </cell>
        </row>
        <row r="3821">
          <cell r="D3821" t="str">
            <v>F3.0430</v>
          </cell>
          <cell r="E3821" t="str">
            <v>Z1.2499</v>
          </cell>
        </row>
        <row r="3822">
          <cell r="D3822" t="str">
            <v>F3.0431</v>
          </cell>
          <cell r="E3822" t="str">
            <v>Z1.2380</v>
          </cell>
        </row>
        <row r="3823">
          <cell r="D3823" t="str">
            <v>F3.0432</v>
          </cell>
          <cell r="E3823" t="str">
            <v>Z1.2278</v>
          </cell>
        </row>
        <row r="3824">
          <cell r="D3824" t="str">
            <v>F3.0433</v>
          </cell>
          <cell r="E3824" t="str">
            <v>Z1.2347</v>
          </cell>
        </row>
        <row r="3825">
          <cell r="D3825" t="str">
            <v>F3.0434</v>
          </cell>
          <cell r="E3825" t="str">
            <v>Z1.2448</v>
          </cell>
        </row>
        <row r="3826">
          <cell r="D3826" t="str">
            <v>F3.0435</v>
          </cell>
          <cell r="E3826" t="str">
            <v>Z1.2469</v>
          </cell>
        </row>
        <row r="3827">
          <cell r="D3827" t="str">
            <v>F3.0443</v>
          </cell>
          <cell r="E3827" t="str">
            <v>Z1.2303</v>
          </cell>
        </row>
        <row r="3828">
          <cell r="D3828" t="str">
            <v>F3.0444</v>
          </cell>
          <cell r="E3828" t="str">
            <v>Z1.2503</v>
          </cell>
        </row>
        <row r="3829">
          <cell r="D3829" t="str">
            <v>F3.0445</v>
          </cell>
          <cell r="E3829" t="str">
            <v>Z1.2365</v>
          </cell>
        </row>
        <row r="3830">
          <cell r="D3830" t="str">
            <v>F3.0446</v>
          </cell>
          <cell r="E3830" t="str">
            <v>Z1.2349</v>
          </cell>
        </row>
        <row r="3831">
          <cell r="D3831" t="str">
            <v>F3.0447</v>
          </cell>
          <cell r="E3831" t="str">
            <v>Z1.2361</v>
          </cell>
        </row>
        <row r="3832">
          <cell r="D3832" t="str">
            <v>F3.0448</v>
          </cell>
          <cell r="E3832" t="str">
            <v>Z1.2367</v>
          </cell>
        </row>
        <row r="3833">
          <cell r="D3833" t="str">
            <v>F3.0449</v>
          </cell>
          <cell r="E3833" t="str">
            <v>Z1.2358</v>
          </cell>
        </row>
        <row r="3834">
          <cell r="D3834" t="str">
            <v>F3.0450</v>
          </cell>
          <cell r="E3834" t="str">
            <v>Z1.2453</v>
          </cell>
        </row>
        <row r="3835">
          <cell r="D3835" t="str">
            <v>F3.0451</v>
          </cell>
          <cell r="E3835" t="str">
            <v>Z1.2454</v>
          </cell>
        </row>
        <row r="3836">
          <cell r="D3836" t="str">
            <v>F3.0452</v>
          </cell>
          <cell r="E3836" t="str">
            <v>Z1.2364</v>
          </cell>
        </row>
        <row r="3837">
          <cell r="D3837" t="str">
            <v>F3.0453</v>
          </cell>
          <cell r="E3837" t="str">
            <v>Z1.2507</v>
          </cell>
        </row>
        <row r="3838">
          <cell r="D3838" t="str">
            <v>F3.0454</v>
          </cell>
          <cell r="E3838" t="str">
            <v>Z1.2506</v>
          </cell>
        </row>
        <row r="3839">
          <cell r="D3839" t="str">
            <v>F3.0455</v>
          </cell>
          <cell r="E3839" t="str">
            <v>Z1.2508</v>
          </cell>
        </row>
        <row r="3840">
          <cell r="D3840" t="str">
            <v>F3.0456</v>
          </cell>
          <cell r="E3840" t="str">
            <v>Z1.2511</v>
          </cell>
        </row>
        <row r="3841">
          <cell r="D3841" t="str">
            <v>F3.0457</v>
          </cell>
          <cell r="E3841" t="str">
            <v>Z1.2510</v>
          </cell>
        </row>
        <row r="3842">
          <cell r="D3842" t="str">
            <v>F3.0458</v>
          </cell>
          <cell r="E3842" t="str">
            <v>Z1.2509</v>
          </cell>
        </row>
        <row r="3843">
          <cell r="D3843" t="str">
            <v>F3.0459</v>
          </cell>
          <cell r="E3843" t="str">
            <v>Z1.2513</v>
          </cell>
        </row>
        <row r="3844">
          <cell r="D3844" t="str">
            <v>F3.0460</v>
          </cell>
          <cell r="E3844" t="str">
            <v>Z1.2512</v>
          </cell>
        </row>
        <row r="3845">
          <cell r="D3845" t="str">
            <v>F3.0461</v>
          </cell>
          <cell r="E3845" t="str">
            <v>Z1.1963</v>
          </cell>
        </row>
        <row r="3846">
          <cell r="D3846" t="str">
            <v>F3.0463</v>
          </cell>
          <cell r="E3846" t="str">
            <v>Z1.2150</v>
          </cell>
        </row>
        <row r="3847">
          <cell r="D3847" t="str">
            <v>F3.0464</v>
          </cell>
          <cell r="E3847" t="str">
            <v>Z1.2181</v>
          </cell>
        </row>
        <row r="3848">
          <cell r="D3848" t="str">
            <v>F3.0466</v>
          </cell>
          <cell r="E3848" t="str">
            <v>Z1.2151</v>
          </cell>
        </row>
        <row r="3849">
          <cell r="D3849" t="str">
            <v>F3.0467</v>
          </cell>
          <cell r="E3849" t="str">
            <v>Z1.2062</v>
          </cell>
        </row>
        <row r="3850">
          <cell r="D3850" t="str">
            <v>F3.0468</v>
          </cell>
          <cell r="E3850" t="str">
            <v>Z1.2487</v>
          </cell>
        </row>
        <row r="3851">
          <cell r="D3851" t="str">
            <v>F3.0469</v>
          </cell>
          <cell r="E3851" t="str">
            <v>Z1.2391</v>
          </cell>
        </row>
        <row r="3852">
          <cell r="D3852" t="str">
            <v>F3.0470</v>
          </cell>
          <cell r="E3852" t="str">
            <v>Z1.2393</v>
          </cell>
        </row>
        <row r="3853">
          <cell r="D3853" t="str">
            <v>F3.0471</v>
          </cell>
          <cell r="E3853" t="str">
            <v>Z1.2397</v>
          </cell>
        </row>
        <row r="3854">
          <cell r="D3854" t="str">
            <v>F3.0472</v>
          </cell>
          <cell r="E3854" t="str">
            <v>Z1.2352</v>
          </cell>
        </row>
        <row r="3855">
          <cell r="D3855" t="str">
            <v>F3.0473</v>
          </cell>
          <cell r="E3855" t="str">
            <v>Z1.2414</v>
          </cell>
        </row>
        <row r="3856">
          <cell r="D3856" t="str">
            <v>F3.0474</v>
          </cell>
          <cell r="E3856" t="str">
            <v>Z1.2395</v>
          </cell>
        </row>
        <row r="3857">
          <cell r="D3857" t="str">
            <v>F3.0475</v>
          </cell>
          <cell r="E3857" t="str">
            <v>Z1.2324</v>
          </cell>
        </row>
        <row r="3858">
          <cell r="D3858" t="str">
            <v>F3.0476</v>
          </cell>
          <cell r="E3858" t="str">
            <v>Z1.2505</v>
          </cell>
        </row>
        <row r="3859">
          <cell r="D3859" t="str">
            <v>F3.0477</v>
          </cell>
          <cell r="E3859" t="str">
            <v>Z1.2480</v>
          </cell>
        </row>
        <row r="3860">
          <cell r="D3860" t="str">
            <v>F3.0478</v>
          </cell>
          <cell r="E3860" t="str">
            <v>Z1.2353</v>
          </cell>
        </row>
        <row r="3861">
          <cell r="D3861" t="str">
            <v>F3.0479</v>
          </cell>
          <cell r="E3861" t="str">
            <v>Z1.2413</v>
          </cell>
        </row>
        <row r="3862">
          <cell r="D3862" t="str">
            <v>F3.0480</v>
          </cell>
          <cell r="E3862" t="str">
            <v>Z1.2515</v>
          </cell>
        </row>
        <row r="3863">
          <cell r="D3863" t="str">
            <v>F3.0481</v>
          </cell>
          <cell r="E3863" t="str">
            <v>Z1.2504</v>
          </cell>
        </row>
        <row r="3864">
          <cell r="D3864" t="str">
            <v>F3.0482</v>
          </cell>
          <cell r="E3864" t="str">
            <v>Z1.2472</v>
          </cell>
        </row>
        <row r="3865">
          <cell r="D3865" t="str">
            <v>F3.0483</v>
          </cell>
          <cell r="E3865" t="str">
            <v>Z1.2522</v>
          </cell>
        </row>
      </sheetData>
      <sheetData sheetId="2"/>
      <sheetData sheetId="3"/>
      <sheetData sheetId="4"/>
      <sheetData sheetId="5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75.3598032407" refreshedBy="35858" recordCount="47">
  <cacheSource type="worksheet">
    <worksheetSource ref="A1:AD48" sheet="Sheet1"/>
  </cacheSource>
  <cacheFields count="30">
    <cacheField name="单据号" numFmtId="0">
      <sharedItems count="13">
        <s v="1309-202605290002"/>
        <s v="1290-202605290006"/>
        <s v="1309-202605250002"/>
        <s v="1309-202605190004"/>
        <s v="1309-202605180003"/>
        <s v="1309-202605150006"/>
        <s v="1309-202605120008"/>
        <s v="1309-202605110006"/>
        <s v="1309-202605080001"/>
        <s v="1309-202605060008"/>
        <s v="1290-202605060016"/>
        <s v="1309-202605060007"/>
        <s v="1309-202605060006"/>
      </sharedItems>
    </cacheField>
    <cacheField name="单据类型" numFmtId="0">
      <sharedItems count="2">
        <s v="材料销货出库单"/>
        <s v="MES总务领料单"/>
      </sharedItems>
    </cacheField>
    <cacheField name="仓库编码" numFmtId="0">
      <sharedItems count="3">
        <s v="02"/>
        <s v="05"/>
        <s v="105"/>
      </sharedItems>
    </cacheField>
    <cacheField name="仓库名" numFmtId="0">
      <sharedItems count="3">
        <s v="原材料扫码仓"/>
        <s v="总务仓库"/>
        <s v="辅件扫码仓"/>
      </sharedItems>
    </cacheField>
    <cacheField name="供应商" numFmtId="0">
      <sharedItems count="1">
        <s v=""/>
      </sharedItems>
    </cacheField>
    <cacheField name="客户" numFmtId="0">
      <sharedItems count="1">
        <s v="W10"/>
      </sharedItems>
    </cacheField>
    <cacheField name="结算客户" numFmtId="0">
      <sharedItems count="1">
        <s v="W10"/>
      </sharedItems>
    </cacheField>
    <cacheField name="品号类型" numFmtId="0">
      <sharedItems count="1">
        <s v="采购件"/>
      </sharedItems>
    </cacheField>
    <cacheField name="品号" numFmtId="0">
      <sharedItems count="32">
        <s v="3100635"/>
        <s v="15003103143"/>
        <s v="3101142"/>
        <s v="5100094"/>
        <s v="3600742"/>
        <s v="15003662599"/>
        <s v="15003662601"/>
        <s v="15003662600"/>
        <s v="3100262"/>
        <s v="3100247"/>
        <s v="15003602043"/>
        <s v="3600165"/>
        <s v="3600725"/>
        <s v="3600688"/>
        <s v="3600444"/>
        <s v="15003103140"/>
        <s v="3101137"/>
        <s v="3101145"/>
        <s v="3101115"/>
        <s v="3101138"/>
        <s v="3101082"/>
        <s v="15005302785"/>
        <s v="3601932"/>
        <s v="3600723"/>
        <s v="3600554"/>
        <s v="3600553"/>
        <s v="3600570"/>
        <s v="3600571"/>
        <s v="3600567"/>
        <s v="3600431"/>
        <s v="3600756"/>
        <s v="3600569"/>
      </sharedItems>
    </cacheField>
    <cacheField name="品名" numFmtId="0">
      <sharedItems count="32">
        <s v="PA6-GF10-M20"/>
        <s v="PP LGF40 P707LG BK黑色"/>
        <s v="PP TD17 BMV214W10609M"/>
        <s v="成形生产管理表"/>
        <s v="卡扣W717086-S439(539B4002AA0)"/>
        <s v="泡棉T15*29.5*32.9mm(70644001AA0)"/>
        <s v="泡棉T3*5*50mm(70644003AA0)"/>
        <s v="泡棉T5*13*85mm(70644002AA0)"/>
        <s v="APO-308（PP-GF20%+MF10) BLACK"/>
        <s v="PA6 MG30 HSBK006"/>
        <s v="Y0801426-INSERT METAL"/>
        <s v="卡扣W714972-S300"/>
        <s v="毛毡 50*10*0.5"/>
        <s v="Flocked Tape 毛毡 30*17*1"/>
        <s v="COVER PET覆膜"/>
        <s v="PP TD20 BK黑色"/>
        <s v="PP T20 A5132T-729-A3 EA9 CB1690黑"/>
        <s v="PP C3322T  B18(UV) JA6"/>
        <s v="PA66 C200 BK121"/>
        <s v="PP T20 A5132T-729-A3 JM8 SH4865灰"/>
        <s v="PP T20 P20T20A10-LE-CS(EF1E)碳黑"/>
        <s v="麦格纳明细书"/>
        <s v="麦拉片 27*19*0.2"/>
        <s v="左侧吸音棉 156*137*15"/>
        <s v="E13865200"/>
        <s v="E13864600"/>
        <s v="E14382900（E10629100）"/>
        <s v="E14383700（E11006400）"/>
        <s v="E14383600（E10881800）"/>
        <s v="嵌件E10904200 /E14383100"/>
        <s v="卡子 W716437-S300"/>
        <s v="E14383000（E6679200）"/>
      </sharedItems>
    </cacheField>
    <cacheField name="图号" numFmtId="0">
      <sharedItems count="32">
        <s v="A1.4377"/>
        <s v="A1.6621"/>
        <s v="A1.5380"/>
        <s v="F9.0462"/>
        <s v="F1.1538"/>
        <s v="F1.2862"/>
        <s v="F1.2864"/>
        <s v="F1.2863"/>
        <s v="A1.4216"/>
        <s v="A1.4317"/>
        <s v="F1.2377"/>
        <s v="F1.2115"/>
        <s v="F1.1592"/>
        <s v="F1.0858"/>
        <s v="F1.0271"/>
        <s v="A1.6618"/>
        <s v="A1.5357"/>
        <s v="A1.5226"/>
        <s v="A1.4338"/>
        <s v="A1.5358"/>
        <s v="A1.5413"/>
        <s v="F9.0495"/>
        <s v="F1.2287"/>
        <s v="F1.2108"/>
        <s v="F1.0412"/>
        <s v="F1.0411"/>
        <s v="F1.0413"/>
        <s v="F1.0418"/>
        <s v="F1.0417"/>
        <s v="F1.1664"/>
        <s v="F1.1537"/>
        <s v="F1.0414"/>
      </sharedItems>
    </cacheField>
    <cacheField name="二级类别" numFmtId="0">
      <sharedItems count="3">
        <s v="塑料粒子"/>
        <s v="生产性辅助材料"/>
        <s v="辅件"/>
      </sharedItems>
    </cacheField>
    <cacheField name="装箱数" numFmtId="0">
      <sharedItems containsSemiMixedTypes="0" containsString="0" containsNumber="1" containsInteger="1" minValue="25" maxValue="24000" count="22">
        <n v="1600"/>
        <n v="825"/>
        <n v="25"/>
        <n v="110"/>
        <n v="5000"/>
        <n v="2000"/>
        <n v="10000"/>
        <n v="3000"/>
        <n v="24000"/>
        <n v="4000"/>
        <n v="1000"/>
        <n v="2700"/>
        <n v="300"/>
        <n v="14200"/>
        <n v="1825"/>
        <n v="4175"/>
        <n v="80"/>
        <n v="9000"/>
        <n v="18000"/>
        <n v="6000"/>
        <n v="10400"/>
        <n v="10080"/>
      </sharedItems>
    </cacheField>
    <cacheField name="箱数" numFmtId="0">
      <sharedItems containsSemiMixedTypes="0" containsString="0" containsNumber="1" containsInteger="1" minValue="0" maxValue="40" count="6">
        <n v="1"/>
        <n v="40"/>
        <n v="0"/>
        <n v="2"/>
        <n v="28"/>
        <n v="8"/>
      </sharedItems>
    </cacheField>
    <cacheField name="业务数量" numFmtId="0">
      <sharedItems containsSemiMixedTypes="0" containsString="0" containsNumber="1" containsInteger="1" minValue="5" maxValue="24000" count="26">
        <n v="1600"/>
        <n v="825"/>
        <n v="1000"/>
        <n v="5"/>
        <n v="3000"/>
        <n v="2000"/>
        <n v="5000"/>
        <n v="10000"/>
        <n v="24000"/>
        <n v="4000"/>
        <n v="2700"/>
        <n v="300"/>
        <n v="14200"/>
        <n v="875"/>
        <n v="125"/>
        <n v="1825"/>
        <n v="4175"/>
        <n v="700"/>
        <n v="200"/>
        <n v="110"/>
        <n v="80"/>
        <n v="9000"/>
        <n v="18000"/>
        <n v="6000"/>
        <n v="10400"/>
        <n v="10080"/>
      </sharedItems>
    </cacheField>
    <cacheField name="托码" numFmtId="0">
      <sharedItems count="26">
        <s v="T02*604681"/>
        <s v="T02*564513"/>
        <s v="T02*543554"/>
        <s v="T02*558794"/>
        <s v="T02**10034"/>
        <s v="T02**61521"/>
        <s v="T02**61285"/>
        <s v="T02**61275"/>
        <s v="T02**61280"/>
        <s v="T02**61287"/>
        <s v="T02**61509"/>
        <s v="T02**61261"/>
        <s v="T02**61274"/>
        <s v="T02*596264"/>
        <s v="T02**14728"/>
        <s v="T02**61525"/>
        <s v="T02*467536"/>
        <s v="T02**29245"/>
        <s v="T02*574292"/>
        <s v="T02*558378"/>
        <s v="T02*566393"/>
        <s v="T02*561530"/>
        <s v="T02*583947"/>
        <s v="T02*584035"/>
        <s v="T02*583441"/>
        <s v="T02*506156"/>
      </sharedItems>
    </cacheField>
    <cacheField name="库位编号" numFmtId="0">
      <sharedItems count="22">
        <s v="001-1-1"/>
        <s v="D08-3-1"/>
        <s v="A15-3-2"/>
        <s v="B06-4-2"/>
        <s v="001-1-8"/>
        <s v="B04-1-1"/>
        <s v="A02-2-4"/>
        <s v="B02-1-1"/>
        <s v="B12-1-2"/>
        <s v="B02-2-2"/>
        <s v="A02-1-2"/>
        <s v="A02-2-1"/>
        <s v="A01-1-4"/>
        <s v="B11-1-3"/>
        <s v="A01-2-2"/>
        <s v="B04-2-1"/>
        <s v="D05-2-3"/>
        <s v="B18-3-2"/>
        <s v="D11-1-2"/>
        <s v="C05-3-2"/>
        <s v="A15-2-1"/>
        <s v="001-1-7"/>
      </sharedItems>
    </cacheField>
    <cacheField name="批号" numFmtId="0">
      <sharedItems count="45">
        <s v="2026052948"/>
        <s v="2026032415"/>
        <s v="2026033128"/>
        <s v="2026041101"/>
        <s v="20241018"/>
        <s v="2023100838"/>
        <s v="2026051939"/>
        <s v="2026043064"/>
        <s v="2026051937"/>
        <s v="2026043065"/>
        <s v="2026051938"/>
        <s v="2026043062"/>
        <s v="2026050853"/>
        <s v="2026043058"/>
        <s v="2026042702"/>
        <s v="2026051912"/>
        <s v="2026051907"/>
        <s v="2026051642"/>
        <s v="2026040356"/>
        <s v="2026043043"/>
        <s v="2025112927"/>
        <s v="2026051507"/>
        <s v="2026051508"/>
        <s v="2026051001"/>
        <s v="2026042626"/>
        <s v="2026040951"/>
        <s v="2026042234"/>
        <s v="2026041331"/>
        <s v="2026050727"/>
        <s v="2026050726"/>
        <s v="2026050829"/>
        <s v="2026050738"/>
        <s v="2025120841"/>
        <s v="2026041201"/>
        <s v="20260331"/>
        <s v="2026043048"/>
        <s v="2026043042"/>
        <s v="2026050329"/>
        <s v="2026050328"/>
        <s v="2026042917"/>
        <s v="2026042918"/>
        <s v="2026042916"/>
        <s v="2026042922"/>
        <s v="2026040425"/>
        <s v="2026042919"/>
      </sharedItems>
    </cacheField>
    <cacheField name="批号描述" numFmtId="0">
      <sharedItems count="32">
        <s v="0126607601"/>
        <s v="260313XB"/>
        <s v="260324XB"/>
        <s v="M260411521"/>
        <s v="20241016"/>
        <s v="20231119"/>
        <s v="20260514"/>
        <s v="20260429"/>
        <s v="20260518"/>
        <s v="20260226"/>
        <s v="31402142"/>
        <s v="51756411"/>
        <s v="20260428"/>
        <s v="202601009-3"/>
        <s v="20051128"/>
        <s v="31401466"/>
        <s v="20260509"/>
        <s v="2603060001"/>
        <s v="260401"/>
        <s v="31397241"/>
        <s v="51724339"/>
        <s v="01618-556034"/>
        <s v="26040801"/>
        <s v="20260328"/>
        <s v="CF07BNAHH"/>
        <s v="CF0NSYAH"/>
        <s v="20260327"/>
        <s v="20260325"/>
        <s v="20260410"/>
        <s v="20260408"/>
        <s v="20260227"/>
        <s v="20260326"/>
      </sharedItems>
    </cacheField>
    <cacheField name="生产日期" numFmtId="0">
      <sharedItems count="26">
        <s v="2026/05/29"/>
        <s v="2026/05/02"/>
        <s v="2026/03/31"/>
        <s v="2026/04/11"/>
        <s v="2024/10/16"/>
        <s v="2023/10/08"/>
        <s v="2026/05/19"/>
        <s v="2026/04/30"/>
        <s v="2026/05/08"/>
        <s v="2026/04/27"/>
        <s v="2026/05/16"/>
        <s v="2026/04/03"/>
        <s v="2025/11/29"/>
        <s v="2026/05/15"/>
        <s v="2026/05/10"/>
        <s v="2026/04/26"/>
        <s v="2026/04/09"/>
        <s v="2026/04/22"/>
        <s v="2026/04/13"/>
        <s v="2026/05/07"/>
        <s v="2026/05/09"/>
        <s v="2025/12/08"/>
        <s v="2026/03/28"/>
        <s v="2026/05/03"/>
        <s v="2026/04/29"/>
        <s v="2026/04/04"/>
      </sharedItems>
    </cacheField>
    <cacheField name="流转卡号" numFmtId="0">
      <sharedItems count="1">
        <s v=""/>
      </sharedItems>
    </cacheField>
    <cacheField name="单据备注" numFmtId="0">
      <sharedItems count="13">
        <s v="4747155"/>
        <s v="4746983"/>
        <s v="4747152"/>
        <s v="4746143"/>
        <s v="4746142"/>
        <s v="4746141"/>
        <s v="4746139"/>
        <s v="4746138"/>
        <s v="4746137"/>
        <s v="4746966"/>
        <s v="4746974"/>
        <s v="4746965"/>
        <s v="4746964"/>
      </sharedItems>
    </cacheField>
    <cacheField name="备注" numFmtId="0">
      <sharedItems count="1">
        <s v=""/>
      </sharedItems>
    </cacheField>
    <cacheField name="部门" numFmtId="0">
      <sharedItems count="1">
        <s v="控股及其他属地"/>
      </sharedItems>
    </cacheField>
    <cacheField name="操作人" numFmtId="0">
      <sharedItems count="4">
        <s v="丰金册"/>
        <s v="左文明"/>
        <s v="高佳丹"/>
        <s v="张国艳"/>
      </sharedItems>
    </cacheField>
    <cacheField name="操作时间" numFmtId="0">
      <sharedItems count="10">
        <s v="2026/05/29"/>
        <s v="2026/05/25"/>
        <s v="2026/05/19"/>
        <s v="2026/05/18"/>
        <s v="2026/05/15"/>
        <s v="2026/05/12"/>
        <s v="2026/05/11"/>
        <s v="2026/05/09"/>
        <s v="2026/05/07"/>
        <s v="2026/05/06"/>
      </sharedItems>
    </cacheField>
    <cacheField name="方向" numFmtId="0">
      <sharedItems count="1">
        <s v="出库"/>
      </sharedItems>
    </cacheField>
    <cacheField name="出入库时间" numFmtId="0">
      <sharedItems count="46">
        <s v="2026/05/29 20:30:54"/>
        <s v="2026/05/29 18:29:51"/>
        <s v="2026/05/29 18:26:12"/>
        <s v="2026/05/29 18:24:47"/>
        <s v="2026/05/29 10:57:13"/>
        <s v="2026/05/25 19:11:18"/>
        <s v="2026/05/25 18:00:12"/>
        <s v="2026/05/25 18:00:05"/>
        <s v="2026/05/25 17:59:51"/>
        <s v="2026/05/25 17:59:45"/>
        <s v="2026/05/25 17:59:24"/>
        <s v="2026/05/25 17:59:17"/>
        <s v="2026/05/25 17:58:54"/>
        <s v="2026/05/25 17:58:45"/>
        <s v="2026/05/25 17:58:17"/>
        <s v="2026/05/19 18:16:00"/>
        <s v="2026/05/19 18:15:55"/>
        <s v="2026/05/18 12:56:46"/>
        <s v="2026/05/18 12:55:54"/>
        <s v="2026/05/18 12:55:21"/>
        <s v="2026/05/18 12:54:12"/>
        <s v="2026/05/15 17:43:13"/>
        <s v="2026/05/15 17:42:40"/>
        <s v="2026/05/12 19:56:29"/>
        <s v="2026/05/11 13:12:20"/>
        <s v="2026/05/11 13:11:36"/>
        <s v="2026/05/11 12:59:43"/>
        <s v="2026/05/11 12:55:30"/>
        <s v="2026/05/11 12:55:09"/>
        <s v="2026/05/09 15:35:11"/>
        <s v="2026/05/09 15:34:59"/>
        <s v="2026/05/09 15:34:44"/>
        <s v="2026/05/09 15:34:34"/>
        <s v="2026/05/09 15:34:24"/>
        <s v="2026/05/07 14:49:21"/>
        <s v="2026/05/07 10:09:21"/>
        <s v="2026/05/06 19:33:21"/>
        <s v="2026/05/06 19:31:43"/>
        <s v="2026/05/06 19:30:33"/>
        <s v="2026/05/06 19:30:26"/>
        <s v="2026/05/06 19:22:59"/>
        <s v="2026/05/06 19:22:51"/>
        <s v="2026/05/06 19:22:18"/>
        <s v="2026/05/06 19:22:11"/>
        <s v="2026/05/06 19:21:40"/>
        <s v="2026/05/06 19:21:21"/>
      </sharedItems>
    </cacheField>
    <cacheField name="规格" numFmtId="0">
      <sharedItems count="2">
        <s v=""/>
        <s v="增税"/>
      </sharedItems>
    </cacheField>
    <cacheField name="单位" numFmtId="0">
      <sharedItems count="3">
        <s v="KG"/>
        <s v="本"/>
        <s v="PCS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7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1"/>
    <x v="1"/>
    <x v="1"/>
    <x v="0"/>
    <x v="1"/>
    <x v="0"/>
    <x v="1"/>
    <x v="1"/>
    <x v="1"/>
    <x v="1"/>
    <x v="1"/>
    <x v="1"/>
    <x v="0"/>
    <x v="0"/>
    <x v="0"/>
    <x v="0"/>
    <x v="1"/>
    <x v="0"/>
    <x v="0"/>
    <x v="1"/>
    <x v="1"/>
    <x v="0"/>
  </r>
  <r>
    <x v="0"/>
    <x v="0"/>
    <x v="0"/>
    <x v="0"/>
    <x v="0"/>
    <x v="0"/>
    <x v="0"/>
    <x v="0"/>
    <x v="1"/>
    <x v="1"/>
    <x v="1"/>
    <x v="0"/>
    <x v="2"/>
    <x v="1"/>
    <x v="2"/>
    <x v="2"/>
    <x v="2"/>
    <x v="2"/>
    <x v="2"/>
    <x v="2"/>
    <x v="0"/>
    <x v="0"/>
    <x v="0"/>
    <x v="0"/>
    <x v="1"/>
    <x v="0"/>
    <x v="0"/>
    <x v="2"/>
    <x v="1"/>
    <x v="0"/>
  </r>
  <r>
    <x v="0"/>
    <x v="0"/>
    <x v="0"/>
    <x v="0"/>
    <x v="0"/>
    <x v="0"/>
    <x v="0"/>
    <x v="0"/>
    <x v="2"/>
    <x v="2"/>
    <x v="2"/>
    <x v="0"/>
    <x v="2"/>
    <x v="1"/>
    <x v="2"/>
    <x v="3"/>
    <x v="3"/>
    <x v="3"/>
    <x v="3"/>
    <x v="3"/>
    <x v="0"/>
    <x v="0"/>
    <x v="0"/>
    <x v="0"/>
    <x v="1"/>
    <x v="0"/>
    <x v="0"/>
    <x v="3"/>
    <x v="1"/>
    <x v="0"/>
  </r>
  <r>
    <x v="1"/>
    <x v="1"/>
    <x v="1"/>
    <x v="1"/>
    <x v="0"/>
    <x v="0"/>
    <x v="0"/>
    <x v="0"/>
    <x v="3"/>
    <x v="3"/>
    <x v="3"/>
    <x v="1"/>
    <x v="3"/>
    <x v="2"/>
    <x v="3"/>
    <x v="4"/>
    <x v="4"/>
    <x v="4"/>
    <x v="4"/>
    <x v="4"/>
    <x v="0"/>
    <x v="1"/>
    <x v="0"/>
    <x v="0"/>
    <x v="2"/>
    <x v="0"/>
    <x v="0"/>
    <x v="4"/>
    <x v="1"/>
    <x v="1"/>
  </r>
  <r>
    <x v="2"/>
    <x v="0"/>
    <x v="2"/>
    <x v="2"/>
    <x v="0"/>
    <x v="0"/>
    <x v="0"/>
    <x v="0"/>
    <x v="4"/>
    <x v="4"/>
    <x v="4"/>
    <x v="2"/>
    <x v="4"/>
    <x v="0"/>
    <x v="4"/>
    <x v="5"/>
    <x v="5"/>
    <x v="5"/>
    <x v="5"/>
    <x v="5"/>
    <x v="0"/>
    <x v="2"/>
    <x v="0"/>
    <x v="0"/>
    <x v="3"/>
    <x v="1"/>
    <x v="0"/>
    <x v="5"/>
    <x v="1"/>
    <x v="2"/>
  </r>
  <r>
    <x v="2"/>
    <x v="0"/>
    <x v="2"/>
    <x v="2"/>
    <x v="0"/>
    <x v="0"/>
    <x v="0"/>
    <x v="0"/>
    <x v="5"/>
    <x v="5"/>
    <x v="5"/>
    <x v="2"/>
    <x v="5"/>
    <x v="0"/>
    <x v="5"/>
    <x v="6"/>
    <x v="6"/>
    <x v="6"/>
    <x v="6"/>
    <x v="6"/>
    <x v="0"/>
    <x v="2"/>
    <x v="0"/>
    <x v="0"/>
    <x v="3"/>
    <x v="1"/>
    <x v="0"/>
    <x v="6"/>
    <x v="1"/>
    <x v="2"/>
  </r>
  <r>
    <x v="2"/>
    <x v="0"/>
    <x v="2"/>
    <x v="2"/>
    <x v="0"/>
    <x v="0"/>
    <x v="0"/>
    <x v="0"/>
    <x v="5"/>
    <x v="5"/>
    <x v="5"/>
    <x v="2"/>
    <x v="5"/>
    <x v="0"/>
    <x v="5"/>
    <x v="7"/>
    <x v="7"/>
    <x v="7"/>
    <x v="7"/>
    <x v="7"/>
    <x v="0"/>
    <x v="2"/>
    <x v="0"/>
    <x v="0"/>
    <x v="3"/>
    <x v="1"/>
    <x v="0"/>
    <x v="7"/>
    <x v="1"/>
    <x v="2"/>
  </r>
  <r>
    <x v="2"/>
    <x v="0"/>
    <x v="2"/>
    <x v="2"/>
    <x v="0"/>
    <x v="0"/>
    <x v="0"/>
    <x v="0"/>
    <x v="6"/>
    <x v="6"/>
    <x v="6"/>
    <x v="2"/>
    <x v="5"/>
    <x v="0"/>
    <x v="5"/>
    <x v="8"/>
    <x v="8"/>
    <x v="8"/>
    <x v="8"/>
    <x v="6"/>
    <x v="0"/>
    <x v="2"/>
    <x v="0"/>
    <x v="0"/>
    <x v="3"/>
    <x v="1"/>
    <x v="0"/>
    <x v="8"/>
    <x v="1"/>
    <x v="2"/>
  </r>
  <r>
    <x v="2"/>
    <x v="0"/>
    <x v="2"/>
    <x v="2"/>
    <x v="0"/>
    <x v="0"/>
    <x v="0"/>
    <x v="0"/>
    <x v="6"/>
    <x v="6"/>
    <x v="6"/>
    <x v="2"/>
    <x v="5"/>
    <x v="0"/>
    <x v="5"/>
    <x v="8"/>
    <x v="8"/>
    <x v="9"/>
    <x v="7"/>
    <x v="7"/>
    <x v="0"/>
    <x v="2"/>
    <x v="0"/>
    <x v="0"/>
    <x v="3"/>
    <x v="1"/>
    <x v="0"/>
    <x v="9"/>
    <x v="1"/>
    <x v="2"/>
  </r>
  <r>
    <x v="2"/>
    <x v="0"/>
    <x v="2"/>
    <x v="2"/>
    <x v="0"/>
    <x v="0"/>
    <x v="0"/>
    <x v="0"/>
    <x v="7"/>
    <x v="7"/>
    <x v="7"/>
    <x v="2"/>
    <x v="5"/>
    <x v="0"/>
    <x v="5"/>
    <x v="8"/>
    <x v="8"/>
    <x v="10"/>
    <x v="8"/>
    <x v="6"/>
    <x v="0"/>
    <x v="2"/>
    <x v="0"/>
    <x v="0"/>
    <x v="3"/>
    <x v="1"/>
    <x v="0"/>
    <x v="10"/>
    <x v="1"/>
    <x v="2"/>
  </r>
  <r>
    <x v="2"/>
    <x v="0"/>
    <x v="2"/>
    <x v="2"/>
    <x v="0"/>
    <x v="0"/>
    <x v="0"/>
    <x v="0"/>
    <x v="7"/>
    <x v="7"/>
    <x v="7"/>
    <x v="2"/>
    <x v="5"/>
    <x v="0"/>
    <x v="5"/>
    <x v="9"/>
    <x v="9"/>
    <x v="11"/>
    <x v="7"/>
    <x v="7"/>
    <x v="0"/>
    <x v="2"/>
    <x v="0"/>
    <x v="0"/>
    <x v="3"/>
    <x v="1"/>
    <x v="0"/>
    <x v="11"/>
    <x v="1"/>
    <x v="2"/>
  </r>
  <r>
    <x v="2"/>
    <x v="0"/>
    <x v="2"/>
    <x v="2"/>
    <x v="0"/>
    <x v="0"/>
    <x v="0"/>
    <x v="0"/>
    <x v="4"/>
    <x v="4"/>
    <x v="4"/>
    <x v="2"/>
    <x v="4"/>
    <x v="0"/>
    <x v="6"/>
    <x v="10"/>
    <x v="10"/>
    <x v="12"/>
    <x v="7"/>
    <x v="8"/>
    <x v="0"/>
    <x v="2"/>
    <x v="0"/>
    <x v="0"/>
    <x v="3"/>
    <x v="1"/>
    <x v="0"/>
    <x v="12"/>
    <x v="1"/>
    <x v="2"/>
  </r>
  <r>
    <x v="2"/>
    <x v="0"/>
    <x v="2"/>
    <x v="2"/>
    <x v="0"/>
    <x v="0"/>
    <x v="0"/>
    <x v="0"/>
    <x v="4"/>
    <x v="4"/>
    <x v="4"/>
    <x v="2"/>
    <x v="5"/>
    <x v="0"/>
    <x v="5"/>
    <x v="10"/>
    <x v="10"/>
    <x v="12"/>
    <x v="7"/>
    <x v="8"/>
    <x v="0"/>
    <x v="2"/>
    <x v="0"/>
    <x v="0"/>
    <x v="3"/>
    <x v="1"/>
    <x v="0"/>
    <x v="12"/>
    <x v="1"/>
    <x v="2"/>
  </r>
  <r>
    <x v="2"/>
    <x v="0"/>
    <x v="2"/>
    <x v="2"/>
    <x v="0"/>
    <x v="0"/>
    <x v="0"/>
    <x v="0"/>
    <x v="4"/>
    <x v="4"/>
    <x v="4"/>
    <x v="2"/>
    <x v="4"/>
    <x v="3"/>
    <x v="7"/>
    <x v="11"/>
    <x v="11"/>
    <x v="13"/>
    <x v="9"/>
    <x v="7"/>
    <x v="0"/>
    <x v="2"/>
    <x v="0"/>
    <x v="0"/>
    <x v="3"/>
    <x v="1"/>
    <x v="0"/>
    <x v="13"/>
    <x v="1"/>
    <x v="2"/>
  </r>
  <r>
    <x v="2"/>
    <x v="0"/>
    <x v="2"/>
    <x v="2"/>
    <x v="0"/>
    <x v="0"/>
    <x v="0"/>
    <x v="0"/>
    <x v="4"/>
    <x v="4"/>
    <x v="4"/>
    <x v="2"/>
    <x v="6"/>
    <x v="0"/>
    <x v="7"/>
    <x v="12"/>
    <x v="12"/>
    <x v="14"/>
    <x v="9"/>
    <x v="9"/>
    <x v="0"/>
    <x v="2"/>
    <x v="0"/>
    <x v="0"/>
    <x v="3"/>
    <x v="1"/>
    <x v="0"/>
    <x v="14"/>
    <x v="1"/>
    <x v="2"/>
  </r>
  <r>
    <x v="3"/>
    <x v="0"/>
    <x v="0"/>
    <x v="0"/>
    <x v="0"/>
    <x v="0"/>
    <x v="0"/>
    <x v="0"/>
    <x v="8"/>
    <x v="8"/>
    <x v="8"/>
    <x v="0"/>
    <x v="7"/>
    <x v="0"/>
    <x v="4"/>
    <x v="13"/>
    <x v="0"/>
    <x v="15"/>
    <x v="10"/>
    <x v="6"/>
    <x v="0"/>
    <x v="3"/>
    <x v="0"/>
    <x v="0"/>
    <x v="1"/>
    <x v="2"/>
    <x v="0"/>
    <x v="15"/>
    <x v="0"/>
    <x v="0"/>
  </r>
  <r>
    <x v="3"/>
    <x v="0"/>
    <x v="0"/>
    <x v="0"/>
    <x v="0"/>
    <x v="0"/>
    <x v="0"/>
    <x v="0"/>
    <x v="9"/>
    <x v="9"/>
    <x v="9"/>
    <x v="0"/>
    <x v="7"/>
    <x v="0"/>
    <x v="4"/>
    <x v="13"/>
    <x v="0"/>
    <x v="16"/>
    <x v="11"/>
    <x v="6"/>
    <x v="0"/>
    <x v="3"/>
    <x v="0"/>
    <x v="0"/>
    <x v="1"/>
    <x v="2"/>
    <x v="0"/>
    <x v="16"/>
    <x v="0"/>
    <x v="0"/>
  </r>
  <r>
    <x v="4"/>
    <x v="0"/>
    <x v="2"/>
    <x v="2"/>
    <x v="0"/>
    <x v="0"/>
    <x v="0"/>
    <x v="0"/>
    <x v="10"/>
    <x v="10"/>
    <x v="10"/>
    <x v="1"/>
    <x v="7"/>
    <x v="0"/>
    <x v="4"/>
    <x v="14"/>
    <x v="13"/>
    <x v="17"/>
    <x v="12"/>
    <x v="10"/>
    <x v="0"/>
    <x v="4"/>
    <x v="0"/>
    <x v="0"/>
    <x v="3"/>
    <x v="3"/>
    <x v="0"/>
    <x v="17"/>
    <x v="1"/>
    <x v="2"/>
  </r>
  <r>
    <x v="4"/>
    <x v="0"/>
    <x v="2"/>
    <x v="2"/>
    <x v="0"/>
    <x v="0"/>
    <x v="0"/>
    <x v="0"/>
    <x v="11"/>
    <x v="11"/>
    <x v="11"/>
    <x v="2"/>
    <x v="8"/>
    <x v="0"/>
    <x v="8"/>
    <x v="12"/>
    <x v="14"/>
    <x v="18"/>
    <x v="13"/>
    <x v="11"/>
    <x v="0"/>
    <x v="4"/>
    <x v="0"/>
    <x v="0"/>
    <x v="3"/>
    <x v="3"/>
    <x v="0"/>
    <x v="18"/>
    <x v="0"/>
    <x v="2"/>
  </r>
  <r>
    <x v="4"/>
    <x v="0"/>
    <x v="2"/>
    <x v="2"/>
    <x v="0"/>
    <x v="0"/>
    <x v="0"/>
    <x v="0"/>
    <x v="12"/>
    <x v="12"/>
    <x v="12"/>
    <x v="2"/>
    <x v="9"/>
    <x v="0"/>
    <x v="9"/>
    <x v="15"/>
    <x v="15"/>
    <x v="19"/>
    <x v="7"/>
    <x v="7"/>
    <x v="0"/>
    <x v="4"/>
    <x v="0"/>
    <x v="0"/>
    <x v="3"/>
    <x v="3"/>
    <x v="0"/>
    <x v="19"/>
    <x v="1"/>
    <x v="2"/>
  </r>
  <r>
    <x v="4"/>
    <x v="0"/>
    <x v="2"/>
    <x v="2"/>
    <x v="0"/>
    <x v="0"/>
    <x v="0"/>
    <x v="0"/>
    <x v="13"/>
    <x v="13"/>
    <x v="13"/>
    <x v="2"/>
    <x v="10"/>
    <x v="0"/>
    <x v="2"/>
    <x v="15"/>
    <x v="15"/>
    <x v="20"/>
    <x v="14"/>
    <x v="12"/>
    <x v="0"/>
    <x v="4"/>
    <x v="0"/>
    <x v="0"/>
    <x v="3"/>
    <x v="3"/>
    <x v="0"/>
    <x v="20"/>
    <x v="1"/>
    <x v="2"/>
  </r>
  <r>
    <x v="5"/>
    <x v="0"/>
    <x v="0"/>
    <x v="0"/>
    <x v="0"/>
    <x v="0"/>
    <x v="0"/>
    <x v="0"/>
    <x v="8"/>
    <x v="8"/>
    <x v="8"/>
    <x v="0"/>
    <x v="11"/>
    <x v="0"/>
    <x v="10"/>
    <x v="16"/>
    <x v="0"/>
    <x v="21"/>
    <x v="10"/>
    <x v="13"/>
    <x v="0"/>
    <x v="5"/>
    <x v="0"/>
    <x v="0"/>
    <x v="1"/>
    <x v="4"/>
    <x v="0"/>
    <x v="21"/>
    <x v="0"/>
    <x v="0"/>
  </r>
  <r>
    <x v="5"/>
    <x v="0"/>
    <x v="0"/>
    <x v="0"/>
    <x v="0"/>
    <x v="0"/>
    <x v="0"/>
    <x v="0"/>
    <x v="8"/>
    <x v="8"/>
    <x v="8"/>
    <x v="0"/>
    <x v="12"/>
    <x v="0"/>
    <x v="11"/>
    <x v="16"/>
    <x v="0"/>
    <x v="22"/>
    <x v="15"/>
    <x v="13"/>
    <x v="0"/>
    <x v="5"/>
    <x v="0"/>
    <x v="0"/>
    <x v="1"/>
    <x v="4"/>
    <x v="0"/>
    <x v="22"/>
    <x v="0"/>
    <x v="0"/>
  </r>
  <r>
    <x v="6"/>
    <x v="0"/>
    <x v="2"/>
    <x v="2"/>
    <x v="0"/>
    <x v="0"/>
    <x v="0"/>
    <x v="0"/>
    <x v="14"/>
    <x v="14"/>
    <x v="14"/>
    <x v="2"/>
    <x v="13"/>
    <x v="0"/>
    <x v="12"/>
    <x v="17"/>
    <x v="16"/>
    <x v="23"/>
    <x v="16"/>
    <x v="14"/>
    <x v="0"/>
    <x v="6"/>
    <x v="0"/>
    <x v="0"/>
    <x v="3"/>
    <x v="5"/>
    <x v="0"/>
    <x v="23"/>
    <x v="0"/>
    <x v="2"/>
  </r>
  <r>
    <x v="7"/>
    <x v="0"/>
    <x v="0"/>
    <x v="0"/>
    <x v="0"/>
    <x v="0"/>
    <x v="0"/>
    <x v="0"/>
    <x v="15"/>
    <x v="15"/>
    <x v="15"/>
    <x v="0"/>
    <x v="10"/>
    <x v="0"/>
    <x v="13"/>
    <x v="18"/>
    <x v="0"/>
    <x v="24"/>
    <x v="17"/>
    <x v="15"/>
    <x v="0"/>
    <x v="7"/>
    <x v="0"/>
    <x v="0"/>
    <x v="0"/>
    <x v="6"/>
    <x v="0"/>
    <x v="24"/>
    <x v="1"/>
    <x v="0"/>
  </r>
  <r>
    <x v="7"/>
    <x v="0"/>
    <x v="0"/>
    <x v="0"/>
    <x v="0"/>
    <x v="0"/>
    <x v="0"/>
    <x v="0"/>
    <x v="15"/>
    <x v="15"/>
    <x v="15"/>
    <x v="0"/>
    <x v="10"/>
    <x v="2"/>
    <x v="14"/>
    <x v="19"/>
    <x v="0"/>
    <x v="25"/>
    <x v="17"/>
    <x v="16"/>
    <x v="0"/>
    <x v="7"/>
    <x v="0"/>
    <x v="0"/>
    <x v="0"/>
    <x v="6"/>
    <x v="0"/>
    <x v="25"/>
    <x v="1"/>
    <x v="0"/>
  </r>
  <r>
    <x v="7"/>
    <x v="0"/>
    <x v="0"/>
    <x v="0"/>
    <x v="0"/>
    <x v="0"/>
    <x v="0"/>
    <x v="0"/>
    <x v="16"/>
    <x v="16"/>
    <x v="16"/>
    <x v="0"/>
    <x v="10"/>
    <x v="0"/>
    <x v="2"/>
    <x v="20"/>
    <x v="17"/>
    <x v="26"/>
    <x v="18"/>
    <x v="17"/>
    <x v="0"/>
    <x v="7"/>
    <x v="0"/>
    <x v="0"/>
    <x v="0"/>
    <x v="6"/>
    <x v="0"/>
    <x v="26"/>
    <x v="1"/>
    <x v="0"/>
  </r>
  <r>
    <x v="7"/>
    <x v="0"/>
    <x v="0"/>
    <x v="0"/>
    <x v="0"/>
    <x v="0"/>
    <x v="0"/>
    <x v="0"/>
    <x v="15"/>
    <x v="15"/>
    <x v="15"/>
    <x v="0"/>
    <x v="10"/>
    <x v="0"/>
    <x v="2"/>
    <x v="19"/>
    <x v="0"/>
    <x v="25"/>
    <x v="17"/>
    <x v="16"/>
    <x v="0"/>
    <x v="7"/>
    <x v="0"/>
    <x v="0"/>
    <x v="0"/>
    <x v="6"/>
    <x v="0"/>
    <x v="27"/>
    <x v="1"/>
    <x v="0"/>
  </r>
  <r>
    <x v="7"/>
    <x v="0"/>
    <x v="0"/>
    <x v="0"/>
    <x v="0"/>
    <x v="0"/>
    <x v="0"/>
    <x v="0"/>
    <x v="17"/>
    <x v="17"/>
    <x v="17"/>
    <x v="0"/>
    <x v="2"/>
    <x v="1"/>
    <x v="2"/>
    <x v="21"/>
    <x v="18"/>
    <x v="27"/>
    <x v="18"/>
    <x v="18"/>
    <x v="0"/>
    <x v="7"/>
    <x v="0"/>
    <x v="0"/>
    <x v="0"/>
    <x v="6"/>
    <x v="0"/>
    <x v="28"/>
    <x v="1"/>
    <x v="0"/>
  </r>
  <r>
    <x v="8"/>
    <x v="0"/>
    <x v="0"/>
    <x v="0"/>
    <x v="0"/>
    <x v="0"/>
    <x v="0"/>
    <x v="0"/>
    <x v="8"/>
    <x v="8"/>
    <x v="8"/>
    <x v="0"/>
    <x v="14"/>
    <x v="0"/>
    <x v="15"/>
    <x v="22"/>
    <x v="0"/>
    <x v="28"/>
    <x v="19"/>
    <x v="19"/>
    <x v="0"/>
    <x v="8"/>
    <x v="0"/>
    <x v="0"/>
    <x v="0"/>
    <x v="7"/>
    <x v="0"/>
    <x v="29"/>
    <x v="0"/>
    <x v="0"/>
  </r>
  <r>
    <x v="8"/>
    <x v="0"/>
    <x v="0"/>
    <x v="0"/>
    <x v="0"/>
    <x v="0"/>
    <x v="0"/>
    <x v="0"/>
    <x v="8"/>
    <x v="8"/>
    <x v="8"/>
    <x v="0"/>
    <x v="15"/>
    <x v="0"/>
    <x v="16"/>
    <x v="22"/>
    <x v="0"/>
    <x v="29"/>
    <x v="15"/>
    <x v="19"/>
    <x v="0"/>
    <x v="8"/>
    <x v="0"/>
    <x v="0"/>
    <x v="0"/>
    <x v="7"/>
    <x v="0"/>
    <x v="30"/>
    <x v="0"/>
    <x v="0"/>
  </r>
  <r>
    <x v="8"/>
    <x v="0"/>
    <x v="0"/>
    <x v="0"/>
    <x v="0"/>
    <x v="0"/>
    <x v="0"/>
    <x v="0"/>
    <x v="9"/>
    <x v="9"/>
    <x v="9"/>
    <x v="0"/>
    <x v="7"/>
    <x v="0"/>
    <x v="4"/>
    <x v="23"/>
    <x v="0"/>
    <x v="30"/>
    <x v="11"/>
    <x v="20"/>
    <x v="0"/>
    <x v="8"/>
    <x v="0"/>
    <x v="0"/>
    <x v="0"/>
    <x v="7"/>
    <x v="0"/>
    <x v="31"/>
    <x v="0"/>
    <x v="0"/>
  </r>
  <r>
    <x v="8"/>
    <x v="0"/>
    <x v="0"/>
    <x v="0"/>
    <x v="0"/>
    <x v="0"/>
    <x v="0"/>
    <x v="0"/>
    <x v="18"/>
    <x v="18"/>
    <x v="18"/>
    <x v="0"/>
    <x v="2"/>
    <x v="4"/>
    <x v="17"/>
    <x v="24"/>
    <x v="19"/>
    <x v="31"/>
    <x v="20"/>
    <x v="19"/>
    <x v="0"/>
    <x v="8"/>
    <x v="0"/>
    <x v="0"/>
    <x v="0"/>
    <x v="7"/>
    <x v="0"/>
    <x v="32"/>
    <x v="1"/>
    <x v="0"/>
  </r>
  <r>
    <x v="8"/>
    <x v="0"/>
    <x v="0"/>
    <x v="0"/>
    <x v="0"/>
    <x v="0"/>
    <x v="0"/>
    <x v="0"/>
    <x v="19"/>
    <x v="19"/>
    <x v="19"/>
    <x v="0"/>
    <x v="2"/>
    <x v="5"/>
    <x v="18"/>
    <x v="25"/>
    <x v="20"/>
    <x v="32"/>
    <x v="21"/>
    <x v="21"/>
    <x v="0"/>
    <x v="8"/>
    <x v="0"/>
    <x v="0"/>
    <x v="0"/>
    <x v="7"/>
    <x v="0"/>
    <x v="33"/>
    <x v="1"/>
    <x v="0"/>
  </r>
  <r>
    <x v="9"/>
    <x v="0"/>
    <x v="0"/>
    <x v="0"/>
    <x v="0"/>
    <x v="0"/>
    <x v="0"/>
    <x v="0"/>
    <x v="20"/>
    <x v="20"/>
    <x v="20"/>
    <x v="0"/>
    <x v="3"/>
    <x v="0"/>
    <x v="19"/>
    <x v="16"/>
    <x v="0"/>
    <x v="33"/>
    <x v="22"/>
    <x v="7"/>
    <x v="0"/>
    <x v="9"/>
    <x v="0"/>
    <x v="0"/>
    <x v="0"/>
    <x v="8"/>
    <x v="0"/>
    <x v="34"/>
    <x v="1"/>
    <x v="0"/>
  </r>
  <r>
    <x v="10"/>
    <x v="1"/>
    <x v="1"/>
    <x v="1"/>
    <x v="0"/>
    <x v="0"/>
    <x v="0"/>
    <x v="0"/>
    <x v="21"/>
    <x v="21"/>
    <x v="21"/>
    <x v="1"/>
    <x v="16"/>
    <x v="0"/>
    <x v="20"/>
    <x v="4"/>
    <x v="21"/>
    <x v="34"/>
    <x v="23"/>
    <x v="22"/>
    <x v="0"/>
    <x v="10"/>
    <x v="0"/>
    <x v="0"/>
    <x v="2"/>
    <x v="8"/>
    <x v="0"/>
    <x v="35"/>
    <x v="1"/>
    <x v="1"/>
  </r>
  <r>
    <x v="11"/>
    <x v="0"/>
    <x v="2"/>
    <x v="2"/>
    <x v="0"/>
    <x v="0"/>
    <x v="0"/>
    <x v="0"/>
    <x v="22"/>
    <x v="22"/>
    <x v="22"/>
    <x v="2"/>
    <x v="9"/>
    <x v="0"/>
    <x v="9"/>
    <x v="15"/>
    <x v="15"/>
    <x v="35"/>
    <x v="7"/>
    <x v="7"/>
    <x v="0"/>
    <x v="11"/>
    <x v="0"/>
    <x v="0"/>
    <x v="3"/>
    <x v="9"/>
    <x v="0"/>
    <x v="36"/>
    <x v="1"/>
    <x v="2"/>
  </r>
  <r>
    <x v="11"/>
    <x v="0"/>
    <x v="2"/>
    <x v="2"/>
    <x v="0"/>
    <x v="0"/>
    <x v="0"/>
    <x v="0"/>
    <x v="23"/>
    <x v="23"/>
    <x v="23"/>
    <x v="2"/>
    <x v="5"/>
    <x v="0"/>
    <x v="5"/>
    <x v="17"/>
    <x v="16"/>
    <x v="36"/>
    <x v="7"/>
    <x v="7"/>
    <x v="0"/>
    <x v="11"/>
    <x v="0"/>
    <x v="0"/>
    <x v="3"/>
    <x v="9"/>
    <x v="0"/>
    <x v="37"/>
    <x v="1"/>
    <x v="2"/>
  </r>
  <r>
    <x v="12"/>
    <x v="0"/>
    <x v="2"/>
    <x v="2"/>
    <x v="0"/>
    <x v="0"/>
    <x v="0"/>
    <x v="0"/>
    <x v="24"/>
    <x v="24"/>
    <x v="24"/>
    <x v="2"/>
    <x v="17"/>
    <x v="0"/>
    <x v="21"/>
    <x v="17"/>
    <x v="16"/>
    <x v="37"/>
    <x v="24"/>
    <x v="23"/>
    <x v="0"/>
    <x v="12"/>
    <x v="0"/>
    <x v="0"/>
    <x v="3"/>
    <x v="9"/>
    <x v="0"/>
    <x v="38"/>
    <x v="0"/>
    <x v="2"/>
  </r>
  <r>
    <x v="12"/>
    <x v="0"/>
    <x v="2"/>
    <x v="2"/>
    <x v="0"/>
    <x v="0"/>
    <x v="0"/>
    <x v="0"/>
    <x v="25"/>
    <x v="25"/>
    <x v="25"/>
    <x v="2"/>
    <x v="18"/>
    <x v="0"/>
    <x v="22"/>
    <x v="17"/>
    <x v="16"/>
    <x v="38"/>
    <x v="25"/>
    <x v="23"/>
    <x v="0"/>
    <x v="12"/>
    <x v="0"/>
    <x v="0"/>
    <x v="3"/>
    <x v="9"/>
    <x v="0"/>
    <x v="39"/>
    <x v="0"/>
    <x v="2"/>
  </r>
  <r>
    <x v="12"/>
    <x v="0"/>
    <x v="2"/>
    <x v="2"/>
    <x v="0"/>
    <x v="0"/>
    <x v="0"/>
    <x v="0"/>
    <x v="26"/>
    <x v="26"/>
    <x v="26"/>
    <x v="2"/>
    <x v="19"/>
    <x v="0"/>
    <x v="23"/>
    <x v="17"/>
    <x v="16"/>
    <x v="39"/>
    <x v="26"/>
    <x v="24"/>
    <x v="0"/>
    <x v="12"/>
    <x v="0"/>
    <x v="0"/>
    <x v="3"/>
    <x v="9"/>
    <x v="0"/>
    <x v="40"/>
    <x v="1"/>
    <x v="2"/>
  </r>
  <r>
    <x v="12"/>
    <x v="0"/>
    <x v="2"/>
    <x v="2"/>
    <x v="0"/>
    <x v="0"/>
    <x v="0"/>
    <x v="0"/>
    <x v="27"/>
    <x v="27"/>
    <x v="27"/>
    <x v="2"/>
    <x v="20"/>
    <x v="0"/>
    <x v="24"/>
    <x v="17"/>
    <x v="16"/>
    <x v="40"/>
    <x v="27"/>
    <x v="24"/>
    <x v="0"/>
    <x v="12"/>
    <x v="0"/>
    <x v="0"/>
    <x v="3"/>
    <x v="9"/>
    <x v="0"/>
    <x v="41"/>
    <x v="1"/>
    <x v="2"/>
  </r>
  <r>
    <x v="12"/>
    <x v="0"/>
    <x v="2"/>
    <x v="2"/>
    <x v="0"/>
    <x v="0"/>
    <x v="0"/>
    <x v="0"/>
    <x v="28"/>
    <x v="28"/>
    <x v="28"/>
    <x v="2"/>
    <x v="4"/>
    <x v="0"/>
    <x v="6"/>
    <x v="17"/>
    <x v="16"/>
    <x v="41"/>
    <x v="28"/>
    <x v="24"/>
    <x v="0"/>
    <x v="12"/>
    <x v="0"/>
    <x v="0"/>
    <x v="3"/>
    <x v="9"/>
    <x v="0"/>
    <x v="42"/>
    <x v="1"/>
    <x v="2"/>
  </r>
  <r>
    <x v="12"/>
    <x v="0"/>
    <x v="2"/>
    <x v="2"/>
    <x v="0"/>
    <x v="0"/>
    <x v="0"/>
    <x v="0"/>
    <x v="29"/>
    <x v="29"/>
    <x v="29"/>
    <x v="2"/>
    <x v="21"/>
    <x v="0"/>
    <x v="25"/>
    <x v="17"/>
    <x v="16"/>
    <x v="42"/>
    <x v="29"/>
    <x v="24"/>
    <x v="0"/>
    <x v="12"/>
    <x v="0"/>
    <x v="0"/>
    <x v="3"/>
    <x v="9"/>
    <x v="0"/>
    <x v="43"/>
    <x v="0"/>
    <x v="2"/>
  </r>
  <r>
    <x v="11"/>
    <x v="0"/>
    <x v="2"/>
    <x v="2"/>
    <x v="0"/>
    <x v="0"/>
    <x v="0"/>
    <x v="0"/>
    <x v="30"/>
    <x v="30"/>
    <x v="30"/>
    <x v="2"/>
    <x v="6"/>
    <x v="0"/>
    <x v="7"/>
    <x v="10"/>
    <x v="10"/>
    <x v="43"/>
    <x v="30"/>
    <x v="25"/>
    <x v="0"/>
    <x v="11"/>
    <x v="0"/>
    <x v="0"/>
    <x v="3"/>
    <x v="9"/>
    <x v="0"/>
    <x v="44"/>
    <x v="1"/>
    <x v="2"/>
  </r>
  <r>
    <x v="11"/>
    <x v="0"/>
    <x v="2"/>
    <x v="2"/>
    <x v="0"/>
    <x v="0"/>
    <x v="0"/>
    <x v="0"/>
    <x v="31"/>
    <x v="31"/>
    <x v="31"/>
    <x v="2"/>
    <x v="19"/>
    <x v="0"/>
    <x v="23"/>
    <x v="17"/>
    <x v="16"/>
    <x v="44"/>
    <x v="31"/>
    <x v="24"/>
    <x v="0"/>
    <x v="11"/>
    <x v="0"/>
    <x v="0"/>
    <x v="3"/>
    <x v="9"/>
    <x v="0"/>
    <x v="45"/>
    <x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B36" firstHeaderRow="1" firstDataRow="1" firstDataCol="1"/>
  <pivotFields count="30">
    <pivotField compact="0" showAll="0">
      <items count="14">
        <item x="10"/>
        <item x="1"/>
        <item x="12"/>
        <item x="11"/>
        <item x="9"/>
        <item x="8"/>
        <item x="7"/>
        <item x="6"/>
        <item x="5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33">
        <item x="15"/>
        <item x="1"/>
        <item x="10"/>
        <item x="5"/>
        <item x="7"/>
        <item x="6"/>
        <item x="21"/>
        <item x="9"/>
        <item x="8"/>
        <item x="0"/>
        <item x="20"/>
        <item x="18"/>
        <item x="16"/>
        <item x="19"/>
        <item x="2"/>
        <item x="17"/>
        <item x="11"/>
        <item x="29"/>
        <item x="14"/>
        <item x="25"/>
        <item x="24"/>
        <item x="28"/>
        <item x="31"/>
        <item x="26"/>
        <item x="27"/>
        <item x="13"/>
        <item x="23"/>
        <item x="12"/>
        <item x="4"/>
        <item x="30"/>
        <item x="22"/>
        <item x="3"/>
        <item t="default"/>
      </items>
    </pivotField>
    <pivotField compact="0" showAll="0">
      <items count="33">
        <item x="8"/>
        <item x="14"/>
        <item x="25"/>
        <item x="24"/>
        <item x="26"/>
        <item x="31"/>
        <item x="28"/>
        <item x="27"/>
        <item x="13"/>
        <item x="9"/>
        <item x="18"/>
        <item x="0"/>
        <item x="17"/>
        <item x="1"/>
        <item x="16"/>
        <item x="19"/>
        <item x="20"/>
        <item x="2"/>
        <item x="15"/>
        <item x="10"/>
        <item x="3"/>
        <item x="11"/>
        <item x="4"/>
        <item x="30"/>
        <item x="21"/>
        <item x="22"/>
        <item x="12"/>
        <item x="5"/>
        <item x="6"/>
        <item x="7"/>
        <item x="29"/>
        <item x="23"/>
        <item t="default"/>
      </items>
    </pivotField>
    <pivotField axis="axisRow" compact="0" showAll="0">
      <items count="33">
        <item x="8"/>
        <item x="9"/>
        <item x="18"/>
        <item x="0"/>
        <item x="17"/>
        <item x="16"/>
        <item x="19"/>
        <item x="2"/>
        <item x="20"/>
        <item x="15"/>
        <item x="1"/>
        <item x="14"/>
        <item x="25"/>
        <item x="24"/>
        <item x="26"/>
        <item x="31"/>
        <item x="28"/>
        <item x="27"/>
        <item x="13"/>
        <item x="30"/>
        <item x="4"/>
        <item x="12"/>
        <item x="29"/>
        <item x="23"/>
        <item x="11"/>
        <item x="22"/>
        <item x="10"/>
        <item x="5"/>
        <item x="7"/>
        <item x="6"/>
        <item x="3"/>
        <item x="21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23">
        <item x="2"/>
        <item x="16"/>
        <item x="3"/>
        <item x="12"/>
        <item x="1"/>
        <item x="10"/>
        <item x="0"/>
        <item x="14"/>
        <item x="5"/>
        <item x="11"/>
        <item x="7"/>
        <item x="9"/>
        <item x="15"/>
        <item x="4"/>
        <item x="19"/>
        <item x="17"/>
        <item x="6"/>
        <item x="21"/>
        <item x="20"/>
        <item x="13"/>
        <item x="18"/>
        <item x="8"/>
        <item t="default"/>
      </items>
    </pivotField>
    <pivotField compact="0" showAll="0">
      <items count="7">
        <item x="2"/>
        <item x="0"/>
        <item x="3"/>
        <item x="5"/>
        <item x="4"/>
        <item x="1"/>
        <item t="default"/>
      </items>
    </pivotField>
    <pivotField dataField="1" compact="0" showAll="0">
      <items count="27">
        <item x="3"/>
        <item x="20"/>
        <item x="19"/>
        <item x="14"/>
        <item x="18"/>
        <item x="11"/>
        <item x="17"/>
        <item x="1"/>
        <item x="13"/>
        <item x="2"/>
        <item x="0"/>
        <item x="15"/>
        <item x="5"/>
        <item x="10"/>
        <item x="4"/>
        <item x="9"/>
        <item x="16"/>
        <item x="6"/>
        <item x="23"/>
        <item x="21"/>
        <item x="7"/>
        <item x="25"/>
        <item x="24"/>
        <item x="12"/>
        <item x="22"/>
        <item x="8"/>
        <item t="default"/>
      </items>
    </pivotField>
    <pivotField compact="0" showAll="0">
      <items count="27">
        <item x="4"/>
        <item x="14"/>
        <item x="17"/>
        <item x="11"/>
        <item x="12"/>
        <item x="7"/>
        <item x="8"/>
        <item x="6"/>
        <item x="9"/>
        <item x="10"/>
        <item x="5"/>
        <item x="15"/>
        <item x="16"/>
        <item x="25"/>
        <item x="2"/>
        <item x="19"/>
        <item x="3"/>
        <item x="21"/>
        <item x="1"/>
        <item x="20"/>
        <item x="18"/>
        <item x="24"/>
        <item x="22"/>
        <item x="23"/>
        <item x="13"/>
        <item x="0"/>
        <item t="default"/>
      </items>
    </pivotField>
    <pivotField compact="0" showAll="0">
      <items count="23">
        <item x="0"/>
        <item x="21"/>
        <item x="4"/>
        <item x="12"/>
        <item x="14"/>
        <item x="10"/>
        <item x="11"/>
        <item x="6"/>
        <item x="20"/>
        <item x="2"/>
        <item x="7"/>
        <item x="9"/>
        <item x="5"/>
        <item x="15"/>
        <item x="3"/>
        <item x="13"/>
        <item x="8"/>
        <item x="17"/>
        <item x="19"/>
        <item x="16"/>
        <item x="1"/>
        <item x="18"/>
        <item t="default"/>
      </items>
    </pivotField>
    <pivotField compact="0" showAll="0">
      <items count="46">
        <item x="5"/>
        <item x="4"/>
        <item x="20"/>
        <item x="32"/>
        <item x="1"/>
        <item x="34"/>
        <item x="2"/>
        <item x="18"/>
        <item x="43"/>
        <item x="25"/>
        <item x="3"/>
        <item x="33"/>
        <item x="27"/>
        <item x="26"/>
        <item x="24"/>
        <item x="14"/>
        <item x="41"/>
        <item x="39"/>
        <item x="40"/>
        <item x="44"/>
        <item x="42"/>
        <item x="36"/>
        <item x="19"/>
        <item x="35"/>
        <item x="13"/>
        <item x="11"/>
        <item x="7"/>
        <item x="9"/>
        <item x="38"/>
        <item x="37"/>
        <item x="29"/>
        <item x="28"/>
        <item x="31"/>
        <item x="30"/>
        <item x="12"/>
        <item x="23"/>
        <item x="21"/>
        <item x="22"/>
        <item x="17"/>
        <item x="16"/>
        <item x="15"/>
        <item x="8"/>
        <item x="10"/>
        <item x="6"/>
        <item x="0"/>
        <item t="default"/>
      </items>
    </pivotField>
    <pivotField compact="0" showAll="0">
      <items count="33">
        <item x="0"/>
        <item x="21"/>
        <item x="14"/>
        <item x="5"/>
        <item x="4"/>
        <item x="13"/>
        <item x="9"/>
        <item x="30"/>
        <item x="27"/>
        <item x="31"/>
        <item x="26"/>
        <item x="23"/>
        <item x="29"/>
        <item x="28"/>
        <item x="12"/>
        <item x="7"/>
        <item x="16"/>
        <item x="6"/>
        <item x="8"/>
        <item x="17"/>
        <item x="1"/>
        <item x="2"/>
        <item x="18"/>
        <item x="22"/>
        <item x="19"/>
        <item x="15"/>
        <item x="10"/>
        <item x="20"/>
        <item x="11"/>
        <item x="24"/>
        <item x="25"/>
        <item x="3"/>
        <item t="default"/>
      </items>
    </pivotField>
    <pivotField compact="0" showAll="0">
      <items count="27">
        <item x="5"/>
        <item x="4"/>
        <item x="12"/>
        <item x="21"/>
        <item x="22"/>
        <item x="2"/>
        <item x="11"/>
        <item x="25"/>
        <item x="16"/>
        <item x="3"/>
        <item x="18"/>
        <item x="17"/>
        <item x="15"/>
        <item x="9"/>
        <item x="24"/>
        <item x="7"/>
        <item x="1"/>
        <item x="23"/>
        <item x="19"/>
        <item x="8"/>
        <item x="20"/>
        <item x="14"/>
        <item x="13"/>
        <item x="10"/>
        <item x="6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14">
        <item x="8"/>
        <item x="7"/>
        <item x="6"/>
        <item x="5"/>
        <item x="4"/>
        <item x="3"/>
        <item x="12"/>
        <item x="11"/>
        <item x="9"/>
        <item x="10"/>
        <item x="1"/>
        <item x="2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5">
        <item x="0"/>
        <item x="2"/>
        <item x="3"/>
        <item x="1"/>
        <item t="default"/>
      </items>
    </pivotField>
    <pivotField compact="0" showAll="0">
      <items count="11"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47"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</pivotFields>
  <rowFields count="1">
    <field x="10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dataFields count="1">
    <dataField name="求和项:业务数量" fld="1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comments" Target="../comments10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comments" Target="../comments11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comments" Target="../comments12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comments" Target="../comments13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comments" Target="../comments14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comments" Target="../comments15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comments" Target="../comments16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comments" Target="../comments17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comments" Target="../comments18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.vml"/><Relationship Id="rId1" Type="http://schemas.openxmlformats.org/officeDocument/2006/relationships/comments" Target="../comments19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.vml"/><Relationship Id="rId1" Type="http://schemas.openxmlformats.org/officeDocument/2006/relationships/comments" Target="../comments20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.vml"/><Relationship Id="rId1" Type="http://schemas.openxmlformats.org/officeDocument/2006/relationships/comments" Target="../comments21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2.vml"/><Relationship Id="rId1" Type="http://schemas.openxmlformats.org/officeDocument/2006/relationships/comments" Target="../comments22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3.vml"/><Relationship Id="rId1" Type="http://schemas.openxmlformats.org/officeDocument/2006/relationships/comments" Target="../comments2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M118"/>
  <sheetViews>
    <sheetView tabSelected="1" view="pageBreakPreview" zoomScaleNormal="100" workbookViewId="0">
      <selection activeCell="F53" sqref="F53:G53"/>
    </sheetView>
  </sheetViews>
  <sheetFormatPr defaultColWidth="9" defaultRowHeight="15.75"/>
  <cols>
    <col min="1" max="2" width="9" style="122"/>
    <col min="3" max="3" width="30.5" style="122" customWidth="1"/>
    <col min="4" max="4" width="9" style="122"/>
    <col min="5" max="5" width="11.825" style="122"/>
    <col min="6" max="7" width="9" style="122"/>
    <col min="8" max="8" width="10.5083333333333" style="122" customWidth="1"/>
    <col min="9" max="16384" width="9" style="122"/>
  </cols>
  <sheetData>
    <row r="1" s="122" customFormat="1" spans="1:13">
      <c r="A1" s="123" t="s">
        <v>0</v>
      </c>
      <c r="B1" s="123"/>
      <c r="C1" s="123"/>
      <c r="D1" s="124" t="s">
        <v>1</v>
      </c>
      <c r="E1" s="125" t="s">
        <v>2</v>
      </c>
      <c r="F1" s="125" t="s">
        <v>3</v>
      </c>
      <c r="G1" s="125" t="s">
        <v>4</v>
      </c>
    </row>
    <row r="2" s="122" customFormat="1" spans="1:13">
      <c r="A2" s="123"/>
      <c r="B2" s="123"/>
      <c r="C2" s="123"/>
      <c r="D2" s="124" t="s">
        <v>5</v>
      </c>
      <c r="E2" s="125"/>
      <c r="F2" s="125"/>
      <c r="G2" s="125"/>
    </row>
    <row r="3" s="122" customFormat="1" spans="1:13">
      <c r="A3" s="126" t="s">
        <v>6</v>
      </c>
      <c r="B3" s="126" t="s">
        <v>7</v>
      </c>
      <c r="C3" s="126" t="s">
        <v>8</v>
      </c>
      <c r="D3" s="124" t="s">
        <v>9</v>
      </c>
      <c r="E3" s="125" t="s">
        <v>10</v>
      </c>
      <c r="F3" s="125" t="s">
        <v>11</v>
      </c>
      <c r="G3" s="125"/>
    </row>
    <row r="4" s="122" customFormat="1" hidden="1" spans="1:13">
      <c r="A4" s="127" t="e">
        <f>VLOOKUP(B:B,[1]原材料!$D$1:$E$65536,2,0)</f>
        <v>#N/A</v>
      </c>
      <c r="B4" s="127" t="s">
        <v>12</v>
      </c>
      <c r="C4" s="128" t="s">
        <v>13</v>
      </c>
      <c r="D4" s="127">
        <v>0</v>
      </c>
      <c r="E4" s="129">
        <v>24</v>
      </c>
      <c r="F4" s="125">
        <f>D4*E4</f>
        <v>0</v>
      </c>
      <c r="G4" s="125"/>
      <c r="H4" s="122"/>
      <c r="I4" s="122"/>
      <c r="L4" s="130"/>
      <c r="M4" s="131"/>
    </row>
    <row r="5" s="122" customFormat="1" hidden="1" spans="1:13">
      <c r="A5" s="127" t="str">
        <f>VLOOKUP(B:B,[1]原材料!$D$1:$E$65536,2,0)</f>
        <v>A1.1530</v>
      </c>
      <c r="B5" s="127" t="s">
        <v>14</v>
      </c>
      <c r="C5" s="128" t="s">
        <v>15</v>
      </c>
      <c r="D5" s="127">
        <v>0</v>
      </c>
      <c r="E5" s="129">
        <f>VLOOKUP(A:A,[2]深远增税!$E$1:$Q$65536,13,0)</f>
        <v>14.1</v>
      </c>
      <c r="F5" s="125">
        <f>D5*E5</f>
        <v>0</v>
      </c>
      <c r="G5" s="125"/>
      <c r="H5" s="122"/>
      <c r="I5" s="122"/>
      <c r="J5" s="122"/>
      <c r="L5" s="130"/>
      <c r="M5" s="131"/>
    </row>
    <row r="6" s="122" customFormat="1" hidden="1" spans="1:13">
      <c r="A6" s="127" t="str">
        <f>VLOOKUP(B:B,[1]原材料!$D$1:$E$65536,2,0)</f>
        <v>A1.1447</v>
      </c>
      <c r="B6" s="127" t="s">
        <v>16</v>
      </c>
      <c r="C6" s="128" t="s">
        <v>17</v>
      </c>
      <c r="D6" s="127">
        <v>0</v>
      </c>
      <c r="E6" s="129">
        <v>34.39</v>
      </c>
      <c r="F6" s="125">
        <f>D6*E6</f>
        <v>0</v>
      </c>
      <c r="G6" s="125"/>
      <c r="H6" s="122"/>
      <c r="I6" s="122"/>
      <c r="L6" s="130"/>
      <c r="M6" s="131"/>
    </row>
    <row r="7" s="122" customFormat="1" hidden="1" spans="1:13">
      <c r="A7" s="127" t="str">
        <f>VLOOKUP(B:B,[1]原材料!$D$1:$E$65536,2,0)</f>
        <v>A1.1678</v>
      </c>
      <c r="B7" s="127" t="s">
        <v>18</v>
      </c>
      <c r="C7" s="132" t="s">
        <v>19</v>
      </c>
      <c r="D7" s="127">
        <v>0</v>
      </c>
      <c r="E7" s="129">
        <v>10.26</v>
      </c>
      <c r="F7" s="125">
        <f>D7*E7</f>
        <v>0</v>
      </c>
      <c r="G7" s="125"/>
      <c r="H7" s="122"/>
      <c r="I7" s="122"/>
      <c r="J7" s="131"/>
      <c r="L7" s="130"/>
      <c r="M7" s="131"/>
    </row>
    <row r="8" s="122" customFormat="1" hidden="1" spans="1:13">
      <c r="A8" s="127" t="e">
        <f>VLOOKUP(B:B,[1]原材料!$D$1:$E$65536,2,0)</f>
        <v>#N/A</v>
      </c>
      <c r="B8" s="127" t="s">
        <v>20</v>
      </c>
      <c r="C8" s="133" t="s">
        <v>21</v>
      </c>
      <c r="D8" s="127">
        <v>0</v>
      </c>
      <c r="E8" s="129">
        <v>1.33</v>
      </c>
      <c r="F8" s="125">
        <f>D8*E8</f>
        <v>0</v>
      </c>
      <c r="G8" s="125"/>
      <c r="H8" s="122"/>
      <c r="I8" s="122"/>
      <c r="J8" s="131"/>
      <c r="L8" s="130"/>
      <c r="M8" s="131"/>
    </row>
    <row r="9" s="122" customFormat="1" spans="1:13">
      <c r="A9" s="127" t="str">
        <f>VLOOKUP(B:B,[1]原材料!$D$1:$E$65536,2,0)</f>
        <v>A1.1079</v>
      </c>
      <c r="B9" s="128" t="s">
        <v>22</v>
      </c>
      <c r="C9" s="128" t="s">
        <v>23</v>
      </c>
      <c r="D9" s="127">
        <v>6000</v>
      </c>
      <c r="E9" s="129">
        <v>17.8</v>
      </c>
      <c r="F9" s="125">
        <f>D9*E9</f>
        <v>106800</v>
      </c>
      <c r="G9" s="125"/>
      <c r="H9" s="122"/>
      <c r="I9" s="122"/>
      <c r="J9" s="131"/>
      <c r="L9" s="130"/>
      <c r="M9" s="131"/>
    </row>
    <row r="10" s="122" customFormat="1" hidden="1" spans="1:13">
      <c r="A10" s="127" t="s">
        <v>24</v>
      </c>
      <c r="B10" s="134" t="s">
        <v>25</v>
      </c>
      <c r="C10" s="128" t="s">
        <v>26</v>
      </c>
      <c r="D10" s="127">
        <v>0</v>
      </c>
      <c r="E10" s="129">
        <v>21.2</v>
      </c>
      <c r="F10" s="125">
        <f>D10*E10</f>
        <v>0</v>
      </c>
      <c r="G10" s="125"/>
      <c r="H10" s="122"/>
      <c r="I10" s="122"/>
      <c r="J10" s="131"/>
      <c r="L10" s="130"/>
      <c r="M10" s="131"/>
    </row>
    <row r="11" s="122" customFormat="1" hidden="1" spans="1:13">
      <c r="A11" s="127"/>
      <c r="B11" s="134" t="s">
        <v>27</v>
      </c>
      <c r="C11" s="135" t="s">
        <v>28</v>
      </c>
      <c r="D11" s="127">
        <v>0</v>
      </c>
      <c r="E11" s="129">
        <v>20.51</v>
      </c>
      <c r="F11" s="125">
        <f>D11*E11</f>
        <v>0</v>
      </c>
      <c r="G11" s="125"/>
      <c r="H11" s="122"/>
      <c r="I11" s="122"/>
      <c r="J11" s="131"/>
      <c r="L11" s="130"/>
      <c r="M11" s="131"/>
    </row>
    <row r="12" s="122" customFormat="1" hidden="1" spans="1:13">
      <c r="A12" s="127"/>
      <c r="B12" s="128" t="s">
        <v>29</v>
      </c>
      <c r="C12" s="136" t="s">
        <v>30</v>
      </c>
      <c r="D12" s="127">
        <v>0</v>
      </c>
      <c r="E12" s="129">
        <v>1.86</v>
      </c>
      <c r="F12" s="125">
        <f>D12*E12</f>
        <v>0</v>
      </c>
      <c r="G12" s="125"/>
      <c r="H12" s="122"/>
      <c r="I12" s="122"/>
      <c r="J12" s="131"/>
      <c r="L12" s="130"/>
      <c r="M12" s="131"/>
    </row>
    <row r="13" s="122" customFormat="1" spans="1:13">
      <c r="A13" s="127"/>
      <c r="B13" s="128" t="s">
        <v>31</v>
      </c>
      <c r="C13" s="136" t="s">
        <v>32</v>
      </c>
      <c r="D13" s="127">
        <v>5</v>
      </c>
      <c r="E13" s="129">
        <v>6.87</v>
      </c>
      <c r="F13" s="125">
        <f>D13*E13</f>
        <v>34.35</v>
      </c>
      <c r="G13" s="125"/>
      <c r="J13" s="131"/>
      <c r="L13" s="130"/>
      <c r="M13" s="131"/>
    </row>
    <row r="14" s="122" customFormat="1" hidden="1" spans="1:13">
      <c r="A14" s="127" t="str">
        <f>VLOOKUP(B:B,[1]原材料!$D$1:$E$65536,2,0)</f>
        <v>A1.1681</v>
      </c>
      <c r="B14" s="128" t="s">
        <v>33</v>
      </c>
      <c r="C14" s="128" t="s">
        <v>34</v>
      </c>
      <c r="D14" s="127">
        <v>0</v>
      </c>
      <c r="E14" s="129">
        <f>VLOOKUP(A:A,[2]深远增税!$E$1:$Q$65536,13,0)</f>
        <v>13.5</v>
      </c>
      <c r="F14" s="125">
        <f t="shared" ref="F14:F27" si="0">D14*E14</f>
        <v>0</v>
      </c>
      <c r="G14" s="125"/>
      <c r="H14" s="122"/>
      <c r="I14" s="122"/>
      <c r="J14" s="131"/>
      <c r="L14" s="130"/>
      <c r="M14" s="131"/>
    </row>
    <row r="15" s="122" customFormat="1" hidden="1" spans="1:13">
      <c r="A15" s="127" t="str">
        <f>VLOOKUP(B:B,[1]原材料!$D$1:$E$65536,2,0)</f>
        <v>A1.1511</v>
      </c>
      <c r="B15" s="128" t="s">
        <v>35</v>
      </c>
      <c r="C15" s="128" t="s">
        <v>36</v>
      </c>
      <c r="D15" s="127">
        <v>0</v>
      </c>
      <c r="E15" s="129">
        <f>VLOOKUP(A:A,[2]深远增税!$E$1:$Q$65536,13,0)</f>
        <v>14.7</v>
      </c>
      <c r="F15" s="125">
        <f t="shared" si="0"/>
        <v>0</v>
      </c>
      <c r="G15" s="125"/>
      <c r="H15" s="122"/>
      <c r="I15" s="122"/>
      <c r="J15" s="131"/>
      <c r="L15" s="130"/>
      <c r="M15" s="131"/>
    </row>
    <row r="16" s="122" customFormat="1" hidden="1" spans="1:13">
      <c r="A16" s="127" t="str">
        <f>VLOOKUP(B:B,[1]原材料!$D$1:$E$65536,2,0)</f>
        <v>A1.1823</v>
      </c>
      <c r="B16" s="128" t="s">
        <v>37</v>
      </c>
      <c r="C16" s="128" t="s">
        <v>38</v>
      </c>
      <c r="D16" s="127">
        <v>0</v>
      </c>
      <c r="E16" s="129">
        <v>38</v>
      </c>
      <c r="F16" s="125">
        <f t="shared" si="0"/>
        <v>0</v>
      </c>
      <c r="G16" s="125"/>
      <c r="H16" s="122"/>
      <c r="I16" s="122"/>
      <c r="J16" s="131"/>
      <c r="L16" s="130"/>
      <c r="M16" s="131"/>
    </row>
    <row r="17" s="122" customFormat="1" spans="1:13">
      <c r="A17" s="127" t="str">
        <f>VLOOKUP(B:B,[1]原材料!$D$1:$E$65536,2,0)</f>
        <v>Z1.0435</v>
      </c>
      <c r="B17" s="132" t="s">
        <v>39</v>
      </c>
      <c r="C17" s="132" t="s">
        <v>40</v>
      </c>
      <c r="D17" s="127">
        <v>18000</v>
      </c>
      <c r="E17" s="129">
        <f>VLOOKUP(A:A,[2]深远增税!$E$1:$Q$65536,13,0)</f>
        <v>0.63</v>
      </c>
      <c r="F17" s="125">
        <f t="shared" si="0"/>
        <v>11340</v>
      </c>
      <c r="G17" s="125"/>
      <c r="H17" s="122"/>
      <c r="I17" s="122"/>
      <c r="J17" s="131"/>
      <c r="L17" s="130"/>
      <c r="M17" s="131"/>
    </row>
    <row r="18" s="122" customFormat="1" spans="1:13">
      <c r="A18" s="127" t="str">
        <f>VLOOKUP(B:B,[1]原材料!$D$1:$E$65536,2,0)</f>
        <v>Z1.0436</v>
      </c>
      <c r="B18" s="132" t="s">
        <v>41</v>
      </c>
      <c r="C18" s="132" t="s">
        <v>42</v>
      </c>
      <c r="D18" s="127">
        <v>9000</v>
      </c>
      <c r="E18" s="129">
        <f>VLOOKUP(A:A,[2]深远增税!$E$1:$Q$65536,13,0)</f>
        <v>0.77</v>
      </c>
      <c r="F18" s="125">
        <f t="shared" si="0"/>
        <v>6930</v>
      </c>
      <c r="G18" s="125"/>
      <c r="H18" s="122"/>
      <c r="I18" s="122"/>
      <c r="J18" s="131"/>
      <c r="L18" s="130"/>
      <c r="M18" s="131"/>
    </row>
    <row r="19" s="122" customFormat="1" hidden="1" spans="1:13">
      <c r="A19" s="127" t="str">
        <f>VLOOKUP(B:B,[1]原材料!$D$1:$E$65536,2,0)</f>
        <v>Z1.0448</v>
      </c>
      <c r="B19" s="132" t="s">
        <v>43</v>
      </c>
      <c r="C19" s="132" t="s">
        <v>44</v>
      </c>
      <c r="D19" s="127">
        <v>0</v>
      </c>
      <c r="E19" s="129">
        <f>VLOOKUP(A:A,[2]深远增税!$E$1:$Q$65536,13,0)</f>
        <v>8.23</v>
      </c>
      <c r="F19" s="125">
        <f t="shared" si="0"/>
        <v>0</v>
      </c>
      <c r="G19" s="125"/>
      <c r="H19" s="122"/>
      <c r="I19" s="122"/>
      <c r="J19" s="131"/>
      <c r="L19" s="130"/>
      <c r="M19" s="131"/>
    </row>
    <row r="20" s="122" customFormat="1" hidden="1" spans="1:13">
      <c r="A20" s="127" t="str">
        <f>VLOOKUP(B:B,[1]原材料!$D$1:$E$65536,2,0)</f>
        <v>Z1.0450</v>
      </c>
      <c r="B20" s="132" t="s">
        <v>45</v>
      </c>
      <c r="C20" s="132" t="s">
        <v>46</v>
      </c>
      <c r="D20" s="127">
        <v>0</v>
      </c>
      <c r="E20" s="129">
        <f>VLOOKUP(A:A,[2]深远增税!$E$1:$Q$65536,13,0)</f>
        <v>7.5</v>
      </c>
      <c r="F20" s="125">
        <f t="shared" si="0"/>
        <v>0</v>
      </c>
      <c r="G20" s="125"/>
      <c r="H20" s="122"/>
      <c r="I20" s="122"/>
      <c r="J20" s="131"/>
      <c r="L20" s="130"/>
      <c r="M20" s="131"/>
    </row>
    <row r="21" s="122" customFormat="1" spans="1:13">
      <c r="A21" s="127" t="str">
        <f>VLOOKUP(B:B,[1]原材料!$D$1:$E$65536,2,0)</f>
        <v>Z1.0449</v>
      </c>
      <c r="B21" s="132" t="s">
        <v>47</v>
      </c>
      <c r="C21" s="132" t="s">
        <v>48</v>
      </c>
      <c r="D21" s="127">
        <v>5000</v>
      </c>
      <c r="E21" s="129">
        <f>VLOOKUP(A:A,[2]深远增税!$E$1:$Q$65536,13,0)</f>
        <v>0.88</v>
      </c>
      <c r="F21" s="125">
        <f t="shared" si="0"/>
        <v>4400</v>
      </c>
      <c r="G21" s="125"/>
      <c r="H21" s="122"/>
      <c r="I21" s="122"/>
      <c r="J21" s="131"/>
      <c r="L21" s="130"/>
      <c r="M21" s="131"/>
    </row>
    <row r="22" s="122" customFormat="1" spans="1:13">
      <c r="A22" s="127" t="str">
        <f>VLOOKUP(B:B,[1]原材料!$D$1:$E$65536,2,0)</f>
        <v>Z1.1314</v>
      </c>
      <c r="B22" s="132" t="s">
        <v>49</v>
      </c>
      <c r="C22" s="133" t="s">
        <v>50</v>
      </c>
      <c r="D22" s="127">
        <v>24000</v>
      </c>
      <c r="E22" s="129">
        <f>VLOOKUP(A:A,[2]深远增税!$E$1:$Q$65536,13,0)</f>
        <v>0.13</v>
      </c>
      <c r="F22" s="125">
        <f t="shared" si="0"/>
        <v>3120</v>
      </c>
      <c r="G22" s="125"/>
      <c r="H22" s="122"/>
      <c r="I22" s="122"/>
      <c r="J22" s="131"/>
      <c r="L22" s="130"/>
      <c r="M22" s="131"/>
    </row>
    <row r="23" s="122" customFormat="1" spans="1:13">
      <c r="A23" s="127" t="str">
        <f>VLOOKUP(B:B,[1]原材料!$D$1:$E$65536,2,0)</f>
        <v>A1.1118</v>
      </c>
      <c r="B23" s="132" t="s">
        <v>51</v>
      </c>
      <c r="C23" s="132" t="s">
        <v>52</v>
      </c>
      <c r="D23" s="127">
        <v>12000</v>
      </c>
      <c r="E23" s="129">
        <f>VLOOKUP(A:A,[2]深远增税!$E$1:$Q$65536,13,0)</f>
        <v>10.9</v>
      </c>
      <c r="F23" s="125">
        <f t="shared" si="0"/>
        <v>130800</v>
      </c>
      <c r="G23" s="125"/>
      <c r="H23" s="122"/>
      <c r="I23" s="122"/>
      <c r="J23" s="131"/>
    </row>
    <row r="24" s="122" customFormat="1" spans="1:13">
      <c r="A24" s="127" t="str">
        <f>VLOOKUP(B:B,[1]原材料!$D$1:$E$65536,2,0)</f>
        <v>A1.1862</v>
      </c>
      <c r="B24" s="132" t="s">
        <v>53</v>
      </c>
      <c r="C24" s="132" t="s">
        <v>54</v>
      </c>
      <c r="D24" s="127">
        <v>700</v>
      </c>
      <c r="E24" s="129">
        <v>31</v>
      </c>
      <c r="F24" s="125">
        <f t="shared" si="0"/>
        <v>21700</v>
      </c>
      <c r="G24" s="125"/>
      <c r="H24" s="122"/>
      <c r="I24" s="122"/>
      <c r="J24" s="131"/>
    </row>
    <row r="25" s="122" customFormat="1" spans="1:13">
      <c r="A25" s="127" t="s">
        <v>55</v>
      </c>
      <c r="B25" s="132" t="s">
        <v>56</v>
      </c>
      <c r="C25" s="132" t="s">
        <v>57</v>
      </c>
      <c r="D25" s="127">
        <v>6000</v>
      </c>
      <c r="E25" s="129">
        <f>VLOOKUP(A:A,[2]深远增税!$E$1:$Q$65536,13,0)</f>
        <v>0.44</v>
      </c>
      <c r="F25" s="125">
        <f t="shared" si="0"/>
        <v>2640</v>
      </c>
      <c r="G25" s="125"/>
      <c r="H25" s="122"/>
      <c r="I25" s="122"/>
      <c r="J25" s="131"/>
    </row>
    <row r="26" s="122" customFormat="1" spans="1:13">
      <c r="A26" s="127" t="s">
        <v>58</v>
      </c>
      <c r="B26" s="128" t="s">
        <v>59</v>
      </c>
      <c r="C26" s="128" t="s">
        <v>60</v>
      </c>
      <c r="D26" s="127">
        <v>1600</v>
      </c>
      <c r="E26" s="129">
        <v>21</v>
      </c>
      <c r="F26" s="125">
        <f t="shared" si="0"/>
        <v>33600</v>
      </c>
      <c r="G26" s="125"/>
      <c r="H26" s="122"/>
      <c r="I26" s="122"/>
      <c r="J26" s="131"/>
    </row>
    <row r="27" s="122" customFormat="1" hidden="1" spans="1:13">
      <c r="A27" s="127"/>
      <c r="B27" s="137" t="s">
        <v>61</v>
      </c>
      <c r="C27" s="137" t="s">
        <v>62</v>
      </c>
      <c r="D27" s="122">
        <v>0</v>
      </c>
      <c r="E27" s="129">
        <v>21</v>
      </c>
      <c r="F27" s="125">
        <f t="shared" si="0"/>
        <v>0</v>
      </c>
      <c r="G27" s="125"/>
      <c r="H27" s="122" t="s">
        <v>63</v>
      </c>
      <c r="I27" s="122"/>
      <c r="J27" s="131"/>
    </row>
    <row r="28" s="122" customFormat="1" spans="1:13">
      <c r="A28" s="127" t="s">
        <v>64</v>
      </c>
      <c r="B28" s="132" t="s">
        <v>65</v>
      </c>
      <c r="C28" s="132" t="s">
        <v>66</v>
      </c>
      <c r="D28" s="127">
        <v>14200</v>
      </c>
      <c r="E28" s="129">
        <v>0.53</v>
      </c>
      <c r="F28" s="125">
        <f t="shared" ref="F28:F66" si="1">D28*E28</f>
        <v>7526</v>
      </c>
      <c r="G28" s="125"/>
      <c r="H28" s="122"/>
      <c r="I28" s="122"/>
      <c r="J28" s="131"/>
    </row>
    <row r="29" s="122" customFormat="1" hidden="1" spans="1:13">
      <c r="A29" s="127" t="str">
        <f>VLOOKUP(B:B,[1]原材料!$D$1:$E$65536,2,0)</f>
        <v>A1.0887</v>
      </c>
      <c r="B29" s="127" t="s">
        <v>67</v>
      </c>
      <c r="C29" s="132" t="str">
        <f>VLOOKUP(B:B,[3]杭友!G:H,2,0)</f>
        <v>PA66 A3K NC</v>
      </c>
      <c r="D29" s="127">
        <v>0</v>
      </c>
      <c r="E29" s="129">
        <v>35</v>
      </c>
      <c r="F29" s="125">
        <f t="shared" si="1"/>
        <v>0</v>
      </c>
      <c r="G29" s="125"/>
      <c r="H29" s="122"/>
      <c r="I29" s="122"/>
      <c r="J29" s="131"/>
    </row>
    <row r="30" s="122" customFormat="1" hidden="1" spans="1:13">
      <c r="A30" s="127" t="str">
        <f>VLOOKUP(B:B,[1]原材料!$D$1:$E$65536,2,0)</f>
        <v>A1.1806</v>
      </c>
      <c r="B30" s="127" t="s">
        <v>68</v>
      </c>
      <c r="C30" s="132" t="str">
        <f>VLOOKUP(B:B,[3]杭友!G:H,2,0)</f>
        <v>PBT PET GF15 DSPBT-A001黑</v>
      </c>
      <c r="D30" s="127">
        <v>0</v>
      </c>
      <c r="E30" s="129">
        <v>13.3</v>
      </c>
      <c r="F30" s="125">
        <f t="shared" si="1"/>
        <v>0</v>
      </c>
      <c r="G30" s="125"/>
      <c r="H30" s="122"/>
      <c r="I30" s="122"/>
      <c r="J30" s="131"/>
    </row>
    <row r="31" s="122" customFormat="1" hidden="1" spans="1:13">
      <c r="A31" s="127" t="str">
        <f>VLOOKUP(B:B,[1]原材料!$D$1:$E$65536,2,0)</f>
        <v>A1.1680</v>
      </c>
      <c r="B31" s="127" t="s">
        <v>69</v>
      </c>
      <c r="C31" s="132" t="str">
        <f>VLOOKUP(B:B,[3]杭友!G:H,2,0)</f>
        <v>PP C3322T M12F CB2685黑</v>
      </c>
      <c r="D31" s="127">
        <v>0</v>
      </c>
      <c r="E31" s="129">
        <v>11.6</v>
      </c>
      <c r="F31" s="125">
        <f t="shared" si="1"/>
        <v>0</v>
      </c>
      <c r="G31" s="125"/>
      <c r="H31" s="122"/>
      <c r="I31" s="122"/>
      <c r="J31" s="131"/>
    </row>
    <row r="32" s="122" customFormat="1" spans="1:13">
      <c r="A32" s="127" t="str">
        <f>VLOOKUP(B:B,[1]原材料!$D$1:$E$65536,2,0)</f>
        <v>Z1.0452</v>
      </c>
      <c r="B32" s="127" t="s">
        <v>70</v>
      </c>
      <c r="C32" s="132" t="str">
        <f>VLOOKUP(B:B,[3]杭友!G:H,2,0)</f>
        <v>E14382900（E10629100）</v>
      </c>
      <c r="D32" s="127">
        <v>6000</v>
      </c>
      <c r="E32" s="129">
        <v>0.38</v>
      </c>
      <c r="F32" s="125">
        <f t="shared" si="1"/>
        <v>2280</v>
      </c>
      <c r="G32" s="125"/>
      <c r="H32" s="122"/>
      <c r="I32" s="122"/>
      <c r="J32" s="131"/>
    </row>
    <row r="33" s="122" customFormat="1" spans="1:10">
      <c r="A33" s="127" t="str">
        <f>VLOOKUP(B:B,[1]原材料!$D$1:$E$65536,2,0)</f>
        <v>Z1.0453</v>
      </c>
      <c r="B33" s="127" t="s">
        <v>71</v>
      </c>
      <c r="C33" s="132" t="str">
        <f>VLOOKUP(B:B,[3]杭友!G:H,2,0)</f>
        <v>E14383700（E11006400）</v>
      </c>
      <c r="D33" s="127">
        <v>10400</v>
      </c>
      <c r="E33" s="129">
        <v>0.61</v>
      </c>
      <c r="F33" s="125">
        <f t="shared" si="1"/>
        <v>6344</v>
      </c>
      <c r="G33" s="125"/>
      <c r="H33" s="122"/>
      <c r="I33" s="122"/>
      <c r="J33" s="131"/>
    </row>
    <row r="34" s="122" customFormat="1" hidden="1" spans="1:10">
      <c r="A34" s="127" t="e">
        <f>VLOOKUP(B:B,[1]原材料!$D$1:$E$65536,2,0)</f>
        <v>#N/A</v>
      </c>
      <c r="B34" s="132" t="s">
        <v>72</v>
      </c>
      <c r="C34" s="132" t="s">
        <v>73</v>
      </c>
      <c r="D34" s="127">
        <v>0</v>
      </c>
      <c r="E34" s="129">
        <v>37.8</v>
      </c>
      <c r="F34" s="125">
        <f t="shared" si="1"/>
        <v>0</v>
      </c>
      <c r="G34" s="125"/>
      <c r="H34" s="122"/>
      <c r="I34" s="122"/>
      <c r="J34" s="131"/>
    </row>
    <row r="35" s="122" customFormat="1" hidden="1" spans="1:10">
      <c r="A35" s="127" t="str">
        <f>VLOOKUP(B:B,[1]原材料!$D$1:$E$65536,2,0)</f>
        <v>A1.1308</v>
      </c>
      <c r="B35" s="132" t="s">
        <v>74</v>
      </c>
      <c r="C35" s="132" t="s">
        <v>75</v>
      </c>
      <c r="D35" s="127">
        <v>0</v>
      </c>
      <c r="E35" s="129">
        <v>14.4</v>
      </c>
      <c r="F35" s="125">
        <f t="shared" si="1"/>
        <v>0</v>
      </c>
      <c r="G35" s="125"/>
      <c r="H35" s="122"/>
      <c r="I35" s="122"/>
      <c r="J35" s="131"/>
    </row>
    <row r="36" s="122" customFormat="1" hidden="1" spans="1:10">
      <c r="A36" s="127" t="str">
        <f>VLOOKUP(B:B,[1]原材料!$D$1:$E$65536,2,0)</f>
        <v>A1.1119</v>
      </c>
      <c r="B36" s="132" t="s">
        <v>76</v>
      </c>
      <c r="C36" s="132" t="s">
        <v>77</v>
      </c>
      <c r="D36" s="127">
        <v>0</v>
      </c>
      <c r="E36" s="129">
        <v>10.9</v>
      </c>
      <c r="F36" s="125">
        <f t="shared" si="1"/>
        <v>0</v>
      </c>
      <c r="G36" s="125"/>
    </row>
    <row r="37" s="122" customFormat="1" spans="1:10">
      <c r="A37" s="127"/>
      <c r="B37" s="138" t="s">
        <v>78</v>
      </c>
      <c r="C37" s="139" t="s">
        <v>79</v>
      </c>
      <c r="D37" s="127">
        <v>1000</v>
      </c>
      <c r="E37" s="129">
        <v>10.7</v>
      </c>
      <c r="F37" s="125">
        <f t="shared" si="1"/>
        <v>10700</v>
      </c>
      <c r="G37" s="125"/>
    </row>
    <row r="38" s="122" customFormat="1" hidden="1" spans="1:10">
      <c r="A38" s="127" t="str">
        <f>VLOOKUP(B:B,[1]原材料!$D$1:$E$65536,2,0)</f>
        <v>Z1.1533</v>
      </c>
      <c r="B38" s="132" t="s">
        <v>80</v>
      </c>
      <c r="C38" s="133" t="s">
        <v>81</v>
      </c>
      <c r="D38" s="127">
        <v>0</v>
      </c>
      <c r="E38" s="129">
        <v>0.4</v>
      </c>
      <c r="F38" s="125">
        <f t="shared" si="1"/>
        <v>0</v>
      </c>
      <c r="G38" s="125"/>
    </row>
    <row r="39" s="122" customFormat="1" hidden="1" spans="1:10">
      <c r="A39" s="127" t="str">
        <f>VLOOKUP(B:B,[1]原材料!$D$1:$E$65536,2,0)</f>
        <v>Z2.113</v>
      </c>
      <c r="B39" s="140" t="s">
        <v>82</v>
      </c>
      <c r="C39" s="140" t="s">
        <v>83</v>
      </c>
      <c r="D39" s="127">
        <v>0</v>
      </c>
      <c r="E39" s="141">
        <v>9.4</v>
      </c>
      <c r="F39" s="125">
        <f t="shared" si="1"/>
        <v>0</v>
      </c>
      <c r="G39" s="125"/>
    </row>
    <row r="40" s="122" customFormat="1" hidden="1" spans="1:10">
      <c r="A40" s="127"/>
      <c r="B40" s="140" t="s">
        <v>84</v>
      </c>
      <c r="C40" s="140" t="s">
        <v>85</v>
      </c>
      <c r="D40" s="127">
        <v>0</v>
      </c>
      <c r="E40" s="141">
        <v>8.72</v>
      </c>
      <c r="F40" s="125">
        <f t="shared" si="1"/>
        <v>0</v>
      </c>
      <c r="G40" s="125"/>
    </row>
    <row r="41" s="122" customFormat="1" hidden="1" spans="1:10">
      <c r="A41" s="127" t="e">
        <f>VLOOKUP(B:B,[1]原材料!$D$1:$E$65536,2,0)</f>
        <v>#N/A</v>
      </c>
      <c r="B41" s="140" t="s">
        <v>86</v>
      </c>
      <c r="C41" s="140" t="s">
        <v>87</v>
      </c>
      <c r="D41" s="127">
        <v>0</v>
      </c>
      <c r="E41" s="142">
        <v>2.69</v>
      </c>
      <c r="F41" s="125">
        <f t="shared" si="1"/>
        <v>0</v>
      </c>
      <c r="G41" s="125"/>
    </row>
    <row r="42" s="122" customFormat="1" hidden="1" spans="1:10">
      <c r="A42" s="127" t="e">
        <f>VLOOKUP(B:B,[1]原材料!$D$1:$E$65536,2,0)</f>
        <v>#N/A</v>
      </c>
      <c r="B42" s="143" t="s">
        <v>88</v>
      </c>
      <c r="C42" s="140" t="s">
        <v>89</v>
      </c>
      <c r="D42" s="127">
        <v>0</v>
      </c>
      <c r="E42" s="144">
        <v>5.51466666666667</v>
      </c>
      <c r="F42" s="125">
        <f t="shared" si="1"/>
        <v>0</v>
      </c>
      <c r="G42" s="125"/>
    </row>
    <row r="43" s="122" customFormat="1" hidden="1" spans="1:10">
      <c r="A43" s="127" t="e">
        <f>VLOOKUP(B:B,[1]原材料!$D$1:$E$65536,2,0)</f>
        <v>#N/A</v>
      </c>
      <c r="B43" s="132" t="s">
        <v>90</v>
      </c>
      <c r="C43" s="133" t="s">
        <v>91</v>
      </c>
      <c r="D43" s="127">
        <v>0</v>
      </c>
      <c r="E43" s="129">
        <v>6.87</v>
      </c>
      <c r="F43" s="125">
        <f t="shared" si="1"/>
        <v>0</v>
      </c>
      <c r="G43" s="125"/>
    </row>
    <row r="44" s="122" customFormat="1" ht="16.85" hidden="1" spans="1:10">
      <c r="A44" s="127" t="e">
        <f>VLOOKUP(B:B,[1]原材料!$D$1:$E$65536,2,0)</f>
        <v>#N/A</v>
      </c>
      <c r="B44" s="127" t="s">
        <v>92</v>
      </c>
      <c r="C44" s="135" t="s">
        <v>93</v>
      </c>
      <c r="D44" s="127">
        <v>0</v>
      </c>
      <c r="E44" s="145">
        <v>5.1327</v>
      </c>
      <c r="F44" s="125">
        <f t="shared" si="1"/>
        <v>0</v>
      </c>
      <c r="G44" s="125"/>
    </row>
    <row r="45" s="122" customFormat="1" ht="16.85" spans="1:10">
      <c r="A45" s="127"/>
      <c r="B45" s="146" t="s">
        <v>94</v>
      </c>
      <c r="C45" s="146" t="s">
        <v>95</v>
      </c>
      <c r="D45" s="127">
        <v>80</v>
      </c>
      <c r="E45" s="145">
        <v>5.1327</v>
      </c>
      <c r="F45" s="125">
        <f t="shared" si="1"/>
        <v>410.616</v>
      </c>
      <c r="G45" s="125"/>
    </row>
    <row r="46" s="122" customFormat="1" ht="16.85" hidden="1" spans="1:10">
      <c r="A46" s="127"/>
      <c r="B46" s="146" t="s">
        <v>96</v>
      </c>
      <c r="C46" s="146" t="s">
        <v>97</v>
      </c>
      <c r="D46" s="127">
        <v>0</v>
      </c>
      <c r="E46" s="147">
        <v>3.71</v>
      </c>
      <c r="F46" s="125">
        <f t="shared" si="1"/>
        <v>0</v>
      </c>
      <c r="G46" s="125"/>
    </row>
    <row r="47" s="122" customFormat="1" ht="16.85" hidden="1" spans="1:10">
      <c r="A47" s="127"/>
      <c r="B47" s="127" t="s">
        <v>98</v>
      </c>
      <c r="C47" s="133" t="s">
        <v>99</v>
      </c>
      <c r="D47" s="127">
        <v>0</v>
      </c>
      <c r="E47" s="147">
        <v>5.92</v>
      </c>
      <c r="F47" s="125">
        <f t="shared" si="1"/>
        <v>0</v>
      </c>
      <c r="G47" s="125"/>
    </row>
    <row r="48" s="122" customFormat="1" ht="16.85" hidden="1" spans="1:10">
      <c r="A48" s="127"/>
      <c r="B48" s="132" t="s">
        <v>100</v>
      </c>
      <c r="C48" s="133" t="s">
        <v>101</v>
      </c>
      <c r="D48" s="127">
        <v>0</v>
      </c>
      <c r="E48" s="147">
        <v>5.16</v>
      </c>
      <c r="F48" s="125">
        <f t="shared" si="1"/>
        <v>0</v>
      </c>
      <c r="G48" s="125"/>
    </row>
    <row r="49" s="122" customFormat="1" ht="16.85" spans="1:7">
      <c r="A49" s="127" t="s">
        <v>102</v>
      </c>
      <c r="B49" s="132" t="s">
        <v>103</v>
      </c>
      <c r="C49" s="132" t="s">
        <v>104</v>
      </c>
      <c r="D49" s="127">
        <v>110</v>
      </c>
      <c r="E49" s="147">
        <v>10.8</v>
      </c>
      <c r="F49" s="125">
        <f t="shared" si="1"/>
        <v>1188</v>
      </c>
      <c r="G49" s="125"/>
    </row>
    <row r="50" s="122" customFormat="1" ht="16.85" hidden="1" spans="1:7">
      <c r="A50" s="127" t="s">
        <v>105</v>
      </c>
      <c r="B50" s="132" t="s">
        <v>106</v>
      </c>
      <c r="C50" s="132" t="s">
        <v>107</v>
      </c>
      <c r="D50" s="127">
        <v>0</v>
      </c>
      <c r="E50" s="147">
        <v>8.585</v>
      </c>
      <c r="F50" s="125">
        <f t="shared" si="1"/>
        <v>0</v>
      </c>
      <c r="G50" s="125"/>
    </row>
    <row r="51" s="122" customFormat="1" ht="16.85" hidden="1" spans="1:7">
      <c r="A51" s="127" t="s">
        <v>108</v>
      </c>
      <c r="B51" s="132" t="s">
        <v>109</v>
      </c>
      <c r="C51" s="132" t="s">
        <v>110</v>
      </c>
      <c r="D51" s="127">
        <v>0</v>
      </c>
      <c r="E51" s="147">
        <v>17</v>
      </c>
      <c r="F51" s="125">
        <f t="shared" si="1"/>
        <v>0</v>
      </c>
      <c r="G51" s="125"/>
    </row>
    <row r="52" s="122" customFormat="1" ht="16.85" hidden="1" spans="1:7">
      <c r="A52" s="127" t="s">
        <v>111</v>
      </c>
      <c r="B52" s="132" t="s">
        <v>112</v>
      </c>
      <c r="C52" s="132" t="s">
        <v>113</v>
      </c>
      <c r="D52" s="127">
        <v>0</v>
      </c>
      <c r="E52" s="147">
        <v>0.1</v>
      </c>
      <c r="F52" s="125">
        <f t="shared" si="1"/>
        <v>0</v>
      </c>
      <c r="G52" s="125"/>
    </row>
    <row r="53" s="122" customFormat="1" ht="16.85" hidden="1" spans="1:7">
      <c r="A53" s="127"/>
      <c r="B53" s="132" t="s">
        <v>114</v>
      </c>
      <c r="C53" s="132" t="s">
        <v>115</v>
      </c>
      <c r="D53" s="127">
        <v>0</v>
      </c>
      <c r="E53" s="147">
        <v>11.2</v>
      </c>
      <c r="F53" s="125">
        <f t="shared" si="1"/>
        <v>0</v>
      </c>
      <c r="G53" s="125"/>
    </row>
    <row r="54" s="122" customFormat="1" ht="16.85" hidden="1" spans="1:7">
      <c r="A54" s="127" t="s">
        <v>116</v>
      </c>
      <c r="B54" s="132" t="s">
        <v>117</v>
      </c>
      <c r="C54" s="132" t="s">
        <v>118</v>
      </c>
      <c r="D54" s="127">
        <v>0</v>
      </c>
      <c r="E54" s="147">
        <v>0.582</v>
      </c>
      <c r="F54" s="125">
        <f t="shared" si="1"/>
        <v>0</v>
      </c>
      <c r="G54" s="125"/>
    </row>
    <row r="55" s="122" customFormat="1" ht="16.85" hidden="1" spans="1:7">
      <c r="A55" s="127" t="s">
        <v>119</v>
      </c>
      <c r="B55" s="132" t="s">
        <v>120</v>
      </c>
      <c r="C55" s="132" t="s">
        <v>121</v>
      </c>
      <c r="D55" s="127">
        <v>0</v>
      </c>
      <c r="E55" s="147">
        <v>0.844</v>
      </c>
      <c r="F55" s="125">
        <f t="shared" si="1"/>
        <v>0</v>
      </c>
      <c r="G55" s="125"/>
    </row>
    <row r="56" s="122" customFormat="1" ht="16.85" hidden="1" spans="1:7">
      <c r="A56" s="127" t="s">
        <v>122</v>
      </c>
      <c r="B56" s="132" t="s">
        <v>123</v>
      </c>
      <c r="C56" s="132" t="s">
        <v>124</v>
      </c>
      <c r="D56" s="127">
        <v>0</v>
      </c>
      <c r="E56" s="147">
        <v>0.466</v>
      </c>
      <c r="F56" s="125">
        <f t="shared" si="1"/>
        <v>0</v>
      </c>
      <c r="G56" s="125"/>
    </row>
    <row r="57" s="122" customFormat="1" ht="16.85" hidden="1" spans="1:7">
      <c r="A57" s="127" t="s">
        <v>125</v>
      </c>
      <c r="B57" s="132" t="s">
        <v>126</v>
      </c>
      <c r="C57" s="132" t="s">
        <v>127</v>
      </c>
      <c r="D57" s="127">
        <v>0</v>
      </c>
      <c r="E57" s="147">
        <v>0.25</v>
      </c>
      <c r="F57" s="125">
        <f t="shared" si="1"/>
        <v>0</v>
      </c>
      <c r="G57" s="125"/>
    </row>
    <row r="58" s="122" customFormat="1" ht="16.85" hidden="1" spans="1:7">
      <c r="A58" s="127" t="s">
        <v>128</v>
      </c>
      <c r="B58" s="132" t="s">
        <v>129</v>
      </c>
      <c r="C58" s="133" t="s">
        <v>130</v>
      </c>
      <c r="D58" s="127">
        <v>0</v>
      </c>
      <c r="E58" s="147">
        <v>0.385</v>
      </c>
      <c r="F58" s="125">
        <f t="shared" si="1"/>
        <v>0</v>
      </c>
      <c r="G58" s="125"/>
    </row>
    <row r="59" s="122" customFormat="1" ht="16.85" hidden="1" spans="1:7">
      <c r="A59" s="127" t="s">
        <v>131</v>
      </c>
      <c r="B59" s="132" t="s">
        <v>132</v>
      </c>
      <c r="C59" s="133" t="s">
        <v>133</v>
      </c>
      <c r="D59" s="127">
        <v>0</v>
      </c>
      <c r="E59" s="147">
        <v>0.385</v>
      </c>
      <c r="F59" s="125">
        <f t="shared" si="1"/>
        <v>0</v>
      </c>
      <c r="G59" s="125"/>
    </row>
    <row r="60" s="122" customFormat="1" ht="16.85" hidden="1" spans="1:7">
      <c r="A60" s="127" t="s">
        <v>134</v>
      </c>
      <c r="B60" s="132" t="s">
        <v>135</v>
      </c>
      <c r="C60" s="132" t="s">
        <v>136</v>
      </c>
      <c r="D60" s="127">
        <v>0</v>
      </c>
      <c r="E60" s="147">
        <v>24</v>
      </c>
      <c r="F60" s="125">
        <f t="shared" si="1"/>
        <v>0</v>
      </c>
      <c r="G60" s="125"/>
    </row>
    <row r="61" s="122" customFormat="1" ht="16.85" hidden="1" spans="1:7">
      <c r="A61" s="127" t="s">
        <v>137</v>
      </c>
      <c r="B61" s="132" t="s">
        <v>138</v>
      </c>
      <c r="C61" s="132" t="s">
        <v>139</v>
      </c>
      <c r="D61" s="127">
        <v>0</v>
      </c>
      <c r="E61" s="147">
        <v>9.5</v>
      </c>
      <c r="F61" s="125">
        <f t="shared" si="1"/>
        <v>0</v>
      </c>
      <c r="G61" s="125"/>
    </row>
    <row r="62" s="122" customFormat="1" ht="16.85" hidden="1" spans="1:7">
      <c r="A62" s="127" t="s">
        <v>140</v>
      </c>
      <c r="B62" s="132" t="s">
        <v>141</v>
      </c>
      <c r="C62" s="132" t="s">
        <v>142</v>
      </c>
      <c r="D62" s="127">
        <v>0</v>
      </c>
      <c r="E62" s="147">
        <v>9.5</v>
      </c>
      <c r="F62" s="125">
        <f t="shared" si="1"/>
        <v>0</v>
      </c>
      <c r="G62" s="125"/>
    </row>
    <row r="63" s="122" customFormat="1" ht="16.85" hidden="1" spans="1:7">
      <c r="A63" s="127" t="s">
        <v>143</v>
      </c>
      <c r="B63" s="132" t="s">
        <v>144</v>
      </c>
      <c r="C63" s="132" t="s">
        <v>145</v>
      </c>
      <c r="D63" s="127">
        <v>0</v>
      </c>
      <c r="E63" s="147">
        <v>22</v>
      </c>
      <c r="F63" s="125">
        <f t="shared" si="1"/>
        <v>0</v>
      </c>
      <c r="G63" s="125"/>
    </row>
    <row r="64" s="122" customFormat="1" ht="16.85" hidden="1" spans="1:7">
      <c r="B64" s="148" t="s">
        <v>146</v>
      </c>
      <c r="C64" s="148" t="s">
        <v>147</v>
      </c>
      <c r="D64" s="149">
        <v>0</v>
      </c>
      <c r="E64" s="150">
        <v>30.8</v>
      </c>
      <c r="F64" s="125">
        <f t="shared" si="1"/>
        <v>0</v>
      </c>
      <c r="G64" s="125"/>
    </row>
    <row r="65" s="122" customFormat="1" ht="16.85" spans="1:7">
      <c r="B65" s="148" t="s">
        <v>148</v>
      </c>
      <c r="C65" s="148" t="s">
        <v>149</v>
      </c>
      <c r="D65" s="149">
        <v>1000</v>
      </c>
      <c r="E65" s="150">
        <v>14.1</v>
      </c>
      <c r="F65" s="125">
        <f t="shared" si="1"/>
        <v>14100</v>
      </c>
      <c r="G65" s="125"/>
    </row>
    <row r="66" s="122" customFormat="1" ht="16.85" spans="1:7">
      <c r="B66" s="148" t="s">
        <v>150</v>
      </c>
      <c r="C66" s="148" t="s">
        <v>151</v>
      </c>
      <c r="D66" s="149">
        <v>1825</v>
      </c>
      <c r="E66" s="150">
        <v>13</v>
      </c>
      <c r="F66" s="125">
        <f t="shared" si="1"/>
        <v>23725</v>
      </c>
      <c r="G66" s="125"/>
    </row>
    <row r="67" s="122" customFormat="1" spans="1:7">
      <c r="E67" s="151" t="s">
        <v>152</v>
      </c>
      <c r="F67" s="152">
        <f>SUM(F4:G66)</f>
        <v>387637.966</v>
      </c>
      <c r="G67" s="152"/>
    </row>
    <row r="68" s="122" customFormat="1" spans="1:7">
      <c r="A68" s="122" t="s">
        <v>153</v>
      </c>
      <c r="E68" s="153" t="s">
        <v>154</v>
      </c>
      <c r="F68" s="154">
        <f>ROUND(F67*1.13,2)</f>
        <v>438030.9</v>
      </c>
      <c r="G68" s="154"/>
    </row>
    <row r="69" s="122" customFormat="1" hidden="1" spans="1:7">
      <c r="A69" s="127" t="str">
        <f>VLOOKUP(B:B,[1]原材料!$D$1:$E$65536,2,0)</f>
        <v>A1.1814</v>
      </c>
      <c r="B69" s="128" t="s">
        <v>155</v>
      </c>
      <c r="C69" s="128" t="s">
        <v>156</v>
      </c>
      <c r="D69" s="127">
        <v>0</v>
      </c>
    </row>
    <row r="70" s="122" customFormat="1" hidden="1" spans="1:7">
      <c r="A70" s="127" t="str">
        <f>VLOOKUP(B:B,[1]原材料!$D$1:$E$65536,2,0)</f>
        <v>Z1.0569</v>
      </c>
      <c r="B70" s="132" t="s">
        <v>157</v>
      </c>
      <c r="C70" s="133" t="s">
        <v>158</v>
      </c>
      <c r="D70" s="127">
        <v>0</v>
      </c>
    </row>
    <row r="71" s="122" customFormat="1" spans="1:7">
      <c r="A71" s="127" t="e">
        <f>VLOOKUP(B:B,[1]原材料!$D$1:$E$65536,2,0)</f>
        <v>#N/A</v>
      </c>
      <c r="B71" s="132" t="s">
        <v>159</v>
      </c>
      <c r="C71" s="133" t="s">
        <v>160</v>
      </c>
      <c r="D71" s="127">
        <v>4000</v>
      </c>
    </row>
    <row r="72" s="122" customFormat="1" hidden="1" spans="1:7">
      <c r="A72" s="127" t="str">
        <f>VLOOKUP(B:B,[1]原材料!$D$1:$E$65536,2,0)</f>
        <v>A1.1909</v>
      </c>
      <c r="B72" s="128" t="s">
        <v>161</v>
      </c>
      <c r="C72" s="128" t="s">
        <v>162</v>
      </c>
      <c r="D72" s="127">
        <v>0</v>
      </c>
    </row>
    <row r="73" s="122" customFormat="1" hidden="1" spans="1:7">
      <c r="A73" s="127"/>
      <c r="B73" s="128" t="s">
        <v>163</v>
      </c>
      <c r="C73" s="128" t="s">
        <v>164</v>
      </c>
      <c r="D73" s="127">
        <v>0</v>
      </c>
    </row>
    <row r="74" s="122" customFormat="1" spans="1:7">
      <c r="A74" s="127" t="str">
        <f>VLOOKUP(B:B,[1]原材料!$D$1:$E$65536,2,0)</f>
        <v>A1.1907</v>
      </c>
      <c r="B74" s="128" t="s">
        <v>165</v>
      </c>
      <c r="C74" s="128" t="s">
        <v>166</v>
      </c>
      <c r="D74" s="127">
        <v>200</v>
      </c>
    </row>
    <row r="75" s="122" customFormat="1" spans="1:7">
      <c r="A75" s="127" t="str">
        <f>VLOOKUP(B:B,[1]原材料!$D$1:$E$65536,2,0)</f>
        <v>Z1.0639</v>
      </c>
      <c r="B75" s="132" t="s">
        <v>167</v>
      </c>
      <c r="C75" s="133" t="s">
        <v>168</v>
      </c>
      <c r="D75" s="127">
        <v>10000</v>
      </c>
    </row>
    <row r="76" s="122" customFormat="1" spans="1:7">
      <c r="A76" s="127" t="str">
        <f>VLOOKUP(B:B,[1]原材料!$D$1:$E$65536,2,0)</f>
        <v>Z1.0608</v>
      </c>
      <c r="B76" s="132" t="s">
        <v>169</v>
      </c>
      <c r="C76" s="133" t="s">
        <v>170</v>
      </c>
      <c r="D76" s="127">
        <v>4000</v>
      </c>
    </row>
    <row r="77" s="122" customFormat="1" spans="1:7">
      <c r="A77" s="127" t="str">
        <f>VLOOKUP(B:B,[1]原材料!$D$1:$E$65536,2,0)</f>
        <v>Z1.0606</v>
      </c>
      <c r="B77" s="132" t="s">
        <v>171</v>
      </c>
      <c r="C77" s="133" t="s">
        <v>172</v>
      </c>
      <c r="D77" s="127">
        <v>2000</v>
      </c>
    </row>
    <row r="78" s="122" customFormat="1" hidden="1" spans="1:7">
      <c r="A78" s="127" t="e">
        <v>#N/A</v>
      </c>
      <c r="B78" s="128" t="s">
        <v>173</v>
      </c>
      <c r="C78" s="128" t="s">
        <v>174</v>
      </c>
      <c r="D78" s="127">
        <v>0</v>
      </c>
    </row>
    <row r="79" s="122" customFormat="1" spans="1:7">
      <c r="A79" s="127" t="str">
        <f>VLOOKUP(B:B,[1]原材料!$D$1:$E$65536,2,0)</f>
        <v>A1.1906</v>
      </c>
      <c r="B79" s="127" t="s">
        <v>175</v>
      </c>
      <c r="C79" s="132" t="s">
        <v>176</v>
      </c>
      <c r="D79" s="127">
        <v>1000</v>
      </c>
    </row>
    <row r="80" s="122" customFormat="1" hidden="1" spans="1:7">
      <c r="A80" s="127" t="str">
        <f>VLOOKUP(B:B,[1]原材料!$D$1:$E$65536,2,0)</f>
        <v>A1.1766</v>
      </c>
      <c r="B80" s="127" t="s">
        <v>177</v>
      </c>
      <c r="C80" s="132" t="s">
        <v>178</v>
      </c>
      <c r="D80" s="127">
        <v>0</v>
      </c>
    </row>
    <row r="81" s="122" customFormat="1" hidden="1" spans="1:4">
      <c r="A81" s="127" t="str">
        <f>VLOOKUP(B:B,[1]原材料!$D$1:$E$65536,2,0)</f>
        <v>A1.1722</v>
      </c>
      <c r="B81" s="127" t="s">
        <v>179</v>
      </c>
      <c r="C81" s="132" t="s">
        <v>180</v>
      </c>
      <c r="D81" s="127">
        <v>0</v>
      </c>
    </row>
    <row r="82" s="122" customFormat="1" hidden="1" spans="1:4">
      <c r="A82" s="127" t="str">
        <f>VLOOKUP(B:B,[1]原材料!$D$1:$E$65536,2,0)</f>
        <v>Z1.0621</v>
      </c>
      <c r="B82" s="127" t="s">
        <v>181</v>
      </c>
      <c r="C82" s="133" t="s">
        <v>182</v>
      </c>
      <c r="D82" s="127">
        <v>0</v>
      </c>
    </row>
    <row r="83" s="122" customFormat="1" hidden="1" spans="1:4">
      <c r="A83" s="127" t="s">
        <v>183</v>
      </c>
      <c r="B83" s="132" t="s">
        <v>184</v>
      </c>
      <c r="C83" s="132" t="s">
        <v>185</v>
      </c>
      <c r="D83" s="127">
        <v>0</v>
      </c>
    </row>
    <row r="84" s="122" customFormat="1" hidden="1" spans="1:4">
      <c r="A84" s="127" t="s">
        <v>186</v>
      </c>
      <c r="B84" s="128" t="s">
        <v>187</v>
      </c>
      <c r="C84" s="128" t="s">
        <v>188</v>
      </c>
      <c r="D84" s="127">
        <v>0</v>
      </c>
    </row>
    <row r="85" s="122" customFormat="1" hidden="1" spans="1:4">
      <c r="A85" s="127" t="s">
        <v>189</v>
      </c>
      <c r="B85" s="128" t="s">
        <v>190</v>
      </c>
      <c r="C85" s="128" t="s">
        <v>191</v>
      </c>
      <c r="D85" s="127">
        <v>0</v>
      </c>
    </row>
    <row r="86" s="122" customFormat="1" hidden="1" spans="1:4">
      <c r="A86" s="127" t="s">
        <v>192</v>
      </c>
      <c r="B86" s="128" t="s">
        <v>193</v>
      </c>
      <c r="C86" s="128" t="s">
        <v>194</v>
      </c>
      <c r="D86" s="127">
        <v>0</v>
      </c>
    </row>
    <row r="87" s="122" customFormat="1" spans="1:4">
      <c r="A87" s="127" t="s">
        <v>195</v>
      </c>
      <c r="B87" s="128" t="s">
        <v>196</v>
      </c>
      <c r="C87" s="128" t="s">
        <v>197</v>
      </c>
      <c r="D87" s="127">
        <v>1000</v>
      </c>
    </row>
    <row r="88" s="122" customFormat="1" hidden="1" spans="1:4">
      <c r="A88" s="127" t="s">
        <v>198</v>
      </c>
      <c r="B88" s="128" t="s">
        <v>199</v>
      </c>
      <c r="C88" s="128" t="s">
        <v>200</v>
      </c>
      <c r="D88" s="127">
        <v>0</v>
      </c>
    </row>
    <row r="89" s="122" customFormat="1" hidden="1" spans="1:4">
      <c r="A89" s="127" t="s">
        <v>201</v>
      </c>
      <c r="B89" s="128" t="s">
        <v>202</v>
      </c>
      <c r="C89" s="136" t="s">
        <v>203</v>
      </c>
      <c r="D89" s="127">
        <v>0</v>
      </c>
    </row>
    <row r="90" s="122" customFormat="1" hidden="1" spans="1:4">
      <c r="A90" s="127" t="str">
        <f>VLOOKUP(B:B,[1]原材料!$D$1:$E$65536,2,0)</f>
        <v>A1.1908</v>
      </c>
      <c r="B90" s="127" t="s">
        <v>204</v>
      </c>
      <c r="C90" s="128" t="s">
        <v>205</v>
      </c>
      <c r="D90" s="127">
        <v>0</v>
      </c>
    </row>
    <row r="91" s="122" customFormat="1" hidden="1" spans="1:4">
      <c r="A91" s="127" t="str">
        <f>VLOOKUP(B:B,[1]原材料!$D$1:$E$65536,2,0)</f>
        <v>Z1.0575</v>
      </c>
      <c r="B91" s="127" t="s">
        <v>206</v>
      </c>
      <c r="C91" s="132" t="s">
        <v>207</v>
      </c>
      <c r="D91" s="127">
        <v>0</v>
      </c>
    </row>
    <row r="92" s="122" customFormat="1" hidden="1" spans="1:4">
      <c r="A92" s="127" t="str">
        <f>VLOOKUP(B:B,[1]原材料!$D$1:$E$65536,2,0)</f>
        <v>Z1.0524</v>
      </c>
      <c r="B92" s="127" t="s">
        <v>208</v>
      </c>
      <c r="C92" s="133" t="s">
        <v>209</v>
      </c>
      <c r="D92" s="127">
        <v>0</v>
      </c>
    </row>
    <row r="93" s="122" customFormat="1" hidden="1" spans="1:4">
      <c r="A93" s="127" t="e">
        <f>VLOOKUP(B:B,[1]原材料!$D$1:$E$65536,2,0)</f>
        <v>#N/A</v>
      </c>
      <c r="B93" s="127" t="s">
        <v>210</v>
      </c>
      <c r="C93" s="133" t="s">
        <v>211</v>
      </c>
      <c r="D93" s="127">
        <v>0</v>
      </c>
    </row>
    <row r="94" s="122" customFormat="1" hidden="1" spans="1:4">
      <c r="A94" s="127" t="e">
        <f>VLOOKUP(B:B,[4]原材料!$D$1:$E$65536,2,0)</f>
        <v>#N/A</v>
      </c>
      <c r="B94" s="132" t="s">
        <v>212</v>
      </c>
      <c r="C94" s="132" t="s">
        <v>213</v>
      </c>
      <c r="D94" s="127">
        <v>0</v>
      </c>
    </row>
    <row r="95" s="122" customFormat="1" hidden="1" spans="1:4">
      <c r="A95" s="127" t="e">
        <f>VLOOKUP(B:B,[4]原材料!$D$1:$E$65536,2,0)</f>
        <v>#N/A</v>
      </c>
      <c r="B95" s="132" t="s">
        <v>214</v>
      </c>
      <c r="C95" s="132" t="s">
        <v>215</v>
      </c>
      <c r="D95" s="127">
        <v>0</v>
      </c>
    </row>
    <row r="96" s="122" customFormat="1" hidden="1" spans="1:4">
      <c r="A96" s="127"/>
      <c r="B96" s="134" t="s">
        <v>216</v>
      </c>
      <c r="C96" s="135" t="s">
        <v>217</v>
      </c>
      <c r="D96" s="127">
        <v>0</v>
      </c>
    </row>
    <row r="97" s="122" customFormat="1" hidden="1" spans="1:5">
      <c r="A97" s="127"/>
      <c r="B97" s="132" t="s">
        <v>218</v>
      </c>
      <c r="C97" s="132" t="s">
        <v>219</v>
      </c>
      <c r="D97" s="127">
        <v>0</v>
      </c>
    </row>
    <row r="98" s="122" customFormat="1" hidden="1" spans="1:5">
      <c r="A98" s="127"/>
      <c r="B98" s="128" t="s">
        <v>220</v>
      </c>
      <c r="C98" s="128" t="s">
        <v>221</v>
      </c>
      <c r="D98" s="127">
        <v>0</v>
      </c>
    </row>
    <row r="99" s="122" customFormat="1" hidden="1" spans="1:5">
      <c r="A99" s="127"/>
      <c r="B99" s="155" t="s">
        <v>222</v>
      </c>
      <c r="C99" s="155" t="s">
        <v>223</v>
      </c>
      <c r="D99" s="127">
        <v>0</v>
      </c>
    </row>
    <row r="100" s="122" customFormat="1" hidden="1" spans="1:5">
      <c r="A100" s="127"/>
      <c r="B100" s="128" t="s">
        <v>224</v>
      </c>
      <c r="C100" s="128" t="s">
        <v>225</v>
      </c>
      <c r="D100" s="127">
        <v>0</v>
      </c>
    </row>
    <row r="101" s="122" customFormat="1" hidden="1" spans="1:5">
      <c r="A101" s="127"/>
      <c r="B101" s="134" t="s">
        <v>226</v>
      </c>
      <c r="C101" s="134" t="s">
        <v>227</v>
      </c>
      <c r="D101" s="127">
        <v>0</v>
      </c>
    </row>
    <row r="102" s="122" customFormat="1" hidden="1" spans="1:5">
      <c r="A102" s="127"/>
      <c r="B102" s="156" t="s">
        <v>228</v>
      </c>
      <c r="C102" s="157" t="s">
        <v>229</v>
      </c>
      <c r="D102" s="127">
        <v>0</v>
      </c>
    </row>
    <row r="103" s="122" customFormat="1" spans="1:5">
      <c r="A103" s="127"/>
      <c r="B103" s="158" t="s">
        <v>230</v>
      </c>
      <c r="C103" s="158" t="s">
        <v>231</v>
      </c>
      <c r="D103" s="127">
        <v>2000</v>
      </c>
      <c r="E103" s="122" t="s">
        <v>232</v>
      </c>
    </row>
    <row r="104" s="122" customFormat="1" hidden="1" spans="1:5">
      <c r="A104" s="159" t="s">
        <v>233</v>
      </c>
      <c r="B104" s="132" t="s">
        <v>234</v>
      </c>
      <c r="C104" s="132" t="s">
        <v>235</v>
      </c>
      <c r="D104" s="127">
        <v>0</v>
      </c>
    </row>
    <row r="105" s="122" customFormat="1" hidden="1" spans="1:5">
      <c r="A105" s="160"/>
      <c r="B105" s="158" t="s">
        <v>236</v>
      </c>
      <c r="C105" s="158" t="s">
        <v>237</v>
      </c>
      <c r="D105" s="127">
        <v>0</v>
      </c>
    </row>
    <row r="106" s="122" customFormat="1" hidden="1" spans="1:5">
      <c r="A106" s="160"/>
      <c r="B106" s="158" t="s">
        <v>238</v>
      </c>
      <c r="C106" s="158" t="s">
        <v>239</v>
      </c>
      <c r="D106" s="127">
        <v>0</v>
      </c>
    </row>
    <row r="107" s="122" customFormat="1" spans="1:5">
      <c r="A107" s="160"/>
      <c r="B107" s="158" t="s">
        <v>240</v>
      </c>
      <c r="C107" s="158" t="s">
        <v>241</v>
      </c>
      <c r="D107" s="127">
        <v>3000</v>
      </c>
    </row>
    <row r="108" s="122" customFormat="1" hidden="1" spans="1:5">
      <c r="A108" s="160"/>
      <c r="B108" s="158" t="s">
        <v>242</v>
      </c>
      <c r="C108" s="158" t="s">
        <v>243</v>
      </c>
      <c r="D108" s="127">
        <v>0</v>
      </c>
    </row>
    <row r="109" s="122" customFormat="1" spans="1:5">
      <c r="A109" s="160"/>
      <c r="B109" s="161" t="s">
        <v>244</v>
      </c>
      <c r="C109" s="158" t="s">
        <v>245</v>
      </c>
      <c r="D109" s="127">
        <v>30000</v>
      </c>
    </row>
    <row r="110" s="122" customFormat="1" spans="1:5">
      <c r="A110" s="160"/>
      <c r="B110" s="162" t="s">
        <v>246</v>
      </c>
      <c r="C110" s="158" t="s">
        <v>247</v>
      </c>
      <c r="D110" s="127">
        <v>4000</v>
      </c>
    </row>
    <row r="111" s="122" customFormat="1" spans="1:5">
      <c r="A111" s="160"/>
      <c r="B111" s="162" t="s">
        <v>248</v>
      </c>
      <c r="C111" s="158" t="s">
        <v>249</v>
      </c>
      <c r="D111" s="127">
        <v>4000</v>
      </c>
    </row>
    <row r="112" s="122" customFormat="1" spans="1:5">
      <c r="A112" s="160"/>
      <c r="B112" s="162" t="s">
        <v>250</v>
      </c>
      <c r="C112" s="158" t="s">
        <v>251</v>
      </c>
      <c r="D112" s="127">
        <v>4000</v>
      </c>
    </row>
    <row r="113" s="122" customFormat="1" spans="1:4">
      <c r="A113" s="160"/>
      <c r="B113" s="163"/>
      <c r="C113" s="164"/>
    </row>
    <row r="114" s="122" customFormat="1" spans="1:4">
      <c r="A114" s="122" t="s">
        <v>252</v>
      </c>
    </row>
    <row r="115" s="122" customFormat="1" hidden="1" spans="1:4">
      <c r="A115" s="127" t="str">
        <f>VLOOKUP(B:B,[4]原材料!$D$1:$E$65536,2,0)</f>
        <v>Z1.0312</v>
      </c>
      <c r="B115" s="132" t="s">
        <v>253</v>
      </c>
      <c r="C115" s="133" t="s">
        <v>254</v>
      </c>
      <c r="D115" s="127">
        <v>0</v>
      </c>
    </row>
    <row r="116" s="122" customFormat="1" hidden="1" spans="1:4">
      <c r="A116" s="127" t="str">
        <f>VLOOKUP(B:B,[1]原材料!$D$1:$E$65536,2,0)</f>
        <v>Z1.0220</v>
      </c>
      <c r="B116" s="132" t="s">
        <v>255</v>
      </c>
      <c r="C116" s="133" t="s">
        <v>256</v>
      </c>
      <c r="D116" s="127">
        <v>0</v>
      </c>
    </row>
    <row r="117" s="122" customFormat="1" spans="1:4">
      <c r="A117" s="127" t="str">
        <f>VLOOKUP(B:B,[1]原材料!$D$1:$E$65536,2,0)</f>
        <v>Z1.0313</v>
      </c>
      <c r="B117" s="132" t="s">
        <v>257</v>
      </c>
      <c r="C117" s="133" t="s">
        <v>258</v>
      </c>
      <c r="D117" s="127">
        <v>10080</v>
      </c>
    </row>
    <row r="118" s="122" customFormat="1" hidden="1" spans="1:4">
      <c r="A118" s="127"/>
      <c r="B118" s="132" t="s">
        <v>259</v>
      </c>
      <c r="C118" s="133" t="s">
        <v>260</v>
      </c>
      <c r="D118" s="127">
        <v>0</v>
      </c>
    </row>
  </sheetData>
  <autoFilter xmlns:etc="http://www.wps.cn/officeDocument/2017/etCustomData" ref="A3:G119" etc:filterBottomFollowUsedRange="0">
    <filterColumn colId="3">
      <filters blank="1">
        <filter val="110"/>
        <filter val="1825"/>
        <filter val="80"/>
        <filter val="200"/>
        <filter val="700"/>
        <filter val="1000"/>
        <filter val="1600"/>
        <filter val="2000"/>
        <filter val="3000"/>
        <filter val="4000"/>
        <filter val="5000"/>
        <filter val="6000"/>
        <filter val="9000"/>
        <filter val="10000"/>
        <filter val="10080"/>
        <filter val="10400"/>
        <filter val="12000"/>
        <filter val="14200"/>
        <filter val="18000"/>
        <filter val="24000"/>
        <filter val="30000"/>
        <filter val="5"/>
      </filters>
    </filterColumn>
    <extLst/>
  </autoFilter>
  <mergeCells count="67">
    <mergeCell ref="F3:G3"/>
    <mergeCell ref="F4:G4"/>
    <mergeCell ref="F5:G5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A1:C2"/>
  </mergeCells>
  <conditionalFormatting sqref="E44:E66">
    <cfRule type="duplicateValues" dxfId="0" priority="1"/>
  </conditionalFormatting>
  <pageMargins left="0.75" right="0.75" top="1" bottom="1" header="0.5" footer="0.5"/>
  <pageSetup paperSize="9" scale="84" orientation="portrait"/>
  <headerFooter/>
  <colBreaks count="1" manualBreakCount="1"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36"/>
  <sheetViews>
    <sheetView topLeftCell="A19" workbookViewId="0">
      <selection activeCell="A34" sqref="A34"/>
    </sheetView>
  </sheetViews>
  <sheetFormatPr defaultColWidth="8.96666666666667" defaultRowHeight="15.75" outlineLevelCol="3"/>
  <cols>
    <col min="1" max="1" width="8.44166666666667"/>
    <col min="2" max="2" width="17.9166666666667"/>
  </cols>
  <sheetData>
    <row r="3" spans="1:4">
      <c r="A3" t="s">
        <v>261</v>
      </c>
      <c r="B3" t="s">
        <v>262</v>
      </c>
    </row>
    <row r="4" spans="1:4">
      <c r="A4" t="s">
        <v>51</v>
      </c>
      <c r="B4">
        <v>12000</v>
      </c>
      <c r="C4"/>
      <c r="D4">
        <f>SUMIF(开票!B:B,A:A,开票!D:D)</f>
        <v>12000</v>
      </c>
    </row>
    <row r="5" spans="1:4">
      <c r="A5" t="s">
        <v>22</v>
      </c>
      <c r="B5">
        <v>6000</v>
      </c>
      <c r="C5"/>
      <c r="D5">
        <f>SUMIF(开票!B:B,A:A,开票!D:D)</f>
        <v>6000</v>
      </c>
    </row>
    <row r="6" spans="1:4">
      <c r="A6" t="s">
        <v>53</v>
      </c>
      <c r="B6">
        <v>700</v>
      </c>
      <c r="C6"/>
      <c r="D6">
        <f>SUMIF(开票!B:B,A:A,开票!D:D)</f>
        <v>700</v>
      </c>
    </row>
    <row r="7" spans="1:4">
      <c r="A7" t="s">
        <v>59</v>
      </c>
      <c r="B7">
        <v>1600</v>
      </c>
      <c r="C7"/>
      <c r="D7">
        <f>SUMIF(开票!B:B,A:A,开票!D:D)</f>
        <v>1600</v>
      </c>
    </row>
    <row r="8" spans="1:4">
      <c r="A8" t="s">
        <v>148</v>
      </c>
      <c r="B8">
        <v>1000</v>
      </c>
      <c r="C8"/>
      <c r="D8">
        <f>SUMIF(开票!B:B,A:A,开票!D:D)</f>
        <v>1000</v>
      </c>
    </row>
    <row r="9" spans="1:4">
      <c r="A9" t="s">
        <v>175</v>
      </c>
      <c r="B9">
        <v>1000</v>
      </c>
      <c r="C9"/>
      <c r="D9">
        <f>SUMIF(开票!B:B,A:A,开票!D:D)</f>
        <v>1000</v>
      </c>
    </row>
    <row r="10" spans="1:4">
      <c r="A10" t="s">
        <v>165</v>
      </c>
      <c r="B10">
        <v>200</v>
      </c>
      <c r="C10"/>
      <c r="D10">
        <f>SUMIF(开票!B:B,A:A,开票!D:D)</f>
        <v>200</v>
      </c>
    </row>
    <row r="11" spans="1:4">
      <c r="A11" t="s">
        <v>78</v>
      </c>
      <c r="B11">
        <v>1000</v>
      </c>
      <c r="C11"/>
      <c r="D11">
        <f>SUMIF(开票!B:B,A:A,开票!D:D)</f>
        <v>1000</v>
      </c>
    </row>
    <row r="12" spans="1:4">
      <c r="A12" t="s">
        <v>103</v>
      </c>
      <c r="B12">
        <v>110</v>
      </c>
      <c r="C12"/>
      <c r="D12">
        <f>SUMIF(开票!B:B,A:A,开票!D:D)</f>
        <v>110</v>
      </c>
    </row>
    <row r="13" spans="1:4">
      <c r="A13" t="s">
        <v>230</v>
      </c>
      <c r="B13">
        <v>2000</v>
      </c>
      <c r="C13"/>
      <c r="D13">
        <f>SUMIF(开票!B:B,A:A,开票!D:D)</f>
        <v>2000</v>
      </c>
    </row>
    <row r="14" spans="1:4">
      <c r="A14" t="s">
        <v>150</v>
      </c>
      <c r="B14">
        <v>1825</v>
      </c>
      <c r="C14"/>
      <c r="D14">
        <f>SUMIF(开票!B:B,A:A,开票!D:D)</f>
        <v>1825</v>
      </c>
    </row>
    <row r="15" spans="1:4">
      <c r="A15" t="s">
        <v>65</v>
      </c>
      <c r="B15">
        <v>14200</v>
      </c>
      <c r="C15"/>
      <c r="D15">
        <f>SUMIF(开票!B:B,A:A,开票!D:D)</f>
        <v>14200</v>
      </c>
    </row>
    <row r="16" spans="1:4">
      <c r="A16" t="s">
        <v>39</v>
      </c>
      <c r="B16">
        <v>18000</v>
      </c>
      <c r="C16"/>
      <c r="D16">
        <f>SUMIF(开票!B:B,A:A,开票!D:D)</f>
        <v>18000</v>
      </c>
    </row>
    <row r="17" spans="1:4">
      <c r="A17" t="s">
        <v>41</v>
      </c>
      <c r="B17">
        <v>9000</v>
      </c>
      <c r="C17"/>
      <c r="D17">
        <f>SUMIF(开票!B:B,A:A,开票!D:D)</f>
        <v>9000</v>
      </c>
    </row>
    <row r="18" spans="1:4">
      <c r="A18" t="s">
        <v>70</v>
      </c>
      <c r="B18">
        <v>6000</v>
      </c>
      <c r="C18"/>
      <c r="D18">
        <f>SUMIF(开票!B:B,A:A,开票!D:D)</f>
        <v>6000</v>
      </c>
    </row>
    <row r="19" spans="1:4">
      <c r="A19" t="s">
        <v>56</v>
      </c>
      <c r="B19">
        <v>6000</v>
      </c>
      <c r="C19"/>
      <c r="D19">
        <f>SUMIF(开票!B:B,A:A,开票!D:D)</f>
        <v>6000</v>
      </c>
    </row>
    <row r="20" spans="1:4">
      <c r="A20" t="s">
        <v>47</v>
      </c>
      <c r="B20">
        <v>5000</v>
      </c>
      <c r="C20"/>
      <c r="D20">
        <f>SUMIF(开票!B:B,A:A,开票!D:D)</f>
        <v>5000</v>
      </c>
    </row>
    <row r="21" spans="1:4">
      <c r="A21" t="s">
        <v>71</v>
      </c>
      <c r="B21">
        <v>10400</v>
      </c>
      <c r="D21">
        <f>SUMIF(开票!B:B,A:A,开票!D:D)</f>
        <v>10400</v>
      </c>
    </row>
    <row r="22" spans="1:4">
      <c r="A22" t="s">
        <v>196</v>
      </c>
      <c r="B22">
        <v>1000</v>
      </c>
      <c r="D22">
        <f>SUMIF(开票!B:B,A:A,开票!D:D)</f>
        <v>1000</v>
      </c>
    </row>
    <row r="23" spans="1:4">
      <c r="A23" t="s">
        <v>167</v>
      </c>
      <c r="B23">
        <v>10000</v>
      </c>
      <c r="D23">
        <f>SUMIF(开票!B:B,A:A,开票!D:D)</f>
        <v>10000</v>
      </c>
    </row>
    <row r="24" spans="1:4">
      <c r="A24" t="s">
        <v>244</v>
      </c>
      <c r="B24">
        <v>30000</v>
      </c>
      <c r="D24">
        <f>SUMIF(开票!B:B,A:A,开票!D:D)</f>
        <v>30000</v>
      </c>
    </row>
    <row r="25" spans="1:4">
      <c r="A25" t="s">
        <v>169</v>
      </c>
      <c r="B25">
        <v>4000</v>
      </c>
      <c r="D25">
        <f>SUMIF(开票!B:B,A:A,开票!D:D)</f>
        <v>4000</v>
      </c>
    </row>
    <row r="26" spans="1:4">
      <c r="A26" t="s">
        <v>257</v>
      </c>
      <c r="B26">
        <v>10080</v>
      </c>
      <c r="D26">
        <f>SUMIF(开票!B:B,A:A,开票!D:D)</f>
        <v>10080</v>
      </c>
    </row>
    <row r="27" spans="1:4">
      <c r="A27" t="s">
        <v>171</v>
      </c>
      <c r="B27">
        <v>2000</v>
      </c>
      <c r="D27">
        <f>SUMIF(开票!B:B,A:A,开票!D:D)</f>
        <v>2000</v>
      </c>
    </row>
    <row r="28" spans="1:4">
      <c r="A28" t="s">
        <v>49</v>
      </c>
      <c r="B28">
        <v>24000</v>
      </c>
      <c r="D28">
        <f>SUMIF(开票!B:B,A:A,开票!D:D)</f>
        <v>24000</v>
      </c>
    </row>
    <row r="29" spans="1:4">
      <c r="A29" t="s">
        <v>159</v>
      </c>
      <c r="B29">
        <v>4000</v>
      </c>
      <c r="D29">
        <f>SUMIF(开票!B:B,A:A,开票!D:D)</f>
        <v>4000</v>
      </c>
    </row>
    <row r="30" spans="1:4">
      <c r="A30" t="s">
        <v>240</v>
      </c>
      <c r="B30">
        <v>3000</v>
      </c>
      <c r="D30">
        <f>SUMIF(开票!B:B,A:A,开票!D:D)</f>
        <v>3000</v>
      </c>
    </row>
    <row r="31" spans="1:4">
      <c r="A31" t="s">
        <v>246</v>
      </c>
      <c r="B31">
        <v>4000</v>
      </c>
      <c r="D31">
        <f>SUMIF(开票!B:B,A:A,开票!D:D)</f>
        <v>4000</v>
      </c>
    </row>
    <row r="32" spans="1:4">
      <c r="A32" t="s">
        <v>248</v>
      </c>
      <c r="B32">
        <v>4000</v>
      </c>
      <c r="D32">
        <f>SUMIF(开票!B:B,A:A,开票!D:D)</f>
        <v>4000</v>
      </c>
    </row>
    <row r="33" spans="1:4">
      <c r="A33" t="s">
        <v>250</v>
      </c>
      <c r="B33">
        <v>4000</v>
      </c>
      <c r="D33">
        <f>SUMIF(开票!B:B,A:A,开票!D:D)</f>
        <v>4000</v>
      </c>
    </row>
    <row r="34" spans="1:4">
      <c r="A34" t="s">
        <v>31</v>
      </c>
      <c r="B34">
        <v>5</v>
      </c>
      <c r="D34">
        <f>SUMIF(开票!B:B,A:A,开票!D:D)</f>
        <v>5</v>
      </c>
    </row>
    <row r="35" spans="1:4">
      <c r="A35" t="s">
        <v>94</v>
      </c>
      <c r="B35">
        <v>80</v>
      </c>
      <c r="D35">
        <f>SUMIF(开票!B:B,A:A,开票!D:D)</f>
        <v>80</v>
      </c>
    </row>
    <row r="36" spans="1:4">
      <c r="A36" t="s">
        <v>263</v>
      </c>
      <c r="B36">
        <v>196200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D48"/>
  <sheetViews>
    <sheetView workbookViewId="0">
      <selection activeCell="J6" sqref="J6"/>
    </sheetView>
  </sheetViews>
  <sheetFormatPr defaultColWidth="8.475" defaultRowHeight="13.5"/>
  <cols>
    <col min="1" max="1" width="16.0083333333333" style="120" customWidth="1"/>
    <col min="2" max="2" width="19.775" style="120" customWidth="1"/>
    <col min="3" max="3" width="11.3" style="120" customWidth="1"/>
    <col min="4" max="4" width="16.95" style="120" customWidth="1"/>
    <col min="5" max="5" width="8.475" style="120" customWidth="1"/>
    <col min="6" max="6" width="5.65" style="120" customWidth="1"/>
    <col min="7" max="8" width="11.3" style="120" customWidth="1"/>
    <col min="9" max="9" width="10.3583333333333" style="120" customWidth="1"/>
    <col min="10" max="10" width="32.0166666666667" style="120" customWidth="1"/>
    <col min="11" max="11" width="6.59166666666667" style="120" customWidth="1"/>
    <col min="12" max="12" width="19.775" style="120" customWidth="1"/>
    <col min="13" max="13" width="8.475" style="120" customWidth="1"/>
    <col min="14" max="14" width="5.65" style="120" customWidth="1"/>
    <col min="15" max="15" width="11.3" style="120" customWidth="1"/>
    <col min="16" max="16" width="9.41666666666667" style="120" customWidth="1"/>
    <col min="17" max="17" width="11.3" style="120" customWidth="1"/>
    <col min="18" max="18" width="9.41666666666667" style="120" customWidth="1"/>
    <col min="19" max="22" width="11.3" style="120" customWidth="1"/>
    <col min="23" max="23" width="5.65" style="120" customWidth="1"/>
    <col min="24" max="24" width="19.775" style="120" customWidth="1"/>
    <col min="25" max="25" width="8.475" style="120" customWidth="1"/>
    <col min="26" max="26" width="11.3" style="120" customWidth="1"/>
    <col min="27" max="27" width="5.65" style="120" customWidth="1"/>
    <col min="28" max="28" width="17.8916666666667" style="120" customWidth="1"/>
    <col min="29" max="30" width="5.65" style="120" customWidth="1"/>
    <col min="31" max="16384" width="8.475" style="120"/>
  </cols>
  <sheetData>
    <row r="1" s="120" customFormat="1" ht="17.65" spans="1:30">
      <c r="A1" s="121" t="s">
        <v>264</v>
      </c>
      <c r="B1" s="121" t="s">
        <v>265</v>
      </c>
      <c r="C1" s="121" t="s">
        <v>266</v>
      </c>
      <c r="D1" s="121" t="s">
        <v>267</v>
      </c>
      <c r="E1" s="121" t="s">
        <v>268</v>
      </c>
      <c r="F1" s="121" t="s">
        <v>269</v>
      </c>
      <c r="G1" s="121" t="s">
        <v>270</v>
      </c>
      <c r="H1" s="121" t="s">
        <v>271</v>
      </c>
      <c r="I1" s="121" t="s">
        <v>272</v>
      </c>
      <c r="J1" s="121" t="s">
        <v>273</v>
      </c>
      <c r="K1" s="121" t="s">
        <v>261</v>
      </c>
      <c r="L1" s="121" t="s">
        <v>274</v>
      </c>
      <c r="M1" s="121" t="s">
        <v>275</v>
      </c>
      <c r="N1" s="121" t="s">
        <v>276</v>
      </c>
      <c r="O1" s="121" t="s">
        <v>277</v>
      </c>
      <c r="P1" s="121" t="s">
        <v>278</v>
      </c>
      <c r="Q1" s="121" t="s">
        <v>279</v>
      </c>
      <c r="R1" s="121" t="s">
        <v>280</v>
      </c>
      <c r="S1" s="121" t="s">
        <v>281</v>
      </c>
      <c r="T1" s="121" t="s">
        <v>282</v>
      </c>
      <c r="U1" s="121" t="s">
        <v>283</v>
      </c>
      <c r="V1" s="121" t="s">
        <v>284</v>
      </c>
      <c r="W1" s="121" t="s">
        <v>285</v>
      </c>
      <c r="X1" s="121" t="s">
        <v>286</v>
      </c>
      <c r="Y1" s="121" t="s">
        <v>287</v>
      </c>
      <c r="Z1" s="121" t="s">
        <v>288</v>
      </c>
      <c r="AA1" s="121" t="s">
        <v>289</v>
      </c>
      <c r="AB1" s="121" t="s">
        <v>290</v>
      </c>
      <c r="AC1" s="121" t="s">
        <v>291</v>
      </c>
      <c r="AD1" s="121" t="s">
        <v>292</v>
      </c>
    </row>
    <row r="2" s="120" customFormat="1" hidden="1" spans="1:30">
      <c r="A2" s="120" t="s">
        <v>293</v>
      </c>
      <c r="B2" s="120" t="s">
        <v>294</v>
      </c>
      <c r="C2" s="120" t="s">
        <v>295</v>
      </c>
      <c r="D2" s="120" t="s">
        <v>296</v>
      </c>
      <c r="E2" s="120" t="s">
        <v>297</v>
      </c>
      <c r="F2" s="120" t="s">
        <v>298</v>
      </c>
      <c r="G2" s="120" t="s">
        <v>298</v>
      </c>
      <c r="H2" s="120" t="s">
        <v>299</v>
      </c>
      <c r="I2" s="120" t="s">
        <v>300</v>
      </c>
      <c r="J2" s="120" t="s">
        <v>60</v>
      </c>
      <c r="K2" s="120" t="s">
        <v>59</v>
      </c>
      <c r="L2" s="120" t="s">
        <v>301</v>
      </c>
      <c r="M2" s="120">
        <v>1600</v>
      </c>
      <c r="N2" s="120">
        <v>1</v>
      </c>
      <c r="O2" s="120">
        <v>1600</v>
      </c>
      <c r="P2" s="120" t="s">
        <v>302</v>
      </c>
      <c r="Q2" s="120" t="s">
        <v>303</v>
      </c>
      <c r="R2" s="120" t="s">
        <v>304</v>
      </c>
      <c r="S2" s="120" t="s">
        <v>305</v>
      </c>
      <c r="T2" s="120" t="s">
        <v>306</v>
      </c>
      <c r="U2" s="120" t="s">
        <v>297</v>
      </c>
      <c r="V2" s="120" t="s">
        <v>307</v>
      </c>
      <c r="W2" s="120" t="s">
        <v>297</v>
      </c>
      <c r="X2" s="120" t="s">
        <v>308</v>
      </c>
      <c r="Y2" s="120" t="s">
        <v>309</v>
      </c>
      <c r="Z2" s="120" t="s">
        <v>306</v>
      </c>
      <c r="AA2" s="120" t="s">
        <v>310</v>
      </c>
      <c r="AB2" s="120" t="s">
        <v>311</v>
      </c>
      <c r="AC2" s="120" t="s">
        <v>297</v>
      </c>
      <c r="AD2" s="120" t="s">
        <v>312</v>
      </c>
    </row>
    <row r="3" s="120" customFormat="1" hidden="1" spans="1:30">
      <c r="A3" s="120" t="s">
        <v>293</v>
      </c>
      <c r="B3" s="120" t="s">
        <v>294</v>
      </c>
      <c r="C3" s="120" t="s">
        <v>295</v>
      </c>
      <c r="D3" s="120" t="s">
        <v>296</v>
      </c>
      <c r="E3" s="120" t="s">
        <v>297</v>
      </c>
      <c r="F3" s="120" t="s">
        <v>298</v>
      </c>
      <c r="G3" s="120" t="s">
        <v>298</v>
      </c>
      <c r="H3" s="120" t="s">
        <v>299</v>
      </c>
      <c r="I3" s="120" t="s">
        <v>313</v>
      </c>
      <c r="J3" s="120" t="s">
        <v>314</v>
      </c>
      <c r="K3" s="120" t="s">
        <v>150</v>
      </c>
      <c r="L3" s="120" t="s">
        <v>301</v>
      </c>
      <c r="M3" s="120">
        <v>825</v>
      </c>
      <c r="N3" s="120">
        <v>1</v>
      </c>
      <c r="O3" s="120">
        <v>825</v>
      </c>
      <c r="P3" s="120" t="s">
        <v>315</v>
      </c>
      <c r="Q3" s="120" t="s">
        <v>316</v>
      </c>
      <c r="R3" s="120" t="s">
        <v>317</v>
      </c>
      <c r="S3" s="120" t="s">
        <v>318</v>
      </c>
      <c r="T3" s="120" t="s">
        <v>319</v>
      </c>
      <c r="U3" s="120" t="s">
        <v>297</v>
      </c>
      <c r="V3" s="120" t="s">
        <v>307</v>
      </c>
      <c r="W3" s="120" t="s">
        <v>297</v>
      </c>
      <c r="X3" s="120" t="s">
        <v>308</v>
      </c>
      <c r="Y3" s="120" t="s">
        <v>320</v>
      </c>
      <c r="Z3" s="120" t="s">
        <v>306</v>
      </c>
      <c r="AA3" s="120" t="s">
        <v>310</v>
      </c>
      <c r="AB3" s="120" t="s">
        <v>321</v>
      </c>
      <c r="AC3" s="120" t="s">
        <v>322</v>
      </c>
      <c r="AD3" s="120" t="s">
        <v>312</v>
      </c>
    </row>
    <row r="4" s="120" customFormat="1" hidden="1" spans="1:30">
      <c r="A4" s="120" t="s">
        <v>293</v>
      </c>
      <c r="B4" s="120" t="s">
        <v>294</v>
      </c>
      <c r="C4" s="120" t="s">
        <v>295</v>
      </c>
      <c r="D4" s="120" t="s">
        <v>296</v>
      </c>
      <c r="E4" s="120" t="s">
        <v>297</v>
      </c>
      <c r="F4" s="120" t="s">
        <v>298</v>
      </c>
      <c r="G4" s="120" t="s">
        <v>298</v>
      </c>
      <c r="H4" s="120" t="s">
        <v>299</v>
      </c>
      <c r="I4" s="120" t="s">
        <v>313</v>
      </c>
      <c r="J4" s="120" t="s">
        <v>314</v>
      </c>
      <c r="K4" s="120" t="s">
        <v>150</v>
      </c>
      <c r="L4" s="120" t="s">
        <v>301</v>
      </c>
      <c r="M4" s="120">
        <v>25</v>
      </c>
      <c r="N4" s="120">
        <v>40</v>
      </c>
      <c r="O4" s="120">
        <v>1000</v>
      </c>
      <c r="P4" s="120" t="s">
        <v>323</v>
      </c>
      <c r="Q4" s="120" t="s">
        <v>324</v>
      </c>
      <c r="R4" s="120" t="s">
        <v>325</v>
      </c>
      <c r="S4" s="120" t="s">
        <v>326</v>
      </c>
      <c r="T4" s="120" t="s">
        <v>327</v>
      </c>
      <c r="U4" s="120" t="s">
        <v>297</v>
      </c>
      <c r="V4" s="120" t="s">
        <v>307</v>
      </c>
      <c r="W4" s="120" t="s">
        <v>297</v>
      </c>
      <c r="X4" s="120" t="s">
        <v>308</v>
      </c>
      <c r="Y4" s="120" t="s">
        <v>320</v>
      </c>
      <c r="Z4" s="120" t="s">
        <v>306</v>
      </c>
      <c r="AA4" s="120" t="s">
        <v>310</v>
      </c>
      <c r="AB4" s="120" t="s">
        <v>328</v>
      </c>
      <c r="AC4" s="120" t="s">
        <v>322</v>
      </c>
      <c r="AD4" s="120" t="s">
        <v>312</v>
      </c>
    </row>
    <row r="5" s="120" customFormat="1" hidden="1" spans="1:30">
      <c r="A5" s="120" t="s">
        <v>293</v>
      </c>
      <c r="B5" s="120" t="s">
        <v>294</v>
      </c>
      <c r="C5" s="120" t="s">
        <v>295</v>
      </c>
      <c r="D5" s="120" t="s">
        <v>296</v>
      </c>
      <c r="E5" s="120" t="s">
        <v>297</v>
      </c>
      <c r="F5" s="120" t="s">
        <v>298</v>
      </c>
      <c r="G5" s="120" t="s">
        <v>298</v>
      </c>
      <c r="H5" s="120" t="s">
        <v>299</v>
      </c>
      <c r="I5" s="120" t="s">
        <v>329</v>
      </c>
      <c r="J5" s="120" t="s">
        <v>79</v>
      </c>
      <c r="K5" s="120" t="s">
        <v>78</v>
      </c>
      <c r="L5" s="120" t="s">
        <v>301</v>
      </c>
      <c r="M5" s="120">
        <v>25</v>
      </c>
      <c r="N5" s="120">
        <v>40</v>
      </c>
      <c r="O5" s="120">
        <v>1000</v>
      </c>
      <c r="P5" s="120" t="s">
        <v>330</v>
      </c>
      <c r="Q5" s="120" t="s">
        <v>331</v>
      </c>
      <c r="R5" s="120" t="s">
        <v>332</v>
      </c>
      <c r="S5" s="120" t="s">
        <v>333</v>
      </c>
      <c r="T5" s="120" t="s">
        <v>334</v>
      </c>
      <c r="U5" s="120" t="s">
        <v>297</v>
      </c>
      <c r="V5" s="120" t="s">
        <v>307</v>
      </c>
      <c r="W5" s="120" t="s">
        <v>297</v>
      </c>
      <c r="X5" s="120" t="s">
        <v>308</v>
      </c>
      <c r="Y5" s="120" t="s">
        <v>320</v>
      </c>
      <c r="Z5" s="120" t="s">
        <v>306</v>
      </c>
      <c r="AA5" s="120" t="s">
        <v>310</v>
      </c>
      <c r="AB5" s="120" t="s">
        <v>335</v>
      </c>
      <c r="AC5" s="120" t="s">
        <v>322</v>
      </c>
      <c r="AD5" s="120" t="s">
        <v>312</v>
      </c>
    </row>
    <row r="6" s="120" customFormat="1" spans="1:30">
      <c r="A6" s="120" t="s">
        <v>336</v>
      </c>
      <c r="B6" s="120" t="s">
        <v>337</v>
      </c>
      <c r="C6" s="120" t="s">
        <v>338</v>
      </c>
      <c r="D6" s="120" t="s">
        <v>339</v>
      </c>
      <c r="E6" s="120" t="s">
        <v>297</v>
      </c>
      <c r="F6" s="120" t="s">
        <v>298</v>
      </c>
      <c r="G6" s="120" t="s">
        <v>298</v>
      </c>
      <c r="H6" s="120" t="s">
        <v>299</v>
      </c>
      <c r="I6" s="120" t="s">
        <v>340</v>
      </c>
      <c r="J6" s="120" t="s">
        <v>32</v>
      </c>
      <c r="K6" s="120" t="s">
        <v>31</v>
      </c>
      <c r="L6" s="120" t="s">
        <v>341</v>
      </c>
      <c r="M6" s="120">
        <v>110</v>
      </c>
      <c r="N6" s="120">
        <v>0</v>
      </c>
      <c r="O6" s="120">
        <v>5</v>
      </c>
      <c r="P6" s="120" t="s">
        <v>342</v>
      </c>
      <c r="Q6" s="120" t="s">
        <v>343</v>
      </c>
      <c r="R6" s="120" t="s">
        <v>344</v>
      </c>
      <c r="S6" s="120" t="s">
        <v>345</v>
      </c>
      <c r="T6" s="120" t="s">
        <v>346</v>
      </c>
      <c r="U6" s="120" t="s">
        <v>297</v>
      </c>
      <c r="V6" s="120" t="s">
        <v>347</v>
      </c>
      <c r="W6" s="120" t="s">
        <v>297</v>
      </c>
      <c r="X6" s="120" t="s">
        <v>308</v>
      </c>
      <c r="Y6" s="120" t="s">
        <v>348</v>
      </c>
      <c r="Z6" s="120" t="s">
        <v>306</v>
      </c>
      <c r="AA6" s="120" t="s">
        <v>310</v>
      </c>
      <c r="AB6" s="120" t="s">
        <v>349</v>
      </c>
      <c r="AC6" s="120" t="s">
        <v>322</v>
      </c>
      <c r="AD6" s="120" t="s">
        <v>350</v>
      </c>
    </row>
    <row r="7" s="120" customFormat="1" hidden="1" spans="1:30">
      <c r="A7" s="120" t="s">
        <v>351</v>
      </c>
      <c r="B7" s="120" t="s">
        <v>294</v>
      </c>
      <c r="C7" s="120" t="s">
        <v>352</v>
      </c>
      <c r="D7" s="120" t="s">
        <v>353</v>
      </c>
      <c r="E7" s="120" t="s">
        <v>297</v>
      </c>
      <c r="F7" s="120" t="s">
        <v>298</v>
      </c>
      <c r="G7" s="120" t="s">
        <v>298</v>
      </c>
      <c r="H7" s="120" t="s">
        <v>299</v>
      </c>
      <c r="I7" s="120" t="s">
        <v>354</v>
      </c>
      <c r="J7" s="120" t="s">
        <v>245</v>
      </c>
      <c r="K7" s="120" t="s">
        <v>244</v>
      </c>
      <c r="L7" s="120" t="s">
        <v>355</v>
      </c>
      <c r="M7" s="120">
        <v>5000</v>
      </c>
      <c r="N7" s="120">
        <v>1</v>
      </c>
      <c r="O7" s="120">
        <v>3000</v>
      </c>
      <c r="P7" s="120" t="s">
        <v>356</v>
      </c>
      <c r="Q7" s="120" t="s">
        <v>357</v>
      </c>
      <c r="R7" s="120" t="s">
        <v>358</v>
      </c>
      <c r="S7" s="120" t="s">
        <v>359</v>
      </c>
      <c r="T7" s="120" t="s">
        <v>360</v>
      </c>
      <c r="U7" s="120" t="s">
        <v>297</v>
      </c>
      <c r="V7" s="120" t="s">
        <v>361</v>
      </c>
      <c r="W7" s="120" t="s">
        <v>297</v>
      </c>
      <c r="X7" s="120" t="s">
        <v>308</v>
      </c>
      <c r="Y7" s="120" t="s">
        <v>362</v>
      </c>
      <c r="Z7" s="120" t="s">
        <v>363</v>
      </c>
      <c r="AA7" s="120" t="s">
        <v>310</v>
      </c>
      <c r="AB7" s="120" t="s">
        <v>364</v>
      </c>
      <c r="AC7" s="120" t="s">
        <v>322</v>
      </c>
      <c r="AD7" s="120" t="s">
        <v>365</v>
      </c>
    </row>
    <row r="8" s="120" customFormat="1" hidden="1" spans="1:30">
      <c r="A8" s="120" t="s">
        <v>351</v>
      </c>
      <c r="B8" s="120" t="s">
        <v>294</v>
      </c>
      <c r="C8" s="120" t="s">
        <v>352</v>
      </c>
      <c r="D8" s="120" t="s">
        <v>353</v>
      </c>
      <c r="E8" s="120" t="s">
        <v>297</v>
      </c>
      <c r="F8" s="120" t="s">
        <v>298</v>
      </c>
      <c r="G8" s="120" t="s">
        <v>298</v>
      </c>
      <c r="H8" s="120" t="s">
        <v>299</v>
      </c>
      <c r="I8" s="120" t="s">
        <v>366</v>
      </c>
      <c r="J8" s="120" t="s">
        <v>247</v>
      </c>
      <c r="K8" s="120" t="s">
        <v>246</v>
      </c>
      <c r="L8" s="120" t="s">
        <v>355</v>
      </c>
      <c r="M8" s="120">
        <v>2000</v>
      </c>
      <c r="N8" s="120">
        <v>1</v>
      </c>
      <c r="O8" s="120">
        <v>2000</v>
      </c>
      <c r="P8" s="120" t="s">
        <v>367</v>
      </c>
      <c r="Q8" s="120" t="s">
        <v>368</v>
      </c>
      <c r="R8" s="120" t="s">
        <v>369</v>
      </c>
      <c r="S8" s="120" t="s">
        <v>370</v>
      </c>
      <c r="T8" s="120" t="s">
        <v>371</v>
      </c>
      <c r="U8" s="120" t="s">
        <v>297</v>
      </c>
      <c r="V8" s="120" t="s">
        <v>361</v>
      </c>
      <c r="W8" s="120" t="s">
        <v>297</v>
      </c>
      <c r="X8" s="120" t="s">
        <v>308</v>
      </c>
      <c r="Y8" s="120" t="s">
        <v>362</v>
      </c>
      <c r="Z8" s="120" t="s">
        <v>363</v>
      </c>
      <c r="AA8" s="120" t="s">
        <v>310</v>
      </c>
      <c r="AB8" s="120" t="s">
        <v>372</v>
      </c>
      <c r="AC8" s="120" t="s">
        <v>322</v>
      </c>
      <c r="AD8" s="120" t="s">
        <v>365</v>
      </c>
    </row>
    <row r="9" s="120" customFormat="1" hidden="1" spans="1:30">
      <c r="A9" s="120" t="s">
        <v>351</v>
      </c>
      <c r="B9" s="120" t="s">
        <v>294</v>
      </c>
      <c r="C9" s="120" t="s">
        <v>352</v>
      </c>
      <c r="D9" s="120" t="s">
        <v>353</v>
      </c>
      <c r="E9" s="120" t="s">
        <v>297</v>
      </c>
      <c r="F9" s="120" t="s">
        <v>298</v>
      </c>
      <c r="G9" s="120" t="s">
        <v>298</v>
      </c>
      <c r="H9" s="120" t="s">
        <v>299</v>
      </c>
      <c r="I9" s="120" t="s">
        <v>366</v>
      </c>
      <c r="J9" s="120" t="s">
        <v>247</v>
      </c>
      <c r="K9" s="120" t="s">
        <v>246</v>
      </c>
      <c r="L9" s="120" t="s">
        <v>355</v>
      </c>
      <c r="M9" s="120">
        <v>2000</v>
      </c>
      <c r="N9" s="120">
        <v>1</v>
      </c>
      <c r="O9" s="120">
        <v>2000</v>
      </c>
      <c r="P9" s="120" t="s">
        <v>373</v>
      </c>
      <c r="Q9" s="120" t="s">
        <v>374</v>
      </c>
      <c r="R9" s="120" t="s">
        <v>375</v>
      </c>
      <c r="S9" s="120" t="s">
        <v>376</v>
      </c>
      <c r="T9" s="120" t="s">
        <v>377</v>
      </c>
      <c r="U9" s="120" t="s">
        <v>297</v>
      </c>
      <c r="V9" s="120" t="s">
        <v>361</v>
      </c>
      <c r="W9" s="120" t="s">
        <v>297</v>
      </c>
      <c r="X9" s="120" t="s">
        <v>308</v>
      </c>
      <c r="Y9" s="120" t="s">
        <v>362</v>
      </c>
      <c r="Z9" s="120" t="s">
        <v>363</v>
      </c>
      <c r="AA9" s="120" t="s">
        <v>310</v>
      </c>
      <c r="AB9" s="120" t="s">
        <v>378</v>
      </c>
      <c r="AC9" s="120" t="s">
        <v>322</v>
      </c>
      <c r="AD9" s="120" t="s">
        <v>365</v>
      </c>
    </row>
    <row r="10" s="120" customFormat="1" hidden="1" spans="1:30">
      <c r="A10" s="120" t="s">
        <v>351</v>
      </c>
      <c r="B10" s="120" t="s">
        <v>294</v>
      </c>
      <c r="C10" s="120" t="s">
        <v>352</v>
      </c>
      <c r="D10" s="120" t="s">
        <v>353</v>
      </c>
      <c r="E10" s="120" t="s">
        <v>297</v>
      </c>
      <c r="F10" s="120" t="s">
        <v>298</v>
      </c>
      <c r="G10" s="120" t="s">
        <v>298</v>
      </c>
      <c r="H10" s="120" t="s">
        <v>299</v>
      </c>
      <c r="I10" s="120" t="s">
        <v>379</v>
      </c>
      <c r="J10" s="120" t="s">
        <v>251</v>
      </c>
      <c r="K10" s="120" t="s">
        <v>250</v>
      </c>
      <c r="L10" s="120" t="s">
        <v>355</v>
      </c>
      <c r="M10" s="120">
        <v>2000</v>
      </c>
      <c r="N10" s="120">
        <v>1</v>
      </c>
      <c r="O10" s="120">
        <v>2000</v>
      </c>
      <c r="P10" s="120" t="s">
        <v>380</v>
      </c>
      <c r="Q10" s="120" t="s">
        <v>381</v>
      </c>
      <c r="R10" s="120" t="s">
        <v>382</v>
      </c>
      <c r="S10" s="120" t="s">
        <v>383</v>
      </c>
      <c r="T10" s="120" t="s">
        <v>371</v>
      </c>
      <c r="U10" s="120" t="s">
        <v>297</v>
      </c>
      <c r="V10" s="120" t="s">
        <v>361</v>
      </c>
      <c r="W10" s="120" t="s">
        <v>297</v>
      </c>
      <c r="X10" s="120" t="s">
        <v>308</v>
      </c>
      <c r="Y10" s="120" t="s">
        <v>362</v>
      </c>
      <c r="Z10" s="120" t="s">
        <v>363</v>
      </c>
      <c r="AA10" s="120" t="s">
        <v>310</v>
      </c>
      <c r="AB10" s="120" t="s">
        <v>384</v>
      </c>
      <c r="AC10" s="120" t="s">
        <v>322</v>
      </c>
      <c r="AD10" s="120" t="s">
        <v>365</v>
      </c>
    </row>
    <row r="11" s="120" customFormat="1" hidden="1" spans="1:30">
      <c r="A11" s="120" t="s">
        <v>351</v>
      </c>
      <c r="B11" s="120" t="s">
        <v>294</v>
      </c>
      <c r="C11" s="120" t="s">
        <v>352</v>
      </c>
      <c r="D11" s="120" t="s">
        <v>353</v>
      </c>
      <c r="E11" s="120" t="s">
        <v>297</v>
      </c>
      <c r="F11" s="120" t="s">
        <v>298</v>
      </c>
      <c r="G11" s="120" t="s">
        <v>298</v>
      </c>
      <c r="H11" s="120" t="s">
        <v>299</v>
      </c>
      <c r="I11" s="120" t="s">
        <v>379</v>
      </c>
      <c r="J11" s="120" t="s">
        <v>251</v>
      </c>
      <c r="K11" s="120" t="s">
        <v>250</v>
      </c>
      <c r="L11" s="120" t="s">
        <v>355</v>
      </c>
      <c r="M11" s="120">
        <v>2000</v>
      </c>
      <c r="N11" s="120">
        <v>1</v>
      </c>
      <c r="O11" s="120">
        <v>2000</v>
      </c>
      <c r="P11" s="120" t="s">
        <v>380</v>
      </c>
      <c r="Q11" s="120" t="s">
        <v>381</v>
      </c>
      <c r="R11" s="120" t="s">
        <v>385</v>
      </c>
      <c r="S11" s="120" t="s">
        <v>376</v>
      </c>
      <c r="T11" s="120" t="s">
        <v>377</v>
      </c>
      <c r="U11" s="120" t="s">
        <v>297</v>
      </c>
      <c r="V11" s="120" t="s">
        <v>361</v>
      </c>
      <c r="W11" s="120" t="s">
        <v>297</v>
      </c>
      <c r="X11" s="120" t="s">
        <v>308</v>
      </c>
      <c r="Y11" s="120" t="s">
        <v>362</v>
      </c>
      <c r="Z11" s="120" t="s">
        <v>363</v>
      </c>
      <c r="AA11" s="120" t="s">
        <v>310</v>
      </c>
      <c r="AB11" s="120" t="s">
        <v>386</v>
      </c>
      <c r="AC11" s="120" t="s">
        <v>322</v>
      </c>
      <c r="AD11" s="120" t="s">
        <v>365</v>
      </c>
    </row>
    <row r="12" s="120" customFormat="1" hidden="1" spans="1:30">
      <c r="A12" s="120" t="s">
        <v>351</v>
      </c>
      <c r="B12" s="120" t="s">
        <v>294</v>
      </c>
      <c r="C12" s="120" t="s">
        <v>352</v>
      </c>
      <c r="D12" s="120" t="s">
        <v>353</v>
      </c>
      <c r="E12" s="120" t="s">
        <v>297</v>
      </c>
      <c r="F12" s="120" t="s">
        <v>298</v>
      </c>
      <c r="G12" s="120" t="s">
        <v>298</v>
      </c>
      <c r="H12" s="120" t="s">
        <v>299</v>
      </c>
      <c r="I12" s="120" t="s">
        <v>387</v>
      </c>
      <c r="J12" s="120" t="s">
        <v>249</v>
      </c>
      <c r="K12" s="120" t="s">
        <v>248</v>
      </c>
      <c r="L12" s="120" t="s">
        <v>355</v>
      </c>
      <c r="M12" s="120">
        <v>2000</v>
      </c>
      <c r="N12" s="120">
        <v>1</v>
      </c>
      <c r="O12" s="120">
        <v>2000</v>
      </c>
      <c r="P12" s="120" t="s">
        <v>380</v>
      </c>
      <c r="Q12" s="120" t="s">
        <v>381</v>
      </c>
      <c r="R12" s="120" t="s">
        <v>388</v>
      </c>
      <c r="S12" s="120" t="s">
        <v>383</v>
      </c>
      <c r="T12" s="120" t="s">
        <v>371</v>
      </c>
      <c r="U12" s="120" t="s">
        <v>297</v>
      </c>
      <c r="V12" s="120" t="s">
        <v>361</v>
      </c>
      <c r="W12" s="120" t="s">
        <v>297</v>
      </c>
      <c r="X12" s="120" t="s">
        <v>308</v>
      </c>
      <c r="Y12" s="120" t="s">
        <v>362</v>
      </c>
      <c r="Z12" s="120" t="s">
        <v>363</v>
      </c>
      <c r="AA12" s="120" t="s">
        <v>310</v>
      </c>
      <c r="AB12" s="120" t="s">
        <v>389</v>
      </c>
      <c r="AC12" s="120" t="s">
        <v>322</v>
      </c>
      <c r="AD12" s="120" t="s">
        <v>365</v>
      </c>
    </row>
    <row r="13" s="120" customFormat="1" hidden="1" spans="1:30">
      <c r="A13" s="120" t="s">
        <v>351</v>
      </c>
      <c r="B13" s="120" t="s">
        <v>294</v>
      </c>
      <c r="C13" s="120" t="s">
        <v>352</v>
      </c>
      <c r="D13" s="120" t="s">
        <v>353</v>
      </c>
      <c r="E13" s="120" t="s">
        <v>297</v>
      </c>
      <c r="F13" s="120" t="s">
        <v>298</v>
      </c>
      <c r="G13" s="120" t="s">
        <v>298</v>
      </c>
      <c r="H13" s="120" t="s">
        <v>299</v>
      </c>
      <c r="I13" s="120" t="s">
        <v>387</v>
      </c>
      <c r="J13" s="120" t="s">
        <v>249</v>
      </c>
      <c r="K13" s="120" t="s">
        <v>248</v>
      </c>
      <c r="L13" s="120" t="s">
        <v>355</v>
      </c>
      <c r="M13" s="120">
        <v>2000</v>
      </c>
      <c r="N13" s="120">
        <v>1</v>
      </c>
      <c r="O13" s="120">
        <v>2000</v>
      </c>
      <c r="P13" s="120" t="s">
        <v>390</v>
      </c>
      <c r="Q13" s="120" t="s">
        <v>391</v>
      </c>
      <c r="R13" s="120" t="s">
        <v>392</v>
      </c>
      <c r="S13" s="120" t="s">
        <v>376</v>
      </c>
      <c r="T13" s="120" t="s">
        <v>377</v>
      </c>
      <c r="U13" s="120" t="s">
        <v>297</v>
      </c>
      <c r="V13" s="120" t="s">
        <v>361</v>
      </c>
      <c r="W13" s="120" t="s">
        <v>297</v>
      </c>
      <c r="X13" s="120" t="s">
        <v>308</v>
      </c>
      <c r="Y13" s="120" t="s">
        <v>362</v>
      </c>
      <c r="Z13" s="120" t="s">
        <v>363</v>
      </c>
      <c r="AA13" s="120" t="s">
        <v>310</v>
      </c>
      <c r="AB13" s="120" t="s">
        <v>393</v>
      </c>
      <c r="AC13" s="120" t="s">
        <v>322</v>
      </c>
      <c r="AD13" s="120" t="s">
        <v>365</v>
      </c>
    </row>
    <row r="14" s="120" customFormat="1" hidden="1" spans="1:30">
      <c r="A14" s="120" t="s">
        <v>351</v>
      </c>
      <c r="B14" s="120" t="s">
        <v>294</v>
      </c>
      <c r="C14" s="120" t="s">
        <v>352</v>
      </c>
      <c r="D14" s="120" t="s">
        <v>353</v>
      </c>
      <c r="E14" s="120" t="s">
        <v>297</v>
      </c>
      <c r="F14" s="120" t="s">
        <v>298</v>
      </c>
      <c r="G14" s="120" t="s">
        <v>298</v>
      </c>
      <c r="H14" s="120" t="s">
        <v>299</v>
      </c>
      <c r="I14" s="120" t="s">
        <v>354</v>
      </c>
      <c r="J14" s="120" t="s">
        <v>245</v>
      </c>
      <c r="K14" s="120" t="s">
        <v>244</v>
      </c>
      <c r="L14" s="120" t="s">
        <v>355</v>
      </c>
      <c r="M14" s="120">
        <v>5000</v>
      </c>
      <c r="N14" s="120">
        <v>1</v>
      </c>
      <c r="O14" s="120">
        <v>5000</v>
      </c>
      <c r="P14" s="120" t="s">
        <v>394</v>
      </c>
      <c r="Q14" s="120" t="s">
        <v>395</v>
      </c>
      <c r="R14" s="120" t="s">
        <v>396</v>
      </c>
      <c r="S14" s="120" t="s">
        <v>376</v>
      </c>
      <c r="T14" s="120" t="s">
        <v>397</v>
      </c>
      <c r="U14" s="120" t="s">
        <v>297</v>
      </c>
      <c r="V14" s="120" t="s">
        <v>361</v>
      </c>
      <c r="W14" s="120" t="s">
        <v>297</v>
      </c>
      <c r="X14" s="120" t="s">
        <v>308</v>
      </c>
      <c r="Y14" s="120" t="s">
        <v>362</v>
      </c>
      <c r="Z14" s="120" t="s">
        <v>363</v>
      </c>
      <c r="AA14" s="120" t="s">
        <v>310</v>
      </c>
      <c r="AB14" s="120" t="s">
        <v>398</v>
      </c>
      <c r="AC14" s="120" t="s">
        <v>322</v>
      </c>
      <c r="AD14" s="120" t="s">
        <v>365</v>
      </c>
    </row>
    <row r="15" s="120" customFormat="1" hidden="1" spans="1:30">
      <c r="A15" s="120" t="s">
        <v>351</v>
      </c>
      <c r="B15" s="120" t="s">
        <v>294</v>
      </c>
      <c r="C15" s="120" t="s">
        <v>352</v>
      </c>
      <c r="D15" s="120" t="s">
        <v>353</v>
      </c>
      <c r="E15" s="120" t="s">
        <v>297</v>
      </c>
      <c r="F15" s="120" t="s">
        <v>298</v>
      </c>
      <c r="G15" s="120" t="s">
        <v>298</v>
      </c>
      <c r="H15" s="120" t="s">
        <v>299</v>
      </c>
      <c r="I15" s="120" t="s">
        <v>354</v>
      </c>
      <c r="J15" s="120" t="s">
        <v>245</v>
      </c>
      <c r="K15" s="120" t="s">
        <v>244</v>
      </c>
      <c r="L15" s="120" t="s">
        <v>355</v>
      </c>
      <c r="M15" s="120">
        <v>2000</v>
      </c>
      <c r="N15" s="120">
        <v>1</v>
      </c>
      <c r="O15" s="120">
        <v>2000</v>
      </c>
      <c r="P15" s="120" t="s">
        <v>394</v>
      </c>
      <c r="Q15" s="120" t="s">
        <v>395</v>
      </c>
      <c r="R15" s="120" t="s">
        <v>396</v>
      </c>
      <c r="S15" s="120" t="s">
        <v>376</v>
      </c>
      <c r="T15" s="120" t="s">
        <v>397</v>
      </c>
      <c r="U15" s="120" t="s">
        <v>297</v>
      </c>
      <c r="V15" s="120" t="s">
        <v>361</v>
      </c>
      <c r="W15" s="120" t="s">
        <v>297</v>
      </c>
      <c r="X15" s="120" t="s">
        <v>308</v>
      </c>
      <c r="Y15" s="120" t="s">
        <v>362</v>
      </c>
      <c r="Z15" s="120" t="s">
        <v>363</v>
      </c>
      <c r="AA15" s="120" t="s">
        <v>310</v>
      </c>
      <c r="AB15" s="120" t="s">
        <v>398</v>
      </c>
      <c r="AC15" s="120" t="s">
        <v>322</v>
      </c>
      <c r="AD15" s="120" t="s">
        <v>365</v>
      </c>
    </row>
    <row r="16" s="120" customFormat="1" hidden="1" spans="1:30">
      <c r="A16" s="120" t="s">
        <v>351</v>
      </c>
      <c r="B16" s="120" t="s">
        <v>294</v>
      </c>
      <c r="C16" s="120" t="s">
        <v>352</v>
      </c>
      <c r="D16" s="120" t="s">
        <v>353</v>
      </c>
      <c r="E16" s="120" t="s">
        <v>297</v>
      </c>
      <c r="F16" s="120" t="s">
        <v>298</v>
      </c>
      <c r="G16" s="120" t="s">
        <v>298</v>
      </c>
      <c r="H16" s="120" t="s">
        <v>299</v>
      </c>
      <c r="I16" s="120" t="s">
        <v>354</v>
      </c>
      <c r="J16" s="120" t="s">
        <v>245</v>
      </c>
      <c r="K16" s="120" t="s">
        <v>244</v>
      </c>
      <c r="L16" s="120" t="s">
        <v>355</v>
      </c>
      <c r="M16" s="120">
        <v>5000</v>
      </c>
      <c r="N16" s="120">
        <v>2</v>
      </c>
      <c r="O16" s="120">
        <v>10000</v>
      </c>
      <c r="P16" s="120" t="s">
        <v>399</v>
      </c>
      <c r="Q16" s="120" t="s">
        <v>400</v>
      </c>
      <c r="R16" s="120" t="s">
        <v>401</v>
      </c>
      <c r="S16" s="120" t="s">
        <v>402</v>
      </c>
      <c r="T16" s="120" t="s">
        <v>377</v>
      </c>
      <c r="U16" s="120" t="s">
        <v>297</v>
      </c>
      <c r="V16" s="120" t="s">
        <v>361</v>
      </c>
      <c r="W16" s="120" t="s">
        <v>297</v>
      </c>
      <c r="X16" s="120" t="s">
        <v>308</v>
      </c>
      <c r="Y16" s="120" t="s">
        <v>362</v>
      </c>
      <c r="Z16" s="120" t="s">
        <v>363</v>
      </c>
      <c r="AA16" s="120" t="s">
        <v>310</v>
      </c>
      <c r="AB16" s="120" t="s">
        <v>403</v>
      </c>
      <c r="AC16" s="120" t="s">
        <v>322</v>
      </c>
      <c r="AD16" s="120" t="s">
        <v>365</v>
      </c>
    </row>
    <row r="17" s="120" customFormat="1" hidden="1" spans="1:30">
      <c r="A17" s="120" t="s">
        <v>351</v>
      </c>
      <c r="B17" s="120" t="s">
        <v>294</v>
      </c>
      <c r="C17" s="120" t="s">
        <v>352</v>
      </c>
      <c r="D17" s="120" t="s">
        <v>353</v>
      </c>
      <c r="E17" s="120" t="s">
        <v>297</v>
      </c>
      <c r="F17" s="120" t="s">
        <v>298</v>
      </c>
      <c r="G17" s="120" t="s">
        <v>298</v>
      </c>
      <c r="H17" s="120" t="s">
        <v>299</v>
      </c>
      <c r="I17" s="120" t="s">
        <v>354</v>
      </c>
      <c r="J17" s="120" t="s">
        <v>245</v>
      </c>
      <c r="K17" s="120" t="s">
        <v>244</v>
      </c>
      <c r="L17" s="120" t="s">
        <v>355</v>
      </c>
      <c r="M17" s="120">
        <v>10000</v>
      </c>
      <c r="N17" s="120">
        <v>1</v>
      </c>
      <c r="O17" s="120">
        <v>10000</v>
      </c>
      <c r="P17" s="120" t="s">
        <v>404</v>
      </c>
      <c r="Q17" s="120" t="s">
        <v>405</v>
      </c>
      <c r="R17" s="120" t="s">
        <v>406</v>
      </c>
      <c r="S17" s="120" t="s">
        <v>402</v>
      </c>
      <c r="T17" s="120" t="s">
        <v>407</v>
      </c>
      <c r="U17" s="120" t="s">
        <v>297</v>
      </c>
      <c r="V17" s="120" t="s">
        <v>361</v>
      </c>
      <c r="W17" s="120" t="s">
        <v>297</v>
      </c>
      <c r="X17" s="120" t="s">
        <v>308</v>
      </c>
      <c r="Y17" s="120" t="s">
        <v>362</v>
      </c>
      <c r="Z17" s="120" t="s">
        <v>363</v>
      </c>
      <c r="AA17" s="120" t="s">
        <v>310</v>
      </c>
      <c r="AB17" s="120" t="s">
        <v>408</v>
      </c>
      <c r="AC17" s="120" t="s">
        <v>322</v>
      </c>
      <c r="AD17" s="120" t="s">
        <v>365</v>
      </c>
    </row>
    <row r="18" s="120" customFormat="1" hidden="1" spans="1:30">
      <c r="A18" s="120" t="s">
        <v>409</v>
      </c>
      <c r="B18" s="120" t="s">
        <v>294</v>
      </c>
      <c r="C18" s="120" t="s">
        <v>295</v>
      </c>
      <c r="D18" s="120" t="s">
        <v>296</v>
      </c>
      <c r="E18" s="120" t="s">
        <v>297</v>
      </c>
      <c r="F18" s="120" t="s">
        <v>298</v>
      </c>
      <c r="G18" s="120" t="s">
        <v>298</v>
      </c>
      <c r="H18" s="120" t="s">
        <v>299</v>
      </c>
      <c r="I18" s="120" t="s">
        <v>410</v>
      </c>
      <c r="J18" s="120" t="s">
        <v>411</v>
      </c>
      <c r="K18" s="120" t="s">
        <v>51</v>
      </c>
      <c r="L18" s="120" t="s">
        <v>301</v>
      </c>
      <c r="M18" s="120">
        <v>3000</v>
      </c>
      <c r="N18" s="120">
        <v>1</v>
      </c>
      <c r="O18" s="120">
        <v>3000</v>
      </c>
      <c r="P18" s="120" t="s">
        <v>412</v>
      </c>
      <c r="Q18" s="120" t="s">
        <v>303</v>
      </c>
      <c r="R18" s="120" t="s">
        <v>413</v>
      </c>
      <c r="S18" s="120" t="s">
        <v>414</v>
      </c>
      <c r="T18" s="120" t="s">
        <v>371</v>
      </c>
      <c r="U18" s="120" t="s">
        <v>297</v>
      </c>
      <c r="V18" s="120" t="s">
        <v>415</v>
      </c>
      <c r="W18" s="120" t="s">
        <v>297</v>
      </c>
      <c r="X18" s="120" t="s">
        <v>308</v>
      </c>
      <c r="Y18" s="120" t="s">
        <v>320</v>
      </c>
      <c r="Z18" s="120" t="s">
        <v>371</v>
      </c>
      <c r="AA18" s="120" t="s">
        <v>310</v>
      </c>
      <c r="AB18" s="120" t="s">
        <v>416</v>
      </c>
      <c r="AC18" s="120" t="s">
        <v>297</v>
      </c>
      <c r="AD18" s="120" t="s">
        <v>312</v>
      </c>
    </row>
    <row r="19" s="120" customFormat="1" hidden="1" spans="1:30">
      <c r="A19" s="120" t="s">
        <v>409</v>
      </c>
      <c r="B19" s="120" t="s">
        <v>294</v>
      </c>
      <c r="C19" s="120" t="s">
        <v>295</v>
      </c>
      <c r="D19" s="120" t="s">
        <v>296</v>
      </c>
      <c r="E19" s="120" t="s">
        <v>297</v>
      </c>
      <c r="F19" s="120" t="s">
        <v>298</v>
      </c>
      <c r="G19" s="120" t="s">
        <v>298</v>
      </c>
      <c r="H19" s="120" t="s">
        <v>299</v>
      </c>
      <c r="I19" s="120" t="s">
        <v>417</v>
      </c>
      <c r="J19" s="120" t="s">
        <v>23</v>
      </c>
      <c r="K19" s="120" t="s">
        <v>22</v>
      </c>
      <c r="L19" s="120" t="s">
        <v>301</v>
      </c>
      <c r="M19" s="120">
        <v>3000</v>
      </c>
      <c r="N19" s="120">
        <v>1</v>
      </c>
      <c r="O19" s="120">
        <v>3000</v>
      </c>
      <c r="P19" s="120" t="s">
        <v>412</v>
      </c>
      <c r="Q19" s="120" t="s">
        <v>303</v>
      </c>
      <c r="R19" s="120" t="s">
        <v>418</v>
      </c>
      <c r="S19" s="120" t="s">
        <v>419</v>
      </c>
      <c r="T19" s="120" t="s">
        <v>371</v>
      </c>
      <c r="U19" s="120" t="s">
        <v>297</v>
      </c>
      <c r="V19" s="120" t="s">
        <v>415</v>
      </c>
      <c r="W19" s="120" t="s">
        <v>297</v>
      </c>
      <c r="X19" s="120" t="s">
        <v>308</v>
      </c>
      <c r="Y19" s="120" t="s">
        <v>320</v>
      </c>
      <c r="Z19" s="120" t="s">
        <v>371</v>
      </c>
      <c r="AA19" s="120" t="s">
        <v>310</v>
      </c>
      <c r="AB19" s="120" t="s">
        <v>420</v>
      </c>
      <c r="AC19" s="120" t="s">
        <v>297</v>
      </c>
      <c r="AD19" s="120" t="s">
        <v>312</v>
      </c>
    </row>
    <row r="20" s="120" customFormat="1" hidden="1" spans="1:30">
      <c r="A20" s="120" t="s">
        <v>421</v>
      </c>
      <c r="B20" s="120" t="s">
        <v>294</v>
      </c>
      <c r="C20" s="120" t="s">
        <v>352</v>
      </c>
      <c r="D20" s="120" t="s">
        <v>353</v>
      </c>
      <c r="E20" s="120" t="s">
        <v>297</v>
      </c>
      <c r="F20" s="120" t="s">
        <v>298</v>
      </c>
      <c r="G20" s="120" t="s">
        <v>298</v>
      </c>
      <c r="H20" s="120" t="s">
        <v>299</v>
      </c>
      <c r="I20" s="120" t="s">
        <v>422</v>
      </c>
      <c r="J20" s="120" t="s">
        <v>241</v>
      </c>
      <c r="K20" s="120" t="s">
        <v>240</v>
      </c>
      <c r="L20" s="120" t="s">
        <v>341</v>
      </c>
      <c r="M20" s="120">
        <v>3000</v>
      </c>
      <c r="N20" s="120">
        <v>1</v>
      </c>
      <c r="O20" s="120">
        <v>3000</v>
      </c>
      <c r="P20" s="120" t="s">
        <v>423</v>
      </c>
      <c r="Q20" s="120" t="s">
        <v>424</v>
      </c>
      <c r="R20" s="120" t="s">
        <v>425</v>
      </c>
      <c r="S20" s="120" t="s">
        <v>426</v>
      </c>
      <c r="T20" s="120" t="s">
        <v>427</v>
      </c>
      <c r="U20" s="120" t="s">
        <v>297</v>
      </c>
      <c r="V20" s="120" t="s">
        <v>428</v>
      </c>
      <c r="W20" s="120" t="s">
        <v>297</v>
      </c>
      <c r="X20" s="120" t="s">
        <v>308</v>
      </c>
      <c r="Y20" s="120" t="s">
        <v>362</v>
      </c>
      <c r="Z20" s="120" t="s">
        <v>429</v>
      </c>
      <c r="AA20" s="120" t="s">
        <v>310</v>
      </c>
      <c r="AB20" s="120" t="s">
        <v>430</v>
      </c>
      <c r="AC20" s="120" t="s">
        <v>322</v>
      </c>
      <c r="AD20" s="120" t="s">
        <v>365</v>
      </c>
    </row>
    <row r="21" s="120" customFormat="1" hidden="1" spans="1:30">
      <c r="A21" s="120" t="s">
        <v>421</v>
      </c>
      <c r="B21" s="120" t="s">
        <v>294</v>
      </c>
      <c r="C21" s="120" t="s">
        <v>352</v>
      </c>
      <c r="D21" s="120" t="s">
        <v>353</v>
      </c>
      <c r="E21" s="120" t="s">
        <v>297</v>
      </c>
      <c r="F21" s="120" t="s">
        <v>298</v>
      </c>
      <c r="G21" s="120" t="s">
        <v>298</v>
      </c>
      <c r="H21" s="120" t="s">
        <v>299</v>
      </c>
      <c r="I21" s="120" t="s">
        <v>431</v>
      </c>
      <c r="J21" s="120" t="s">
        <v>432</v>
      </c>
      <c r="K21" s="120" t="s">
        <v>49</v>
      </c>
      <c r="L21" s="120" t="s">
        <v>355</v>
      </c>
      <c r="M21" s="120">
        <v>24000</v>
      </c>
      <c r="N21" s="120">
        <v>1</v>
      </c>
      <c r="O21" s="120">
        <v>24000</v>
      </c>
      <c r="P21" s="120" t="s">
        <v>404</v>
      </c>
      <c r="Q21" s="120" t="s">
        <v>433</v>
      </c>
      <c r="R21" s="120" t="s">
        <v>434</v>
      </c>
      <c r="S21" s="120" t="s">
        <v>435</v>
      </c>
      <c r="T21" s="120" t="s">
        <v>436</v>
      </c>
      <c r="U21" s="120" t="s">
        <v>297</v>
      </c>
      <c r="V21" s="120" t="s">
        <v>428</v>
      </c>
      <c r="W21" s="120" t="s">
        <v>297</v>
      </c>
      <c r="X21" s="120" t="s">
        <v>308</v>
      </c>
      <c r="Y21" s="120" t="s">
        <v>362</v>
      </c>
      <c r="Z21" s="120" t="s">
        <v>429</v>
      </c>
      <c r="AA21" s="120" t="s">
        <v>310</v>
      </c>
      <c r="AB21" s="120" t="s">
        <v>437</v>
      </c>
      <c r="AC21" s="120" t="s">
        <v>297</v>
      </c>
      <c r="AD21" s="120" t="s">
        <v>365</v>
      </c>
    </row>
    <row r="22" s="120" customFormat="1" hidden="1" spans="1:30">
      <c r="A22" s="120" t="s">
        <v>421</v>
      </c>
      <c r="B22" s="120" t="s">
        <v>294</v>
      </c>
      <c r="C22" s="120" t="s">
        <v>352</v>
      </c>
      <c r="D22" s="120" t="s">
        <v>353</v>
      </c>
      <c r="E22" s="120" t="s">
        <v>297</v>
      </c>
      <c r="F22" s="120" t="s">
        <v>298</v>
      </c>
      <c r="G22" s="120" t="s">
        <v>298</v>
      </c>
      <c r="H22" s="120" t="s">
        <v>299</v>
      </c>
      <c r="I22" s="120" t="s">
        <v>438</v>
      </c>
      <c r="J22" s="120" t="s">
        <v>439</v>
      </c>
      <c r="K22" s="120" t="s">
        <v>169</v>
      </c>
      <c r="L22" s="120" t="s">
        <v>355</v>
      </c>
      <c r="M22" s="120">
        <v>4000</v>
      </c>
      <c r="N22" s="120">
        <v>1</v>
      </c>
      <c r="O22" s="120">
        <v>4000</v>
      </c>
      <c r="P22" s="120" t="s">
        <v>440</v>
      </c>
      <c r="Q22" s="120" t="s">
        <v>441</v>
      </c>
      <c r="R22" s="120" t="s">
        <v>442</v>
      </c>
      <c r="S22" s="120" t="s">
        <v>376</v>
      </c>
      <c r="T22" s="120" t="s">
        <v>377</v>
      </c>
      <c r="U22" s="120" t="s">
        <v>297</v>
      </c>
      <c r="V22" s="120" t="s">
        <v>428</v>
      </c>
      <c r="W22" s="120" t="s">
        <v>297</v>
      </c>
      <c r="X22" s="120" t="s">
        <v>308</v>
      </c>
      <c r="Y22" s="120" t="s">
        <v>362</v>
      </c>
      <c r="Z22" s="120" t="s">
        <v>429</v>
      </c>
      <c r="AA22" s="120" t="s">
        <v>310</v>
      </c>
      <c r="AB22" s="120" t="s">
        <v>443</v>
      </c>
      <c r="AC22" s="120" t="s">
        <v>322</v>
      </c>
      <c r="AD22" s="120" t="s">
        <v>365</v>
      </c>
    </row>
    <row r="23" s="120" customFormat="1" hidden="1" spans="1:30">
      <c r="A23" s="120" t="s">
        <v>421</v>
      </c>
      <c r="B23" s="120" t="s">
        <v>294</v>
      </c>
      <c r="C23" s="120" t="s">
        <v>352</v>
      </c>
      <c r="D23" s="120" t="s">
        <v>353</v>
      </c>
      <c r="E23" s="120" t="s">
        <v>297</v>
      </c>
      <c r="F23" s="120" t="s">
        <v>298</v>
      </c>
      <c r="G23" s="120" t="s">
        <v>298</v>
      </c>
      <c r="H23" s="120" t="s">
        <v>299</v>
      </c>
      <c r="I23" s="120" t="s">
        <v>444</v>
      </c>
      <c r="J23" s="120" t="s">
        <v>445</v>
      </c>
      <c r="K23" s="120" t="s">
        <v>196</v>
      </c>
      <c r="L23" s="120" t="s">
        <v>355</v>
      </c>
      <c r="M23" s="120">
        <v>1000</v>
      </c>
      <c r="N23" s="120">
        <v>1</v>
      </c>
      <c r="O23" s="120">
        <v>1000</v>
      </c>
      <c r="P23" s="120" t="s">
        <v>440</v>
      </c>
      <c r="Q23" s="120" t="s">
        <v>441</v>
      </c>
      <c r="R23" s="120" t="s">
        <v>446</v>
      </c>
      <c r="S23" s="120" t="s">
        <v>447</v>
      </c>
      <c r="T23" s="120" t="s">
        <v>448</v>
      </c>
      <c r="U23" s="120" t="s">
        <v>297</v>
      </c>
      <c r="V23" s="120" t="s">
        <v>428</v>
      </c>
      <c r="W23" s="120" t="s">
        <v>297</v>
      </c>
      <c r="X23" s="120" t="s">
        <v>308</v>
      </c>
      <c r="Y23" s="120" t="s">
        <v>362</v>
      </c>
      <c r="Z23" s="120" t="s">
        <v>429</v>
      </c>
      <c r="AA23" s="120" t="s">
        <v>310</v>
      </c>
      <c r="AB23" s="120" t="s">
        <v>449</v>
      </c>
      <c r="AC23" s="120" t="s">
        <v>322</v>
      </c>
      <c r="AD23" s="120" t="s">
        <v>365</v>
      </c>
    </row>
    <row r="24" s="120" customFormat="1" hidden="1" spans="1:30">
      <c r="A24" s="120" t="s">
        <v>450</v>
      </c>
      <c r="B24" s="120" t="s">
        <v>294</v>
      </c>
      <c r="C24" s="120" t="s">
        <v>295</v>
      </c>
      <c r="D24" s="120" t="s">
        <v>296</v>
      </c>
      <c r="E24" s="120" t="s">
        <v>297</v>
      </c>
      <c r="F24" s="120" t="s">
        <v>298</v>
      </c>
      <c r="G24" s="120" t="s">
        <v>298</v>
      </c>
      <c r="H24" s="120" t="s">
        <v>299</v>
      </c>
      <c r="I24" s="120" t="s">
        <v>410</v>
      </c>
      <c r="J24" s="120" t="s">
        <v>411</v>
      </c>
      <c r="K24" s="120" t="s">
        <v>51</v>
      </c>
      <c r="L24" s="120" t="s">
        <v>301</v>
      </c>
      <c r="M24" s="120">
        <v>2700</v>
      </c>
      <c r="N24" s="120">
        <v>1</v>
      </c>
      <c r="O24" s="120">
        <v>2700</v>
      </c>
      <c r="P24" s="120" t="s">
        <v>451</v>
      </c>
      <c r="Q24" s="120" t="s">
        <v>303</v>
      </c>
      <c r="R24" s="120" t="s">
        <v>452</v>
      </c>
      <c r="S24" s="120" t="s">
        <v>414</v>
      </c>
      <c r="T24" s="120" t="s">
        <v>453</v>
      </c>
      <c r="U24" s="120" t="s">
        <v>297</v>
      </c>
      <c r="V24" s="120" t="s">
        <v>454</v>
      </c>
      <c r="W24" s="120" t="s">
        <v>297</v>
      </c>
      <c r="X24" s="120" t="s">
        <v>308</v>
      </c>
      <c r="Y24" s="120" t="s">
        <v>320</v>
      </c>
      <c r="Z24" s="120" t="s">
        <v>453</v>
      </c>
      <c r="AA24" s="120" t="s">
        <v>310</v>
      </c>
      <c r="AB24" s="120" t="s">
        <v>455</v>
      </c>
      <c r="AC24" s="120" t="s">
        <v>297</v>
      </c>
      <c r="AD24" s="120" t="s">
        <v>312</v>
      </c>
    </row>
    <row r="25" s="120" customFormat="1" hidden="1" spans="1:30">
      <c r="A25" s="120" t="s">
        <v>450</v>
      </c>
      <c r="B25" s="120" t="s">
        <v>294</v>
      </c>
      <c r="C25" s="120" t="s">
        <v>295</v>
      </c>
      <c r="D25" s="120" t="s">
        <v>296</v>
      </c>
      <c r="E25" s="120" t="s">
        <v>297</v>
      </c>
      <c r="F25" s="120" t="s">
        <v>298</v>
      </c>
      <c r="G25" s="120" t="s">
        <v>298</v>
      </c>
      <c r="H25" s="120" t="s">
        <v>299</v>
      </c>
      <c r="I25" s="120" t="s">
        <v>410</v>
      </c>
      <c r="J25" s="120" t="s">
        <v>411</v>
      </c>
      <c r="K25" s="120" t="s">
        <v>51</v>
      </c>
      <c r="L25" s="120" t="s">
        <v>301</v>
      </c>
      <c r="M25" s="120">
        <v>300</v>
      </c>
      <c r="N25" s="120">
        <v>1</v>
      </c>
      <c r="O25" s="120">
        <v>300</v>
      </c>
      <c r="P25" s="120" t="s">
        <v>451</v>
      </c>
      <c r="Q25" s="120" t="s">
        <v>303</v>
      </c>
      <c r="R25" s="120" t="s">
        <v>456</v>
      </c>
      <c r="S25" s="120" t="s">
        <v>457</v>
      </c>
      <c r="T25" s="120" t="s">
        <v>453</v>
      </c>
      <c r="U25" s="120" t="s">
        <v>297</v>
      </c>
      <c r="V25" s="120" t="s">
        <v>454</v>
      </c>
      <c r="W25" s="120" t="s">
        <v>297</v>
      </c>
      <c r="X25" s="120" t="s">
        <v>308</v>
      </c>
      <c r="Y25" s="120" t="s">
        <v>320</v>
      </c>
      <c r="Z25" s="120" t="s">
        <v>453</v>
      </c>
      <c r="AA25" s="120" t="s">
        <v>310</v>
      </c>
      <c r="AB25" s="120" t="s">
        <v>458</v>
      </c>
      <c r="AC25" s="120" t="s">
        <v>297</v>
      </c>
      <c r="AD25" s="120" t="s">
        <v>312</v>
      </c>
    </row>
    <row r="26" s="120" customFormat="1" hidden="1" spans="1:30">
      <c r="A26" s="120" t="s">
        <v>459</v>
      </c>
      <c r="B26" s="120" t="s">
        <v>294</v>
      </c>
      <c r="C26" s="120" t="s">
        <v>352</v>
      </c>
      <c r="D26" s="120" t="s">
        <v>353</v>
      </c>
      <c r="E26" s="120" t="s">
        <v>297</v>
      </c>
      <c r="F26" s="120" t="s">
        <v>298</v>
      </c>
      <c r="G26" s="120" t="s">
        <v>298</v>
      </c>
      <c r="H26" s="120" t="s">
        <v>299</v>
      </c>
      <c r="I26" s="120" t="s">
        <v>460</v>
      </c>
      <c r="J26" s="120" t="s">
        <v>461</v>
      </c>
      <c r="K26" s="120" t="s">
        <v>65</v>
      </c>
      <c r="L26" s="120" t="s">
        <v>355</v>
      </c>
      <c r="M26" s="120">
        <v>14200</v>
      </c>
      <c r="N26" s="120">
        <v>1</v>
      </c>
      <c r="O26" s="120">
        <v>14200</v>
      </c>
      <c r="P26" s="120" t="s">
        <v>462</v>
      </c>
      <c r="Q26" s="120" t="s">
        <v>463</v>
      </c>
      <c r="R26" s="120" t="s">
        <v>464</v>
      </c>
      <c r="S26" s="120" t="s">
        <v>465</v>
      </c>
      <c r="T26" s="120" t="s">
        <v>466</v>
      </c>
      <c r="U26" s="120" t="s">
        <v>297</v>
      </c>
      <c r="V26" s="120" t="s">
        <v>467</v>
      </c>
      <c r="W26" s="120" t="s">
        <v>297</v>
      </c>
      <c r="X26" s="120" t="s">
        <v>308</v>
      </c>
      <c r="Y26" s="120" t="s">
        <v>362</v>
      </c>
      <c r="Z26" s="120" t="s">
        <v>468</v>
      </c>
      <c r="AA26" s="120" t="s">
        <v>310</v>
      </c>
      <c r="AB26" s="120" t="s">
        <v>469</v>
      </c>
      <c r="AC26" s="120" t="s">
        <v>297</v>
      </c>
      <c r="AD26" s="120" t="s">
        <v>365</v>
      </c>
    </row>
    <row r="27" s="120" customFormat="1" hidden="1" spans="1:30">
      <c r="A27" s="120" t="s">
        <v>470</v>
      </c>
      <c r="B27" s="120" t="s">
        <v>294</v>
      </c>
      <c r="C27" s="120" t="s">
        <v>295</v>
      </c>
      <c r="D27" s="120" t="s">
        <v>296</v>
      </c>
      <c r="E27" s="120" t="s">
        <v>297</v>
      </c>
      <c r="F27" s="120" t="s">
        <v>298</v>
      </c>
      <c r="G27" s="120" t="s">
        <v>298</v>
      </c>
      <c r="H27" s="120" t="s">
        <v>299</v>
      </c>
      <c r="I27" s="120" t="s">
        <v>471</v>
      </c>
      <c r="J27" s="120" t="s">
        <v>231</v>
      </c>
      <c r="K27" s="120" t="s">
        <v>230</v>
      </c>
      <c r="L27" s="120" t="s">
        <v>301</v>
      </c>
      <c r="M27" s="120">
        <v>1000</v>
      </c>
      <c r="N27" s="120">
        <v>1</v>
      </c>
      <c r="O27" s="120">
        <v>875</v>
      </c>
      <c r="P27" s="120" t="s">
        <v>472</v>
      </c>
      <c r="Q27" s="120" t="s">
        <v>303</v>
      </c>
      <c r="R27" s="120" t="s">
        <v>473</v>
      </c>
      <c r="S27" s="120" t="s">
        <v>474</v>
      </c>
      <c r="T27" s="120" t="s">
        <v>475</v>
      </c>
      <c r="U27" s="120" t="s">
        <v>297</v>
      </c>
      <c r="V27" s="120" t="s">
        <v>476</v>
      </c>
      <c r="W27" s="120" t="s">
        <v>297</v>
      </c>
      <c r="X27" s="120" t="s">
        <v>308</v>
      </c>
      <c r="Y27" s="120" t="s">
        <v>309</v>
      </c>
      <c r="Z27" s="120" t="s">
        <v>477</v>
      </c>
      <c r="AA27" s="120" t="s">
        <v>310</v>
      </c>
      <c r="AB27" s="120" t="s">
        <v>478</v>
      </c>
      <c r="AC27" s="120" t="s">
        <v>322</v>
      </c>
      <c r="AD27" s="120" t="s">
        <v>312</v>
      </c>
    </row>
    <row r="28" s="120" customFormat="1" hidden="1" spans="1:30">
      <c r="A28" s="120" t="s">
        <v>470</v>
      </c>
      <c r="B28" s="120" t="s">
        <v>294</v>
      </c>
      <c r="C28" s="120" t="s">
        <v>295</v>
      </c>
      <c r="D28" s="120" t="s">
        <v>296</v>
      </c>
      <c r="E28" s="120" t="s">
        <v>297</v>
      </c>
      <c r="F28" s="120" t="s">
        <v>298</v>
      </c>
      <c r="G28" s="120" t="s">
        <v>298</v>
      </c>
      <c r="H28" s="120" t="s">
        <v>299</v>
      </c>
      <c r="I28" s="120" t="s">
        <v>471</v>
      </c>
      <c r="J28" s="120" t="s">
        <v>231</v>
      </c>
      <c r="K28" s="120" t="s">
        <v>230</v>
      </c>
      <c r="L28" s="120" t="s">
        <v>301</v>
      </c>
      <c r="M28" s="120">
        <v>1000</v>
      </c>
      <c r="N28" s="120">
        <v>0</v>
      </c>
      <c r="O28" s="120">
        <v>125</v>
      </c>
      <c r="P28" s="120" t="s">
        <v>479</v>
      </c>
      <c r="Q28" s="120" t="s">
        <v>303</v>
      </c>
      <c r="R28" s="120" t="s">
        <v>480</v>
      </c>
      <c r="S28" s="120" t="s">
        <v>474</v>
      </c>
      <c r="T28" s="120" t="s">
        <v>481</v>
      </c>
      <c r="U28" s="120" t="s">
        <v>297</v>
      </c>
      <c r="V28" s="120" t="s">
        <v>476</v>
      </c>
      <c r="W28" s="120" t="s">
        <v>297</v>
      </c>
      <c r="X28" s="120" t="s">
        <v>308</v>
      </c>
      <c r="Y28" s="120" t="s">
        <v>309</v>
      </c>
      <c r="Z28" s="120" t="s">
        <v>477</v>
      </c>
      <c r="AA28" s="120" t="s">
        <v>310</v>
      </c>
      <c r="AB28" s="120" t="s">
        <v>482</v>
      </c>
      <c r="AC28" s="120" t="s">
        <v>322</v>
      </c>
      <c r="AD28" s="120" t="s">
        <v>312</v>
      </c>
    </row>
    <row r="29" s="120" customFormat="1" hidden="1" spans="1:30">
      <c r="A29" s="120" t="s">
        <v>470</v>
      </c>
      <c r="B29" s="120" t="s">
        <v>294</v>
      </c>
      <c r="C29" s="120" t="s">
        <v>295</v>
      </c>
      <c r="D29" s="120" t="s">
        <v>296</v>
      </c>
      <c r="E29" s="120" t="s">
        <v>297</v>
      </c>
      <c r="F29" s="120" t="s">
        <v>298</v>
      </c>
      <c r="G29" s="120" t="s">
        <v>298</v>
      </c>
      <c r="H29" s="120" t="s">
        <v>299</v>
      </c>
      <c r="I29" s="120" t="s">
        <v>483</v>
      </c>
      <c r="J29" s="120" t="s">
        <v>484</v>
      </c>
      <c r="K29" s="120" t="s">
        <v>175</v>
      </c>
      <c r="L29" s="120" t="s">
        <v>301</v>
      </c>
      <c r="M29" s="120">
        <v>1000</v>
      </c>
      <c r="N29" s="120">
        <v>1</v>
      </c>
      <c r="O29" s="120">
        <v>1000</v>
      </c>
      <c r="P29" s="120" t="s">
        <v>485</v>
      </c>
      <c r="Q29" s="120" t="s">
        <v>486</v>
      </c>
      <c r="R29" s="120" t="s">
        <v>487</v>
      </c>
      <c r="S29" s="120" t="s">
        <v>488</v>
      </c>
      <c r="T29" s="120" t="s">
        <v>489</v>
      </c>
      <c r="U29" s="120" t="s">
        <v>297</v>
      </c>
      <c r="V29" s="120" t="s">
        <v>476</v>
      </c>
      <c r="W29" s="120" t="s">
        <v>297</v>
      </c>
      <c r="X29" s="120" t="s">
        <v>308</v>
      </c>
      <c r="Y29" s="120" t="s">
        <v>309</v>
      </c>
      <c r="Z29" s="120" t="s">
        <v>477</v>
      </c>
      <c r="AA29" s="120" t="s">
        <v>310</v>
      </c>
      <c r="AB29" s="120" t="s">
        <v>490</v>
      </c>
      <c r="AC29" s="120" t="s">
        <v>322</v>
      </c>
      <c r="AD29" s="120" t="s">
        <v>312</v>
      </c>
    </row>
    <row r="30" s="120" customFormat="1" hidden="1" spans="1:30">
      <c r="A30" s="120" t="s">
        <v>470</v>
      </c>
      <c r="B30" s="120" t="s">
        <v>294</v>
      </c>
      <c r="C30" s="120" t="s">
        <v>295</v>
      </c>
      <c r="D30" s="120" t="s">
        <v>296</v>
      </c>
      <c r="E30" s="120" t="s">
        <v>297</v>
      </c>
      <c r="F30" s="120" t="s">
        <v>298</v>
      </c>
      <c r="G30" s="120" t="s">
        <v>298</v>
      </c>
      <c r="H30" s="120" t="s">
        <v>299</v>
      </c>
      <c r="I30" s="120" t="s">
        <v>471</v>
      </c>
      <c r="J30" s="120" t="s">
        <v>231</v>
      </c>
      <c r="K30" s="120" t="s">
        <v>230</v>
      </c>
      <c r="L30" s="120" t="s">
        <v>301</v>
      </c>
      <c r="M30" s="120">
        <v>1000</v>
      </c>
      <c r="N30" s="120">
        <v>1</v>
      </c>
      <c r="O30" s="120">
        <v>1000</v>
      </c>
      <c r="P30" s="120" t="s">
        <v>479</v>
      </c>
      <c r="Q30" s="120" t="s">
        <v>303</v>
      </c>
      <c r="R30" s="120" t="s">
        <v>480</v>
      </c>
      <c r="S30" s="120" t="s">
        <v>474</v>
      </c>
      <c r="T30" s="120" t="s">
        <v>481</v>
      </c>
      <c r="U30" s="120" t="s">
        <v>297</v>
      </c>
      <c r="V30" s="120" t="s">
        <v>476</v>
      </c>
      <c r="W30" s="120" t="s">
        <v>297</v>
      </c>
      <c r="X30" s="120" t="s">
        <v>308</v>
      </c>
      <c r="Y30" s="120" t="s">
        <v>309</v>
      </c>
      <c r="Z30" s="120" t="s">
        <v>477</v>
      </c>
      <c r="AA30" s="120" t="s">
        <v>310</v>
      </c>
      <c r="AB30" s="120" t="s">
        <v>491</v>
      </c>
      <c r="AC30" s="120" t="s">
        <v>322</v>
      </c>
      <c r="AD30" s="120" t="s">
        <v>312</v>
      </c>
    </row>
    <row r="31" s="120" customFormat="1" hidden="1" spans="1:30">
      <c r="A31" s="120" t="s">
        <v>470</v>
      </c>
      <c r="B31" s="120" t="s">
        <v>294</v>
      </c>
      <c r="C31" s="120" t="s">
        <v>295</v>
      </c>
      <c r="D31" s="120" t="s">
        <v>296</v>
      </c>
      <c r="E31" s="120" t="s">
        <v>297</v>
      </c>
      <c r="F31" s="120" t="s">
        <v>298</v>
      </c>
      <c r="G31" s="120" t="s">
        <v>298</v>
      </c>
      <c r="H31" s="120" t="s">
        <v>299</v>
      </c>
      <c r="I31" s="120" t="s">
        <v>492</v>
      </c>
      <c r="J31" s="120" t="s">
        <v>149</v>
      </c>
      <c r="K31" s="120" t="s">
        <v>148</v>
      </c>
      <c r="L31" s="120" t="s">
        <v>301</v>
      </c>
      <c r="M31" s="120">
        <v>25</v>
      </c>
      <c r="N31" s="120">
        <v>40</v>
      </c>
      <c r="O31" s="120">
        <v>1000</v>
      </c>
      <c r="P31" s="120" t="s">
        <v>493</v>
      </c>
      <c r="Q31" s="120" t="s">
        <v>494</v>
      </c>
      <c r="R31" s="120" t="s">
        <v>495</v>
      </c>
      <c r="S31" s="120" t="s">
        <v>488</v>
      </c>
      <c r="T31" s="120" t="s">
        <v>496</v>
      </c>
      <c r="U31" s="120" t="s">
        <v>297</v>
      </c>
      <c r="V31" s="120" t="s">
        <v>476</v>
      </c>
      <c r="W31" s="120" t="s">
        <v>297</v>
      </c>
      <c r="X31" s="120" t="s">
        <v>308</v>
      </c>
      <c r="Y31" s="120" t="s">
        <v>309</v>
      </c>
      <c r="Z31" s="120" t="s">
        <v>477</v>
      </c>
      <c r="AA31" s="120" t="s">
        <v>310</v>
      </c>
      <c r="AB31" s="120" t="s">
        <v>497</v>
      </c>
      <c r="AC31" s="120" t="s">
        <v>322</v>
      </c>
      <c r="AD31" s="120" t="s">
        <v>312</v>
      </c>
    </row>
    <row r="32" s="120" customFormat="1" hidden="1" spans="1:30">
      <c r="A32" s="120" t="s">
        <v>498</v>
      </c>
      <c r="B32" s="120" t="s">
        <v>294</v>
      </c>
      <c r="C32" s="120" t="s">
        <v>295</v>
      </c>
      <c r="D32" s="120" t="s">
        <v>296</v>
      </c>
      <c r="E32" s="120" t="s">
        <v>297</v>
      </c>
      <c r="F32" s="120" t="s">
        <v>298</v>
      </c>
      <c r="G32" s="120" t="s">
        <v>298</v>
      </c>
      <c r="H32" s="120" t="s">
        <v>299</v>
      </c>
      <c r="I32" s="120" t="s">
        <v>410</v>
      </c>
      <c r="J32" s="120" t="s">
        <v>411</v>
      </c>
      <c r="K32" s="120" t="s">
        <v>51</v>
      </c>
      <c r="L32" s="120" t="s">
        <v>301</v>
      </c>
      <c r="M32" s="120">
        <v>1825</v>
      </c>
      <c r="N32" s="120">
        <v>1</v>
      </c>
      <c r="O32" s="120">
        <v>1825</v>
      </c>
      <c r="P32" s="120" t="s">
        <v>499</v>
      </c>
      <c r="Q32" s="120" t="s">
        <v>303</v>
      </c>
      <c r="R32" s="120" t="s">
        <v>500</v>
      </c>
      <c r="S32" s="120" t="s">
        <v>501</v>
      </c>
      <c r="T32" s="120" t="s">
        <v>502</v>
      </c>
      <c r="U32" s="120" t="s">
        <v>297</v>
      </c>
      <c r="V32" s="120" t="s">
        <v>503</v>
      </c>
      <c r="W32" s="120" t="s">
        <v>297</v>
      </c>
      <c r="X32" s="120" t="s">
        <v>308</v>
      </c>
      <c r="Y32" s="120" t="s">
        <v>309</v>
      </c>
      <c r="Z32" s="120" t="s">
        <v>504</v>
      </c>
      <c r="AA32" s="120" t="s">
        <v>310</v>
      </c>
      <c r="AB32" s="120" t="s">
        <v>505</v>
      </c>
      <c r="AC32" s="120" t="s">
        <v>297</v>
      </c>
      <c r="AD32" s="120" t="s">
        <v>312</v>
      </c>
    </row>
    <row r="33" s="120" customFormat="1" hidden="1" spans="1:30">
      <c r="A33" s="120" t="s">
        <v>498</v>
      </c>
      <c r="B33" s="120" t="s">
        <v>294</v>
      </c>
      <c r="C33" s="120" t="s">
        <v>295</v>
      </c>
      <c r="D33" s="120" t="s">
        <v>296</v>
      </c>
      <c r="E33" s="120" t="s">
        <v>297</v>
      </c>
      <c r="F33" s="120" t="s">
        <v>298</v>
      </c>
      <c r="G33" s="120" t="s">
        <v>298</v>
      </c>
      <c r="H33" s="120" t="s">
        <v>299</v>
      </c>
      <c r="I33" s="120" t="s">
        <v>410</v>
      </c>
      <c r="J33" s="120" t="s">
        <v>411</v>
      </c>
      <c r="K33" s="120" t="s">
        <v>51</v>
      </c>
      <c r="L33" s="120" t="s">
        <v>301</v>
      </c>
      <c r="M33" s="120">
        <v>4175</v>
      </c>
      <c r="N33" s="120">
        <v>1</v>
      </c>
      <c r="O33" s="120">
        <v>4175</v>
      </c>
      <c r="P33" s="120" t="s">
        <v>499</v>
      </c>
      <c r="Q33" s="120" t="s">
        <v>303</v>
      </c>
      <c r="R33" s="120" t="s">
        <v>506</v>
      </c>
      <c r="S33" s="120" t="s">
        <v>457</v>
      </c>
      <c r="T33" s="120" t="s">
        <v>502</v>
      </c>
      <c r="U33" s="120" t="s">
        <v>297</v>
      </c>
      <c r="V33" s="120" t="s">
        <v>503</v>
      </c>
      <c r="W33" s="120" t="s">
        <v>297</v>
      </c>
      <c r="X33" s="120" t="s">
        <v>308</v>
      </c>
      <c r="Y33" s="120" t="s">
        <v>309</v>
      </c>
      <c r="Z33" s="120" t="s">
        <v>504</v>
      </c>
      <c r="AA33" s="120" t="s">
        <v>310</v>
      </c>
      <c r="AB33" s="120" t="s">
        <v>507</v>
      </c>
      <c r="AC33" s="120" t="s">
        <v>297</v>
      </c>
      <c r="AD33" s="120" t="s">
        <v>312</v>
      </c>
    </row>
    <row r="34" s="120" customFormat="1" hidden="1" spans="1:30">
      <c r="A34" s="120" t="s">
        <v>498</v>
      </c>
      <c r="B34" s="120" t="s">
        <v>294</v>
      </c>
      <c r="C34" s="120" t="s">
        <v>295</v>
      </c>
      <c r="D34" s="120" t="s">
        <v>296</v>
      </c>
      <c r="E34" s="120" t="s">
        <v>297</v>
      </c>
      <c r="F34" s="120" t="s">
        <v>298</v>
      </c>
      <c r="G34" s="120" t="s">
        <v>298</v>
      </c>
      <c r="H34" s="120" t="s">
        <v>299</v>
      </c>
      <c r="I34" s="120" t="s">
        <v>417</v>
      </c>
      <c r="J34" s="120" t="s">
        <v>23</v>
      </c>
      <c r="K34" s="120" t="s">
        <v>22</v>
      </c>
      <c r="L34" s="120" t="s">
        <v>301</v>
      </c>
      <c r="M34" s="120">
        <v>3000</v>
      </c>
      <c r="N34" s="120">
        <v>1</v>
      </c>
      <c r="O34" s="120">
        <v>3000</v>
      </c>
      <c r="P34" s="120" t="s">
        <v>508</v>
      </c>
      <c r="Q34" s="120" t="s">
        <v>303</v>
      </c>
      <c r="R34" s="120" t="s">
        <v>509</v>
      </c>
      <c r="S34" s="120" t="s">
        <v>419</v>
      </c>
      <c r="T34" s="120" t="s">
        <v>504</v>
      </c>
      <c r="U34" s="120" t="s">
        <v>297</v>
      </c>
      <c r="V34" s="120" t="s">
        <v>503</v>
      </c>
      <c r="W34" s="120" t="s">
        <v>297</v>
      </c>
      <c r="X34" s="120" t="s">
        <v>308</v>
      </c>
      <c r="Y34" s="120" t="s">
        <v>309</v>
      </c>
      <c r="Z34" s="120" t="s">
        <v>504</v>
      </c>
      <c r="AA34" s="120" t="s">
        <v>310</v>
      </c>
      <c r="AB34" s="120" t="s">
        <v>510</v>
      </c>
      <c r="AC34" s="120" t="s">
        <v>297</v>
      </c>
      <c r="AD34" s="120" t="s">
        <v>312</v>
      </c>
    </row>
    <row r="35" s="120" customFormat="1" hidden="1" spans="1:30">
      <c r="A35" s="120" t="s">
        <v>498</v>
      </c>
      <c r="B35" s="120" t="s">
        <v>294</v>
      </c>
      <c r="C35" s="120" t="s">
        <v>295</v>
      </c>
      <c r="D35" s="120" t="s">
        <v>296</v>
      </c>
      <c r="E35" s="120" t="s">
        <v>297</v>
      </c>
      <c r="F35" s="120" t="s">
        <v>298</v>
      </c>
      <c r="G35" s="120" t="s">
        <v>298</v>
      </c>
      <c r="H35" s="120" t="s">
        <v>299</v>
      </c>
      <c r="I35" s="120" t="s">
        <v>511</v>
      </c>
      <c r="J35" s="120" t="s">
        <v>512</v>
      </c>
      <c r="K35" s="120" t="s">
        <v>53</v>
      </c>
      <c r="L35" s="120" t="s">
        <v>301</v>
      </c>
      <c r="M35" s="120">
        <v>25</v>
      </c>
      <c r="N35" s="120">
        <v>28</v>
      </c>
      <c r="O35" s="120">
        <v>700</v>
      </c>
      <c r="P35" s="120" t="s">
        <v>513</v>
      </c>
      <c r="Q35" s="120" t="s">
        <v>514</v>
      </c>
      <c r="R35" s="120" t="s">
        <v>515</v>
      </c>
      <c r="S35" s="120" t="s">
        <v>516</v>
      </c>
      <c r="T35" s="120" t="s">
        <v>502</v>
      </c>
      <c r="U35" s="120" t="s">
        <v>297</v>
      </c>
      <c r="V35" s="120" t="s">
        <v>503</v>
      </c>
      <c r="W35" s="120" t="s">
        <v>297</v>
      </c>
      <c r="X35" s="120" t="s">
        <v>308</v>
      </c>
      <c r="Y35" s="120" t="s">
        <v>309</v>
      </c>
      <c r="Z35" s="120" t="s">
        <v>504</v>
      </c>
      <c r="AA35" s="120" t="s">
        <v>310</v>
      </c>
      <c r="AB35" s="120" t="s">
        <v>517</v>
      </c>
      <c r="AC35" s="120" t="s">
        <v>322</v>
      </c>
      <c r="AD35" s="120" t="s">
        <v>312</v>
      </c>
    </row>
    <row r="36" s="120" customFormat="1" hidden="1" spans="1:30">
      <c r="A36" s="120" t="s">
        <v>498</v>
      </c>
      <c r="B36" s="120" t="s">
        <v>294</v>
      </c>
      <c r="C36" s="120" t="s">
        <v>295</v>
      </c>
      <c r="D36" s="120" t="s">
        <v>296</v>
      </c>
      <c r="E36" s="120" t="s">
        <v>297</v>
      </c>
      <c r="F36" s="120" t="s">
        <v>298</v>
      </c>
      <c r="G36" s="120" t="s">
        <v>298</v>
      </c>
      <c r="H36" s="120" t="s">
        <v>299</v>
      </c>
      <c r="I36" s="120" t="s">
        <v>518</v>
      </c>
      <c r="J36" s="120" t="s">
        <v>519</v>
      </c>
      <c r="K36" s="120" t="s">
        <v>165</v>
      </c>
      <c r="L36" s="120" t="s">
        <v>301</v>
      </c>
      <c r="M36" s="120">
        <v>25</v>
      </c>
      <c r="N36" s="120">
        <v>8</v>
      </c>
      <c r="O36" s="120">
        <v>200</v>
      </c>
      <c r="P36" s="120" t="s">
        <v>520</v>
      </c>
      <c r="Q36" s="120" t="s">
        <v>521</v>
      </c>
      <c r="R36" s="120" t="s">
        <v>522</v>
      </c>
      <c r="S36" s="120" t="s">
        <v>523</v>
      </c>
      <c r="T36" s="120" t="s">
        <v>524</v>
      </c>
      <c r="U36" s="120" t="s">
        <v>297</v>
      </c>
      <c r="V36" s="120" t="s">
        <v>503</v>
      </c>
      <c r="W36" s="120" t="s">
        <v>297</v>
      </c>
      <c r="X36" s="120" t="s">
        <v>308</v>
      </c>
      <c r="Y36" s="120" t="s">
        <v>309</v>
      </c>
      <c r="Z36" s="120" t="s">
        <v>504</v>
      </c>
      <c r="AA36" s="120" t="s">
        <v>310</v>
      </c>
      <c r="AB36" s="120" t="s">
        <v>525</v>
      </c>
      <c r="AC36" s="120" t="s">
        <v>322</v>
      </c>
      <c r="AD36" s="120" t="s">
        <v>312</v>
      </c>
    </row>
    <row r="37" s="120" customFormat="1" hidden="1" spans="1:30">
      <c r="A37" s="120" t="s">
        <v>526</v>
      </c>
      <c r="B37" s="120" t="s">
        <v>294</v>
      </c>
      <c r="C37" s="120" t="s">
        <v>295</v>
      </c>
      <c r="D37" s="120" t="s">
        <v>296</v>
      </c>
      <c r="E37" s="120" t="s">
        <v>297</v>
      </c>
      <c r="F37" s="120" t="s">
        <v>298</v>
      </c>
      <c r="G37" s="120" t="s">
        <v>298</v>
      </c>
      <c r="H37" s="120" t="s">
        <v>299</v>
      </c>
      <c r="I37" s="120" t="s">
        <v>527</v>
      </c>
      <c r="J37" s="120" t="s">
        <v>528</v>
      </c>
      <c r="K37" s="120" t="s">
        <v>103</v>
      </c>
      <c r="L37" s="120" t="s">
        <v>301</v>
      </c>
      <c r="M37" s="120">
        <v>110</v>
      </c>
      <c r="N37" s="120">
        <v>1</v>
      </c>
      <c r="O37" s="120">
        <v>110</v>
      </c>
      <c r="P37" s="120" t="s">
        <v>451</v>
      </c>
      <c r="Q37" s="120" t="s">
        <v>303</v>
      </c>
      <c r="R37" s="120" t="s">
        <v>529</v>
      </c>
      <c r="S37" s="120" t="s">
        <v>530</v>
      </c>
      <c r="T37" s="120" t="s">
        <v>377</v>
      </c>
      <c r="U37" s="120" t="s">
        <v>297</v>
      </c>
      <c r="V37" s="120" t="s">
        <v>531</v>
      </c>
      <c r="W37" s="120" t="s">
        <v>297</v>
      </c>
      <c r="X37" s="120" t="s">
        <v>308</v>
      </c>
      <c r="Y37" s="120" t="s">
        <v>309</v>
      </c>
      <c r="Z37" s="120" t="s">
        <v>502</v>
      </c>
      <c r="AA37" s="120" t="s">
        <v>310</v>
      </c>
      <c r="AB37" s="120" t="s">
        <v>532</v>
      </c>
      <c r="AC37" s="120" t="s">
        <v>322</v>
      </c>
      <c r="AD37" s="120" t="s">
        <v>312</v>
      </c>
    </row>
    <row r="38" s="120" customFormat="1" hidden="1" spans="1:30">
      <c r="A38" s="120" t="s">
        <v>533</v>
      </c>
      <c r="B38" s="120" t="s">
        <v>337</v>
      </c>
      <c r="C38" s="120" t="s">
        <v>338</v>
      </c>
      <c r="D38" s="120" t="s">
        <v>339</v>
      </c>
      <c r="E38" s="120" t="s">
        <v>297</v>
      </c>
      <c r="F38" s="120" t="s">
        <v>298</v>
      </c>
      <c r="G38" s="120" t="s">
        <v>298</v>
      </c>
      <c r="H38" s="120" t="s">
        <v>299</v>
      </c>
      <c r="I38" s="120" t="s">
        <v>534</v>
      </c>
      <c r="J38" s="120" t="s">
        <v>95</v>
      </c>
      <c r="K38" s="120" t="s">
        <v>94</v>
      </c>
      <c r="L38" s="120" t="s">
        <v>341</v>
      </c>
      <c r="M38" s="120">
        <v>80</v>
      </c>
      <c r="N38" s="120">
        <v>1</v>
      </c>
      <c r="O38" s="120">
        <v>80</v>
      </c>
      <c r="P38" s="120" t="s">
        <v>342</v>
      </c>
      <c r="Q38" s="120" t="s">
        <v>535</v>
      </c>
      <c r="R38" s="120" t="s">
        <v>536</v>
      </c>
      <c r="S38" s="120" t="s">
        <v>537</v>
      </c>
      <c r="T38" s="120" t="s">
        <v>538</v>
      </c>
      <c r="U38" s="120" t="s">
        <v>297</v>
      </c>
      <c r="V38" s="120" t="s">
        <v>539</v>
      </c>
      <c r="W38" s="120" t="s">
        <v>297</v>
      </c>
      <c r="X38" s="120" t="s">
        <v>308</v>
      </c>
      <c r="Y38" s="120" t="s">
        <v>348</v>
      </c>
      <c r="Z38" s="120" t="s">
        <v>502</v>
      </c>
      <c r="AA38" s="120" t="s">
        <v>310</v>
      </c>
      <c r="AB38" s="120" t="s">
        <v>540</v>
      </c>
      <c r="AC38" s="120" t="s">
        <v>322</v>
      </c>
      <c r="AD38" s="120" t="s">
        <v>350</v>
      </c>
    </row>
    <row r="39" s="120" customFormat="1" hidden="1" spans="1:30">
      <c r="A39" s="120" t="s">
        <v>541</v>
      </c>
      <c r="B39" s="120" t="s">
        <v>294</v>
      </c>
      <c r="C39" s="120" t="s">
        <v>352</v>
      </c>
      <c r="D39" s="120" t="s">
        <v>353</v>
      </c>
      <c r="E39" s="120" t="s">
        <v>297</v>
      </c>
      <c r="F39" s="120" t="s">
        <v>298</v>
      </c>
      <c r="G39" s="120" t="s">
        <v>298</v>
      </c>
      <c r="H39" s="120" t="s">
        <v>299</v>
      </c>
      <c r="I39" s="120" t="s">
        <v>542</v>
      </c>
      <c r="J39" s="120" t="s">
        <v>543</v>
      </c>
      <c r="K39" s="120" t="s">
        <v>159</v>
      </c>
      <c r="L39" s="120" t="s">
        <v>355</v>
      </c>
      <c r="M39" s="120">
        <v>4000</v>
      </c>
      <c r="N39" s="120">
        <v>1</v>
      </c>
      <c r="O39" s="120">
        <v>4000</v>
      </c>
      <c r="P39" s="120" t="s">
        <v>440</v>
      </c>
      <c r="Q39" s="120" t="s">
        <v>441</v>
      </c>
      <c r="R39" s="120" t="s">
        <v>544</v>
      </c>
      <c r="S39" s="120" t="s">
        <v>376</v>
      </c>
      <c r="T39" s="120" t="s">
        <v>377</v>
      </c>
      <c r="U39" s="120" t="s">
        <v>297</v>
      </c>
      <c r="V39" s="120" t="s">
        <v>545</v>
      </c>
      <c r="W39" s="120" t="s">
        <v>297</v>
      </c>
      <c r="X39" s="120" t="s">
        <v>308</v>
      </c>
      <c r="Y39" s="120" t="s">
        <v>362</v>
      </c>
      <c r="Z39" s="120" t="s">
        <v>546</v>
      </c>
      <c r="AA39" s="120" t="s">
        <v>310</v>
      </c>
      <c r="AB39" s="120" t="s">
        <v>547</v>
      </c>
      <c r="AC39" s="120" t="s">
        <v>322</v>
      </c>
      <c r="AD39" s="120" t="s">
        <v>365</v>
      </c>
    </row>
    <row r="40" s="120" customFormat="1" hidden="1" spans="1:30">
      <c r="A40" s="120" t="s">
        <v>541</v>
      </c>
      <c r="B40" s="120" t="s">
        <v>294</v>
      </c>
      <c r="C40" s="120" t="s">
        <v>352</v>
      </c>
      <c r="D40" s="120" t="s">
        <v>353</v>
      </c>
      <c r="E40" s="120" t="s">
        <v>297</v>
      </c>
      <c r="F40" s="120" t="s">
        <v>298</v>
      </c>
      <c r="G40" s="120" t="s">
        <v>298</v>
      </c>
      <c r="H40" s="120" t="s">
        <v>299</v>
      </c>
      <c r="I40" s="120" t="s">
        <v>548</v>
      </c>
      <c r="J40" s="120" t="s">
        <v>549</v>
      </c>
      <c r="K40" s="120" t="s">
        <v>171</v>
      </c>
      <c r="L40" s="120" t="s">
        <v>355</v>
      </c>
      <c r="M40" s="120">
        <v>2000</v>
      </c>
      <c r="N40" s="120">
        <v>1</v>
      </c>
      <c r="O40" s="120">
        <v>2000</v>
      </c>
      <c r="P40" s="120" t="s">
        <v>462</v>
      </c>
      <c r="Q40" s="120" t="s">
        <v>463</v>
      </c>
      <c r="R40" s="120" t="s">
        <v>550</v>
      </c>
      <c r="S40" s="120" t="s">
        <v>376</v>
      </c>
      <c r="T40" s="120" t="s">
        <v>377</v>
      </c>
      <c r="U40" s="120" t="s">
        <v>297</v>
      </c>
      <c r="V40" s="120" t="s">
        <v>545</v>
      </c>
      <c r="W40" s="120" t="s">
        <v>297</v>
      </c>
      <c r="X40" s="120" t="s">
        <v>308</v>
      </c>
      <c r="Y40" s="120" t="s">
        <v>362</v>
      </c>
      <c r="Z40" s="120" t="s">
        <v>546</v>
      </c>
      <c r="AA40" s="120" t="s">
        <v>310</v>
      </c>
      <c r="AB40" s="120" t="s">
        <v>551</v>
      </c>
      <c r="AC40" s="120" t="s">
        <v>322</v>
      </c>
      <c r="AD40" s="120" t="s">
        <v>365</v>
      </c>
    </row>
    <row r="41" s="120" customFormat="1" hidden="1" spans="1:30">
      <c r="A41" s="120" t="s">
        <v>552</v>
      </c>
      <c r="B41" s="120" t="s">
        <v>294</v>
      </c>
      <c r="C41" s="120" t="s">
        <v>352</v>
      </c>
      <c r="D41" s="120" t="s">
        <v>353</v>
      </c>
      <c r="E41" s="120" t="s">
        <v>297</v>
      </c>
      <c r="F41" s="120" t="s">
        <v>298</v>
      </c>
      <c r="G41" s="120" t="s">
        <v>298</v>
      </c>
      <c r="H41" s="120" t="s">
        <v>299</v>
      </c>
      <c r="I41" s="120" t="s">
        <v>553</v>
      </c>
      <c r="J41" s="120" t="s">
        <v>42</v>
      </c>
      <c r="K41" s="120" t="s">
        <v>41</v>
      </c>
      <c r="L41" s="120" t="s">
        <v>355</v>
      </c>
      <c r="M41" s="120">
        <v>9000</v>
      </c>
      <c r="N41" s="120">
        <v>1</v>
      </c>
      <c r="O41" s="120">
        <v>9000</v>
      </c>
      <c r="P41" s="120" t="s">
        <v>462</v>
      </c>
      <c r="Q41" s="120" t="s">
        <v>463</v>
      </c>
      <c r="R41" s="120" t="s">
        <v>554</v>
      </c>
      <c r="S41" s="120" t="s">
        <v>555</v>
      </c>
      <c r="T41" s="120" t="s">
        <v>556</v>
      </c>
      <c r="U41" s="120" t="s">
        <v>297</v>
      </c>
      <c r="V41" s="120" t="s">
        <v>557</v>
      </c>
      <c r="W41" s="120" t="s">
        <v>297</v>
      </c>
      <c r="X41" s="120" t="s">
        <v>308</v>
      </c>
      <c r="Y41" s="120" t="s">
        <v>362</v>
      </c>
      <c r="Z41" s="120" t="s">
        <v>546</v>
      </c>
      <c r="AA41" s="120" t="s">
        <v>310</v>
      </c>
      <c r="AB41" s="120" t="s">
        <v>558</v>
      </c>
      <c r="AC41" s="120" t="s">
        <v>297</v>
      </c>
      <c r="AD41" s="120" t="s">
        <v>365</v>
      </c>
    </row>
    <row r="42" s="120" customFormat="1" hidden="1" spans="1:30">
      <c r="A42" s="120" t="s">
        <v>552</v>
      </c>
      <c r="B42" s="120" t="s">
        <v>294</v>
      </c>
      <c r="C42" s="120" t="s">
        <v>352</v>
      </c>
      <c r="D42" s="120" t="s">
        <v>353</v>
      </c>
      <c r="E42" s="120" t="s">
        <v>297</v>
      </c>
      <c r="F42" s="120" t="s">
        <v>298</v>
      </c>
      <c r="G42" s="120" t="s">
        <v>298</v>
      </c>
      <c r="H42" s="120" t="s">
        <v>299</v>
      </c>
      <c r="I42" s="120" t="s">
        <v>559</v>
      </c>
      <c r="J42" s="120" t="s">
        <v>40</v>
      </c>
      <c r="K42" s="120" t="s">
        <v>39</v>
      </c>
      <c r="L42" s="120" t="s">
        <v>355</v>
      </c>
      <c r="M42" s="120">
        <v>18000</v>
      </c>
      <c r="N42" s="120">
        <v>1</v>
      </c>
      <c r="O42" s="120">
        <v>18000</v>
      </c>
      <c r="P42" s="120" t="s">
        <v>462</v>
      </c>
      <c r="Q42" s="120" t="s">
        <v>463</v>
      </c>
      <c r="R42" s="120" t="s">
        <v>560</v>
      </c>
      <c r="S42" s="120" t="s">
        <v>561</v>
      </c>
      <c r="T42" s="120" t="s">
        <v>556</v>
      </c>
      <c r="U42" s="120" t="s">
        <v>297</v>
      </c>
      <c r="V42" s="120" t="s">
        <v>557</v>
      </c>
      <c r="W42" s="120" t="s">
        <v>297</v>
      </c>
      <c r="X42" s="120" t="s">
        <v>308</v>
      </c>
      <c r="Y42" s="120" t="s">
        <v>362</v>
      </c>
      <c r="Z42" s="120" t="s">
        <v>546</v>
      </c>
      <c r="AA42" s="120" t="s">
        <v>310</v>
      </c>
      <c r="AB42" s="120" t="s">
        <v>562</v>
      </c>
      <c r="AC42" s="120" t="s">
        <v>297</v>
      </c>
      <c r="AD42" s="120" t="s">
        <v>365</v>
      </c>
    </row>
    <row r="43" s="120" customFormat="1" hidden="1" spans="1:30">
      <c r="A43" s="120" t="s">
        <v>552</v>
      </c>
      <c r="B43" s="120" t="s">
        <v>294</v>
      </c>
      <c r="C43" s="120" t="s">
        <v>352</v>
      </c>
      <c r="D43" s="120" t="s">
        <v>353</v>
      </c>
      <c r="E43" s="120" t="s">
        <v>297</v>
      </c>
      <c r="F43" s="120" t="s">
        <v>298</v>
      </c>
      <c r="G43" s="120" t="s">
        <v>298</v>
      </c>
      <c r="H43" s="120" t="s">
        <v>299</v>
      </c>
      <c r="I43" s="120" t="s">
        <v>563</v>
      </c>
      <c r="J43" s="120" t="s">
        <v>564</v>
      </c>
      <c r="K43" s="120" t="s">
        <v>70</v>
      </c>
      <c r="L43" s="120" t="s">
        <v>355</v>
      </c>
      <c r="M43" s="120">
        <v>6000</v>
      </c>
      <c r="N43" s="120">
        <v>1</v>
      </c>
      <c r="O43" s="120">
        <v>6000</v>
      </c>
      <c r="P43" s="120" t="s">
        <v>462</v>
      </c>
      <c r="Q43" s="120" t="s">
        <v>463</v>
      </c>
      <c r="R43" s="120" t="s">
        <v>565</v>
      </c>
      <c r="S43" s="120" t="s">
        <v>566</v>
      </c>
      <c r="T43" s="120" t="s">
        <v>567</v>
      </c>
      <c r="U43" s="120" t="s">
        <v>297</v>
      </c>
      <c r="V43" s="120" t="s">
        <v>557</v>
      </c>
      <c r="W43" s="120" t="s">
        <v>297</v>
      </c>
      <c r="X43" s="120" t="s">
        <v>308</v>
      </c>
      <c r="Y43" s="120" t="s">
        <v>362</v>
      </c>
      <c r="Z43" s="120" t="s">
        <v>546</v>
      </c>
      <c r="AA43" s="120" t="s">
        <v>310</v>
      </c>
      <c r="AB43" s="120" t="s">
        <v>568</v>
      </c>
      <c r="AC43" s="120" t="s">
        <v>322</v>
      </c>
      <c r="AD43" s="120" t="s">
        <v>365</v>
      </c>
    </row>
    <row r="44" s="120" customFormat="1" hidden="1" spans="1:30">
      <c r="A44" s="120" t="s">
        <v>552</v>
      </c>
      <c r="B44" s="120" t="s">
        <v>294</v>
      </c>
      <c r="C44" s="120" t="s">
        <v>352</v>
      </c>
      <c r="D44" s="120" t="s">
        <v>353</v>
      </c>
      <c r="E44" s="120" t="s">
        <v>297</v>
      </c>
      <c r="F44" s="120" t="s">
        <v>298</v>
      </c>
      <c r="G44" s="120" t="s">
        <v>298</v>
      </c>
      <c r="H44" s="120" t="s">
        <v>299</v>
      </c>
      <c r="I44" s="120" t="s">
        <v>569</v>
      </c>
      <c r="J44" s="120" t="s">
        <v>570</v>
      </c>
      <c r="K44" s="120" t="s">
        <v>71</v>
      </c>
      <c r="L44" s="120" t="s">
        <v>355</v>
      </c>
      <c r="M44" s="120">
        <v>10400</v>
      </c>
      <c r="N44" s="120">
        <v>1</v>
      </c>
      <c r="O44" s="120">
        <v>10400</v>
      </c>
      <c r="P44" s="120" t="s">
        <v>462</v>
      </c>
      <c r="Q44" s="120" t="s">
        <v>463</v>
      </c>
      <c r="R44" s="120" t="s">
        <v>571</v>
      </c>
      <c r="S44" s="120" t="s">
        <v>572</v>
      </c>
      <c r="T44" s="120" t="s">
        <v>567</v>
      </c>
      <c r="U44" s="120" t="s">
        <v>297</v>
      </c>
      <c r="V44" s="120" t="s">
        <v>557</v>
      </c>
      <c r="W44" s="120" t="s">
        <v>297</v>
      </c>
      <c r="X44" s="120" t="s">
        <v>308</v>
      </c>
      <c r="Y44" s="120" t="s">
        <v>362</v>
      </c>
      <c r="Z44" s="120" t="s">
        <v>546</v>
      </c>
      <c r="AA44" s="120" t="s">
        <v>310</v>
      </c>
      <c r="AB44" s="120" t="s">
        <v>573</v>
      </c>
      <c r="AC44" s="120" t="s">
        <v>322</v>
      </c>
      <c r="AD44" s="120" t="s">
        <v>365</v>
      </c>
    </row>
    <row r="45" s="120" customFormat="1" hidden="1" spans="1:30">
      <c r="A45" s="120" t="s">
        <v>552</v>
      </c>
      <c r="B45" s="120" t="s">
        <v>294</v>
      </c>
      <c r="C45" s="120" t="s">
        <v>352</v>
      </c>
      <c r="D45" s="120" t="s">
        <v>353</v>
      </c>
      <c r="E45" s="120" t="s">
        <v>297</v>
      </c>
      <c r="F45" s="120" t="s">
        <v>298</v>
      </c>
      <c r="G45" s="120" t="s">
        <v>298</v>
      </c>
      <c r="H45" s="120" t="s">
        <v>299</v>
      </c>
      <c r="I45" s="120" t="s">
        <v>574</v>
      </c>
      <c r="J45" s="120" t="s">
        <v>575</v>
      </c>
      <c r="K45" s="120" t="s">
        <v>47</v>
      </c>
      <c r="L45" s="120" t="s">
        <v>355</v>
      </c>
      <c r="M45" s="120">
        <v>5000</v>
      </c>
      <c r="N45" s="120">
        <v>1</v>
      </c>
      <c r="O45" s="120">
        <v>5000</v>
      </c>
      <c r="P45" s="120" t="s">
        <v>462</v>
      </c>
      <c r="Q45" s="120" t="s">
        <v>463</v>
      </c>
      <c r="R45" s="120" t="s">
        <v>576</v>
      </c>
      <c r="S45" s="120" t="s">
        <v>577</v>
      </c>
      <c r="T45" s="120" t="s">
        <v>567</v>
      </c>
      <c r="U45" s="120" t="s">
        <v>297</v>
      </c>
      <c r="V45" s="120" t="s">
        <v>557</v>
      </c>
      <c r="W45" s="120" t="s">
        <v>297</v>
      </c>
      <c r="X45" s="120" t="s">
        <v>308</v>
      </c>
      <c r="Y45" s="120" t="s">
        <v>362</v>
      </c>
      <c r="Z45" s="120" t="s">
        <v>546</v>
      </c>
      <c r="AA45" s="120" t="s">
        <v>310</v>
      </c>
      <c r="AB45" s="120" t="s">
        <v>578</v>
      </c>
      <c r="AC45" s="120" t="s">
        <v>322</v>
      </c>
      <c r="AD45" s="120" t="s">
        <v>365</v>
      </c>
    </row>
    <row r="46" s="120" customFormat="1" hidden="1" spans="1:30">
      <c r="A46" s="120" t="s">
        <v>552</v>
      </c>
      <c r="B46" s="120" t="s">
        <v>294</v>
      </c>
      <c r="C46" s="120" t="s">
        <v>352</v>
      </c>
      <c r="D46" s="120" t="s">
        <v>353</v>
      </c>
      <c r="E46" s="120" t="s">
        <v>297</v>
      </c>
      <c r="F46" s="120" t="s">
        <v>298</v>
      </c>
      <c r="G46" s="120" t="s">
        <v>298</v>
      </c>
      <c r="H46" s="120" t="s">
        <v>299</v>
      </c>
      <c r="I46" s="120" t="s">
        <v>579</v>
      </c>
      <c r="J46" s="120" t="s">
        <v>580</v>
      </c>
      <c r="K46" s="120" t="s">
        <v>257</v>
      </c>
      <c r="L46" s="120" t="s">
        <v>355</v>
      </c>
      <c r="M46" s="120">
        <v>10080</v>
      </c>
      <c r="N46" s="120">
        <v>1</v>
      </c>
      <c r="O46" s="120">
        <v>10080</v>
      </c>
      <c r="P46" s="120" t="s">
        <v>462</v>
      </c>
      <c r="Q46" s="120" t="s">
        <v>463</v>
      </c>
      <c r="R46" s="120" t="s">
        <v>581</v>
      </c>
      <c r="S46" s="120" t="s">
        <v>582</v>
      </c>
      <c r="T46" s="120" t="s">
        <v>567</v>
      </c>
      <c r="U46" s="120" t="s">
        <v>297</v>
      </c>
      <c r="V46" s="120" t="s">
        <v>557</v>
      </c>
      <c r="W46" s="120" t="s">
        <v>297</v>
      </c>
      <c r="X46" s="120" t="s">
        <v>308</v>
      </c>
      <c r="Y46" s="120" t="s">
        <v>362</v>
      </c>
      <c r="Z46" s="120" t="s">
        <v>546</v>
      </c>
      <c r="AA46" s="120" t="s">
        <v>310</v>
      </c>
      <c r="AB46" s="120" t="s">
        <v>583</v>
      </c>
      <c r="AC46" s="120" t="s">
        <v>297</v>
      </c>
      <c r="AD46" s="120" t="s">
        <v>365</v>
      </c>
    </row>
    <row r="47" s="120" customFormat="1" hidden="1" spans="1:30">
      <c r="A47" s="120" t="s">
        <v>541</v>
      </c>
      <c r="B47" s="120" t="s">
        <v>294</v>
      </c>
      <c r="C47" s="120" t="s">
        <v>352</v>
      </c>
      <c r="D47" s="120" t="s">
        <v>353</v>
      </c>
      <c r="E47" s="120" t="s">
        <v>297</v>
      </c>
      <c r="F47" s="120" t="s">
        <v>298</v>
      </c>
      <c r="G47" s="120" t="s">
        <v>298</v>
      </c>
      <c r="H47" s="120" t="s">
        <v>299</v>
      </c>
      <c r="I47" s="120" t="s">
        <v>584</v>
      </c>
      <c r="J47" s="120" t="s">
        <v>585</v>
      </c>
      <c r="K47" s="120" t="s">
        <v>167</v>
      </c>
      <c r="L47" s="120" t="s">
        <v>355</v>
      </c>
      <c r="M47" s="120">
        <v>10000</v>
      </c>
      <c r="N47" s="120">
        <v>1</v>
      </c>
      <c r="O47" s="120">
        <v>10000</v>
      </c>
      <c r="P47" s="120" t="s">
        <v>394</v>
      </c>
      <c r="Q47" s="120" t="s">
        <v>395</v>
      </c>
      <c r="R47" s="120" t="s">
        <v>586</v>
      </c>
      <c r="S47" s="120" t="s">
        <v>587</v>
      </c>
      <c r="T47" s="120" t="s">
        <v>588</v>
      </c>
      <c r="U47" s="120" t="s">
        <v>297</v>
      </c>
      <c r="V47" s="120" t="s">
        <v>545</v>
      </c>
      <c r="W47" s="120" t="s">
        <v>297</v>
      </c>
      <c r="X47" s="120" t="s">
        <v>308</v>
      </c>
      <c r="Y47" s="120" t="s">
        <v>362</v>
      </c>
      <c r="Z47" s="120" t="s">
        <v>546</v>
      </c>
      <c r="AA47" s="120" t="s">
        <v>310</v>
      </c>
      <c r="AB47" s="120" t="s">
        <v>589</v>
      </c>
      <c r="AC47" s="120" t="s">
        <v>322</v>
      </c>
      <c r="AD47" s="120" t="s">
        <v>365</v>
      </c>
    </row>
    <row r="48" s="120" customFormat="1" hidden="1" spans="1:30">
      <c r="A48" s="120" t="s">
        <v>541</v>
      </c>
      <c r="B48" s="120" t="s">
        <v>294</v>
      </c>
      <c r="C48" s="120" t="s">
        <v>352</v>
      </c>
      <c r="D48" s="120" t="s">
        <v>353</v>
      </c>
      <c r="E48" s="120" t="s">
        <v>297</v>
      </c>
      <c r="F48" s="120" t="s">
        <v>298</v>
      </c>
      <c r="G48" s="120" t="s">
        <v>298</v>
      </c>
      <c r="H48" s="120" t="s">
        <v>299</v>
      </c>
      <c r="I48" s="120" t="s">
        <v>590</v>
      </c>
      <c r="J48" s="120" t="s">
        <v>591</v>
      </c>
      <c r="K48" s="120" t="s">
        <v>56</v>
      </c>
      <c r="L48" s="120" t="s">
        <v>355</v>
      </c>
      <c r="M48" s="120">
        <v>6000</v>
      </c>
      <c r="N48" s="120">
        <v>1</v>
      </c>
      <c r="O48" s="120">
        <v>6000</v>
      </c>
      <c r="P48" s="120" t="s">
        <v>462</v>
      </c>
      <c r="Q48" s="120" t="s">
        <v>463</v>
      </c>
      <c r="R48" s="120" t="s">
        <v>592</v>
      </c>
      <c r="S48" s="120" t="s">
        <v>593</v>
      </c>
      <c r="T48" s="120" t="s">
        <v>567</v>
      </c>
      <c r="U48" s="120" t="s">
        <v>297</v>
      </c>
      <c r="V48" s="120" t="s">
        <v>545</v>
      </c>
      <c r="W48" s="120" t="s">
        <v>297</v>
      </c>
      <c r="X48" s="120" t="s">
        <v>308</v>
      </c>
      <c r="Y48" s="120" t="s">
        <v>362</v>
      </c>
      <c r="Z48" s="120" t="s">
        <v>546</v>
      </c>
      <c r="AA48" s="120" t="s">
        <v>310</v>
      </c>
      <c r="AB48" s="120" t="s">
        <v>594</v>
      </c>
      <c r="AC48" s="120" t="s">
        <v>322</v>
      </c>
      <c r="AD48" s="120" t="s">
        <v>365</v>
      </c>
    </row>
  </sheetData>
  <autoFilter xmlns:etc="http://www.wps.cn/officeDocument/2017/etCustomData" ref="A1:AD48" etc:filterBottomFollowUsedRange="0">
    <filterColumn colId="10">
      <filters>
        <filter val="F9.0462"/>
      </filters>
    </filterColumn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125"/>
  <sheetViews>
    <sheetView zoomScale="164" zoomScaleNormal="164" workbookViewId="0">
      <pane xSplit="2" ySplit="2" topLeftCell="N50" activePane="bottomRight" state="frozen"/>
      <selection/>
      <selection pane="topRight"/>
      <selection pane="bottomLeft"/>
      <selection pane="bottomRight" activeCell="BN105" sqref="BN105"/>
    </sheetView>
  </sheetViews>
  <sheetFormatPr defaultColWidth="9" defaultRowHeight="20" customHeight="1"/>
  <cols>
    <col min="1" max="1" width="14.3333333333333" style="1" customWidth="1"/>
    <col min="2" max="2" width="23.1666666666667" style="1" customWidth="1"/>
    <col min="3" max="8" width="7.5" style="1" customWidth="1"/>
    <col min="9" max="10" width="8.33333333333333" customWidth="1"/>
    <col min="11" max="11" width="8.33333333333333" style="3" customWidth="1"/>
    <col min="12" max="12" width="7.5" style="3" customWidth="1"/>
    <col min="13" max="14" width="7" style="3" customWidth="1"/>
    <col min="15" max="15" width="7" style="3" hidden="1" customWidth="1"/>
    <col min="16" max="16" width="7.83333333333333" style="3" hidden="1" customWidth="1"/>
    <col min="17" max="17" width="7.5" style="3" hidden="1" customWidth="1"/>
    <col min="18" max="18" width="7.16666666666667" style="3" hidden="1" customWidth="1"/>
    <col min="19" max="19" width="7.33333333333333" style="3" hidden="1" customWidth="1"/>
    <col min="20" max="20" width="7.83333333333333" style="3" hidden="1" customWidth="1"/>
    <col min="21" max="21" width="8.16666666666667" style="3" hidden="1" customWidth="1"/>
    <col min="22" max="22" width="7.66666666666667" style="91" hidden="1" customWidth="1"/>
    <col min="23" max="23" width="5.66666666666667" style="3" hidden="1" customWidth="1"/>
    <col min="24" max="24" width="7.66666666666667" style="3" hidden="1" customWidth="1"/>
    <col min="25" max="25" width="5.66666666666667" style="3" hidden="1" customWidth="1"/>
    <col min="26" max="26" width="6.66666666666667" style="3" hidden="1" customWidth="1"/>
    <col min="27" max="28" width="5.66666666666667" style="3" hidden="1" customWidth="1"/>
    <col min="29" max="30" width="7.33333333333333" style="3" hidden="1" customWidth="1"/>
    <col min="31" max="33" width="8.33333333333333" style="3" hidden="1" customWidth="1"/>
    <col min="34" max="36" width="7.66666666666667" style="41" hidden="1" customWidth="1"/>
    <col min="37" max="37" width="7.16666666666667" style="3" hidden="1" customWidth="1"/>
    <col min="38" max="38" width="6.83333333333333" style="3" hidden="1" customWidth="1"/>
    <col min="39" max="39" width="7.33333333333333" style="3" hidden="1" customWidth="1"/>
    <col min="40" max="40" width="7.66666666666667" style="3" hidden="1" customWidth="1"/>
    <col min="41" max="41" width="6.83333333333333" style="3" hidden="1" customWidth="1"/>
    <col min="42" max="42" width="8.5" style="3" hidden="1" customWidth="1"/>
    <col min="43" max="43" width="7.33333333333333" style="3" hidden="1" customWidth="1"/>
    <col min="44" max="44" width="8" style="3" hidden="1" customWidth="1"/>
    <col min="45" max="45" width="7.5" style="3" hidden="1" customWidth="1"/>
    <col min="46" max="50" width="5.66666666666667" style="3" hidden="1" customWidth="1"/>
    <col min="51" max="51" width="7.5" style="3" hidden="1" customWidth="1"/>
    <col min="52" max="52" width="5.66666666666667" style="3" hidden="1" customWidth="1"/>
    <col min="53" max="53" width="6.5" style="3" hidden="1" customWidth="1"/>
    <col min="54" max="58" width="5.66666666666667" style="3" hidden="1" customWidth="1"/>
    <col min="59" max="59" width="7" style="3" hidden="1" customWidth="1"/>
    <col min="60" max="60" width="7.83333333333333" style="3" hidden="1" customWidth="1"/>
    <col min="61" max="61" width="6.33333333333333" style="3" hidden="1" customWidth="1"/>
    <col min="62" max="62" width="7.33333333333333" style="3" hidden="1" customWidth="1"/>
    <col min="63" max="63" width="7.16666666666667" style="3" hidden="1" customWidth="1"/>
    <col min="64" max="64" width="7.33333333333333" style="3" hidden="1" customWidth="1"/>
    <col min="65" max="65" width="7.16666666666667" style="3" customWidth="1"/>
    <col min="66" max="66" width="8" style="3" customWidth="1"/>
    <col min="67" max="67" width="9" style="3"/>
    <col min="68" max="68" width="17.1666666666667" customWidth="1"/>
  </cols>
  <sheetData>
    <row r="1" customHeight="1" spans="1:68">
      <c r="A1" s="4" t="s">
        <v>595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</row>
    <row r="2" customHeight="1" spans="1:68">
      <c r="A2" s="47" t="s">
        <v>596</v>
      </c>
      <c r="B2" s="48" t="s">
        <v>597</v>
      </c>
      <c r="C2" s="49">
        <v>45205</v>
      </c>
      <c r="D2" s="49">
        <v>45208</v>
      </c>
      <c r="E2" s="49">
        <v>45209</v>
      </c>
      <c r="F2" s="49">
        <v>45211</v>
      </c>
      <c r="G2" s="49">
        <v>45212</v>
      </c>
      <c r="H2" s="49">
        <v>45215</v>
      </c>
      <c r="I2" s="50">
        <v>45216</v>
      </c>
      <c r="J2" s="50">
        <v>45218</v>
      </c>
      <c r="K2" s="50">
        <v>45222</v>
      </c>
      <c r="L2" s="50">
        <v>45223</v>
      </c>
      <c r="M2" s="50">
        <v>45225</v>
      </c>
      <c r="N2" s="50">
        <v>45229</v>
      </c>
      <c r="O2" s="50"/>
      <c r="P2" s="50"/>
      <c r="Q2" s="50"/>
      <c r="R2" s="89"/>
      <c r="S2" s="89"/>
      <c r="T2" s="89"/>
      <c r="U2" s="89"/>
      <c r="V2" s="89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2"/>
      <c r="AI2" s="52"/>
      <c r="AJ2" s="52"/>
      <c r="AK2" s="51"/>
      <c r="AL2" s="51"/>
      <c r="AM2" s="51"/>
      <c r="AN2" s="51"/>
      <c r="AO2" s="51"/>
      <c r="AP2" s="51"/>
      <c r="AQ2" s="51"/>
      <c r="AR2" s="51"/>
      <c r="AS2" s="51"/>
      <c r="AT2" s="51"/>
      <c r="AU2" s="51"/>
      <c r="AV2" s="51"/>
      <c r="AW2" s="51"/>
      <c r="AX2" s="51"/>
      <c r="AY2" s="51"/>
      <c r="AZ2" s="51"/>
      <c r="BA2" s="51"/>
      <c r="BB2" s="51"/>
      <c r="BC2" s="51"/>
      <c r="BD2" s="51"/>
      <c r="BE2" s="51"/>
      <c r="BF2" s="51"/>
      <c r="BG2" s="101"/>
      <c r="BH2" s="101"/>
      <c r="BI2" s="101"/>
      <c r="BJ2" s="101"/>
      <c r="BK2" s="101"/>
      <c r="BL2" s="101"/>
      <c r="BM2" s="101"/>
      <c r="BN2" s="117" t="s">
        <v>598</v>
      </c>
      <c r="BO2" s="118" t="s">
        <v>599</v>
      </c>
      <c r="BP2" s="25"/>
    </row>
    <row r="3" s="44" customFormat="1" hidden="1" customHeight="1" spans="1:68">
      <c r="A3" s="54" t="s">
        <v>192</v>
      </c>
      <c r="B3" s="55" t="s">
        <v>600</v>
      </c>
      <c r="C3" s="56"/>
      <c r="D3" s="56"/>
      <c r="E3" s="56"/>
      <c r="F3" s="56"/>
      <c r="G3" s="56"/>
      <c r="H3" s="56"/>
      <c r="I3" s="57"/>
      <c r="J3" s="57"/>
      <c r="K3" s="57"/>
      <c r="L3" s="57"/>
      <c r="M3" s="57"/>
      <c r="N3" s="57"/>
      <c r="O3" s="57"/>
      <c r="P3" s="57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9"/>
      <c r="AI3" s="59"/>
      <c r="AJ3" s="59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58"/>
      <c r="BL3" s="58"/>
      <c r="BM3" s="58"/>
      <c r="BN3" s="86">
        <f>BM3+BL3+BK3+BJ3+BI3+BH3+BG3+BF3+BE3+BD3+BC3+BB3+BA3+AZ3+AY3+AX3+AW3+AV3+AU3+AT3+AS3+AR3+AQ3+AP3+AO3+AN3+AM3+AL3+AK3+AJ3+AI3+AH3+AG3+AF3+AE3+AD3+AC3+AB3+AA3+Z3+Y3+X3+W3+V3+U3+T3+S3+R3+Q3+P3+O3+N3+M3+L3+K3+J3+I3+H3+G3+F3+E3+D3+C3</f>
        <v>0</v>
      </c>
      <c r="BO3" s="46"/>
    </row>
    <row r="4" s="44" customFormat="1" hidden="1" customHeight="1" spans="1:68">
      <c r="A4" s="54" t="s">
        <v>134</v>
      </c>
      <c r="B4" s="55" t="s">
        <v>601</v>
      </c>
      <c r="C4" s="56"/>
      <c r="D4" s="56"/>
      <c r="E4" s="56"/>
      <c r="F4" s="56"/>
      <c r="G4" s="56"/>
      <c r="H4" s="56"/>
      <c r="I4" s="57"/>
      <c r="J4" s="57"/>
      <c r="K4" s="57"/>
      <c r="L4" s="57"/>
      <c r="M4" s="57"/>
      <c r="N4" s="57"/>
      <c r="O4" s="57"/>
      <c r="P4" s="57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9"/>
      <c r="AI4" s="59"/>
      <c r="AJ4" s="59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8"/>
      <c r="BK4" s="58"/>
      <c r="BL4" s="58"/>
      <c r="BM4" s="58"/>
      <c r="BN4" s="86">
        <f t="shared" ref="BN4:BN68" si="0">BM4+BL4+BK4+BJ4+BI4+BH4+BG4+BF4+BE4+BD4+BC4+BB4+BA4+AZ4+AY4+AX4+AW4+AV4+AU4+AT4+AS4+AR4+AQ4+AP4+AO4+AN4+AM4+AL4+AK4+AJ4+AI4+AH4+AG4+AF4+AE4+AD4+AC4+AB4+AA4+Z4+Y4+X4+W4+V4+U4+T4+S4+R4+Q4+P4+O4+N4+M4+L4+K4+J4+I4+H4+G4+F4+E4+D4+C4</f>
        <v>0</v>
      </c>
      <c r="BO4" s="46"/>
    </row>
    <row r="5" s="44" customFormat="1" hidden="1" customHeight="1" spans="1:68">
      <c r="A5" s="54" t="s">
        <v>602</v>
      </c>
      <c r="B5" s="55" t="s">
        <v>603</v>
      </c>
      <c r="C5" s="56"/>
      <c r="D5" s="56"/>
      <c r="E5" s="56"/>
      <c r="F5" s="56"/>
      <c r="G5" s="56"/>
      <c r="H5" s="56"/>
      <c r="I5" s="57"/>
      <c r="J5" s="57"/>
      <c r="K5" s="57"/>
      <c r="L5" s="57"/>
      <c r="M5" s="57"/>
      <c r="N5" s="57"/>
      <c r="O5" s="57"/>
      <c r="P5" s="57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9"/>
      <c r="AI5" s="59"/>
      <c r="AJ5" s="59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8"/>
      <c r="BF5" s="58"/>
      <c r="BG5" s="58"/>
      <c r="BH5" s="58"/>
      <c r="BI5" s="58"/>
      <c r="BJ5" s="58"/>
      <c r="BK5" s="58"/>
      <c r="BL5" s="58"/>
      <c r="BM5" s="58"/>
      <c r="BN5" s="86">
        <f t="shared" si="0"/>
        <v>0</v>
      </c>
      <c r="BO5" s="46"/>
    </row>
    <row r="6" s="44" customFormat="1" hidden="1" customHeight="1" spans="1:68">
      <c r="A6" s="54" t="s">
        <v>604</v>
      </c>
      <c r="B6" s="55" t="s">
        <v>605</v>
      </c>
      <c r="C6" s="56"/>
      <c r="D6" s="56"/>
      <c r="E6" s="56"/>
      <c r="F6" s="56"/>
      <c r="G6" s="56"/>
      <c r="H6" s="56"/>
      <c r="I6" s="57"/>
      <c r="J6" s="57"/>
      <c r="K6" s="57"/>
      <c r="L6" s="57"/>
      <c r="M6" s="57"/>
      <c r="N6" s="57"/>
      <c r="O6" s="57"/>
      <c r="P6" s="57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9"/>
      <c r="AI6" s="59"/>
      <c r="AJ6" s="59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58"/>
      <c r="BL6" s="58"/>
      <c r="BM6" s="58"/>
      <c r="BN6" s="86">
        <f t="shared" si="0"/>
        <v>0</v>
      </c>
      <c r="BO6" s="46"/>
    </row>
    <row r="7" s="44" customFormat="1" hidden="1" customHeight="1" spans="1:68">
      <c r="A7" s="54" t="s">
        <v>67</v>
      </c>
      <c r="B7" s="55" t="s">
        <v>606</v>
      </c>
      <c r="C7" s="56"/>
      <c r="D7" s="56"/>
      <c r="E7" s="56"/>
      <c r="F7" s="56"/>
      <c r="G7" s="56"/>
      <c r="H7" s="56"/>
      <c r="I7" s="57"/>
      <c r="J7" s="57"/>
      <c r="K7" s="57"/>
      <c r="L7" s="57"/>
      <c r="M7" s="57"/>
      <c r="N7" s="57"/>
      <c r="O7" s="57"/>
      <c r="P7" s="57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9"/>
      <c r="AI7" s="59"/>
      <c r="AJ7" s="59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58"/>
      <c r="BJ7" s="58"/>
      <c r="BK7" s="58"/>
      <c r="BL7" s="58"/>
      <c r="BM7" s="58"/>
      <c r="BN7" s="86">
        <f t="shared" si="0"/>
        <v>0</v>
      </c>
      <c r="BO7" s="46"/>
    </row>
    <row r="8" s="44" customFormat="1" customHeight="1" spans="1:68">
      <c r="A8" s="54" t="s">
        <v>53</v>
      </c>
      <c r="B8" s="55" t="s">
        <v>512</v>
      </c>
      <c r="C8" s="56"/>
      <c r="D8" s="56"/>
      <c r="E8" s="56"/>
      <c r="F8" s="56"/>
      <c r="G8" s="56"/>
      <c r="H8" s="56"/>
      <c r="I8" s="57"/>
      <c r="J8" s="57"/>
      <c r="K8" s="57"/>
      <c r="L8" s="57" t="s">
        <v>607</v>
      </c>
      <c r="M8" s="57"/>
      <c r="N8" s="57"/>
      <c r="O8" s="57"/>
      <c r="P8" s="57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9"/>
      <c r="AI8" s="59"/>
      <c r="AJ8" s="59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58"/>
      <c r="BF8" s="58"/>
      <c r="BG8" s="58"/>
      <c r="BH8" s="58"/>
      <c r="BI8" s="58"/>
      <c r="BJ8" s="58"/>
      <c r="BK8" s="58"/>
      <c r="BL8" s="58"/>
      <c r="BM8" s="58"/>
      <c r="BN8" s="103">
        <f t="shared" si="0"/>
        <v>1000</v>
      </c>
      <c r="BO8" s="114"/>
    </row>
    <row r="9" s="44" customFormat="1" hidden="1" customHeight="1" spans="1:68">
      <c r="A9" s="54" t="s">
        <v>16</v>
      </c>
      <c r="B9" s="55" t="s">
        <v>608</v>
      </c>
      <c r="C9" s="56"/>
      <c r="D9" s="56"/>
      <c r="E9" s="56"/>
      <c r="F9" s="56"/>
      <c r="G9" s="56"/>
      <c r="H9" s="56"/>
      <c r="I9" s="57"/>
      <c r="J9" s="57"/>
      <c r="K9" s="57"/>
      <c r="L9" s="57"/>
      <c r="M9" s="57"/>
      <c r="N9" s="57"/>
      <c r="O9" s="57"/>
      <c r="P9" s="57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9"/>
      <c r="AI9" s="59"/>
      <c r="AJ9" s="59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58"/>
      <c r="BI9" s="58"/>
      <c r="BJ9" s="58"/>
      <c r="BK9" s="58"/>
      <c r="BL9" s="58"/>
      <c r="BM9" s="58"/>
      <c r="BN9" s="86">
        <f t="shared" si="0"/>
        <v>0</v>
      </c>
      <c r="BO9" s="114"/>
    </row>
    <row r="10" s="44" customFormat="1" customHeight="1" spans="1:68">
      <c r="A10" s="54" t="s">
        <v>59</v>
      </c>
      <c r="B10" s="55" t="s">
        <v>609</v>
      </c>
      <c r="C10" s="56"/>
      <c r="D10" s="56"/>
      <c r="E10" s="56"/>
      <c r="F10" s="56" t="s">
        <v>610</v>
      </c>
      <c r="G10" s="56" t="s">
        <v>611</v>
      </c>
      <c r="H10" s="56" t="s">
        <v>610</v>
      </c>
      <c r="I10" s="57"/>
      <c r="J10" s="57"/>
      <c r="K10" s="57"/>
      <c r="L10" s="57"/>
      <c r="M10" s="57"/>
      <c r="N10" s="57"/>
      <c r="O10" s="57"/>
      <c r="P10" s="57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9"/>
      <c r="AI10" s="59"/>
      <c r="AJ10" s="59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103">
        <f t="shared" si="0"/>
        <v>3200</v>
      </c>
      <c r="BO10" s="114"/>
    </row>
    <row r="11" s="44" customFormat="1" hidden="1" customHeight="1" spans="1:68">
      <c r="A11" s="54" t="s">
        <v>612</v>
      </c>
      <c r="B11" s="55" t="s">
        <v>613</v>
      </c>
      <c r="C11" s="56"/>
      <c r="D11" s="56"/>
      <c r="E11" s="56"/>
      <c r="F11" s="56"/>
      <c r="G11" s="56"/>
      <c r="H11" s="56"/>
      <c r="I11" s="57"/>
      <c r="J11" s="57"/>
      <c r="K11" s="57"/>
      <c r="L11" s="57"/>
      <c r="M11" s="57"/>
      <c r="N11" s="57"/>
      <c r="O11" s="57"/>
      <c r="P11" s="57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9"/>
      <c r="AI11" s="59"/>
      <c r="AJ11" s="59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86">
        <f t="shared" si="0"/>
        <v>0</v>
      </c>
      <c r="BO11" s="114"/>
    </row>
    <row r="12" s="44" customFormat="1" customHeight="1" spans="1:68">
      <c r="A12" s="54" t="s">
        <v>68</v>
      </c>
      <c r="B12" s="55" t="s">
        <v>614</v>
      </c>
      <c r="C12" s="56"/>
      <c r="D12" s="56"/>
      <c r="E12" s="56"/>
      <c r="F12" s="56"/>
      <c r="G12" s="56"/>
      <c r="H12" s="56"/>
      <c r="I12" s="57"/>
      <c r="J12" s="57"/>
      <c r="K12" s="57"/>
      <c r="L12" s="57" t="s">
        <v>615</v>
      </c>
      <c r="M12" s="57"/>
      <c r="N12" s="57"/>
      <c r="O12" s="57"/>
      <c r="P12" s="57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9"/>
      <c r="AI12" s="59"/>
      <c r="AJ12" s="59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103">
        <f t="shared" si="0"/>
        <v>300</v>
      </c>
      <c r="BO12" s="114"/>
    </row>
    <row r="13" s="44" customFormat="1" hidden="1" customHeight="1" spans="1:68">
      <c r="A13" s="54" t="s">
        <v>616</v>
      </c>
      <c r="B13" s="55" t="s">
        <v>617</v>
      </c>
      <c r="C13" s="56"/>
      <c r="D13" s="56"/>
      <c r="E13" s="56"/>
      <c r="F13" s="56"/>
      <c r="G13" s="56"/>
      <c r="H13" s="56"/>
      <c r="I13" s="57"/>
      <c r="J13" s="57"/>
      <c r="K13" s="57"/>
      <c r="L13" s="57"/>
      <c r="M13" s="57"/>
      <c r="N13" s="57"/>
      <c r="O13" s="57"/>
      <c r="P13" s="57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9"/>
      <c r="AI13" s="59"/>
      <c r="AJ13" s="59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86">
        <f t="shared" si="0"/>
        <v>0</v>
      </c>
      <c r="BO13" s="114"/>
    </row>
    <row r="14" s="44" customFormat="1" customHeight="1" spans="1:68">
      <c r="A14" s="54" t="s">
        <v>190</v>
      </c>
      <c r="B14" s="119" t="s">
        <v>618</v>
      </c>
      <c r="C14" s="62"/>
      <c r="D14" s="62"/>
      <c r="E14" s="62"/>
      <c r="F14" s="62"/>
      <c r="G14" s="62"/>
      <c r="H14" s="62"/>
      <c r="I14" s="63"/>
      <c r="J14" s="63" t="s">
        <v>619</v>
      </c>
      <c r="K14" s="63"/>
      <c r="L14" s="63"/>
      <c r="M14" s="63"/>
      <c r="N14" s="63"/>
      <c r="O14" s="63"/>
      <c r="P14" s="63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5"/>
      <c r="AI14" s="65"/>
      <c r="AJ14" s="65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4"/>
      <c r="BF14" s="64"/>
      <c r="BG14" s="64"/>
      <c r="BH14" s="64"/>
      <c r="BI14" s="64"/>
      <c r="BJ14" s="64"/>
      <c r="BK14" s="64"/>
      <c r="BL14" s="64"/>
      <c r="BM14" s="64"/>
      <c r="BN14" s="90">
        <f t="shared" si="0"/>
        <v>190</v>
      </c>
      <c r="BO14" s="114"/>
    </row>
    <row r="15" s="46" customFormat="1" customHeight="1" spans="1:68">
      <c r="A15" s="61" t="s">
        <v>224</v>
      </c>
      <c r="B15" s="62" t="s">
        <v>620</v>
      </c>
      <c r="C15" s="62"/>
      <c r="D15" s="62"/>
      <c r="E15" s="62"/>
      <c r="F15" s="62" t="s">
        <v>607</v>
      </c>
      <c r="G15" s="62"/>
      <c r="H15" s="62"/>
      <c r="I15" s="63"/>
      <c r="J15" s="63"/>
      <c r="K15" s="63"/>
      <c r="L15" s="63"/>
      <c r="M15" s="63"/>
      <c r="N15" s="63"/>
      <c r="O15" s="63"/>
      <c r="P15" s="63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5"/>
      <c r="AI15" s="65"/>
      <c r="AJ15" s="65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4"/>
      <c r="BF15" s="64"/>
      <c r="BG15" s="64"/>
      <c r="BH15" s="64"/>
      <c r="BI15" s="64"/>
      <c r="BJ15" s="64"/>
      <c r="BK15" s="64"/>
      <c r="BL15" s="64"/>
      <c r="BM15" s="64"/>
      <c r="BN15" s="90">
        <f t="shared" si="0"/>
        <v>1000</v>
      </c>
      <c r="BO15" s="114"/>
    </row>
    <row r="16" s="46" customFormat="1" customHeight="1" spans="1:68">
      <c r="A16" s="61" t="s">
        <v>204</v>
      </c>
      <c r="B16" s="77" t="s">
        <v>621</v>
      </c>
      <c r="C16" s="77"/>
      <c r="D16" s="77"/>
      <c r="E16" s="77"/>
      <c r="F16" s="77"/>
      <c r="G16" s="77"/>
      <c r="H16" s="77" t="s">
        <v>622</v>
      </c>
      <c r="I16" s="78"/>
      <c r="J16" s="78"/>
      <c r="K16" s="78"/>
      <c r="L16" s="78"/>
      <c r="M16" s="78"/>
      <c r="N16" s="78"/>
      <c r="O16" s="78"/>
      <c r="P16" s="78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80"/>
      <c r="AI16" s="80"/>
      <c r="AJ16" s="80"/>
      <c r="AK16" s="79"/>
      <c r="AL16" s="79"/>
      <c r="AM16" s="79"/>
      <c r="AN16" s="79"/>
      <c r="AO16" s="79"/>
      <c r="AP16" s="79"/>
      <c r="AQ16" s="79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79"/>
      <c r="BF16" s="79"/>
      <c r="BG16" s="79"/>
      <c r="BH16" s="79"/>
      <c r="BI16" s="79"/>
      <c r="BJ16" s="79"/>
      <c r="BK16" s="79"/>
      <c r="BL16" s="79"/>
      <c r="BM16" s="79"/>
      <c r="BN16" s="90">
        <f t="shared" si="0"/>
        <v>500</v>
      </c>
      <c r="BO16" s="114"/>
    </row>
    <row r="17" s="46" customFormat="1" hidden="1" customHeight="1" spans="1:67">
      <c r="A17" s="61" t="s">
        <v>623</v>
      </c>
      <c r="B17" s="77" t="s">
        <v>624</v>
      </c>
      <c r="C17" s="77"/>
      <c r="D17" s="77"/>
      <c r="E17" s="77"/>
      <c r="F17" s="77"/>
      <c r="G17" s="77"/>
      <c r="H17" s="77"/>
      <c r="I17" s="78"/>
      <c r="J17" s="78"/>
      <c r="K17" s="78"/>
      <c r="L17" s="78"/>
      <c r="M17" s="78"/>
      <c r="N17" s="78"/>
      <c r="O17" s="78"/>
      <c r="P17" s="78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80"/>
      <c r="AI17" s="80"/>
      <c r="AJ17" s="80"/>
      <c r="AK17" s="79"/>
      <c r="AL17" s="79"/>
      <c r="AM17" s="79"/>
      <c r="AN17" s="79"/>
      <c r="AO17" s="79"/>
      <c r="AP17" s="79"/>
      <c r="AQ17" s="79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79"/>
      <c r="BF17" s="79"/>
      <c r="BG17" s="79"/>
      <c r="BH17" s="79"/>
      <c r="BI17" s="79"/>
      <c r="BJ17" s="79"/>
      <c r="BK17" s="79"/>
      <c r="BL17" s="79"/>
      <c r="BM17" s="79"/>
      <c r="BN17" s="86">
        <f t="shared" si="0"/>
        <v>0</v>
      </c>
      <c r="BO17" s="114"/>
    </row>
    <row r="18" s="46" customFormat="1" customHeight="1" spans="1:67">
      <c r="A18" s="61" t="s">
        <v>161</v>
      </c>
      <c r="B18" s="77" t="s">
        <v>625</v>
      </c>
      <c r="C18" s="77"/>
      <c r="D18" s="77"/>
      <c r="E18" s="77"/>
      <c r="F18" s="77"/>
      <c r="G18" s="77" t="s">
        <v>607</v>
      </c>
      <c r="H18" s="77"/>
      <c r="I18" s="78"/>
      <c r="J18" s="78"/>
      <c r="K18" s="78"/>
      <c r="L18" s="78"/>
      <c r="M18" s="78"/>
      <c r="N18" s="78"/>
      <c r="O18" s="78"/>
      <c r="P18" s="78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80"/>
      <c r="AI18" s="80"/>
      <c r="AJ18" s="80"/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79"/>
      <c r="BF18" s="79"/>
      <c r="BG18" s="79"/>
      <c r="BH18" s="79"/>
      <c r="BI18" s="79"/>
      <c r="BJ18" s="79"/>
      <c r="BK18" s="79"/>
      <c r="BL18" s="79"/>
      <c r="BM18" s="79"/>
      <c r="BN18" s="90">
        <f t="shared" si="0"/>
        <v>1000</v>
      </c>
      <c r="BO18" s="114"/>
    </row>
    <row r="19" s="3" customFormat="1" hidden="1" customHeight="1" spans="1:67">
      <c r="A19" s="66" t="s">
        <v>626</v>
      </c>
      <c r="B19" s="14" t="s">
        <v>627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5"/>
      <c r="AI19" s="15"/>
      <c r="AJ19" s="15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86">
        <f t="shared" si="0"/>
        <v>0</v>
      </c>
      <c r="BO19" s="35"/>
    </row>
    <row r="20" s="3" customFormat="1" hidden="1" customHeight="1" spans="1:67">
      <c r="A20" s="42" t="s">
        <v>114</v>
      </c>
      <c r="B20" s="18" t="s">
        <v>628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9"/>
      <c r="AI20" s="19"/>
      <c r="AJ20" s="19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86">
        <f t="shared" si="0"/>
        <v>0</v>
      </c>
      <c r="BO20" s="35"/>
    </row>
    <row r="21" s="3" customFormat="1" customHeight="1" spans="1:67">
      <c r="A21" s="42" t="s">
        <v>106</v>
      </c>
      <c r="B21" s="18" t="s">
        <v>107</v>
      </c>
      <c r="C21" s="18"/>
      <c r="D21" s="18"/>
      <c r="E21" s="18"/>
      <c r="F21" s="18"/>
      <c r="G21" s="18"/>
      <c r="H21" s="18"/>
      <c r="I21" s="18"/>
      <c r="J21" s="18"/>
      <c r="K21" s="18"/>
      <c r="L21" s="18">
        <v>1000</v>
      </c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9"/>
      <c r="AI21" s="19"/>
      <c r="AJ21" s="19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90">
        <f t="shared" si="0"/>
        <v>1000</v>
      </c>
      <c r="BO21" s="35"/>
    </row>
    <row r="22" s="3" customFormat="1" hidden="1" customHeight="1" spans="1:67">
      <c r="A22" s="42" t="s">
        <v>629</v>
      </c>
      <c r="B22" s="18" t="s">
        <v>630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9"/>
      <c r="AI22" s="19"/>
      <c r="AJ22" s="19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20"/>
      <c r="BK22" s="18"/>
      <c r="BL22" s="18"/>
      <c r="BM22" s="18"/>
      <c r="BN22" s="86">
        <f t="shared" si="0"/>
        <v>0</v>
      </c>
      <c r="BO22" s="35"/>
    </row>
    <row r="23" s="3" customFormat="1" hidden="1" customHeight="1" spans="1:67">
      <c r="A23" s="42" t="s">
        <v>18</v>
      </c>
      <c r="B23" s="18" t="s">
        <v>631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9"/>
      <c r="AI23" s="19"/>
      <c r="AJ23" s="19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20"/>
      <c r="BK23" s="18"/>
      <c r="BL23" s="18"/>
      <c r="BM23" s="18"/>
      <c r="BN23" s="86">
        <f t="shared" si="0"/>
        <v>0</v>
      </c>
      <c r="BO23" s="35"/>
    </row>
    <row r="24" customHeight="1" spans="1:67">
      <c r="A24" s="16" t="s">
        <v>33</v>
      </c>
      <c r="B24" s="17" t="s">
        <v>632</v>
      </c>
      <c r="C24" s="18"/>
      <c r="D24" s="18">
        <v>1000</v>
      </c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9"/>
      <c r="AI24" s="19"/>
      <c r="AJ24" s="19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20"/>
      <c r="BK24" s="18"/>
      <c r="BL24" s="18"/>
      <c r="BM24" s="18"/>
      <c r="BN24" s="103">
        <f t="shared" si="0"/>
        <v>1000</v>
      </c>
      <c r="BO24" s="35"/>
    </row>
    <row r="25" hidden="1" customHeight="1" spans="1:67">
      <c r="A25" s="16" t="s">
        <v>69</v>
      </c>
      <c r="B25" s="17" t="s">
        <v>633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9"/>
      <c r="AI25" s="19"/>
      <c r="AJ25" s="19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20"/>
      <c r="BK25" s="18"/>
      <c r="BL25" s="18"/>
      <c r="BM25" s="18"/>
      <c r="BN25" s="86">
        <f t="shared" si="0"/>
        <v>0</v>
      </c>
      <c r="BO25" s="35"/>
    </row>
    <row r="26" hidden="1" customHeight="1" spans="1:67">
      <c r="A26" s="16" t="s">
        <v>634</v>
      </c>
      <c r="B26" s="17" t="s">
        <v>635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9"/>
      <c r="AI26" s="19"/>
      <c r="AJ26" s="19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20"/>
      <c r="BK26" s="18"/>
      <c r="BL26" s="18"/>
      <c r="BM26" s="18"/>
      <c r="BN26" s="86">
        <f t="shared" si="0"/>
        <v>0</v>
      </c>
      <c r="BO26" s="35"/>
    </row>
    <row r="27" customHeight="1" spans="1:67">
      <c r="A27" s="16" t="s">
        <v>155</v>
      </c>
      <c r="B27" s="17" t="s">
        <v>636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>
        <v>1000</v>
      </c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9"/>
      <c r="AI27" s="19"/>
      <c r="AJ27" s="19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20"/>
      <c r="BK27" s="18"/>
      <c r="BL27" s="18"/>
      <c r="BM27" s="18"/>
      <c r="BN27" s="90">
        <f t="shared" si="0"/>
        <v>1000</v>
      </c>
      <c r="BO27" s="35"/>
    </row>
    <row r="28" hidden="1" customHeight="1" spans="1:67">
      <c r="A28" s="16" t="s">
        <v>193</v>
      </c>
      <c r="B28" s="17" t="s">
        <v>637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9"/>
      <c r="AI28" s="19"/>
      <c r="AJ28" s="19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20"/>
      <c r="BK28" s="18"/>
      <c r="BL28" s="18"/>
      <c r="BM28" s="18"/>
      <c r="BN28" s="86">
        <f t="shared" si="0"/>
        <v>0</v>
      </c>
      <c r="BO28" s="35"/>
    </row>
    <row r="29" hidden="1" customHeight="1" spans="1:67">
      <c r="A29" s="16" t="s">
        <v>35</v>
      </c>
      <c r="B29" s="17" t="s">
        <v>638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9"/>
      <c r="AI29" s="19"/>
      <c r="AJ29" s="19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12"/>
      <c r="BK29" s="18"/>
      <c r="BL29" s="18"/>
      <c r="BM29" s="18"/>
      <c r="BN29" s="86">
        <f t="shared" si="0"/>
        <v>0</v>
      </c>
      <c r="BO29" s="35"/>
    </row>
    <row r="30" hidden="1" customHeight="1" spans="1:67">
      <c r="A30" s="16" t="s">
        <v>234</v>
      </c>
      <c r="B30" s="17" t="s">
        <v>639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9"/>
      <c r="AI30" s="19"/>
      <c r="AJ30" s="19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20"/>
      <c r="BK30" s="18"/>
      <c r="BL30" s="18"/>
      <c r="BM30" s="18"/>
      <c r="BN30" s="86">
        <f t="shared" si="0"/>
        <v>0</v>
      </c>
      <c r="BO30" s="35"/>
    </row>
    <row r="31" customHeight="1" spans="1:67">
      <c r="A31" s="16" t="s">
        <v>175</v>
      </c>
      <c r="B31" s="17"/>
      <c r="C31" s="18"/>
      <c r="D31" s="18"/>
      <c r="E31" s="18"/>
      <c r="F31" s="18"/>
      <c r="G31" s="18"/>
      <c r="H31" s="18">
        <v>500</v>
      </c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9"/>
      <c r="AI31" s="19"/>
      <c r="AJ31" s="19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20"/>
      <c r="BK31" s="18"/>
      <c r="BL31" s="18"/>
      <c r="BM31" s="18"/>
      <c r="BN31" s="90">
        <f t="shared" si="0"/>
        <v>500</v>
      </c>
      <c r="BO31" s="35"/>
    </row>
    <row r="32" customHeight="1" spans="1:67">
      <c r="A32" s="16" t="s">
        <v>165</v>
      </c>
      <c r="B32" s="17" t="s">
        <v>640</v>
      </c>
      <c r="C32" s="18"/>
      <c r="D32" s="18"/>
      <c r="E32" s="18"/>
      <c r="F32" s="18"/>
      <c r="G32" s="18"/>
      <c r="H32" s="18">
        <v>1000</v>
      </c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9"/>
      <c r="AI32" s="19"/>
      <c r="AJ32" s="19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20"/>
      <c r="BK32" s="18"/>
      <c r="BL32" s="18"/>
      <c r="BM32" s="18"/>
      <c r="BN32" s="90">
        <f t="shared" si="0"/>
        <v>1000</v>
      </c>
      <c r="BO32" s="35"/>
    </row>
    <row r="33" customHeight="1" spans="1:67">
      <c r="A33" s="16" t="s">
        <v>78</v>
      </c>
      <c r="B33" s="17" t="s">
        <v>641</v>
      </c>
      <c r="C33" s="18"/>
      <c r="D33" s="18"/>
      <c r="E33" s="18"/>
      <c r="F33" s="18">
        <v>1000</v>
      </c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9"/>
      <c r="AI33" s="19"/>
      <c r="AJ33" s="19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20"/>
      <c r="BK33" s="18"/>
      <c r="BL33" s="18"/>
      <c r="BM33" s="18"/>
      <c r="BN33" s="90">
        <f t="shared" si="0"/>
        <v>1000</v>
      </c>
      <c r="BO33" s="35"/>
    </row>
    <row r="34" hidden="1" customHeight="1" spans="1:67">
      <c r="A34" s="16" t="s">
        <v>74</v>
      </c>
      <c r="B34" s="17" t="s">
        <v>642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9"/>
      <c r="AI34" s="19"/>
      <c r="AJ34" s="19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20"/>
      <c r="BK34" s="18"/>
      <c r="BL34" s="18"/>
      <c r="BM34" s="18"/>
      <c r="BN34" s="86">
        <f t="shared" si="0"/>
        <v>0</v>
      </c>
      <c r="BO34" s="35"/>
    </row>
    <row r="35" hidden="1" customHeight="1" spans="1:67">
      <c r="A35" s="16" t="s">
        <v>643</v>
      </c>
      <c r="B35" s="17" t="s">
        <v>644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9"/>
      <c r="AI35" s="19"/>
      <c r="AJ35" s="19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20"/>
      <c r="BK35" s="18"/>
      <c r="BL35" s="18"/>
      <c r="BM35" s="18"/>
      <c r="BN35" s="86">
        <f t="shared" si="0"/>
        <v>0</v>
      </c>
      <c r="BO35" s="35"/>
    </row>
    <row r="36" hidden="1" customHeight="1" spans="1:67">
      <c r="A36" s="16" t="s">
        <v>138</v>
      </c>
      <c r="B36" s="17" t="s">
        <v>645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9"/>
      <c r="AI36" s="19"/>
      <c r="AJ36" s="19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20"/>
      <c r="BK36" s="18"/>
      <c r="BL36" s="18"/>
      <c r="BM36" s="18"/>
      <c r="BN36" s="86">
        <f t="shared" si="0"/>
        <v>0</v>
      </c>
      <c r="BO36" s="35"/>
    </row>
    <row r="37" hidden="1" customHeight="1" spans="1:67">
      <c r="A37" s="16" t="s">
        <v>141</v>
      </c>
      <c r="B37" s="17" t="s">
        <v>646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9"/>
      <c r="AI37" s="19"/>
      <c r="AJ37" s="19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20"/>
      <c r="BK37" s="18"/>
      <c r="BL37" s="18"/>
      <c r="BM37" s="18"/>
      <c r="BN37" s="86">
        <f t="shared" si="0"/>
        <v>0</v>
      </c>
      <c r="BO37" s="35"/>
    </row>
    <row r="38" hidden="1" customHeight="1" spans="1:67">
      <c r="A38" s="16" t="s">
        <v>109</v>
      </c>
      <c r="B38" s="17" t="s">
        <v>110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9"/>
      <c r="AI38" s="19"/>
      <c r="AJ38" s="19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86">
        <f t="shared" si="0"/>
        <v>0</v>
      </c>
      <c r="BO38" s="35"/>
    </row>
    <row r="39" customHeight="1" spans="1:67">
      <c r="A39" s="16" t="s">
        <v>103</v>
      </c>
      <c r="B39" s="17" t="s">
        <v>647</v>
      </c>
      <c r="C39" s="18"/>
      <c r="D39" s="18"/>
      <c r="E39" s="18"/>
      <c r="F39" s="18"/>
      <c r="G39" s="18"/>
      <c r="H39" s="18"/>
      <c r="I39" s="18"/>
      <c r="J39" s="18"/>
      <c r="K39" s="18"/>
      <c r="L39" s="18">
        <v>1000</v>
      </c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9"/>
      <c r="AI39" s="19"/>
      <c r="AJ39" s="19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90">
        <f t="shared" si="0"/>
        <v>1000</v>
      </c>
      <c r="BO39" s="35"/>
    </row>
    <row r="40" hidden="1" customHeight="1" spans="1:67">
      <c r="A40" s="16" t="s">
        <v>177</v>
      </c>
      <c r="B40" s="17" t="s">
        <v>648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9"/>
      <c r="AI40" s="19"/>
      <c r="AJ40" s="19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86">
        <f t="shared" si="0"/>
        <v>0</v>
      </c>
      <c r="BO40" s="35"/>
    </row>
    <row r="41" customHeight="1" spans="1:67">
      <c r="A41" s="16" t="s">
        <v>37</v>
      </c>
      <c r="B41" s="17" t="s">
        <v>649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>
        <v>1000</v>
      </c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9"/>
      <c r="AI41" s="19"/>
      <c r="AJ41" s="19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03">
        <f t="shared" si="0"/>
        <v>1000</v>
      </c>
      <c r="BO41" s="35"/>
    </row>
    <row r="42" hidden="1" customHeight="1" spans="1:67">
      <c r="A42" s="16" t="s">
        <v>173</v>
      </c>
      <c r="B42" s="17" t="s">
        <v>650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9"/>
      <c r="AI42" s="19"/>
      <c r="AJ42" s="19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86">
        <f t="shared" si="0"/>
        <v>0</v>
      </c>
      <c r="BO42" s="35"/>
    </row>
    <row r="43" hidden="1" customHeight="1" spans="1:67">
      <c r="A43" s="16" t="s">
        <v>651</v>
      </c>
      <c r="B43" s="21" t="s">
        <v>652</v>
      </c>
      <c r="C43" s="22"/>
      <c r="D43" s="22"/>
      <c r="E43" s="22"/>
      <c r="F43" s="22"/>
      <c r="G43" s="22"/>
      <c r="H43" s="22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9"/>
      <c r="AI43" s="19"/>
      <c r="AJ43" s="19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86">
        <f t="shared" si="0"/>
        <v>0</v>
      </c>
      <c r="BO43" s="35"/>
    </row>
    <row r="44" customHeight="1" spans="1:67">
      <c r="A44" s="16" t="s">
        <v>144</v>
      </c>
      <c r="B44" s="21" t="s">
        <v>653</v>
      </c>
      <c r="C44" s="22"/>
      <c r="D44" s="22"/>
      <c r="E44" s="22"/>
      <c r="F44" s="22"/>
      <c r="G44" s="22"/>
      <c r="H44" s="22"/>
      <c r="I44" s="18"/>
      <c r="J44" s="18">
        <v>825</v>
      </c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9"/>
      <c r="AI44" s="19"/>
      <c r="AJ44" s="19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90">
        <f t="shared" si="0"/>
        <v>825</v>
      </c>
      <c r="BO44" s="35"/>
    </row>
    <row r="45" hidden="1" customHeight="1" spans="1:67">
      <c r="A45" s="16" t="s">
        <v>187</v>
      </c>
      <c r="B45" s="17" t="s">
        <v>654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9"/>
      <c r="AI45" s="19"/>
      <c r="AJ45" s="19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86">
        <f t="shared" si="0"/>
        <v>0</v>
      </c>
      <c r="BO45" s="35"/>
    </row>
    <row r="46" hidden="1" customHeight="1" spans="1:67">
      <c r="A46" s="16" t="s">
        <v>14</v>
      </c>
      <c r="B46" s="17" t="s">
        <v>655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9"/>
      <c r="AI46" s="19"/>
      <c r="AJ46" s="19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86">
        <f t="shared" si="0"/>
        <v>0</v>
      </c>
      <c r="BO46" s="35"/>
    </row>
    <row r="47" customHeight="1" spans="1:67">
      <c r="A47" s="16" t="s">
        <v>51</v>
      </c>
      <c r="B47" s="17" t="s">
        <v>656</v>
      </c>
      <c r="C47" s="18">
        <v>2550</v>
      </c>
      <c r="D47" s="18">
        <v>2000</v>
      </c>
      <c r="E47" s="18"/>
      <c r="F47" s="18"/>
      <c r="G47" s="18"/>
      <c r="H47" s="18"/>
      <c r="I47" s="18"/>
      <c r="J47" s="18"/>
      <c r="K47" s="18">
        <v>1000</v>
      </c>
      <c r="L47" s="18">
        <v>3000</v>
      </c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9"/>
      <c r="AI47" s="19"/>
      <c r="AJ47" s="19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03">
        <f t="shared" si="0"/>
        <v>8550</v>
      </c>
      <c r="BO47" s="35"/>
    </row>
    <row r="48" hidden="1" customHeight="1" spans="1:67">
      <c r="A48" s="16" t="s">
        <v>76</v>
      </c>
      <c r="B48" s="17" t="s">
        <v>657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9"/>
      <c r="AI48" s="19"/>
      <c r="AJ48" s="19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86">
        <f t="shared" si="0"/>
        <v>0</v>
      </c>
      <c r="BO48" s="35"/>
    </row>
    <row r="49" hidden="1" customHeight="1" spans="1:67">
      <c r="A49" s="16" t="s">
        <v>218</v>
      </c>
      <c r="B49" s="17" t="s">
        <v>658</v>
      </c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9"/>
      <c r="AI49" s="19"/>
      <c r="AJ49" s="19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86">
        <f t="shared" si="0"/>
        <v>0</v>
      </c>
      <c r="BO49" s="35"/>
    </row>
    <row r="50" customHeight="1" spans="1:67">
      <c r="A50" s="16" t="s">
        <v>135</v>
      </c>
      <c r="B50" s="17" t="s">
        <v>659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>
        <v>1000</v>
      </c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9"/>
      <c r="AI50" s="19"/>
      <c r="AJ50" s="19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90">
        <f t="shared" si="0"/>
        <v>1000</v>
      </c>
      <c r="BO50" s="35"/>
    </row>
    <row r="51" customHeight="1" spans="1:67">
      <c r="A51" s="16" t="s">
        <v>22</v>
      </c>
      <c r="B51" s="17" t="s">
        <v>652</v>
      </c>
      <c r="C51" s="18"/>
      <c r="D51" s="18"/>
      <c r="E51" s="18"/>
      <c r="F51" s="18"/>
      <c r="G51" s="18"/>
      <c r="H51" s="18"/>
      <c r="I51" s="18"/>
      <c r="J51" s="18">
        <v>2000</v>
      </c>
      <c r="K51" s="18">
        <v>2000</v>
      </c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9"/>
      <c r="AI51" s="19"/>
      <c r="AJ51" s="19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03">
        <f t="shared" si="0"/>
        <v>4000</v>
      </c>
      <c r="BO51" s="35"/>
    </row>
    <row r="52" hidden="1" customHeight="1" spans="1:67">
      <c r="A52" s="16" t="s">
        <v>660</v>
      </c>
      <c r="B52" s="17" t="s">
        <v>655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9"/>
      <c r="AI52" s="19"/>
      <c r="AJ52" s="19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86">
        <f t="shared" si="0"/>
        <v>0</v>
      </c>
      <c r="BO52" s="35"/>
    </row>
    <row r="53" hidden="1" customHeight="1" spans="1:67">
      <c r="A53" s="16" t="s">
        <v>661</v>
      </c>
      <c r="B53" s="17" t="s">
        <v>653</v>
      </c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9"/>
      <c r="AI53" s="19"/>
      <c r="AJ53" s="19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86">
        <f t="shared" si="0"/>
        <v>0</v>
      </c>
      <c r="BO53" s="35"/>
    </row>
    <row r="54" hidden="1" customHeight="1" spans="1:67">
      <c r="A54" s="16" t="s">
        <v>662</v>
      </c>
      <c r="B54" s="17" t="s">
        <v>663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9"/>
      <c r="AI54" s="19"/>
      <c r="AJ54" s="19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86">
        <f t="shared" si="0"/>
        <v>0</v>
      </c>
      <c r="BO54" s="35"/>
    </row>
    <row r="55" customHeight="1" spans="1:67">
      <c r="A55" s="16" t="s">
        <v>212</v>
      </c>
      <c r="B55" s="17" t="s">
        <v>664</v>
      </c>
      <c r="C55" s="18"/>
      <c r="D55" s="18"/>
      <c r="E55" s="18"/>
      <c r="F55" s="18"/>
      <c r="G55" s="18"/>
      <c r="H55" s="18"/>
      <c r="I55" s="18"/>
      <c r="J55" s="18"/>
      <c r="K55" s="18">
        <v>-550</v>
      </c>
      <c r="L55" s="18">
        <v>200</v>
      </c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9"/>
      <c r="AI55" s="19"/>
      <c r="AJ55" s="19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90">
        <f t="shared" si="0"/>
        <v>-350</v>
      </c>
      <c r="BO55" s="35"/>
    </row>
    <row r="56" hidden="1" customHeight="1" spans="1:67">
      <c r="A56" s="16" t="s">
        <v>214</v>
      </c>
      <c r="B56" s="17" t="s">
        <v>665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9"/>
      <c r="AI56" s="19"/>
      <c r="AJ56" s="19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86">
        <f t="shared" si="0"/>
        <v>0</v>
      </c>
      <c r="BO56" s="35"/>
    </row>
    <row r="57" hidden="1" customHeight="1" spans="1:67">
      <c r="A57" s="16" t="s">
        <v>666</v>
      </c>
      <c r="B57" s="17" t="s">
        <v>667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9"/>
      <c r="AI57" s="19"/>
      <c r="AJ57" s="19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86">
        <f t="shared" si="0"/>
        <v>0</v>
      </c>
      <c r="BO57" s="35"/>
    </row>
    <row r="58" hidden="1" customHeight="1" spans="1:67">
      <c r="A58" s="16" t="s">
        <v>668</v>
      </c>
      <c r="B58" s="17" t="s">
        <v>669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9"/>
      <c r="AI58" s="19"/>
      <c r="AJ58" s="19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86">
        <f t="shared" si="0"/>
        <v>0</v>
      </c>
      <c r="BO58" s="35"/>
    </row>
    <row r="59" hidden="1" customHeight="1" spans="1:67">
      <c r="A59" s="16" t="s">
        <v>670</v>
      </c>
      <c r="B59" s="17" t="s">
        <v>671</v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9"/>
      <c r="AI59" s="19"/>
      <c r="AJ59" s="19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86">
        <f t="shared" si="0"/>
        <v>0</v>
      </c>
      <c r="BO59" s="35"/>
    </row>
    <row r="60" hidden="1" customHeight="1" spans="1:67">
      <c r="A60" s="16" t="s">
        <v>672</v>
      </c>
      <c r="B60" s="17" t="s">
        <v>671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9"/>
      <c r="AI60" s="19"/>
      <c r="AJ60" s="19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86">
        <f t="shared" si="0"/>
        <v>0</v>
      </c>
      <c r="BO60" s="35"/>
    </row>
    <row r="61" hidden="1" customHeight="1" spans="1:67">
      <c r="A61" s="16" t="s">
        <v>673</v>
      </c>
      <c r="B61" s="17" t="s">
        <v>674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9"/>
      <c r="AI61" s="19"/>
      <c r="AJ61" s="19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86">
        <f t="shared" si="0"/>
        <v>0</v>
      </c>
      <c r="BO61" s="35"/>
    </row>
    <row r="62" hidden="1" customHeight="1" spans="1:67">
      <c r="A62" s="16" t="s">
        <v>675</v>
      </c>
      <c r="B62" s="17" t="s">
        <v>676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9"/>
      <c r="AI62" s="19"/>
      <c r="AJ62" s="19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86">
        <f t="shared" si="0"/>
        <v>0</v>
      </c>
      <c r="BO62" s="35"/>
    </row>
    <row r="63" hidden="1" customHeight="1" spans="1:67">
      <c r="A63" s="16" t="s">
        <v>677</v>
      </c>
      <c r="B63" s="17" t="s">
        <v>678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9"/>
      <c r="AI63" s="19"/>
      <c r="AJ63" s="19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86">
        <f t="shared" si="0"/>
        <v>0</v>
      </c>
      <c r="BO63" s="35"/>
    </row>
    <row r="64" hidden="1" customHeight="1" spans="1:67">
      <c r="A64" s="16" t="s">
        <v>679</v>
      </c>
      <c r="B64" s="17" t="s">
        <v>680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9"/>
      <c r="AI64" s="19"/>
      <c r="AJ64" s="19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86">
        <f t="shared" si="0"/>
        <v>0</v>
      </c>
      <c r="BO64" s="35"/>
    </row>
    <row r="65" hidden="1" customHeight="1" spans="1:67">
      <c r="A65" s="16" t="s">
        <v>681</v>
      </c>
      <c r="B65" s="17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9"/>
      <c r="AI65" s="19"/>
      <c r="AJ65" s="19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86">
        <f t="shared" si="0"/>
        <v>0</v>
      </c>
      <c r="BO65" s="35"/>
    </row>
    <row r="66" hidden="1" customHeight="1" spans="1:67">
      <c r="A66" s="16" t="s">
        <v>604</v>
      </c>
      <c r="B66" s="17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9"/>
      <c r="AI66" s="19"/>
      <c r="AJ66" s="19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86">
        <f t="shared" si="0"/>
        <v>0</v>
      </c>
      <c r="BO66" s="35"/>
    </row>
    <row r="67" hidden="1" customHeight="1" spans="1:67">
      <c r="A67" s="16" t="s">
        <v>682</v>
      </c>
      <c r="B67" s="17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9"/>
      <c r="AI67" s="19"/>
      <c r="AJ67" s="19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86">
        <f t="shared" si="0"/>
        <v>0</v>
      </c>
      <c r="BO67" s="35"/>
    </row>
    <row r="68" hidden="1" customHeight="1" spans="1:67">
      <c r="A68" s="16" t="s">
        <v>683</v>
      </c>
      <c r="B68" s="17" t="s">
        <v>684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9"/>
      <c r="AI68" s="19"/>
      <c r="AJ68" s="19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86">
        <f t="shared" si="0"/>
        <v>0</v>
      </c>
      <c r="BO68" s="35"/>
    </row>
    <row r="69" hidden="1" customHeight="1" spans="1:67">
      <c r="A69" s="16" t="s">
        <v>685</v>
      </c>
      <c r="B69" s="17" t="s">
        <v>686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9"/>
      <c r="AI69" s="19"/>
      <c r="AJ69" s="19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86">
        <f t="shared" ref="BN69:BN125" si="1">BM69+BL69+BK69+BJ69+BI69+BH69+BG69+BF69+BE69+BD69+BC69+BB69+BA69+AZ69+AY69+AX69+AW69+AV69+AU69+AT69+AS69+AR69+AQ69+AP69+AO69+AN69+AM69+AL69+AK69+AJ69+AI69+AH69+AG69+AF69+AE69+AD69+AC69+AB69+AA69+Z69+Y69+X69+W69+V69+U69+T69+S69+R69+Q69+P69+O69+N69+M69+L69+K69+J69+I69+H69+G69+F69+E69+D69+C69</f>
        <v>0</v>
      </c>
      <c r="BO69" s="35"/>
    </row>
    <row r="70" hidden="1" customHeight="1" spans="1:67">
      <c r="A70" s="16" t="s">
        <v>687</v>
      </c>
      <c r="B70" s="17" t="s">
        <v>688</v>
      </c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9"/>
      <c r="AI70" s="19"/>
      <c r="AJ70" s="19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86">
        <f t="shared" si="1"/>
        <v>0</v>
      </c>
      <c r="BO70" s="35"/>
    </row>
    <row r="71" hidden="1" customHeight="1" spans="1:67">
      <c r="A71" s="16" t="s">
        <v>689</v>
      </c>
      <c r="B71" s="17" t="s">
        <v>690</v>
      </c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9"/>
      <c r="AI71" s="19"/>
      <c r="AJ71" s="19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86">
        <f t="shared" si="1"/>
        <v>0</v>
      </c>
      <c r="BO71" s="35"/>
    </row>
    <row r="72" hidden="1" customHeight="1" spans="1:67">
      <c r="A72" s="16" t="s">
        <v>691</v>
      </c>
      <c r="B72" s="17" t="s">
        <v>692</v>
      </c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9"/>
      <c r="AI72" s="19"/>
      <c r="AJ72" s="19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86">
        <f t="shared" si="1"/>
        <v>0</v>
      </c>
      <c r="BO72" s="35"/>
    </row>
    <row r="73" hidden="1" customHeight="1" spans="1:67">
      <c r="A73" s="16" t="s">
        <v>693</v>
      </c>
      <c r="B73" s="17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9"/>
      <c r="AI73" s="19"/>
      <c r="AJ73" s="19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86">
        <f t="shared" si="1"/>
        <v>0</v>
      </c>
      <c r="BO73" s="35"/>
    </row>
    <row r="74" hidden="1" customHeight="1" spans="1:67">
      <c r="A74" s="16" t="s">
        <v>694</v>
      </c>
      <c r="B74" s="17" t="s">
        <v>695</v>
      </c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9"/>
      <c r="AI74" s="19"/>
      <c r="AJ74" s="19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86">
        <f t="shared" si="1"/>
        <v>0</v>
      </c>
      <c r="BO74" s="35"/>
    </row>
    <row r="75" hidden="1" customHeight="1" spans="1:67">
      <c r="A75" s="16" t="s">
        <v>220</v>
      </c>
      <c r="B75" s="17" t="s">
        <v>696</v>
      </c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9"/>
      <c r="AI75" s="19"/>
      <c r="AJ75" s="19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86">
        <f t="shared" si="1"/>
        <v>0</v>
      </c>
      <c r="BO75" s="35"/>
    </row>
    <row r="76" hidden="1" customHeight="1" spans="1:67">
      <c r="A76" s="16" t="s">
        <v>697</v>
      </c>
      <c r="B76" s="17" t="s">
        <v>698</v>
      </c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9"/>
      <c r="AI76" s="19"/>
      <c r="AJ76" s="19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86">
        <f t="shared" si="1"/>
        <v>0</v>
      </c>
      <c r="BO76" s="35"/>
    </row>
    <row r="77" hidden="1" customHeight="1" spans="1:67">
      <c r="A77" s="16" t="s">
        <v>699</v>
      </c>
      <c r="B77" s="21" t="s">
        <v>700</v>
      </c>
      <c r="C77" s="22"/>
      <c r="D77" s="22"/>
      <c r="E77" s="22"/>
      <c r="F77" s="22"/>
      <c r="G77" s="22"/>
      <c r="H77" s="22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9"/>
      <c r="AI77" s="19"/>
      <c r="AJ77" s="19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86">
        <f t="shared" si="1"/>
        <v>0</v>
      </c>
      <c r="BO77" s="35"/>
    </row>
    <row r="78" hidden="1" customHeight="1" spans="1:67">
      <c r="A78" s="16" t="s">
        <v>701</v>
      </c>
      <c r="B78" s="17" t="s">
        <v>702</v>
      </c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9"/>
      <c r="AI78" s="19"/>
      <c r="AJ78" s="19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86">
        <f t="shared" si="1"/>
        <v>0</v>
      </c>
      <c r="BO78" s="35"/>
    </row>
    <row r="79" hidden="1" customHeight="1" spans="1:67">
      <c r="A79" s="16" t="s">
        <v>20</v>
      </c>
      <c r="B79" s="21" t="s">
        <v>703</v>
      </c>
      <c r="C79" s="22"/>
      <c r="D79" s="22"/>
      <c r="E79" s="22"/>
      <c r="F79" s="22"/>
      <c r="G79" s="22"/>
      <c r="H79" s="22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9"/>
      <c r="AI79" s="19"/>
      <c r="AJ79" s="19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86">
        <f t="shared" si="1"/>
        <v>0</v>
      </c>
      <c r="BO79" s="35"/>
    </row>
    <row r="80" hidden="1" customHeight="1" spans="1:67">
      <c r="A80" s="16" t="s">
        <v>704</v>
      </c>
      <c r="B80" s="21" t="s">
        <v>705</v>
      </c>
      <c r="C80" s="22"/>
      <c r="D80" s="22"/>
      <c r="E80" s="22"/>
      <c r="F80" s="22"/>
      <c r="G80" s="22"/>
      <c r="H80" s="22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9"/>
      <c r="AI80" s="19"/>
      <c r="AJ80" s="19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86">
        <f t="shared" si="1"/>
        <v>0</v>
      </c>
      <c r="BO80" s="35"/>
    </row>
    <row r="81" hidden="1" customHeight="1" spans="1:67">
      <c r="A81" s="16" t="s">
        <v>706</v>
      </c>
      <c r="B81" s="21" t="s">
        <v>707</v>
      </c>
      <c r="C81" s="22"/>
      <c r="D81" s="22"/>
      <c r="E81" s="22"/>
      <c r="F81" s="22"/>
      <c r="G81" s="22"/>
      <c r="H81" s="22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9"/>
      <c r="AI81" s="19"/>
      <c r="AJ81" s="19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86">
        <f t="shared" si="1"/>
        <v>0</v>
      </c>
      <c r="BO81" s="35"/>
    </row>
    <row r="82" hidden="1" customHeight="1" spans="1:67">
      <c r="A82" s="16" t="s">
        <v>123</v>
      </c>
      <c r="B82" s="21" t="s">
        <v>708</v>
      </c>
      <c r="C82" s="22"/>
      <c r="D82" s="22"/>
      <c r="E82" s="22"/>
      <c r="F82" s="22"/>
      <c r="G82" s="22"/>
      <c r="H82" s="22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9"/>
      <c r="AI82" s="19"/>
      <c r="AJ82" s="19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86">
        <f t="shared" si="1"/>
        <v>0</v>
      </c>
      <c r="BO82" s="35"/>
    </row>
    <row r="83" hidden="1" customHeight="1" spans="1:67">
      <c r="A83" s="16" t="s">
        <v>117</v>
      </c>
      <c r="B83" s="21" t="s">
        <v>709</v>
      </c>
      <c r="C83" s="22"/>
      <c r="D83" s="22"/>
      <c r="E83" s="22"/>
      <c r="F83" s="22"/>
      <c r="G83" s="22"/>
      <c r="H83" s="22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9"/>
      <c r="AI83" s="19"/>
      <c r="AJ83" s="19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86">
        <f t="shared" si="1"/>
        <v>0</v>
      </c>
      <c r="BO83" s="35"/>
    </row>
    <row r="84" hidden="1" customHeight="1" spans="1:67">
      <c r="A84" s="16" t="s">
        <v>120</v>
      </c>
      <c r="B84" s="21" t="s">
        <v>710</v>
      </c>
      <c r="C84" s="22"/>
      <c r="D84" s="22"/>
      <c r="E84" s="22"/>
      <c r="F84" s="22"/>
      <c r="G84" s="22"/>
      <c r="H84" s="22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9"/>
      <c r="AI84" s="19"/>
      <c r="AJ84" s="19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86">
        <f t="shared" si="1"/>
        <v>0</v>
      </c>
      <c r="BO84" s="35"/>
    </row>
    <row r="85" customHeight="1" spans="1:67">
      <c r="A85" s="16" t="s">
        <v>199</v>
      </c>
      <c r="B85" s="21" t="s">
        <v>711</v>
      </c>
      <c r="C85" s="22"/>
      <c r="D85" s="22"/>
      <c r="E85" s="22"/>
      <c r="F85" s="22"/>
      <c r="G85" s="22"/>
      <c r="H85" s="22"/>
      <c r="I85" s="18"/>
      <c r="J85" s="18"/>
      <c r="K85" s="18"/>
      <c r="L85" s="18">
        <v>2000</v>
      </c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9"/>
      <c r="AI85" s="19"/>
      <c r="AJ85" s="19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90">
        <f t="shared" si="1"/>
        <v>2000</v>
      </c>
      <c r="BO85" s="35"/>
    </row>
    <row r="86" customHeight="1" spans="1:67">
      <c r="A86" s="16" t="s">
        <v>196</v>
      </c>
      <c r="B86" s="21" t="s">
        <v>712</v>
      </c>
      <c r="C86" s="22"/>
      <c r="D86" s="22"/>
      <c r="E86" s="22"/>
      <c r="F86" s="22"/>
      <c r="G86" s="22"/>
      <c r="H86" s="22"/>
      <c r="I86" s="18"/>
      <c r="J86" s="18"/>
      <c r="K86" s="18"/>
      <c r="L86" s="18">
        <v>2000</v>
      </c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9"/>
      <c r="AI86" s="19"/>
      <c r="AJ86" s="19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90">
        <f t="shared" si="1"/>
        <v>2000</v>
      </c>
      <c r="BO86" s="35"/>
    </row>
    <row r="87" hidden="1" customHeight="1" spans="1:67">
      <c r="A87" s="16" t="s">
        <v>65</v>
      </c>
      <c r="B87" s="21" t="s">
        <v>713</v>
      </c>
      <c r="C87" s="22"/>
      <c r="D87" s="22"/>
      <c r="E87" s="22"/>
      <c r="F87" s="22"/>
      <c r="G87" s="22"/>
      <c r="H87" s="22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9"/>
      <c r="AI87" s="19"/>
      <c r="AJ87" s="19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86">
        <f t="shared" si="1"/>
        <v>0</v>
      </c>
      <c r="BO87" s="35"/>
    </row>
    <row r="88" customHeight="1" spans="1:67">
      <c r="A88" s="16" t="s">
        <v>159</v>
      </c>
      <c r="B88" s="21" t="s">
        <v>714</v>
      </c>
      <c r="C88" s="22"/>
      <c r="D88" s="22"/>
      <c r="E88" s="22"/>
      <c r="F88" s="22"/>
      <c r="G88" s="22"/>
      <c r="H88" s="22">
        <v>20000</v>
      </c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9"/>
      <c r="AI88" s="19"/>
      <c r="AJ88" s="19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90">
        <f t="shared" si="1"/>
        <v>20000</v>
      </c>
      <c r="BO88" s="35"/>
    </row>
    <row r="89" customHeight="1" spans="1:67">
      <c r="A89" s="16" t="s">
        <v>126</v>
      </c>
      <c r="B89" s="21" t="s">
        <v>715</v>
      </c>
      <c r="C89" s="22"/>
      <c r="D89" s="22"/>
      <c r="E89" s="22"/>
      <c r="F89" s="22"/>
      <c r="G89" s="22"/>
      <c r="H89" s="22"/>
      <c r="I89" s="18"/>
      <c r="J89" s="18"/>
      <c r="K89" s="18"/>
      <c r="L89" s="18">
        <v>6000</v>
      </c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9"/>
      <c r="AI89" s="19"/>
      <c r="AJ89" s="19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90">
        <f t="shared" si="1"/>
        <v>6000</v>
      </c>
      <c r="BO89" s="35"/>
    </row>
    <row r="90" customHeight="1" spans="1:67">
      <c r="A90" s="16" t="s">
        <v>181</v>
      </c>
      <c r="B90" s="21" t="s">
        <v>716</v>
      </c>
      <c r="C90" s="22"/>
      <c r="D90" s="22"/>
      <c r="E90" s="22"/>
      <c r="F90" s="22"/>
      <c r="G90" s="22"/>
      <c r="H90" s="22"/>
      <c r="I90" s="18"/>
      <c r="J90" s="18"/>
      <c r="K90" s="18"/>
      <c r="L90" s="18">
        <v>5000</v>
      </c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9"/>
      <c r="AI90" s="19"/>
      <c r="AJ90" s="19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90">
        <f t="shared" si="1"/>
        <v>5000</v>
      </c>
      <c r="BO90" s="35"/>
    </row>
    <row r="91" customHeight="1" spans="1:67">
      <c r="A91" s="16" t="s">
        <v>169</v>
      </c>
      <c r="B91" s="21" t="s">
        <v>717</v>
      </c>
      <c r="C91" s="22"/>
      <c r="D91" s="22"/>
      <c r="E91" s="22"/>
      <c r="F91" s="22"/>
      <c r="G91" s="22"/>
      <c r="H91" s="22"/>
      <c r="I91" s="18"/>
      <c r="J91" s="18"/>
      <c r="K91" s="18"/>
      <c r="L91" s="18">
        <v>4000</v>
      </c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9"/>
      <c r="AI91" s="19"/>
      <c r="AJ91" s="19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90">
        <f t="shared" si="1"/>
        <v>4000</v>
      </c>
      <c r="BO91" s="35"/>
    </row>
    <row r="92" hidden="1" customHeight="1" spans="1:67">
      <c r="A92" s="16" t="s">
        <v>222</v>
      </c>
      <c r="B92" s="21" t="s">
        <v>718</v>
      </c>
      <c r="C92" s="22"/>
      <c r="D92" s="22"/>
      <c r="E92" s="22"/>
      <c r="F92" s="22"/>
      <c r="G92" s="22"/>
      <c r="H92" s="22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9"/>
      <c r="AI92" s="19"/>
      <c r="AJ92" s="19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86">
        <f t="shared" si="1"/>
        <v>0</v>
      </c>
      <c r="BO92" s="35"/>
    </row>
    <row r="93" hidden="1" customHeight="1" spans="1:67">
      <c r="A93" s="16" t="s">
        <v>719</v>
      </c>
      <c r="B93" s="17" t="s">
        <v>720</v>
      </c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9"/>
      <c r="AI93" s="19"/>
      <c r="AJ93" s="19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86">
        <f t="shared" si="1"/>
        <v>0</v>
      </c>
      <c r="BO93" s="35"/>
    </row>
    <row r="94" customHeight="1" spans="1:67">
      <c r="A94" s="16" t="s">
        <v>206</v>
      </c>
      <c r="B94" s="17" t="s">
        <v>721</v>
      </c>
      <c r="C94" s="18"/>
      <c r="D94" s="18"/>
      <c r="E94" s="18"/>
      <c r="F94" s="18"/>
      <c r="G94" s="18"/>
      <c r="H94" s="18"/>
      <c r="I94" s="18"/>
      <c r="J94" s="18"/>
      <c r="K94" s="18"/>
      <c r="L94" s="18">
        <v>15000</v>
      </c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9"/>
      <c r="AI94" s="19"/>
      <c r="AJ94" s="19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90">
        <f t="shared" si="1"/>
        <v>15000</v>
      </c>
      <c r="BO94" s="35"/>
    </row>
    <row r="95" customHeight="1" spans="1:67">
      <c r="A95" s="16" t="s">
        <v>202</v>
      </c>
      <c r="B95" s="17" t="s">
        <v>722</v>
      </c>
      <c r="C95" s="18"/>
      <c r="D95" s="18"/>
      <c r="E95" s="18"/>
      <c r="F95" s="18"/>
      <c r="G95" s="18"/>
      <c r="H95" s="18"/>
      <c r="I95" s="18">
        <v>15000</v>
      </c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9"/>
      <c r="AI95" s="19"/>
      <c r="AJ95" s="19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90">
        <f t="shared" si="1"/>
        <v>15000</v>
      </c>
      <c r="BO95" s="35"/>
    </row>
    <row r="96" customHeight="1" spans="1:67">
      <c r="A96" s="16" t="s">
        <v>167</v>
      </c>
      <c r="B96" s="17" t="s">
        <v>723</v>
      </c>
      <c r="C96" s="18"/>
      <c r="D96" s="18"/>
      <c r="E96" s="18"/>
      <c r="F96" s="18"/>
      <c r="G96" s="18"/>
      <c r="H96" s="18"/>
      <c r="I96" s="18"/>
      <c r="J96" s="18"/>
      <c r="K96" s="18"/>
      <c r="L96" s="18">
        <v>10000</v>
      </c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9"/>
      <c r="AI96" s="19"/>
      <c r="AJ96" s="19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90">
        <f t="shared" si="1"/>
        <v>10000</v>
      </c>
      <c r="BO96" s="35"/>
    </row>
    <row r="97" hidden="1" customHeight="1" spans="1:67">
      <c r="A97" s="16" t="s">
        <v>208</v>
      </c>
      <c r="B97" s="17" t="s">
        <v>724</v>
      </c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9"/>
      <c r="AI97" s="19"/>
      <c r="AJ97" s="19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86">
        <f t="shared" si="1"/>
        <v>0</v>
      </c>
      <c r="BO97" s="35"/>
    </row>
    <row r="98" customHeight="1" spans="1:67">
      <c r="A98" s="16" t="s">
        <v>157</v>
      </c>
      <c r="B98" s="17" t="s">
        <v>725</v>
      </c>
      <c r="C98" s="18"/>
      <c r="D98" s="18"/>
      <c r="E98" s="18"/>
      <c r="F98" s="18"/>
      <c r="G98" s="18"/>
      <c r="H98" s="18"/>
      <c r="I98" s="18"/>
      <c r="J98" s="18"/>
      <c r="K98" s="18"/>
      <c r="L98" s="18">
        <v>15000</v>
      </c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9"/>
      <c r="AI98" s="19"/>
      <c r="AJ98" s="19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90">
        <f t="shared" si="1"/>
        <v>15000</v>
      </c>
      <c r="BO98" s="35"/>
    </row>
    <row r="99" customHeight="1" spans="1:67">
      <c r="A99" s="16" t="s">
        <v>129</v>
      </c>
      <c r="B99" s="17" t="s">
        <v>726</v>
      </c>
      <c r="C99" s="18"/>
      <c r="D99" s="18"/>
      <c r="E99" s="18"/>
      <c r="F99" s="18"/>
      <c r="G99" s="18"/>
      <c r="H99" s="18"/>
      <c r="I99" s="18"/>
      <c r="J99" s="18"/>
      <c r="K99" s="18"/>
      <c r="L99" s="18">
        <v>3000</v>
      </c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9"/>
      <c r="AI99" s="19"/>
      <c r="AJ99" s="19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90">
        <f t="shared" si="1"/>
        <v>3000</v>
      </c>
      <c r="BO99" s="35"/>
    </row>
    <row r="100" customHeight="1" spans="1:67">
      <c r="A100" s="16" t="s">
        <v>132</v>
      </c>
      <c r="B100" s="17" t="s">
        <v>727</v>
      </c>
      <c r="C100" s="18"/>
      <c r="D100" s="18"/>
      <c r="E100" s="18"/>
      <c r="F100" s="18"/>
      <c r="G100" s="18"/>
      <c r="H100" s="18"/>
      <c r="I100" s="18"/>
      <c r="J100" s="18"/>
      <c r="K100" s="18"/>
      <c r="L100" s="18">
        <v>3000</v>
      </c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9"/>
      <c r="AI100" s="19"/>
      <c r="AJ100" s="19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90">
        <f t="shared" si="1"/>
        <v>3000</v>
      </c>
      <c r="BO100" s="35"/>
    </row>
    <row r="101" hidden="1" customHeight="1" spans="1:67">
      <c r="A101" s="16" t="s">
        <v>80</v>
      </c>
      <c r="B101" s="17" t="s">
        <v>728</v>
      </c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9"/>
      <c r="AI101" s="19"/>
      <c r="AJ101" s="19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86">
        <f t="shared" si="1"/>
        <v>0</v>
      </c>
      <c r="BO101" s="35"/>
    </row>
    <row r="102" customHeight="1" spans="1:67">
      <c r="A102" s="16" t="s">
        <v>171</v>
      </c>
      <c r="B102" s="17" t="s">
        <v>729</v>
      </c>
      <c r="C102" s="18"/>
      <c r="D102" s="18"/>
      <c r="E102" s="18"/>
      <c r="F102" s="18">
        <v>4000</v>
      </c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9"/>
      <c r="AI102" s="19"/>
      <c r="AJ102" s="19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90">
        <f t="shared" si="1"/>
        <v>4000</v>
      </c>
      <c r="BO102" s="35"/>
    </row>
    <row r="103" customHeight="1" spans="1:67">
      <c r="A103" s="16" t="s">
        <v>210</v>
      </c>
      <c r="B103" s="17"/>
      <c r="C103" s="18"/>
      <c r="D103" s="18"/>
      <c r="E103" s="18">
        <v>10000</v>
      </c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9"/>
      <c r="AI103" s="19"/>
      <c r="AJ103" s="19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90">
        <f t="shared" si="1"/>
        <v>10000</v>
      </c>
      <c r="BO103" s="35"/>
    </row>
    <row r="104" customHeight="1" spans="1:67">
      <c r="A104" s="16" t="s">
        <v>49</v>
      </c>
      <c r="B104" s="17" t="s">
        <v>730</v>
      </c>
      <c r="C104" s="18"/>
      <c r="D104" s="18"/>
      <c r="E104" s="18"/>
      <c r="F104" s="18"/>
      <c r="G104" s="18"/>
      <c r="H104" s="18"/>
      <c r="I104" s="18"/>
      <c r="J104" s="18"/>
      <c r="K104" s="18"/>
      <c r="L104" s="18">
        <v>48000</v>
      </c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9"/>
      <c r="AI104" s="19"/>
      <c r="AJ104" s="19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03">
        <f t="shared" si="1"/>
        <v>48000</v>
      </c>
      <c r="BO104" s="35"/>
    </row>
    <row r="105" customHeight="1" spans="1:67">
      <c r="A105" s="16" t="s">
        <v>112</v>
      </c>
      <c r="B105" s="17" t="s">
        <v>731</v>
      </c>
      <c r="C105" s="19"/>
      <c r="D105" s="18"/>
      <c r="E105" s="18"/>
      <c r="F105" s="18">
        <v>4000</v>
      </c>
      <c r="G105" s="18"/>
      <c r="H105" s="18"/>
      <c r="I105" s="18"/>
      <c r="J105" s="18"/>
      <c r="K105" s="18"/>
      <c r="L105" s="18">
        <v>10000</v>
      </c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9"/>
      <c r="AI105" s="19"/>
      <c r="AJ105" s="19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23"/>
      <c r="BF105" s="23"/>
      <c r="BG105" s="18"/>
      <c r="BH105" s="18"/>
      <c r="BI105" s="18"/>
      <c r="BJ105" s="18"/>
      <c r="BK105" s="19"/>
      <c r="BL105" s="18"/>
      <c r="BM105" s="18"/>
      <c r="BN105" s="90">
        <f t="shared" si="1"/>
        <v>14000</v>
      </c>
      <c r="BO105" s="35"/>
    </row>
    <row r="106" hidden="1" customHeight="1" spans="1:67">
      <c r="A106" s="16" t="s">
        <v>184</v>
      </c>
      <c r="B106" s="76" t="s">
        <v>732</v>
      </c>
      <c r="C106" s="19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9"/>
      <c r="AI106" s="19"/>
      <c r="AJ106" s="19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23"/>
      <c r="BF106" s="23"/>
      <c r="BG106" s="18"/>
      <c r="BH106" s="18"/>
      <c r="BI106" s="18"/>
      <c r="BJ106" s="18"/>
      <c r="BK106" s="19"/>
      <c r="BL106" s="18"/>
      <c r="BM106" s="18"/>
      <c r="BN106" s="86">
        <f t="shared" si="1"/>
        <v>0</v>
      </c>
      <c r="BO106" s="35"/>
    </row>
    <row r="107" customHeight="1" spans="1:67">
      <c r="A107" s="16" t="s">
        <v>39</v>
      </c>
      <c r="B107" s="76" t="s">
        <v>40</v>
      </c>
      <c r="C107" s="19"/>
      <c r="D107" s="18"/>
      <c r="E107" s="18"/>
      <c r="F107" s="18"/>
      <c r="G107" s="18"/>
      <c r="H107" s="18"/>
      <c r="I107" s="18"/>
      <c r="J107" s="18"/>
      <c r="K107" s="18"/>
      <c r="L107" s="18">
        <v>3600</v>
      </c>
      <c r="M107" s="18"/>
      <c r="N107" s="18">
        <v>18000</v>
      </c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9"/>
      <c r="AI107" s="19"/>
      <c r="AJ107" s="19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23"/>
      <c r="BF107" s="23"/>
      <c r="BG107" s="18"/>
      <c r="BH107" s="18"/>
      <c r="BI107" s="18"/>
      <c r="BJ107" s="18"/>
      <c r="BK107" s="19"/>
      <c r="BL107" s="18"/>
      <c r="BM107" s="18"/>
      <c r="BN107" s="103">
        <f t="shared" si="1"/>
        <v>21600</v>
      </c>
      <c r="BO107" s="35"/>
    </row>
    <row r="108" customHeight="1" spans="1:67">
      <c r="A108" s="16" t="s">
        <v>41</v>
      </c>
      <c r="B108" s="76" t="s">
        <v>42</v>
      </c>
      <c r="C108" s="19"/>
      <c r="D108" s="18"/>
      <c r="E108" s="18"/>
      <c r="F108" s="18"/>
      <c r="G108" s="18"/>
      <c r="H108" s="18"/>
      <c r="I108" s="18"/>
      <c r="J108" s="18"/>
      <c r="K108" s="18"/>
      <c r="L108" s="18">
        <v>3600</v>
      </c>
      <c r="M108" s="18"/>
      <c r="N108" s="18">
        <v>18000</v>
      </c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9"/>
      <c r="AI108" s="19"/>
      <c r="AJ108" s="19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23"/>
      <c r="BF108" s="23"/>
      <c r="BG108" s="18"/>
      <c r="BH108" s="18"/>
      <c r="BI108" s="18"/>
      <c r="BJ108" s="18"/>
      <c r="BK108" s="19"/>
      <c r="BL108" s="18"/>
      <c r="BM108" s="18"/>
      <c r="BN108" s="103">
        <f t="shared" si="1"/>
        <v>21600</v>
      </c>
      <c r="BO108" s="35"/>
    </row>
    <row r="109" customHeight="1" spans="1:67">
      <c r="A109" s="16" t="s">
        <v>70</v>
      </c>
      <c r="B109" s="76" t="s">
        <v>733</v>
      </c>
      <c r="C109" s="19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>
        <v>9000</v>
      </c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9"/>
      <c r="AI109" s="19"/>
      <c r="AJ109" s="19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23"/>
      <c r="BF109" s="23"/>
      <c r="BG109" s="18"/>
      <c r="BH109" s="18"/>
      <c r="BI109" s="18"/>
      <c r="BJ109" s="18"/>
      <c r="BK109" s="19"/>
      <c r="BL109" s="18"/>
      <c r="BM109" s="18"/>
      <c r="BN109" s="103">
        <f t="shared" si="1"/>
        <v>9000</v>
      </c>
      <c r="BO109" s="35"/>
    </row>
    <row r="110" customHeight="1" spans="1:67">
      <c r="A110" s="16" t="s">
        <v>56</v>
      </c>
      <c r="B110" s="76" t="s">
        <v>734</v>
      </c>
      <c r="C110" s="19"/>
      <c r="D110" s="18"/>
      <c r="E110" s="18"/>
      <c r="F110" s="18"/>
      <c r="G110" s="18"/>
      <c r="H110" s="18"/>
      <c r="I110" s="18"/>
      <c r="J110" s="18"/>
      <c r="K110" s="18"/>
      <c r="L110" s="18"/>
      <c r="M110" s="18">
        <v>15000</v>
      </c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9"/>
      <c r="AI110" s="19"/>
      <c r="AJ110" s="19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23"/>
      <c r="BF110" s="23"/>
      <c r="BG110" s="18"/>
      <c r="BH110" s="18"/>
      <c r="BI110" s="18"/>
      <c r="BJ110" s="18"/>
      <c r="BK110" s="19"/>
      <c r="BL110" s="18"/>
      <c r="BM110" s="18"/>
      <c r="BN110" s="103">
        <f t="shared" si="1"/>
        <v>15000</v>
      </c>
      <c r="BO110" s="35"/>
    </row>
    <row r="111" customHeight="1" spans="1:67">
      <c r="A111" s="16" t="s">
        <v>43</v>
      </c>
      <c r="B111" s="76" t="s">
        <v>735</v>
      </c>
      <c r="C111" s="19"/>
      <c r="D111" s="18"/>
      <c r="E111" s="18"/>
      <c r="F111" s="18"/>
      <c r="G111" s="18"/>
      <c r="H111" s="18">
        <v>5760</v>
      </c>
      <c r="I111" s="18"/>
      <c r="J111" s="18"/>
      <c r="K111" s="18">
        <v>2160</v>
      </c>
      <c r="L111" s="18"/>
      <c r="M111" s="18">
        <v>2340</v>
      </c>
      <c r="N111" s="18">
        <v>4924</v>
      </c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9"/>
      <c r="AI111" s="19"/>
      <c r="AJ111" s="19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23"/>
      <c r="BF111" s="23"/>
      <c r="BG111" s="18"/>
      <c r="BH111" s="18"/>
      <c r="BI111" s="18"/>
      <c r="BJ111" s="18"/>
      <c r="BK111" s="19"/>
      <c r="BL111" s="18"/>
      <c r="BM111" s="18"/>
      <c r="BN111" s="103">
        <f t="shared" si="1"/>
        <v>15184</v>
      </c>
      <c r="BO111" s="35"/>
    </row>
    <row r="112" customHeight="1" spans="1:67">
      <c r="A112" s="16" t="s">
        <v>45</v>
      </c>
      <c r="B112" s="100" t="s">
        <v>736</v>
      </c>
      <c r="C112" s="19"/>
      <c r="D112" s="18"/>
      <c r="E112" s="18"/>
      <c r="F112" s="18"/>
      <c r="G112" s="18"/>
      <c r="H112" s="18">
        <v>4470</v>
      </c>
      <c r="I112" s="18"/>
      <c r="J112" s="18"/>
      <c r="K112" s="18">
        <v>1732</v>
      </c>
      <c r="L112" s="18"/>
      <c r="M112" s="18">
        <v>3520</v>
      </c>
      <c r="N112" s="18">
        <v>4563</v>
      </c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9"/>
      <c r="AI112" s="19"/>
      <c r="AJ112" s="19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23"/>
      <c r="BF112" s="23"/>
      <c r="BG112" s="18"/>
      <c r="BH112" s="18"/>
      <c r="BI112" s="18"/>
      <c r="BJ112" s="18"/>
      <c r="BK112" s="19"/>
      <c r="BL112" s="18"/>
      <c r="BM112" s="18"/>
      <c r="BN112" s="103">
        <f t="shared" si="1"/>
        <v>14285</v>
      </c>
      <c r="BO112" s="35"/>
    </row>
    <row r="113" customHeight="1" spans="1:67">
      <c r="A113" s="16" t="s">
        <v>47</v>
      </c>
      <c r="B113" s="102" t="s">
        <v>737</v>
      </c>
      <c r="C113" s="19"/>
      <c r="D113" s="18"/>
      <c r="E113" s="18"/>
      <c r="F113" s="18"/>
      <c r="G113" s="18"/>
      <c r="H113" s="18"/>
      <c r="I113" s="18"/>
      <c r="J113" s="18"/>
      <c r="K113" s="18">
        <v>1000</v>
      </c>
      <c r="L113" s="18"/>
      <c r="M113" s="18"/>
      <c r="N113" s="18">
        <v>8000</v>
      </c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9"/>
      <c r="AI113" s="19"/>
      <c r="AJ113" s="19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23"/>
      <c r="BF113" s="23"/>
      <c r="BG113" s="18"/>
      <c r="BH113" s="18"/>
      <c r="BI113" s="18"/>
      <c r="BJ113" s="18"/>
      <c r="BK113" s="19"/>
      <c r="BL113" s="18"/>
      <c r="BM113" s="18"/>
      <c r="BN113" s="103">
        <f t="shared" si="1"/>
        <v>9000</v>
      </c>
      <c r="BO113" s="35"/>
    </row>
    <row r="114" customHeight="1" spans="1:67">
      <c r="A114" s="16" t="s">
        <v>71</v>
      </c>
      <c r="B114" s="100" t="s">
        <v>738</v>
      </c>
      <c r="C114" s="19"/>
      <c r="D114" s="18"/>
      <c r="E114" s="18"/>
      <c r="F114" s="18">
        <v>8000</v>
      </c>
      <c r="G114" s="18"/>
      <c r="H114" s="18">
        <v>32000</v>
      </c>
      <c r="I114" s="18"/>
      <c r="J114" s="18"/>
      <c r="K114" s="18"/>
      <c r="L114" s="18">
        <v>2200</v>
      </c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9"/>
      <c r="AI114" s="19"/>
      <c r="AJ114" s="19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23"/>
      <c r="BF114" s="23"/>
      <c r="BG114" s="18"/>
      <c r="BH114" s="18"/>
      <c r="BI114" s="18"/>
      <c r="BJ114" s="18"/>
      <c r="BK114" s="19"/>
      <c r="BL114" s="18"/>
      <c r="BM114" s="18"/>
      <c r="BN114" s="103">
        <f t="shared" si="1"/>
        <v>42200</v>
      </c>
      <c r="BO114" s="35"/>
    </row>
    <row r="115" customHeight="1" spans="1:67">
      <c r="A115" s="16" t="s">
        <v>257</v>
      </c>
      <c r="B115" s="76" t="s">
        <v>739</v>
      </c>
      <c r="C115" s="19"/>
      <c r="D115" s="18"/>
      <c r="E115" s="18"/>
      <c r="F115" s="18">
        <v>5760</v>
      </c>
      <c r="G115" s="18"/>
      <c r="H115" s="18">
        <v>10080</v>
      </c>
      <c r="I115" s="18"/>
      <c r="J115" s="18"/>
      <c r="K115" s="18"/>
      <c r="L115" s="18"/>
      <c r="M115" s="18">
        <v>5760</v>
      </c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9"/>
      <c r="AI115" s="19"/>
      <c r="AJ115" s="19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23"/>
      <c r="BF115" s="23"/>
      <c r="BG115" s="18"/>
      <c r="BH115" s="18"/>
      <c r="BI115" s="18"/>
      <c r="BJ115" s="18"/>
      <c r="BK115" s="19"/>
      <c r="BL115" s="18"/>
      <c r="BM115" s="18"/>
      <c r="BN115" s="103">
        <f t="shared" si="1"/>
        <v>21600</v>
      </c>
      <c r="BO115" s="35"/>
    </row>
    <row r="116" customHeight="1" spans="1:67">
      <c r="A116" s="16" t="s">
        <v>253</v>
      </c>
      <c r="B116" s="76" t="s">
        <v>740</v>
      </c>
      <c r="C116" s="19"/>
      <c r="D116" s="18"/>
      <c r="E116" s="18"/>
      <c r="F116" s="18">
        <v>2400</v>
      </c>
      <c r="G116" s="18"/>
      <c r="H116" s="18"/>
      <c r="I116" s="18"/>
      <c r="J116" s="18"/>
      <c r="K116" s="18"/>
      <c r="L116" s="18"/>
      <c r="M116" s="18">
        <v>2400</v>
      </c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9"/>
      <c r="AI116" s="19"/>
      <c r="AJ116" s="19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23"/>
      <c r="BF116" s="23"/>
      <c r="BG116" s="18"/>
      <c r="BH116" s="18"/>
      <c r="BI116" s="18"/>
      <c r="BJ116" s="18"/>
      <c r="BK116" s="19"/>
      <c r="BL116" s="18"/>
      <c r="BM116" s="18"/>
      <c r="BN116" s="103">
        <f t="shared" si="1"/>
        <v>4800</v>
      </c>
      <c r="BO116" s="35"/>
    </row>
    <row r="117" hidden="1" customHeight="1" spans="1:67">
      <c r="A117" s="16" t="s">
        <v>741</v>
      </c>
      <c r="B117" s="76" t="s">
        <v>742</v>
      </c>
      <c r="C117" s="19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9"/>
      <c r="AI117" s="19"/>
      <c r="AJ117" s="19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23"/>
      <c r="BF117" s="23"/>
      <c r="BG117" s="18"/>
      <c r="BH117" s="18"/>
      <c r="BI117" s="18"/>
      <c r="BJ117" s="18"/>
      <c r="BK117" s="19"/>
      <c r="BL117" s="18"/>
      <c r="BM117" s="18"/>
      <c r="BN117" s="86">
        <f t="shared" si="1"/>
        <v>0</v>
      </c>
    </row>
    <row r="118" hidden="1" customHeight="1" spans="1:67">
      <c r="A118" s="16" t="s">
        <v>743</v>
      </c>
      <c r="B118" s="76"/>
      <c r="C118" s="19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9"/>
      <c r="AI118" s="19"/>
      <c r="AJ118" s="19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23"/>
      <c r="BF118" s="23"/>
      <c r="BG118" s="18"/>
      <c r="BH118" s="18"/>
      <c r="BI118" s="18"/>
      <c r="BJ118" s="18"/>
      <c r="BK118" s="19"/>
      <c r="BL118" s="18"/>
      <c r="BM118" s="18"/>
      <c r="BN118" s="86">
        <f t="shared" si="1"/>
        <v>0</v>
      </c>
    </row>
    <row r="119" hidden="1" customHeight="1" spans="1:67">
      <c r="A119" s="16" t="s">
        <v>744</v>
      </c>
      <c r="B119" s="76"/>
      <c r="C119" s="19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9"/>
      <c r="AI119" s="19"/>
      <c r="AJ119" s="19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23"/>
      <c r="BF119" s="23"/>
      <c r="BG119" s="18"/>
      <c r="BH119" s="18"/>
      <c r="BI119" s="18"/>
      <c r="BJ119" s="18"/>
      <c r="BK119" s="19"/>
      <c r="BL119" s="18"/>
      <c r="BM119" s="18"/>
      <c r="BN119" s="86">
        <f t="shared" si="1"/>
        <v>0</v>
      </c>
    </row>
    <row r="120" hidden="1" customHeight="1" spans="1:67">
      <c r="A120" s="16" t="s">
        <v>745</v>
      </c>
      <c r="B120" s="76"/>
      <c r="C120" s="19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9"/>
      <c r="AI120" s="19"/>
      <c r="AJ120" s="19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23"/>
      <c r="BF120" s="23"/>
      <c r="BG120" s="18"/>
      <c r="BH120" s="18"/>
      <c r="BI120" s="18"/>
      <c r="BJ120" s="18"/>
      <c r="BK120" s="19"/>
      <c r="BL120" s="18"/>
      <c r="BM120" s="18"/>
      <c r="BN120" s="86">
        <f t="shared" si="1"/>
        <v>0</v>
      </c>
    </row>
    <row r="121" hidden="1" customHeight="1" spans="1:67">
      <c r="A121" s="16" t="s">
        <v>746</v>
      </c>
      <c r="B121" s="76"/>
      <c r="C121" s="19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9"/>
      <c r="AI121" s="19"/>
      <c r="AJ121" s="19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23"/>
      <c r="BF121" s="23"/>
      <c r="BG121" s="18"/>
      <c r="BH121" s="18"/>
      <c r="BI121" s="18"/>
      <c r="BJ121" s="18"/>
      <c r="BK121" s="19"/>
      <c r="BL121" s="18"/>
      <c r="BM121" s="18"/>
      <c r="BN121" s="86">
        <f t="shared" si="1"/>
        <v>0</v>
      </c>
    </row>
    <row r="122" hidden="1" customHeight="1" spans="1:67">
      <c r="A122" s="16" t="s">
        <v>747</v>
      </c>
      <c r="B122" s="76"/>
      <c r="C122" s="19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9"/>
      <c r="AI122" s="19"/>
      <c r="AJ122" s="19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23"/>
      <c r="BF122" s="23"/>
      <c r="BG122" s="18"/>
      <c r="BH122" s="18"/>
      <c r="BI122" s="18"/>
      <c r="BJ122" s="18"/>
      <c r="BK122" s="19"/>
      <c r="BL122" s="18"/>
      <c r="BM122" s="18"/>
      <c r="BN122" s="86">
        <f t="shared" si="1"/>
        <v>0</v>
      </c>
    </row>
    <row r="123" hidden="1" customHeight="1" spans="1:67">
      <c r="A123" s="16" t="s">
        <v>748</v>
      </c>
      <c r="B123" s="76"/>
      <c r="C123" s="19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9"/>
      <c r="AI123" s="19"/>
      <c r="AJ123" s="19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23"/>
      <c r="BF123" s="23"/>
      <c r="BG123" s="18"/>
      <c r="BH123" s="18"/>
      <c r="BI123" s="18"/>
      <c r="BJ123" s="18"/>
      <c r="BK123" s="19"/>
      <c r="BL123" s="18"/>
      <c r="BM123" s="18"/>
      <c r="BN123" s="86">
        <f t="shared" si="1"/>
        <v>0</v>
      </c>
    </row>
    <row r="124" hidden="1" customHeight="1" spans="1:67">
      <c r="A124" s="16" t="s">
        <v>749</v>
      </c>
      <c r="B124" s="76"/>
      <c r="C124" s="19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9"/>
      <c r="AI124" s="19"/>
      <c r="AJ124" s="19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23"/>
      <c r="BF124" s="23"/>
      <c r="BG124" s="18"/>
      <c r="BH124" s="18"/>
      <c r="BI124" s="18"/>
      <c r="BJ124" s="18"/>
      <c r="BK124" s="19"/>
      <c r="BL124" s="18"/>
      <c r="BM124" s="18"/>
      <c r="BN124" s="86">
        <f t="shared" si="1"/>
        <v>0</v>
      </c>
    </row>
    <row r="125" hidden="1" customHeight="1" spans="1:67">
      <c r="A125" s="16" t="s">
        <v>750</v>
      </c>
      <c r="B125" s="76"/>
      <c r="C125" s="19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9"/>
      <c r="AI125" s="19"/>
      <c r="AJ125" s="19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23"/>
      <c r="BF125" s="23"/>
      <c r="BG125" s="18"/>
      <c r="BH125" s="18"/>
      <c r="BI125" s="18"/>
      <c r="BJ125" s="18"/>
      <c r="BK125" s="19"/>
      <c r="BL125" s="18"/>
      <c r="BM125" s="18"/>
      <c r="BN125" s="86">
        <f t="shared" si="1"/>
        <v>0</v>
      </c>
    </row>
  </sheetData>
  <mergeCells count="1">
    <mergeCell ref="A1:BN1"/>
  </mergeCells>
  <pageMargins left="0.7" right="0.7" top="0.75" bottom="0.75" header="0.3" footer="0.3"/>
  <pageSetup paperSize="9" scale="65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122"/>
  <sheetViews>
    <sheetView zoomScale="164" zoomScaleNormal="164" workbookViewId="0">
      <pane xSplit="2" ySplit="2" topLeftCell="I108" activePane="bottomRight" state="frozen"/>
      <selection/>
      <selection pane="topRight"/>
      <selection pane="bottomLeft"/>
      <selection pane="bottomRight" activeCell="A123" sqref="A123"/>
    </sheetView>
  </sheetViews>
  <sheetFormatPr defaultColWidth="9" defaultRowHeight="20" customHeight="1"/>
  <cols>
    <col min="1" max="1" width="14.3333333333333" style="1" customWidth="1"/>
    <col min="2" max="2" width="23.1666666666667" style="1" customWidth="1"/>
    <col min="3" max="8" width="7.5" style="1" customWidth="1"/>
    <col min="9" max="10" width="8.33333333333333" customWidth="1"/>
    <col min="11" max="11" width="8.33333333333333" style="3" customWidth="1"/>
    <col min="12" max="12" width="7.5" style="3" customWidth="1"/>
    <col min="13" max="14" width="7" style="3" customWidth="1"/>
    <col min="15" max="15" width="7" style="3" hidden="1" customWidth="1"/>
    <col min="16" max="16" width="7.83333333333333" style="3" hidden="1" customWidth="1"/>
    <col min="17" max="17" width="7.5" style="3" hidden="1" customWidth="1"/>
    <col min="18" max="18" width="7.16666666666667" style="3" hidden="1" customWidth="1"/>
    <col min="19" max="19" width="7.33333333333333" style="3" hidden="1" customWidth="1"/>
    <col min="20" max="20" width="7.83333333333333" style="3" hidden="1" customWidth="1"/>
    <col min="21" max="21" width="8.16666666666667" style="3" hidden="1" customWidth="1"/>
    <col min="22" max="22" width="7.66666666666667" style="91" hidden="1" customWidth="1"/>
    <col min="23" max="23" width="5.66666666666667" style="3" hidden="1" customWidth="1"/>
    <col min="24" max="24" width="7.66666666666667" style="3" hidden="1" customWidth="1"/>
    <col min="25" max="25" width="5.66666666666667" style="3" hidden="1" customWidth="1"/>
    <col min="26" max="26" width="6.66666666666667" style="3" hidden="1" customWidth="1"/>
    <col min="27" max="28" width="5.66666666666667" style="3" hidden="1" customWidth="1"/>
    <col min="29" max="30" width="7.33333333333333" style="3" hidden="1" customWidth="1"/>
    <col min="31" max="33" width="8.33333333333333" style="3" hidden="1" customWidth="1"/>
    <col min="34" max="36" width="7.66666666666667" style="41" hidden="1" customWidth="1"/>
    <col min="37" max="37" width="7.16666666666667" style="3" hidden="1" customWidth="1"/>
    <col min="38" max="38" width="6.83333333333333" style="3" hidden="1" customWidth="1"/>
    <col min="39" max="39" width="7.33333333333333" style="3" hidden="1" customWidth="1"/>
    <col min="40" max="40" width="7.66666666666667" style="3" hidden="1" customWidth="1"/>
    <col min="41" max="41" width="6.83333333333333" style="3" hidden="1" customWidth="1"/>
    <col min="42" max="42" width="8.5" style="3" hidden="1" customWidth="1"/>
    <col min="43" max="43" width="7.33333333333333" style="3" hidden="1" customWidth="1"/>
    <col min="44" max="44" width="8" style="3" hidden="1" customWidth="1"/>
    <col min="45" max="45" width="7.5" style="3" hidden="1" customWidth="1"/>
    <col min="46" max="50" width="5.66666666666667" style="3" hidden="1" customWidth="1"/>
    <col min="51" max="51" width="7.5" style="3" hidden="1" customWidth="1"/>
    <col min="52" max="52" width="5.66666666666667" style="3" hidden="1" customWidth="1"/>
    <col min="53" max="53" width="6.5" style="3" hidden="1" customWidth="1"/>
    <col min="54" max="58" width="5.66666666666667" style="3" hidden="1" customWidth="1"/>
    <col min="59" max="59" width="7" style="3" hidden="1" customWidth="1"/>
    <col min="60" max="60" width="7.83333333333333" style="3" hidden="1" customWidth="1"/>
    <col min="61" max="61" width="6.33333333333333" style="3" hidden="1" customWidth="1"/>
    <col min="62" max="62" width="7.33333333333333" style="3" hidden="1" customWidth="1"/>
    <col min="63" max="63" width="7.16666666666667" style="3" hidden="1" customWidth="1"/>
    <col min="64" max="64" width="7.33333333333333" style="3" hidden="1" customWidth="1"/>
    <col min="65" max="65" width="7.16666666666667" style="3" customWidth="1"/>
    <col min="66" max="66" width="8" style="3" customWidth="1"/>
    <col min="68" max="68" width="17.1666666666667" customWidth="1"/>
  </cols>
  <sheetData>
    <row r="1" customHeight="1" spans="1:68">
      <c r="A1" s="4" t="s">
        <v>595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</row>
    <row r="2" customHeight="1" spans="1:68">
      <c r="A2" s="47" t="s">
        <v>596</v>
      </c>
      <c r="B2" s="48" t="s">
        <v>597</v>
      </c>
      <c r="C2" s="49">
        <v>45173</v>
      </c>
      <c r="D2" s="49">
        <v>45175</v>
      </c>
      <c r="E2" s="49">
        <v>45176</v>
      </c>
      <c r="F2" s="49">
        <v>45179</v>
      </c>
      <c r="G2" s="49">
        <v>45180</v>
      </c>
      <c r="H2" s="49">
        <v>45181</v>
      </c>
      <c r="I2" s="50">
        <v>45182</v>
      </c>
      <c r="J2" s="50">
        <v>45183</v>
      </c>
      <c r="K2" s="50">
        <v>45187</v>
      </c>
      <c r="L2" s="50">
        <v>45189</v>
      </c>
      <c r="M2" s="50">
        <v>45193</v>
      </c>
      <c r="N2" s="50">
        <v>45194</v>
      </c>
      <c r="O2" s="50"/>
      <c r="P2" s="50"/>
      <c r="Q2" s="50"/>
      <c r="R2" s="89"/>
      <c r="S2" s="89"/>
      <c r="T2" s="89"/>
      <c r="U2" s="89"/>
      <c r="V2" s="89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2"/>
      <c r="AI2" s="52"/>
      <c r="AJ2" s="52"/>
      <c r="AK2" s="51"/>
      <c r="AL2" s="51"/>
      <c r="AM2" s="51"/>
      <c r="AN2" s="51"/>
      <c r="AO2" s="51"/>
      <c r="AP2" s="51"/>
      <c r="AQ2" s="51"/>
      <c r="AR2" s="51"/>
      <c r="AS2" s="51"/>
      <c r="AT2" s="51"/>
      <c r="AU2" s="51"/>
      <c r="AV2" s="51"/>
      <c r="AW2" s="51"/>
      <c r="AX2" s="51"/>
      <c r="AY2" s="51"/>
      <c r="AZ2" s="51"/>
      <c r="BA2" s="51"/>
      <c r="BB2" s="51"/>
      <c r="BC2" s="51"/>
      <c r="BD2" s="51"/>
      <c r="BE2" s="51"/>
      <c r="BF2" s="51"/>
      <c r="BG2" s="101"/>
      <c r="BH2" s="101"/>
      <c r="BI2" s="101"/>
      <c r="BJ2" s="101"/>
      <c r="BK2" s="101"/>
      <c r="BL2" s="101"/>
      <c r="BM2" s="101">
        <v>45195</v>
      </c>
      <c r="BN2" s="53" t="s">
        <v>598</v>
      </c>
      <c r="BO2" s="25" t="s">
        <v>599</v>
      </c>
      <c r="BP2" s="25"/>
    </row>
    <row r="3" s="44" customFormat="1" hidden="1" customHeight="1" spans="1:68">
      <c r="A3" s="54" t="s">
        <v>192</v>
      </c>
      <c r="B3" s="55" t="s">
        <v>600</v>
      </c>
      <c r="C3" s="56"/>
      <c r="D3" s="56"/>
      <c r="E3" s="56"/>
      <c r="F3" s="56"/>
      <c r="G3" s="56"/>
      <c r="H3" s="56"/>
      <c r="I3" s="57"/>
      <c r="J3" s="57"/>
      <c r="K3" s="57"/>
      <c r="L3" s="57"/>
      <c r="M3" s="57"/>
      <c r="N3" s="57"/>
      <c r="O3" s="57"/>
      <c r="P3" s="57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9"/>
      <c r="AI3" s="59"/>
      <c r="AJ3" s="59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58"/>
      <c r="BL3" s="58"/>
      <c r="BM3" s="58"/>
      <c r="BN3" s="86">
        <f>BM3+BL3+BK3+BJ3+BI3+BH3+BG3+BF3+BE3+BD3+BC3+BB3+BA3+AZ3+AY3+AX3+AW3+AV3+AU3+AT3+AS3+AR3+AQ3+AP3+AO3+AN3+AM3+AL3+AK3+AJ3+AI3+AH3+AG3+AF3+AE3+AD3+AC3+AB3+AA3+Z3+Y3+X3+W3+V3+U3+T3+S3+R3+Q3+P3+O3+N3+M3+L3+K3+J3+I3+H3+G3+F3+E3+D3+C3</f>
        <v>0</v>
      </c>
    </row>
    <row r="4" s="44" customFormat="1" hidden="1" customHeight="1" spans="1:68">
      <c r="A4" s="54" t="s">
        <v>134</v>
      </c>
      <c r="B4" s="55" t="s">
        <v>601</v>
      </c>
      <c r="C4" s="56"/>
      <c r="D4" s="56"/>
      <c r="E4" s="56"/>
      <c r="F4" s="56"/>
      <c r="G4" s="56"/>
      <c r="H4" s="56"/>
      <c r="I4" s="57"/>
      <c r="J4" s="57"/>
      <c r="K4" s="57"/>
      <c r="L4" s="57"/>
      <c r="M4" s="57"/>
      <c r="N4" s="57"/>
      <c r="O4" s="57"/>
      <c r="P4" s="57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9"/>
      <c r="AI4" s="59"/>
      <c r="AJ4" s="59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8"/>
      <c r="BK4" s="58"/>
      <c r="BL4" s="58"/>
      <c r="BM4" s="58"/>
      <c r="BN4" s="86">
        <f t="shared" ref="BN4:BN67" si="0">BM4+BL4+BK4+BJ4+BI4+BH4+BG4+BF4+BE4+BD4+BC4+BB4+BA4+AZ4+AY4+AX4+AW4+AV4+AU4+AT4+AS4+AR4+AQ4+AP4+AO4+AN4+AM4+AL4+AK4+AJ4+AI4+AH4+AG4+AF4+AE4+AD4+AC4+AB4+AA4+Z4+Y4+X4+W4+V4+U4+T4+S4+R4+Q4+P4+O4+N4+M4+L4+K4+J4+I4+H4+G4+F4+E4+D4+C4</f>
        <v>0</v>
      </c>
    </row>
    <row r="5" s="44" customFormat="1" hidden="1" customHeight="1" spans="1:68">
      <c r="A5" s="54" t="s">
        <v>602</v>
      </c>
      <c r="B5" s="55" t="s">
        <v>603</v>
      </c>
      <c r="C5" s="56"/>
      <c r="D5" s="56"/>
      <c r="E5" s="56"/>
      <c r="F5" s="56"/>
      <c r="G5" s="56"/>
      <c r="H5" s="56"/>
      <c r="I5" s="57"/>
      <c r="J5" s="57"/>
      <c r="K5" s="57"/>
      <c r="L5" s="57"/>
      <c r="M5" s="57"/>
      <c r="N5" s="57"/>
      <c r="O5" s="57"/>
      <c r="P5" s="57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9"/>
      <c r="AI5" s="59"/>
      <c r="AJ5" s="59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8"/>
      <c r="BF5" s="58"/>
      <c r="BG5" s="58"/>
      <c r="BH5" s="58"/>
      <c r="BI5" s="58"/>
      <c r="BJ5" s="58"/>
      <c r="BK5" s="58"/>
      <c r="BL5" s="58"/>
      <c r="BM5" s="58"/>
      <c r="BN5" s="86">
        <f t="shared" si="0"/>
        <v>0</v>
      </c>
    </row>
    <row r="6" s="44" customFormat="1" hidden="1" customHeight="1" spans="1:68">
      <c r="A6" s="54" t="s">
        <v>604</v>
      </c>
      <c r="B6" s="55" t="s">
        <v>605</v>
      </c>
      <c r="C6" s="56"/>
      <c r="D6" s="56"/>
      <c r="E6" s="56"/>
      <c r="F6" s="56"/>
      <c r="G6" s="56"/>
      <c r="H6" s="56"/>
      <c r="I6" s="57"/>
      <c r="J6" s="57"/>
      <c r="K6" s="57"/>
      <c r="L6" s="57"/>
      <c r="M6" s="57"/>
      <c r="N6" s="57"/>
      <c r="O6" s="57"/>
      <c r="P6" s="57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9"/>
      <c r="AI6" s="59"/>
      <c r="AJ6" s="59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58"/>
      <c r="BL6" s="58"/>
      <c r="BM6" s="58"/>
      <c r="BN6" s="86">
        <f t="shared" si="0"/>
        <v>0</v>
      </c>
    </row>
    <row r="7" s="44" customFormat="1" hidden="1" customHeight="1" spans="1:68">
      <c r="A7" s="54" t="s">
        <v>67</v>
      </c>
      <c r="B7" s="55" t="s">
        <v>606</v>
      </c>
      <c r="C7" s="56"/>
      <c r="D7" s="56"/>
      <c r="E7" s="56"/>
      <c r="F7" s="56"/>
      <c r="G7" s="56"/>
      <c r="H7" s="56"/>
      <c r="I7" s="57"/>
      <c r="J7" s="57"/>
      <c r="K7" s="57"/>
      <c r="L7" s="57"/>
      <c r="M7" s="57"/>
      <c r="N7" s="57"/>
      <c r="O7" s="57"/>
      <c r="P7" s="57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9"/>
      <c r="AI7" s="59"/>
      <c r="AJ7" s="59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58"/>
      <c r="BJ7" s="58"/>
      <c r="BK7" s="58"/>
      <c r="BL7" s="58"/>
      <c r="BM7" s="58"/>
      <c r="BN7" s="86">
        <f t="shared" si="0"/>
        <v>0</v>
      </c>
    </row>
    <row r="8" s="44" customFormat="1" customHeight="1" spans="1:68">
      <c r="A8" s="54" t="s">
        <v>53</v>
      </c>
      <c r="B8" s="55" t="s">
        <v>512</v>
      </c>
      <c r="C8" s="56"/>
      <c r="D8" s="56"/>
      <c r="E8" s="56"/>
      <c r="F8" s="56"/>
      <c r="G8" s="56"/>
      <c r="H8" s="56"/>
      <c r="I8" s="57"/>
      <c r="J8" s="57"/>
      <c r="K8" s="57"/>
      <c r="L8" s="57"/>
      <c r="M8" s="57"/>
      <c r="N8" s="57"/>
      <c r="O8" s="57"/>
      <c r="P8" s="57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9"/>
      <c r="AI8" s="59"/>
      <c r="AJ8" s="59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58"/>
      <c r="BF8" s="58"/>
      <c r="BG8" s="58"/>
      <c r="BH8" s="58"/>
      <c r="BI8" s="58"/>
      <c r="BJ8" s="58"/>
      <c r="BK8" s="58"/>
      <c r="BL8" s="58"/>
      <c r="BM8" s="58" t="s">
        <v>751</v>
      </c>
      <c r="BN8" s="90">
        <f t="shared" si="0"/>
        <v>2000</v>
      </c>
      <c r="BO8" s="45"/>
    </row>
    <row r="9" s="44" customFormat="1" hidden="1" customHeight="1" spans="1:68">
      <c r="A9" s="54" t="s">
        <v>16</v>
      </c>
      <c r="B9" s="55" t="s">
        <v>608</v>
      </c>
      <c r="C9" s="56"/>
      <c r="D9" s="56"/>
      <c r="E9" s="56"/>
      <c r="F9" s="56"/>
      <c r="G9" s="56"/>
      <c r="H9" s="56"/>
      <c r="I9" s="57"/>
      <c r="J9" s="57"/>
      <c r="K9" s="57"/>
      <c r="L9" s="57"/>
      <c r="M9" s="57"/>
      <c r="N9" s="57"/>
      <c r="O9" s="57"/>
      <c r="P9" s="57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9"/>
      <c r="AI9" s="59"/>
      <c r="AJ9" s="59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58"/>
      <c r="BI9" s="58"/>
      <c r="BJ9" s="58"/>
      <c r="BK9" s="58"/>
      <c r="BL9" s="58"/>
      <c r="BM9" s="58"/>
      <c r="BN9" s="86">
        <f t="shared" si="0"/>
        <v>0</v>
      </c>
      <c r="BO9" s="45"/>
    </row>
    <row r="10" s="44" customFormat="1" customHeight="1" spans="1:68">
      <c r="A10" s="54" t="s">
        <v>59</v>
      </c>
      <c r="B10" s="55" t="s">
        <v>609</v>
      </c>
      <c r="C10" s="56"/>
      <c r="D10" s="56"/>
      <c r="E10" s="56"/>
      <c r="F10" s="56"/>
      <c r="G10" s="56"/>
      <c r="H10" s="56"/>
      <c r="I10" s="57"/>
      <c r="J10" s="57"/>
      <c r="K10" s="57"/>
      <c r="L10" s="57" t="s">
        <v>611</v>
      </c>
      <c r="M10" s="57"/>
      <c r="N10" s="57"/>
      <c r="O10" s="57"/>
      <c r="P10" s="57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9"/>
      <c r="AI10" s="59"/>
      <c r="AJ10" s="59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 t="s">
        <v>611</v>
      </c>
      <c r="BN10" s="90">
        <f t="shared" si="0"/>
        <v>3200</v>
      </c>
      <c r="BO10" s="45"/>
    </row>
    <row r="11" s="44" customFormat="1" hidden="1" customHeight="1" spans="1:68">
      <c r="A11" s="54" t="s">
        <v>612</v>
      </c>
      <c r="B11" s="55" t="s">
        <v>613</v>
      </c>
      <c r="C11" s="56"/>
      <c r="D11" s="56"/>
      <c r="E11" s="56"/>
      <c r="F11" s="56"/>
      <c r="G11" s="56"/>
      <c r="H11" s="56"/>
      <c r="I11" s="57"/>
      <c r="J11" s="57"/>
      <c r="K11" s="57"/>
      <c r="L11" s="57"/>
      <c r="M11" s="57"/>
      <c r="N11" s="57"/>
      <c r="O11" s="57"/>
      <c r="P11" s="57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9"/>
      <c r="AI11" s="59"/>
      <c r="AJ11" s="59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86">
        <f t="shared" si="0"/>
        <v>0</v>
      </c>
      <c r="BO11" s="45"/>
    </row>
    <row r="12" s="44" customFormat="1" customHeight="1" spans="1:68">
      <c r="A12" s="54" t="s">
        <v>68</v>
      </c>
      <c r="B12" s="55" t="s">
        <v>614</v>
      </c>
      <c r="C12" s="56"/>
      <c r="D12" s="56"/>
      <c r="E12" s="56"/>
      <c r="F12" s="56"/>
      <c r="G12" s="56"/>
      <c r="H12" s="56"/>
      <c r="I12" s="57"/>
      <c r="J12" s="57"/>
      <c r="K12" s="57"/>
      <c r="L12" s="57"/>
      <c r="M12" s="57"/>
      <c r="N12" s="57" t="s">
        <v>752</v>
      </c>
      <c r="O12" s="57"/>
      <c r="P12" s="57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9"/>
      <c r="AI12" s="59"/>
      <c r="AJ12" s="59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90">
        <f t="shared" si="0"/>
        <v>200</v>
      </c>
      <c r="BO12" s="45"/>
    </row>
    <row r="13" s="44" customFormat="1" hidden="1" customHeight="1" spans="1:68">
      <c r="A13" s="54" t="s">
        <v>616</v>
      </c>
      <c r="B13" s="55" t="s">
        <v>617</v>
      </c>
      <c r="C13" s="56"/>
      <c r="D13" s="56"/>
      <c r="E13" s="56"/>
      <c r="F13" s="56"/>
      <c r="G13" s="56"/>
      <c r="H13" s="56"/>
      <c r="I13" s="57"/>
      <c r="J13" s="57"/>
      <c r="K13" s="57"/>
      <c r="L13" s="57"/>
      <c r="M13" s="57"/>
      <c r="N13" s="57"/>
      <c r="O13" s="57"/>
      <c r="P13" s="57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9"/>
      <c r="AI13" s="59"/>
      <c r="AJ13" s="59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86">
        <f t="shared" si="0"/>
        <v>0</v>
      </c>
      <c r="BO13" s="45"/>
    </row>
    <row r="14" s="46" customFormat="1" hidden="1" customHeight="1" spans="1:68">
      <c r="A14" s="61" t="s">
        <v>224</v>
      </c>
      <c r="B14" s="62" t="s">
        <v>620</v>
      </c>
      <c r="C14" s="62"/>
      <c r="D14" s="62"/>
      <c r="E14" s="62"/>
      <c r="F14" s="62"/>
      <c r="G14" s="62"/>
      <c r="H14" s="62"/>
      <c r="I14" s="63"/>
      <c r="J14" s="63"/>
      <c r="K14" s="63"/>
      <c r="L14" s="63"/>
      <c r="M14" s="63"/>
      <c r="N14" s="63"/>
      <c r="O14" s="63"/>
      <c r="P14" s="63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5"/>
      <c r="AI14" s="65"/>
      <c r="AJ14" s="65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4"/>
      <c r="BF14" s="64"/>
      <c r="BG14" s="64"/>
      <c r="BH14" s="64"/>
      <c r="BI14" s="64"/>
      <c r="BJ14" s="64"/>
      <c r="BK14" s="64"/>
      <c r="BL14" s="64"/>
      <c r="BM14" s="64"/>
      <c r="BN14" s="86">
        <f t="shared" si="0"/>
        <v>0</v>
      </c>
      <c r="BO14" s="114"/>
    </row>
    <row r="15" s="46" customFormat="1" customHeight="1" spans="1:68">
      <c r="A15" s="61" t="s">
        <v>204</v>
      </c>
      <c r="B15" s="77" t="s">
        <v>621</v>
      </c>
      <c r="C15" s="77"/>
      <c r="D15" s="77"/>
      <c r="E15" s="77"/>
      <c r="F15" s="77"/>
      <c r="G15" s="77" t="s">
        <v>753</v>
      </c>
      <c r="H15" s="77"/>
      <c r="I15" s="78"/>
      <c r="J15" s="78"/>
      <c r="K15" s="78"/>
      <c r="L15" s="78"/>
      <c r="M15" s="78"/>
      <c r="N15" s="78"/>
      <c r="O15" s="78"/>
      <c r="P15" s="78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80"/>
      <c r="AI15" s="80"/>
      <c r="AJ15" s="80"/>
      <c r="AK15" s="79"/>
      <c r="AL15" s="79"/>
      <c r="AM15" s="79"/>
      <c r="AN15" s="79"/>
      <c r="AO15" s="79"/>
      <c r="AP15" s="79"/>
      <c r="AQ15" s="79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79"/>
      <c r="BF15" s="79"/>
      <c r="BG15" s="79"/>
      <c r="BH15" s="79"/>
      <c r="BI15" s="79"/>
      <c r="BJ15" s="79"/>
      <c r="BK15" s="79"/>
      <c r="BL15" s="79"/>
      <c r="BM15" s="79"/>
      <c r="BN15" s="90">
        <f t="shared" si="0"/>
        <v>400</v>
      </c>
      <c r="BO15" s="114"/>
    </row>
    <row r="16" s="46" customFormat="1" hidden="1" customHeight="1" spans="1:68">
      <c r="A16" s="61" t="s">
        <v>623</v>
      </c>
      <c r="B16" s="77" t="s">
        <v>624</v>
      </c>
      <c r="C16" s="77"/>
      <c r="D16" s="77"/>
      <c r="E16" s="77"/>
      <c r="F16" s="77"/>
      <c r="G16" s="77"/>
      <c r="H16" s="77"/>
      <c r="I16" s="78"/>
      <c r="J16" s="78"/>
      <c r="K16" s="78"/>
      <c r="L16" s="78"/>
      <c r="M16" s="78"/>
      <c r="N16" s="78"/>
      <c r="O16" s="78"/>
      <c r="P16" s="78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80"/>
      <c r="AI16" s="80"/>
      <c r="AJ16" s="80"/>
      <c r="AK16" s="79"/>
      <c r="AL16" s="79"/>
      <c r="AM16" s="79"/>
      <c r="AN16" s="79"/>
      <c r="AO16" s="79"/>
      <c r="AP16" s="79"/>
      <c r="AQ16" s="79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79"/>
      <c r="BF16" s="79"/>
      <c r="BG16" s="79"/>
      <c r="BH16" s="79"/>
      <c r="BI16" s="79"/>
      <c r="BJ16" s="79"/>
      <c r="BK16" s="79"/>
      <c r="BL16" s="79"/>
      <c r="BM16" s="79"/>
      <c r="BN16" s="86">
        <f t="shared" si="0"/>
        <v>0</v>
      </c>
      <c r="BO16" s="114"/>
    </row>
    <row r="17" s="46" customFormat="1" customHeight="1" spans="1:67">
      <c r="A17" s="61" t="s">
        <v>161</v>
      </c>
      <c r="B17" s="77" t="s">
        <v>625</v>
      </c>
      <c r="C17" s="77"/>
      <c r="D17" s="77"/>
      <c r="E17" s="77"/>
      <c r="F17" s="77"/>
      <c r="G17" s="77"/>
      <c r="H17" s="77"/>
      <c r="I17" s="78" t="s">
        <v>607</v>
      </c>
      <c r="J17" s="78"/>
      <c r="K17" s="78"/>
      <c r="L17" s="78"/>
      <c r="M17" s="78" t="s">
        <v>607</v>
      </c>
      <c r="N17" s="78"/>
      <c r="O17" s="78"/>
      <c r="P17" s="78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80"/>
      <c r="AI17" s="80"/>
      <c r="AJ17" s="80"/>
      <c r="AK17" s="79"/>
      <c r="AL17" s="79"/>
      <c r="AM17" s="79"/>
      <c r="AN17" s="79"/>
      <c r="AO17" s="79"/>
      <c r="AP17" s="79"/>
      <c r="AQ17" s="79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79"/>
      <c r="BF17" s="79"/>
      <c r="BG17" s="79"/>
      <c r="BH17" s="79"/>
      <c r="BI17" s="79"/>
      <c r="BJ17" s="79"/>
      <c r="BK17" s="79"/>
      <c r="BL17" s="79"/>
      <c r="BM17" s="79" t="s">
        <v>754</v>
      </c>
      <c r="BN17" s="90">
        <f t="shared" si="0"/>
        <v>1700</v>
      </c>
      <c r="BO17" s="114"/>
    </row>
    <row r="18" s="3" customFormat="1" hidden="1" customHeight="1" spans="1:67">
      <c r="A18" s="66" t="s">
        <v>626</v>
      </c>
      <c r="B18" s="14" t="s">
        <v>627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5"/>
      <c r="AI18" s="15"/>
      <c r="AJ18" s="15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86">
        <f t="shared" si="0"/>
        <v>0</v>
      </c>
      <c r="BO18" s="35"/>
    </row>
    <row r="19" s="3" customFormat="1" hidden="1" customHeight="1" spans="1:67">
      <c r="A19" s="42" t="s">
        <v>114</v>
      </c>
      <c r="B19" s="18" t="s">
        <v>628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9"/>
      <c r="AI19" s="19"/>
      <c r="AJ19" s="19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86">
        <f t="shared" si="0"/>
        <v>0</v>
      </c>
      <c r="BO19" s="35"/>
    </row>
    <row r="20" s="3" customFormat="1" customHeight="1" spans="1:67">
      <c r="A20" s="42" t="s">
        <v>106</v>
      </c>
      <c r="B20" s="18" t="s">
        <v>107</v>
      </c>
      <c r="C20" s="18"/>
      <c r="D20" s="18"/>
      <c r="E20" s="18"/>
      <c r="F20" s="18">
        <v>1000</v>
      </c>
      <c r="G20" s="18"/>
      <c r="H20" s="18"/>
      <c r="I20" s="18"/>
      <c r="J20" s="18"/>
      <c r="K20" s="18"/>
      <c r="L20" s="18"/>
      <c r="M20" s="18"/>
      <c r="N20" s="18">
        <v>500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9"/>
      <c r="AI20" s="19"/>
      <c r="AJ20" s="19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90">
        <f t="shared" si="0"/>
        <v>1500</v>
      </c>
      <c r="BO20" s="35"/>
    </row>
    <row r="21" s="3" customFormat="1" hidden="1" customHeight="1" spans="1:67">
      <c r="A21" s="42" t="s">
        <v>629</v>
      </c>
      <c r="B21" s="18" t="s">
        <v>630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9"/>
      <c r="AI21" s="19"/>
      <c r="AJ21" s="19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20"/>
      <c r="BK21" s="18"/>
      <c r="BL21" s="18"/>
      <c r="BM21" s="18"/>
      <c r="BN21" s="86">
        <f t="shared" si="0"/>
        <v>0</v>
      </c>
      <c r="BO21" s="35"/>
    </row>
    <row r="22" s="3" customFormat="1" hidden="1" customHeight="1" spans="1:67">
      <c r="A22" s="42" t="s">
        <v>18</v>
      </c>
      <c r="B22" s="18" t="s">
        <v>631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9"/>
      <c r="AI22" s="19"/>
      <c r="AJ22" s="19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20"/>
      <c r="BK22" s="18"/>
      <c r="BL22" s="18"/>
      <c r="BM22" s="18"/>
      <c r="BN22" s="86">
        <f t="shared" si="0"/>
        <v>0</v>
      </c>
      <c r="BO22" s="35"/>
    </row>
    <row r="23" customHeight="1" spans="1:67">
      <c r="A23" s="16" t="s">
        <v>33</v>
      </c>
      <c r="B23" s="17" t="s">
        <v>632</v>
      </c>
      <c r="C23" s="18">
        <v>1550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9"/>
      <c r="AI23" s="19"/>
      <c r="AJ23" s="19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20"/>
      <c r="BK23" s="18"/>
      <c r="BL23" s="18"/>
      <c r="BM23" s="18"/>
      <c r="BN23" s="90">
        <f t="shared" si="0"/>
        <v>1550</v>
      </c>
      <c r="BO23" s="115"/>
    </row>
    <row r="24" hidden="1" customHeight="1" spans="1:67">
      <c r="A24" s="16" t="s">
        <v>69</v>
      </c>
      <c r="B24" s="17" t="s">
        <v>633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9"/>
      <c r="AI24" s="19"/>
      <c r="AJ24" s="19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20"/>
      <c r="BK24" s="18"/>
      <c r="BL24" s="18"/>
      <c r="BM24" s="18"/>
      <c r="BN24" s="86">
        <f t="shared" si="0"/>
        <v>0</v>
      </c>
      <c r="BO24" s="115"/>
    </row>
    <row r="25" hidden="1" customHeight="1" spans="1:67">
      <c r="A25" s="16" t="s">
        <v>634</v>
      </c>
      <c r="B25" s="17" t="s">
        <v>635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9"/>
      <c r="AI25" s="19"/>
      <c r="AJ25" s="19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20"/>
      <c r="BK25" s="18"/>
      <c r="BL25" s="18"/>
      <c r="BM25" s="18"/>
      <c r="BN25" s="86">
        <f t="shared" si="0"/>
        <v>0</v>
      </c>
      <c r="BO25" s="115"/>
    </row>
    <row r="26" customHeight="1" spans="1:67">
      <c r="A26" s="16" t="s">
        <v>155</v>
      </c>
      <c r="B26" s="17" t="s">
        <v>636</v>
      </c>
      <c r="C26" s="18"/>
      <c r="D26" s="18"/>
      <c r="E26" s="18">
        <v>125</v>
      </c>
      <c r="F26" s="18"/>
      <c r="G26" s="18"/>
      <c r="H26" s="18"/>
      <c r="I26" s="18"/>
      <c r="J26" s="18">
        <v>300</v>
      </c>
      <c r="K26" s="18"/>
      <c r="L26" s="18"/>
      <c r="M26" s="18"/>
      <c r="N26" s="18">
        <v>1200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9"/>
      <c r="AI26" s="19"/>
      <c r="AJ26" s="19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20"/>
      <c r="BK26" s="18"/>
      <c r="BL26" s="18"/>
      <c r="BM26" s="18"/>
      <c r="BN26" s="90">
        <f t="shared" si="0"/>
        <v>1625</v>
      </c>
      <c r="BO26" s="115"/>
    </row>
    <row r="27" customHeight="1" spans="1:67">
      <c r="A27" s="16" t="s">
        <v>193</v>
      </c>
      <c r="B27" s="17" t="s">
        <v>637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>
        <v>500</v>
      </c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9"/>
      <c r="AI27" s="19"/>
      <c r="AJ27" s="19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20"/>
      <c r="BK27" s="18"/>
      <c r="BL27" s="18"/>
      <c r="BM27" s="18"/>
      <c r="BN27" s="90">
        <f t="shared" si="0"/>
        <v>500</v>
      </c>
      <c r="BO27" s="115"/>
    </row>
    <row r="28" hidden="1" customHeight="1" spans="1:67">
      <c r="A28" s="16" t="s">
        <v>35</v>
      </c>
      <c r="B28" s="17" t="s">
        <v>638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9"/>
      <c r="AI28" s="19"/>
      <c r="AJ28" s="19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12"/>
      <c r="BK28" s="18"/>
      <c r="BL28" s="18"/>
      <c r="BM28" s="18"/>
      <c r="BN28" s="86">
        <f t="shared" si="0"/>
        <v>0</v>
      </c>
      <c r="BO28" s="115"/>
    </row>
    <row r="29" hidden="1" customHeight="1" spans="1:67">
      <c r="A29" s="16" t="s">
        <v>234</v>
      </c>
      <c r="B29" s="17" t="s">
        <v>639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9"/>
      <c r="AI29" s="19"/>
      <c r="AJ29" s="19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20"/>
      <c r="BK29" s="18"/>
      <c r="BL29" s="18"/>
      <c r="BM29" s="18"/>
      <c r="BN29" s="86">
        <f t="shared" si="0"/>
        <v>0</v>
      </c>
      <c r="BO29" s="115"/>
    </row>
    <row r="30" hidden="1" customHeight="1" spans="1:67">
      <c r="A30" s="16" t="s">
        <v>175</v>
      </c>
      <c r="B30" s="17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9"/>
      <c r="AI30" s="19"/>
      <c r="AJ30" s="19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20"/>
      <c r="BK30" s="18"/>
      <c r="BL30" s="18"/>
      <c r="BM30" s="18"/>
      <c r="BN30" s="86">
        <f t="shared" si="0"/>
        <v>0</v>
      </c>
      <c r="BO30" s="115"/>
    </row>
    <row r="31" customHeight="1" spans="1:67">
      <c r="A31" s="16" t="s">
        <v>165</v>
      </c>
      <c r="B31" s="17" t="s">
        <v>640</v>
      </c>
      <c r="C31" s="18"/>
      <c r="D31" s="18"/>
      <c r="E31" s="18"/>
      <c r="F31" s="18">
        <v>1000</v>
      </c>
      <c r="G31" s="18"/>
      <c r="H31" s="18"/>
      <c r="I31" s="18"/>
      <c r="J31" s="18"/>
      <c r="K31" s="18"/>
      <c r="L31" s="18"/>
      <c r="M31" s="18">
        <v>1000</v>
      </c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9"/>
      <c r="AI31" s="19"/>
      <c r="AJ31" s="19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20"/>
      <c r="BK31" s="18"/>
      <c r="BL31" s="18"/>
      <c r="BM31" s="18"/>
      <c r="BN31" s="90">
        <f t="shared" si="0"/>
        <v>2000</v>
      </c>
      <c r="BO31" s="115"/>
    </row>
    <row r="32" customHeight="1" spans="1:67">
      <c r="A32" s="16" t="s">
        <v>78</v>
      </c>
      <c r="B32" s="17" t="s">
        <v>641</v>
      </c>
      <c r="C32" s="18"/>
      <c r="D32" s="18"/>
      <c r="E32" s="18"/>
      <c r="F32" s="18"/>
      <c r="G32" s="18"/>
      <c r="H32" s="18"/>
      <c r="I32" s="18"/>
      <c r="J32" s="18"/>
      <c r="K32" s="18">
        <v>1000</v>
      </c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9"/>
      <c r="AI32" s="19"/>
      <c r="AJ32" s="19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20"/>
      <c r="BK32" s="18"/>
      <c r="BL32" s="18"/>
      <c r="BM32" s="18"/>
      <c r="BN32" s="90">
        <f t="shared" si="0"/>
        <v>1000</v>
      </c>
      <c r="BO32" s="115"/>
    </row>
    <row r="33" hidden="1" customHeight="1" spans="1:67">
      <c r="A33" s="16" t="s">
        <v>74</v>
      </c>
      <c r="B33" s="17" t="s">
        <v>642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9"/>
      <c r="AI33" s="19"/>
      <c r="AJ33" s="19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20"/>
      <c r="BK33" s="18"/>
      <c r="BL33" s="18"/>
      <c r="BM33" s="18"/>
      <c r="BN33" s="86">
        <f t="shared" si="0"/>
        <v>0</v>
      </c>
      <c r="BO33" s="115"/>
    </row>
    <row r="34" hidden="1" customHeight="1" spans="1:67">
      <c r="A34" s="16" t="s">
        <v>643</v>
      </c>
      <c r="B34" s="17" t="s">
        <v>644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9"/>
      <c r="AI34" s="19"/>
      <c r="AJ34" s="19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20"/>
      <c r="BK34" s="18"/>
      <c r="BL34" s="18"/>
      <c r="BM34" s="18"/>
      <c r="BN34" s="86">
        <f t="shared" si="0"/>
        <v>0</v>
      </c>
      <c r="BO34" s="115"/>
    </row>
    <row r="35" hidden="1" customHeight="1" spans="1:67">
      <c r="A35" s="16" t="s">
        <v>138</v>
      </c>
      <c r="B35" s="17" t="s">
        <v>645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9"/>
      <c r="AI35" s="19"/>
      <c r="AJ35" s="19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20"/>
      <c r="BK35" s="18"/>
      <c r="BL35" s="18"/>
      <c r="BM35" s="18"/>
      <c r="BN35" s="86">
        <f t="shared" si="0"/>
        <v>0</v>
      </c>
      <c r="BO35" s="115"/>
    </row>
    <row r="36" hidden="1" customHeight="1" spans="1:67">
      <c r="A36" s="16" t="s">
        <v>141</v>
      </c>
      <c r="B36" s="17" t="s">
        <v>646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9"/>
      <c r="AI36" s="19"/>
      <c r="AJ36" s="19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20"/>
      <c r="BK36" s="18"/>
      <c r="BL36" s="18"/>
      <c r="BM36" s="18"/>
      <c r="BN36" s="86">
        <f t="shared" si="0"/>
        <v>0</v>
      </c>
      <c r="BO36" s="115"/>
    </row>
    <row r="37" customHeight="1" spans="1:67">
      <c r="A37" s="16" t="s">
        <v>109</v>
      </c>
      <c r="B37" s="17" t="s">
        <v>110</v>
      </c>
      <c r="C37" s="18"/>
      <c r="D37" s="18"/>
      <c r="E37" s="18"/>
      <c r="F37" s="18"/>
      <c r="G37" s="18"/>
      <c r="H37" s="18"/>
      <c r="I37" s="18"/>
      <c r="J37" s="18"/>
      <c r="K37" s="18">
        <v>160</v>
      </c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9"/>
      <c r="AI37" s="19"/>
      <c r="AJ37" s="19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90">
        <f t="shared" si="0"/>
        <v>160</v>
      </c>
      <c r="BO37" s="115"/>
    </row>
    <row r="38" customHeight="1" spans="1:67">
      <c r="A38" s="16" t="s">
        <v>103</v>
      </c>
      <c r="B38" s="17" t="s">
        <v>647</v>
      </c>
      <c r="C38" s="18"/>
      <c r="D38" s="18"/>
      <c r="E38" s="18"/>
      <c r="F38" s="18"/>
      <c r="G38" s="18"/>
      <c r="H38" s="18"/>
      <c r="I38" s="18">
        <v>1000</v>
      </c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9"/>
      <c r="AI38" s="19"/>
      <c r="AJ38" s="19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>
        <v>1000</v>
      </c>
      <c r="BN38" s="90">
        <f t="shared" si="0"/>
        <v>2000</v>
      </c>
      <c r="BO38" s="115"/>
    </row>
    <row r="39" customHeight="1" spans="1:67">
      <c r="A39" s="16" t="s">
        <v>177</v>
      </c>
      <c r="B39" s="17" t="s">
        <v>648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9"/>
      <c r="AI39" s="19"/>
      <c r="AJ39" s="19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>
        <v>100</v>
      </c>
      <c r="BN39" s="90">
        <f t="shared" si="0"/>
        <v>100</v>
      </c>
      <c r="BO39" s="115"/>
    </row>
    <row r="40" customHeight="1" spans="1:67">
      <c r="A40" s="16" t="s">
        <v>37</v>
      </c>
      <c r="B40" s="17" t="s">
        <v>649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>
        <v>500</v>
      </c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9"/>
      <c r="AI40" s="19"/>
      <c r="AJ40" s="19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90">
        <f t="shared" si="0"/>
        <v>500</v>
      </c>
      <c r="BO40" s="115"/>
    </row>
    <row r="41" hidden="1" customHeight="1" spans="1:67">
      <c r="A41" s="16" t="s">
        <v>173</v>
      </c>
      <c r="B41" s="17" t="s">
        <v>650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9"/>
      <c r="AI41" s="19"/>
      <c r="AJ41" s="19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86">
        <f t="shared" si="0"/>
        <v>0</v>
      </c>
      <c r="BO41" s="115"/>
    </row>
    <row r="42" hidden="1" customHeight="1" spans="1:67">
      <c r="A42" s="16" t="s">
        <v>651</v>
      </c>
      <c r="B42" s="21" t="s">
        <v>652</v>
      </c>
      <c r="C42" s="22"/>
      <c r="D42" s="22"/>
      <c r="E42" s="22"/>
      <c r="F42" s="22"/>
      <c r="G42" s="22"/>
      <c r="H42" s="22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9"/>
      <c r="AI42" s="19"/>
      <c r="AJ42" s="19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86">
        <f t="shared" si="0"/>
        <v>0</v>
      </c>
      <c r="BO42" s="115"/>
    </row>
    <row r="43" customHeight="1" spans="1:67">
      <c r="A43" s="16" t="s">
        <v>144</v>
      </c>
      <c r="B43" s="21" t="s">
        <v>653</v>
      </c>
      <c r="C43" s="22">
        <v>1000</v>
      </c>
      <c r="D43" s="22"/>
      <c r="E43" s="22"/>
      <c r="F43" s="22"/>
      <c r="G43" s="22"/>
      <c r="H43" s="22"/>
      <c r="I43" s="18"/>
      <c r="J43" s="18"/>
      <c r="K43" s="18"/>
      <c r="L43" s="18"/>
      <c r="M43" s="18"/>
      <c r="N43" s="18">
        <v>1000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9"/>
      <c r="AI43" s="19"/>
      <c r="AJ43" s="19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90">
        <f t="shared" si="0"/>
        <v>2000</v>
      </c>
      <c r="BO43" s="115"/>
    </row>
    <row r="44" hidden="1" customHeight="1" spans="1:67">
      <c r="A44" s="16" t="s">
        <v>187</v>
      </c>
      <c r="B44" s="17" t="s">
        <v>654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9"/>
      <c r="AI44" s="19"/>
      <c r="AJ44" s="19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86">
        <f t="shared" si="0"/>
        <v>0</v>
      </c>
      <c r="BO44" s="115"/>
    </row>
    <row r="45" hidden="1" customHeight="1" spans="1:67">
      <c r="A45" s="16" t="s">
        <v>14</v>
      </c>
      <c r="B45" s="17" t="s">
        <v>655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9"/>
      <c r="AI45" s="19"/>
      <c r="AJ45" s="19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86">
        <f t="shared" si="0"/>
        <v>0</v>
      </c>
      <c r="BO45" s="115"/>
    </row>
    <row r="46" customHeight="1" spans="1:67">
      <c r="A46" s="16" t="s">
        <v>51</v>
      </c>
      <c r="B46" s="17" t="s">
        <v>656</v>
      </c>
      <c r="C46" s="18"/>
      <c r="D46" s="18"/>
      <c r="E46" s="18">
        <v>3000</v>
      </c>
      <c r="F46" s="18"/>
      <c r="G46" s="18">
        <v>1450</v>
      </c>
      <c r="H46" s="18"/>
      <c r="I46" s="18">
        <v>4000</v>
      </c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9"/>
      <c r="AI46" s="19"/>
      <c r="AJ46" s="19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90">
        <f t="shared" si="0"/>
        <v>8450</v>
      </c>
      <c r="BO46" s="115"/>
    </row>
    <row r="47" hidden="1" customHeight="1" spans="1:67">
      <c r="A47" s="16" t="s">
        <v>76</v>
      </c>
      <c r="B47" s="17" t="s">
        <v>657</v>
      </c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9"/>
      <c r="AI47" s="19"/>
      <c r="AJ47" s="19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86">
        <f t="shared" si="0"/>
        <v>0</v>
      </c>
      <c r="BO47" s="115"/>
    </row>
    <row r="48" hidden="1" customHeight="1" spans="1:67">
      <c r="A48" s="16" t="s">
        <v>218</v>
      </c>
      <c r="B48" s="17" t="s">
        <v>658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9"/>
      <c r="AI48" s="19"/>
      <c r="AJ48" s="19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86">
        <f t="shared" si="0"/>
        <v>0</v>
      </c>
      <c r="BO48" s="115"/>
    </row>
    <row r="49" customHeight="1" spans="1:67">
      <c r="A49" s="16" t="s">
        <v>135</v>
      </c>
      <c r="B49" s="17" t="s">
        <v>659</v>
      </c>
      <c r="C49" s="18"/>
      <c r="D49" s="18"/>
      <c r="E49" s="18"/>
      <c r="F49" s="18"/>
      <c r="G49" s="18"/>
      <c r="H49" s="18"/>
      <c r="I49" s="18"/>
      <c r="J49" s="18"/>
      <c r="K49" s="18"/>
      <c r="L49" s="18">
        <v>1000</v>
      </c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9"/>
      <c r="AI49" s="19"/>
      <c r="AJ49" s="19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90">
        <f t="shared" si="0"/>
        <v>1000</v>
      </c>
      <c r="BO49" s="115"/>
    </row>
    <row r="50" customHeight="1" spans="1:67">
      <c r="A50" s="16" t="s">
        <v>22</v>
      </c>
      <c r="B50" s="17" t="s">
        <v>652</v>
      </c>
      <c r="C50" s="18"/>
      <c r="D50" s="18"/>
      <c r="E50" s="18">
        <v>1000</v>
      </c>
      <c r="F50" s="18"/>
      <c r="G50" s="18"/>
      <c r="H50" s="18"/>
      <c r="I50" s="18"/>
      <c r="J50" s="18"/>
      <c r="K50" s="18">
        <v>1000</v>
      </c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9"/>
      <c r="AI50" s="19"/>
      <c r="AJ50" s="19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90">
        <f t="shared" si="0"/>
        <v>2000</v>
      </c>
      <c r="BO50" s="115"/>
    </row>
    <row r="51" hidden="1" customHeight="1" spans="1:67">
      <c r="A51" s="16" t="s">
        <v>660</v>
      </c>
      <c r="B51" s="17" t="s">
        <v>655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9"/>
      <c r="AI51" s="19"/>
      <c r="AJ51" s="19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86">
        <f t="shared" si="0"/>
        <v>0</v>
      </c>
      <c r="BO51" s="115"/>
    </row>
    <row r="52" hidden="1" customHeight="1" spans="1:67">
      <c r="A52" s="16" t="s">
        <v>661</v>
      </c>
      <c r="B52" s="17" t="s">
        <v>653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9"/>
      <c r="AI52" s="19"/>
      <c r="AJ52" s="19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86">
        <f t="shared" si="0"/>
        <v>0</v>
      </c>
      <c r="BO52" s="115"/>
    </row>
    <row r="53" hidden="1" customHeight="1" spans="1:67">
      <c r="A53" s="16" t="s">
        <v>662</v>
      </c>
      <c r="B53" s="17" t="s">
        <v>663</v>
      </c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9"/>
      <c r="AI53" s="19"/>
      <c r="AJ53" s="19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86">
        <f t="shared" si="0"/>
        <v>0</v>
      </c>
      <c r="BO53" s="115"/>
    </row>
    <row r="54" customHeight="1" spans="1:67">
      <c r="A54" s="16" t="s">
        <v>212</v>
      </c>
      <c r="B54" s="17" t="s">
        <v>664</v>
      </c>
      <c r="C54" s="18"/>
      <c r="D54" s="18"/>
      <c r="E54" s="18"/>
      <c r="F54" s="18"/>
      <c r="G54" s="18"/>
      <c r="H54" s="18"/>
      <c r="I54" s="18"/>
      <c r="J54" s="18"/>
      <c r="K54" s="18">
        <v>550</v>
      </c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9"/>
      <c r="AI54" s="19"/>
      <c r="AJ54" s="19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90">
        <f t="shared" si="0"/>
        <v>550</v>
      </c>
      <c r="BO54" s="115"/>
    </row>
    <row r="55" hidden="1" customHeight="1" spans="1:67">
      <c r="A55" s="16" t="s">
        <v>214</v>
      </c>
      <c r="B55" s="17" t="s">
        <v>665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9"/>
      <c r="AI55" s="19"/>
      <c r="AJ55" s="19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86">
        <f t="shared" si="0"/>
        <v>0</v>
      </c>
      <c r="BO55" s="115"/>
    </row>
    <row r="56" hidden="1" customHeight="1" spans="1:67">
      <c r="A56" s="16" t="s">
        <v>666</v>
      </c>
      <c r="B56" s="17" t="s">
        <v>667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9"/>
      <c r="AI56" s="19"/>
      <c r="AJ56" s="19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86">
        <f t="shared" si="0"/>
        <v>0</v>
      </c>
      <c r="BO56" s="115"/>
    </row>
    <row r="57" hidden="1" customHeight="1" spans="1:67">
      <c r="A57" s="16" t="s">
        <v>668</v>
      </c>
      <c r="B57" s="17" t="s">
        <v>669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9"/>
      <c r="AI57" s="19"/>
      <c r="AJ57" s="19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86">
        <f t="shared" si="0"/>
        <v>0</v>
      </c>
      <c r="BO57" s="115"/>
    </row>
    <row r="58" hidden="1" customHeight="1" spans="1:67">
      <c r="A58" s="16" t="s">
        <v>670</v>
      </c>
      <c r="B58" s="17" t="s">
        <v>671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9"/>
      <c r="AI58" s="19"/>
      <c r="AJ58" s="19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86">
        <f t="shared" si="0"/>
        <v>0</v>
      </c>
      <c r="BO58" s="115"/>
    </row>
    <row r="59" hidden="1" customHeight="1" spans="1:67">
      <c r="A59" s="16" t="s">
        <v>672</v>
      </c>
      <c r="B59" s="17" t="s">
        <v>671</v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9"/>
      <c r="AI59" s="19"/>
      <c r="AJ59" s="19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86">
        <f t="shared" si="0"/>
        <v>0</v>
      </c>
      <c r="BO59" s="115"/>
    </row>
    <row r="60" hidden="1" customHeight="1" spans="1:67">
      <c r="A60" s="16" t="s">
        <v>673</v>
      </c>
      <c r="B60" s="17" t="s">
        <v>674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9"/>
      <c r="AI60" s="19"/>
      <c r="AJ60" s="19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86">
        <f t="shared" si="0"/>
        <v>0</v>
      </c>
      <c r="BO60" s="115"/>
    </row>
    <row r="61" hidden="1" customHeight="1" spans="1:67">
      <c r="A61" s="16" t="s">
        <v>675</v>
      </c>
      <c r="B61" s="17" t="s">
        <v>676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9"/>
      <c r="AI61" s="19"/>
      <c r="AJ61" s="19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86">
        <f t="shared" si="0"/>
        <v>0</v>
      </c>
      <c r="BO61" s="115"/>
    </row>
    <row r="62" hidden="1" customHeight="1" spans="1:67">
      <c r="A62" s="16" t="s">
        <v>677</v>
      </c>
      <c r="B62" s="17" t="s">
        <v>678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9"/>
      <c r="AI62" s="19"/>
      <c r="AJ62" s="19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86">
        <f t="shared" si="0"/>
        <v>0</v>
      </c>
      <c r="BO62" s="115"/>
    </row>
    <row r="63" hidden="1" customHeight="1" spans="1:67">
      <c r="A63" s="16" t="s">
        <v>679</v>
      </c>
      <c r="B63" s="17" t="s">
        <v>680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9"/>
      <c r="AI63" s="19"/>
      <c r="AJ63" s="19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86">
        <f t="shared" si="0"/>
        <v>0</v>
      </c>
      <c r="BO63" s="115"/>
    </row>
    <row r="64" hidden="1" customHeight="1" spans="1:67">
      <c r="A64" s="16" t="s">
        <v>681</v>
      </c>
      <c r="B64" s="17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9"/>
      <c r="AI64" s="19"/>
      <c r="AJ64" s="19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86">
        <f t="shared" si="0"/>
        <v>0</v>
      </c>
      <c r="BO64" s="115"/>
    </row>
    <row r="65" hidden="1" customHeight="1" spans="1:67">
      <c r="A65" s="16" t="s">
        <v>604</v>
      </c>
      <c r="B65" s="17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9"/>
      <c r="AI65" s="19"/>
      <c r="AJ65" s="19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86">
        <f t="shared" si="0"/>
        <v>0</v>
      </c>
      <c r="BO65" s="115"/>
    </row>
    <row r="66" hidden="1" customHeight="1" spans="1:67">
      <c r="A66" s="16" t="s">
        <v>682</v>
      </c>
      <c r="B66" s="17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9"/>
      <c r="AI66" s="19"/>
      <c r="AJ66" s="19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86">
        <f t="shared" si="0"/>
        <v>0</v>
      </c>
      <c r="BO66" s="115"/>
    </row>
    <row r="67" hidden="1" customHeight="1" spans="1:67">
      <c r="A67" s="16" t="s">
        <v>683</v>
      </c>
      <c r="B67" s="17" t="s">
        <v>684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9"/>
      <c r="AI67" s="19"/>
      <c r="AJ67" s="19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86">
        <f t="shared" si="0"/>
        <v>0</v>
      </c>
      <c r="BO67" s="115"/>
    </row>
    <row r="68" hidden="1" customHeight="1" spans="1:67">
      <c r="A68" s="16" t="s">
        <v>685</v>
      </c>
      <c r="B68" s="17" t="s">
        <v>686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9"/>
      <c r="AI68" s="19"/>
      <c r="AJ68" s="19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86">
        <f t="shared" ref="BN68:BN122" si="1">BM68+BL68+BK68+BJ68+BI68+BH68+BG68+BF68+BE68+BD68+BC68+BB68+BA68+AZ68+AY68+AX68+AW68+AV68+AU68+AT68+AS68+AR68+AQ68+AP68+AO68+AN68+AM68+AL68+AK68+AJ68+AI68+AH68+AG68+AF68+AE68+AD68+AC68+AB68+AA68+Z68+Y68+X68+W68+V68+U68+T68+S68+R68+Q68+P68+O68+N68+M68+L68+K68+J68+I68+H68+G68+F68+E68+D68+C68</f>
        <v>0</v>
      </c>
      <c r="BO68" s="115"/>
    </row>
    <row r="69" hidden="1" customHeight="1" spans="1:67">
      <c r="A69" s="16" t="s">
        <v>687</v>
      </c>
      <c r="B69" s="17" t="s">
        <v>688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9"/>
      <c r="AI69" s="19"/>
      <c r="AJ69" s="19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86">
        <f t="shared" si="1"/>
        <v>0</v>
      </c>
      <c r="BO69" s="115"/>
    </row>
    <row r="70" hidden="1" customHeight="1" spans="1:67">
      <c r="A70" s="16" t="s">
        <v>689</v>
      </c>
      <c r="B70" s="17" t="s">
        <v>690</v>
      </c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9"/>
      <c r="AI70" s="19"/>
      <c r="AJ70" s="19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86">
        <f t="shared" si="1"/>
        <v>0</v>
      </c>
      <c r="BO70" s="115"/>
    </row>
    <row r="71" hidden="1" customHeight="1" spans="1:67">
      <c r="A71" s="16" t="s">
        <v>691</v>
      </c>
      <c r="B71" s="17" t="s">
        <v>692</v>
      </c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9"/>
      <c r="AI71" s="19"/>
      <c r="AJ71" s="19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86">
        <f t="shared" si="1"/>
        <v>0</v>
      </c>
      <c r="BO71" s="115"/>
    </row>
    <row r="72" hidden="1" customHeight="1" spans="1:67">
      <c r="A72" s="16" t="s">
        <v>693</v>
      </c>
      <c r="B72" s="17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9"/>
      <c r="AI72" s="19"/>
      <c r="AJ72" s="19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86">
        <f t="shared" si="1"/>
        <v>0</v>
      </c>
      <c r="BO72" s="115"/>
    </row>
    <row r="73" hidden="1" customHeight="1" spans="1:67">
      <c r="A73" s="16" t="s">
        <v>694</v>
      </c>
      <c r="B73" s="17" t="s">
        <v>695</v>
      </c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9"/>
      <c r="AI73" s="19"/>
      <c r="AJ73" s="19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86">
        <f t="shared" si="1"/>
        <v>0</v>
      </c>
      <c r="BO73" s="115"/>
    </row>
    <row r="74" customHeight="1" spans="1:67">
      <c r="A74" s="16" t="s">
        <v>220</v>
      </c>
      <c r="B74" s="17" t="s">
        <v>696</v>
      </c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9"/>
      <c r="AI74" s="19"/>
      <c r="AJ74" s="19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>
        <v>75</v>
      </c>
      <c r="BN74" s="90">
        <f t="shared" si="1"/>
        <v>75</v>
      </c>
      <c r="BO74" s="115"/>
    </row>
    <row r="75" hidden="1" customHeight="1" spans="1:67">
      <c r="A75" s="16" t="s">
        <v>697</v>
      </c>
      <c r="B75" s="17" t="s">
        <v>698</v>
      </c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9"/>
      <c r="AI75" s="19"/>
      <c r="AJ75" s="19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86">
        <f t="shared" si="1"/>
        <v>0</v>
      </c>
      <c r="BO75" s="115"/>
    </row>
    <row r="76" hidden="1" customHeight="1" spans="1:67">
      <c r="A76" s="16" t="s">
        <v>699</v>
      </c>
      <c r="B76" s="21" t="s">
        <v>700</v>
      </c>
      <c r="C76" s="22"/>
      <c r="D76" s="22"/>
      <c r="E76" s="22"/>
      <c r="F76" s="22"/>
      <c r="G76" s="22"/>
      <c r="H76" s="22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9"/>
      <c r="AI76" s="19"/>
      <c r="AJ76" s="19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86">
        <f t="shared" si="1"/>
        <v>0</v>
      </c>
      <c r="BO76" s="115"/>
    </row>
    <row r="77" hidden="1" customHeight="1" spans="1:67">
      <c r="A77" s="16" t="s">
        <v>701</v>
      </c>
      <c r="B77" s="17" t="s">
        <v>702</v>
      </c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9"/>
      <c r="AI77" s="19"/>
      <c r="AJ77" s="19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86">
        <f t="shared" si="1"/>
        <v>0</v>
      </c>
      <c r="BO77" s="115"/>
    </row>
    <row r="78" customHeight="1" spans="1:67">
      <c r="A78" s="16" t="s">
        <v>20</v>
      </c>
      <c r="B78" s="21" t="s">
        <v>703</v>
      </c>
      <c r="C78" s="22"/>
      <c r="D78" s="22"/>
      <c r="E78" s="22"/>
      <c r="F78" s="22"/>
      <c r="G78" s="22"/>
      <c r="H78" s="22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9"/>
      <c r="AI78" s="19"/>
      <c r="AJ78" s="19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>
        <v>200</v>
      </c>
      <c r="BN78" s="90">
        <f t="shared" si="1"/>
        <v>200</v>
      </c>
      <c r="BO78" s="115"/>
    </row>
    <row r="79" hidden="1" customHeight="1" spans="1:67">
      <c r="A79" s="16" t="s">
        <v>704</v>
      </c>
      <c r="B79" s="21" t="s">
        <v>705</v>
      </c>
      <c r="C79" s="22"/>
      <c r="D79" s="22"/>
      <c r="E79" s="22"/>
      <c r="F79" s="22"/>
      <c r="G79" s="22"/>
      <c r="H79" s="22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9"/>
      <c r="AI79" s="19"/>
      <c r="AJ79" s="19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86">
        <f t="shared" si="1"/>
        <v>0</v>
      </c>
      <c r="BO79" s="115"/>
    </row>
    <row r="80" hidden="1" customHeight="1" spans="1:67">
      <c r="A80" s="16" t="s">
        <v>706</v>
      </c>
      <c r="B80" s="21" t="s">
        <v>707</v>
      </c>
      <c r="C80" s="22"/>
      <c r="D80" s="22"/>
      <c r="E80" s="22"/>
      <c r="F80" s="22"/>
      <c r="G80" s="22"/>
      <c r="H80" s="22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9"/>
      <c r="AI80" s="19"/>
      <c r="AJ80" s="19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86">
        <f t="shared" si="1"/>
        <v>0</v>
      </c>
      <c r="BO80" s="115"/>
    </row>
    <row r="81" hidden="1" customHeight="1" spans="1:67">
      <c r="A81" s="16" t="s">
        <v>123</v>
      </c>
      <c r="B81" s="21" t="s">
        <v>708</v>
      </c>
      <c r="C81" s="22"/>
      <c r="D81" s="22"/>
      <c r="E81" s="22"/>
      <c r="F81" s="22"/>
      <c r="G81" s="22"/>
      <c r="H81" s="22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9"/>
      <c r="AI81" s="19"/>
      <c r="AJ81" s="19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86">
        <f t="shared" si="1"/>
        <v>0</v>
      </c>
      <c r="BO81" s="115"/>
    </row>
    <row r="82" hidden="1" customHeight="1" spans="1:67">
      <c r="A82" s="16" t="s">
        <v>117</v>
      </c>
      <c r="B82" s="21" t="s">
        <v>709</v>
      </c>
      <c r="C82" s="22"/>
      <c r="D82" s="22"/>
      <c r="E82" s="22"/>
      <c r="F82" s="22"/>
      <c r="G82" s="22"/>
      <c r="H82" s="22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9"/>
      <c r="AI82" s="19"/>
      <c r="AJ82" s="19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86">
        <f t="shared" si="1"/>
        <v>0</v>
      </c>
      <c r="BO82" s="115"/>
    </row>
    <row r="83" hidden="1" customHeight="1" spans="1:67">
      <c r="A83" s="16" t="s">
        <v>120</v>
      </c>
      <c r="B83" s="21" t="s">
        <v>710</v>
      </c>
      <c r="C83" s="22"/>
      <c r="D83" s="22"/>
      <c r="E83" s="22"/>
      <c r="F83" s="22"/>
      <c r="G83" s="22"/>
      <c r="H83" s="22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9"/>
      <c r="AI83" s="19"/>
      <c r="AJ83" s="19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86">
        <f t="shared" si="1"/>
        <v>0</v>
      </c>
      <c r="BO83" s="115"/>
    </row>
    <row r="84" customHeight="1" spans="1:67">
      <c r="A84" s="16" t="s">
        <v>65</v>
      </c>
      <c r="B84" s="21" t="s">
        <v>713</v>
      </c>
      <c r="C84" s="22"/>
      <c r="D84" s="22"/>
      <c r="E84" s="22"/>
      <c r="F84" s="22"/>
      <c r="G84" s="22"/>
      <c r="H84" s="22"/>
      <c r="I84" s="18"/>
      <c r="J84" s="18"/>
      <c r="K84" s="18"/>
      <c r="L84" s="18">
        <v>10000</v>
      </c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9"/>
      <c r="AI84" s="19"/>
      <c r="AJ84" s="19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90">
        <f t="shared" si="1"/>
        <v>10000</v>
      </c>
      <c r="BO84" s="115"/>
    </row>
    <row r="85" customHeight="1" spans="1:67">
      <c r="A85" s="16" t="s">
        <v>159</v>
      </c>
      <c r="B85" s="21" t="s">
        <v>714</v>
      </c>
      <c r="C85" s="22"/>
      <c r="D85" s="22"/>
      <c r="E85" s="22"/>
      <c r="F85" s="22"/>
      <c r="G85" s="22"/>
      <c r="H85" s="22">
        <v>20000</v>
      </c>
      <c r="I85" s="18"/>
      <c r="J85" s="18"/>
      <c r="K85" s="18"/>
      <c r="L85" s="18"/>
      <c r="M85" s="18"/>
      <c r="N85" s="18">
        <v>20000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9"/>
      <c r="AI85" s="19"/>
      <c r="AJ85" s="19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90">
        <f t="shared" si="1"/>
        <v>40000</v>
      </c>
      <c r="BO85" s="115"/>
    </row>
    <row r="86" customHeight="1" spans="1:67">
      <c r="A86" s="16" t="s">
        <v>126</v>
      </c>
      <c r="B86" s="21" t="s">
        <v>715</v>
      </c>
      <c r="C86" s="22"/>
      <c r="D86" s="22"/>
      <c r="E86" s="22"/>
      <c r="F86" s="22"/>
      <c r="G86" s="22"/>
      <c r="H86" s="22">
        <v>6000</v>
      </c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9"/>
      <c r="AI86" s="19"/>
      <c r="AJ86" s="19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90">
        <f t="shared" si="1"/>
        <v>6000</v>
      </c>
      <c r="BO86" s="115"/>
    </row>
    <row r="87" customHeight="1" spans="1:67">
      <c r="A87" s="16" t="s">
        <v>181</v>
      </c>
      <c r="B87" s="21" t="s">
        <v>716</v>
      </c>
      <c r="C87" s="22"/>
      <c r="D87" s="22"/>
      <c r="E87" s="22"/>
      <c r="F87" s="22"/>
      <c r="G87" s="22"/>
      <c r="H87" s="22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9"/>
      <c r="AI87" s="19"/>
      <c r="AJ87" s="19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>
        <v>6000</v>
      </c>
      <c r="BN87" s="90">
        <f t="shared" si="1"/>
        <v>6000</v>
      </c>
      <c r="BO87" s="115"/>
    </row>
    <row r="88" customHeight="1" spans="1:67">
      <c r="A88" s="16" t="s">
        <v>169</v>
      </c>
      <c r="B88" s="21" t="s">
        <v>717</v>
      </c>
      <c r="C88" s="22"/>
      <c r="D88" s="22"/>
      <c r="E88" s="22"/>
      <c r="F88" s="22">
        <v>4000</v>
      </c>
      <c r="G88" s="22"/>
      <c r="H88" s="22"/>
      <c r="I88" s="18"/>
      <c r="J88" s="18"/>
      <c r="K88" s="18"/>
      <c r="L88" s="18">
        <v>4000</v>
      </c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9"/>
      <c r="AI88" s="19"/>
      <c r="AJ88" s="19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86">
        <f t="shared" si="1"/>
        <v>8000</v>
      </c>
      <c r="BO88" s="116">
        <v>24000</v>
      </c>
    </row>
    <row r="89" hidden="1" customHeight="1" spans="1:67">
      <c r="A89" s="16" t="s">
        <v>222</v>
      </c>
      <c r="B89" s="21" t="s">
        <v>718</v>
      </c>
      <c r="C89" s="22"/>
      <c r="D89" s="22"/>
      <c r="E89" s="22"/>
      <c r="F89" s="22"/>
      <c r="G89" s="22"/>
      <c r="H89" s="22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9"/>
      <c r="AI89" s="19"/>
      <c r="AJ89" s="19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86">
        <f t="shared" si="1"/>
        <v>0</v>
      </c>
      <c r="BO89" s="115"/>
    </row>
    <row r="90" hidden="1" customHeight="1" spans="1:67">
      <c r="A90" s="16" t="s">
        <v>719</v>
      </c>
      <c r="B90" s="17" t="s">
        <v>720</v>
      </c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9"/>
      <c r="AI90" s="19"/>
      <c r="AJ90" s="19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86">
        <f t="shared" si="1"/>
        <v>0</v>
      </c>
      <c r="BO90" s="115"/>
    </row>
    <row r="91" customHeight="1" spans="1:67">
      <c r="A91" s="16" t="s">
        <v>206</v>
      </c>
      <c r="B91" s="17" t="s">
        <v>721</v>
      </c>
      <c r="C91" s="18"/>
      <c r="D91" s="18"/>
      <c r="E91" s="18"/>
      <c r="F91" s="18"/>
      <c r="G91" s="18"/>
      <c r="H91" s="18">
        <v>10000</v>
      </c>
      <c r="I91" s="18"/>
      <c r="J91" s="18"/>
      <c r="K91" s="18">
        <v>15000</v>
      </c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9"/>
      <c r="AI91" s="19"/>
      <c r="AJ91" s="19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90">
        <f t="shared" si="1"/>
        <v>25000</v>
      </c>
      <c r="BO91" s="115"/>
    </row>
    <row r="92" customHeight="1" spans="1:67">
      <c r="A92" s="16" t="s">
        <v>202</v>
      </c>
      <c r="B92" s="17" t="s">
        <v>722</v>
      </c>
      <c r="C92" s="18"/>
      <c r="D92" s="18"/>
      <c r="E92" s="18"/>
      <c r="F92" s="18">
        <v>10000</v>
      </c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9"/>
      <c r="AI92" s="19"/>
      <c r="AJ92" s="19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90">
        <f t="shared" si="1"/>
        <v>10000</v>
      </c>
      <c r="BO92" s="115"/>
    </row>
    <row r="93" customHeight="1" spans="1:67">
      <c r="A93" s="16" t="s">
        <v>167</v>
      </c>
      <c r="B93" s="17" t="s">
        <v>723</v>
      </c>
      <c r="C93" s="18"/>
      <c r="D93" s="18"/>
      <c r="E93" s="18"/>
      <c r="F93" s="18"/>
      <c r="G93" s="18"/>
      <c r="H93" s="18"/>
      <c r="I93" s="18"/>
      <c r="J93" s="18"/>
      <c r="K93" s="18">
        <v>15000</v>
      </c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9"/>
      <c r="AI93" s="19"/>
      <c r="AJ93" s="19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90">
        <f t="shared" si="1"/>
        <v>15000</v>
      </c>
      <c r="BO93" s="115"/>
    </row>
    <row r="94" hidden="1" customHeight="1" spans="1:67">
      <c r="A94" s="16" t="s">
        <v>208</v>
      </c>
      <c r="B94" s="17" t="s">
        <v>724</v>
      </c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9"/>
      <c r="AI94" s="19"/>
      <c r="AJ94" s="19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86">
        <f t="shared" si="1"/>
        <v>0</v>
      </c>
      <c r="BO94" s="115"/>
    </row>
    <row r="95" customHeight="1" spans="1:67">
      <c r="A95" s="16" t="s">
        <v>157</v>
      </c>
      <c r="B95" s="17" t="s">
        <v>725</v>
      </c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9"/>
      <c r="AI95" s="19"/>
      <c r="AJ95" s="19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>
        <v>15000</v>
      </c>
      <c r="BN95" s="90">
        <f t="shared" si="1"/>
        <v>15000</v>
      </c>
      <c r="BO95" s="35"/>
    </row>
    <row r="96" customHeight="1" spans="1:67">
      <c r="A96" s="16" t="s">
        <v>129</v>
      </c>
      <c r="B96" s="17" t="s">
        <v>726</v>
      </c>
      <c r="C96" s="18"/>
      <c r="D96" s="18"/>
      <c r="E96" s="18"/>
      <c r="F96" s="18"/>
      <c r="G96" s="18"/>
      <c r="H96" s="18">
        <v>3000</v>
      </c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9"/>
      <c r="AI96" s="19"/>
      <c r="AJ96" s="19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90">
        <f t="shared" si="1"/>
        <v>3000</v>
      </c>
      <c r="BO96" s="35"/>
    </row>
    <row r="97" customHeight="1" spans="1:67">
      <c r="A97" s="16" t="s">
        <v>132</v>
      </c>
      <c r="B97" s="17" t="s">
        <v>727</v>
      </c>
      <c r="C97" s="18"/>
      <c r="D97" s="18"/>
      <c r="E97" s="18"/>
      <c r="F97" s="18"/>
      <c r="G97" s="18"/>
      <c r="H97" s="18">
        <v>3000</v>
      </c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9"/>
      <c r="AI97" s="19"/>
      <c r="AJ97" s="19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90">
        <f t="shared" si="1"/>
        <v>3000</v>
      </c>
      <c r="BO97" s="35"/>
    </row>
    <row r="98" hidden="1" customHeight="1" spans="1:67">
      <c r="A98" s="16" t="s">
        <v>80</v>
      </c>
      <c r="B98" s="17" t="s">
        <v>728</v>
      </c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9"/>
      <c r="AI98" s="19"/>
      <c r="AJ98" s="19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86">
        <f t="shared" si="1"/>
        <v>0</v>
      </c>
      <c r="BO98" s="115"/>
    </row>
    <row r="99" customHeight="1" spans="1:67">
      <c r="A99" s="16" t="s">
        <v>171</v>
      </c>
      <c r="B99" s="17" t="s">
        <v>729</v>
      </c>
      <c r="C99" s="18"/>
      <c r="D99" s="18"/>
      <c r="E99" s="18"/>
      <c r="F99" s="18"/>
      <c r="G99" s="18"/>
      <c r="H99" s="18"/>
      <c r="I99" s="18">
        <v>4000</v>
      </c>
      <c r="J99" s="18"/>
      <c r="K99" s="18"/>
      <c r="L99" s="18"/>
      <c r="M99" s="18"/>
      <c r="N99" s="18">
        <v>4000</v>
      </c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9"/>
      <c r="AI99" s="19"/>
      <c r="AJ99" s="19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90">
        <f t="shared" si="1"/>
        <v>8000</v>
      </c>
      <c r="BO99" s="115"/>
    </row>
    <row r="100" customHeight="1" spans="1:67">
      <c r="A100" s="16" t="s">
        <v>210</v>
      </c>
      <c r="B100" s="17"/>
      <c r="C100" s="18"/>
      <c r="D100" s="18"/>
      <c r="E100" s="18"/>
      <c r="F100" s="18"/>
      <c r="G100" s="18"/>
      <c r="H100" s="18"/>
      <c r="I100" s="18">
        <v>5000</v>
      </c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9"/>
      <c r="AI100" s="19"/>
      <c r="AJ100" s="19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90">
        <f t="shared" si="1"/>
        <v>5000</v>
      </c>
      <c r="BO100" s="115"/>
    </row>
    <row r="101" customHeight="1" spans="1:67">
      <c r="A101" s="16" t="s">
        <v>49</v>
      </c>
      <c r="B101" s="17" t="s">
        <v>730</v>
      </c>
      <c r="C101" s="18"/>
      <c r="D101" s="18">
        <v>4000</v>
      </c>
      <c r="E101" s="18"/>
      <c r="F101" s="18"/>
      <c r="G101" s="18"/>
      <c r="H101" s="18"/>
      <c r="I101" s="18">
        <v>24000</v>
      </c>
      <c r="J101" s="18"/>
      <c r="K101" s="18">
        <v>24000</v>
      </c>
      <c r="L101" s="18"/>
      <c r="M101" s="18"/>
      <c r="N101" s="18">
        <v>24000</v>
      </c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9"/>
      <c r="AI101" s="19"/>
      <c r="AJ101" s="19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86">
        <f t="shared" si="1"/>
        <v>76000</v>
      </c>
      <c r="BO101" s="116">
        <v>96000</v>
      </c>
    </row>
    <row r="102" hidden="1" customHeight="1" spans="1:67">
      <c r="A102" s="16" t="s">
        <v>112</v>
      </c>
      <c r="B102" s="17" t="s">
        <v>731</v>
      </c>
      <c r="C102" s="19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9"/>
      <c r="AI102" s="19"/>
      <c r="AJ102" s="19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23"/>
      <c r="BF102" s="23"/>
      <c r="BG102" s="18"/>
      <c r="BH102" s="18"/>
      <c r="BI102" s="18"/>
      <c r="BJ102" s="18"/>
      <c r="BK102" s="19"/>
      <c r="BL102" s="18"/>
      <c r="BM102" s="18"/>
      <c r="BN102" s="86">
        <f t="shared" si="1"/>
        <v>0</v>
      </c>
      <c r="BO102" s="115"/>
    </row>
    <row r="103" hidden="1" customHeight="1" spans="1:67">
      <c r="A103" s="16" t="s">
        <v>184</v>
      </c>
      <c r="B103" s="76" t="s">
        <v>732</v>
      </c>
      <c r="C103" s="19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9"/>
      <c r="AI103" s="19"/>
      <c r="AJ103" s="19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23"/>
      <c r="BF103" s="23"/>
      <c r="BG103" s="18"/>
      <c r="BH103" s="18"/>
      <c r="BI103" s="18"/>
      <c r="BJ103" s="18"/>
      <c r="BK103" s="19"/>
      <c r="BL103" s="18"/>
      <c r="BM103" s="18"/>
      <c r="BN103" s="86">
        <f t="shared" si="1"/>
        <v>0</v>
      </c>
      <c r="BO103" s="115"/>
    </row>
    <row r="104" customHeight="1" spans="1:67">
      <c r="A104" s="16" t="s">
        <v>39</v>
      </c>
      <c r="B104" s="76" t="s">
        <v>40</v>
      </c>
      <c r="C104" s="19"/>
      <c r="D104" s="18"/>
      <c r="E104" s="18"/>
      <c r="F104" s="18"/>
      <c r="G104" s="18"/>
      <c r="H104" s="18"/>
      <c r="I104" s="18"/>
      <c r="J104" s="18"/>
      <c r="K104" s="18"/>
      <c r="L104" s="18">
        <v>28800</v>
      </c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9"/>
      <c r="AI104" s="19"/>
      <c r="AJ104" s="19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23"/>
      <c r="BF104" s="23"/>
      <c r="BG104" s="18"/>
      <c r="BH104" s="18"/>
      <c r="BI104" s="18"/>
      <c r="BJ104" s="18"/>
      <c r="BK104" s="19"/>
      <c r="BL104" s="18"/>
      <c r="BM104" s="18"/>
      <c r="BN104" s="90">
        <f t="shared" si="1"/>
        <v>28800</v>
      </c>
      <c r="BO104" s="115"/>
    </row>
    <row r="105" customHeight="1" spans="1:67">
      <c r="A105" s="16" t="s">
        <v>41</v>
      </c>
      <c r="B105" s="76" t="s">
        <v>42</v>
      </c>
      <c r="C105" s="19"/>
      <c r="D105" s="18"/>
      <c r="E105" s="18"/>
      <c r="F105" s="18"/>
      <c r="G105" s="18"/>
      <c r="H105" s="18"/>
      <c r="I105" s="18"/>
      <c r="J105" s="18"/>
      <c r="K105" s="18"/>
      <c r="L105" s="18">
        <v>28800</v>
      </c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9"/>
      <c r="AI105" s="19"/>
      <c r="AJ105" s="19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23"/>
      <c r="BF105" s="23"/>
      <c r="BG105" s="18"/>
      <c r="BH105" s="18"/>
      <c r="BI105" s="18"/>
      <c r="BJ105" s="18"/>
      <c r="BK105" s="19"/>
      <c r="BL105" s="18"/>
      <c r="BM105" s="18"/>
      <c r="BN105" s="90">
        <f t="shared" si="1"/>
        <v>28800</v>
      </c>
      <c r="BO105" s="115"/>
    </row>
    <row r="106" customHeight="1" spans="1:67">
      <c r="A106" s="16" t="s">
        <v>70</v>
      </c>
      <c r="B106" s="76" t="s">
        <v>733</v>
      </c>
      <c r="C106" s="19"/>
      <c r="D106" s="18"/>
      <c r="E106" s="18"/>
      <c r="F106" s="18">
        <v>3000</v>
      </c>
      <c r="G106" s="18">
        <v>3000</v>
      </c>
      <c r="H106" s="18"/>
      <c r="I106" s="18">
        <v>9000</v>
      </c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9"/>
      <c r="AI106" s="19"/>
      <c r="AJ106" s="19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23"/>
      <c r="BF106" s="23"/>
      <c r="BG106" s="18"/>
      <c r="BH106" s="18"/>
      <c r="BI106" s="18"/>
      <c r="BJ106" s="18"/>
      <c r="BK106" s="19"/>
      <c r="BL106" s="18"/>
      <c r="BM106" s="18">
        <v>9000</v>
      </c>
      <c r="BN106" s="86">
        <f t="shared" si="1"/>
        <v>24000</v>
      </c>
      <c r="BO106" s="116">
        <v>33000</v>
      </c>
    </row>
    <row r="107" customHeight="1" spans="1:67">
      <c r="A107" s="16" t="s">
        <v>56</v>
      </c>
      <c r="B107" s="76" t="s">
        <v>734</v>
      </c>
      <c r="C107" s="19"/>
      <c r="D107" s="18"/>
      <c r="E107" s="18"/>
      <c r="F107" s="18">
        <v>3000</v>
      </c>
      <c r="G107" s="18"/>
      <c r="H107" s="18"/>
      <c r="I107" s="18"/>
      <c r="J107" s="18">
        <v>9000</v>
      </c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9"/>
      <c r="AI107" s="19"/>
      <c r="AJ107" s="19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23"/>
      <c r="BF107" s="23"/>
      <c r="BG107" s="18"/>
      <c r="BH107" s="18"/>
      <c r="BI107" s="18"/>
      <c r="BJ107" s="18"/>
      <c r="BK107" s="19"/>
      <c r="BL107" s="18"/>
      <c r="BM107" s="18">
        <v>9000</v>
      </c>
      <c r="BN107" s="86">
        <f t="shared" si="1"/>
        <v>21000</v>
      </c>
      <c r="BO107" s="116">
        <v>30000</v>
      </c>
    </row>
    <row r="108" customHeight="1" spans="1:67">
      <c r="A108" s="16" t="s">
        <v>43</v>
      </c>
      <c r="B108" s="76" t="s">
        <v>735</v>
      </c>
      <c r="C108" s="19"/>
      <c r="D108" s="18"/>
      <c r="E108" s="18"/>
      <c r="F108" s="18">
        <v>6412</v>
      </c>
      <c r="G108" s="18"/>
      <c r="H108" s="18"/>
      <c r="I108" s="18"/>
      <c r="J108" s="18"/>
      <c r="K108" s="18"/>
      <c r="L108" s="18"/>
      <c r="M108" s="18"/>
      <c r="N108" s="18">
        <v>4950</v>
      </c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9"/>
      <c r="AI108" s="19"/>
      <c r="AJ108" s="19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23"/>
      <c r="BF108" s="23"/>
      <c r="BG108" s="18"/>
      <c r="BH108" s="18"/>
      <c r="BI108" s="18"/>
      <c r="BJ108" s="18"/>
      <c r="BK108" s="19"/>
      <c r="BL108" s="18"/>
      <c r="BM108" s="18"/>
      <c r="BN108" s="90">
        <f t="shared" si="1"/>
        <v>11362</v>
      </c>
      <c r="BO108" s="115"/>
    </row>
    <row r="109" customHeight="1" spans="1:67">
      <c r="A109" s="16" t="s">
        <v>45</v>
      </c>
      <c r="B109" s="100" t="s">
        <v>736</v>
      </c>
      <c r="C109" s="19"/>
      <c r="D109" s="18">
        <v>1390</v>
      </c>
      <c r="E109" s="18"/>
      <c r="F109" s="18">
        <v>1479</v>
      </c>
      <c r="G109" s="18">
        <v>3680</v>
      </c>
      <c r="H109" s="18"/>
      <c r="I109" s="18">
        <v>1055</v>
      </c>
      <c r="J109" s="18">
        <v>4320</v>
      </c>
      <c r="K109" s="18"/>
      <c r="L109" s="18"/>
      <c r="M109" s="18"/>
      <c r="N109" s="18">
        <v>6740</v>
      </c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9"/>
      <c r="AI109" s="19"/>
      <c r="AJ109" s="19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23"/>
      <c r="BF109" s="23"/>
      <c r="BG109" s="18"/>
      <c r="BH109" s="18"/>
      <c r="BI109" s="18"/>
      <c r="BJ109" s="18"/>
      <c r="BK109" s="19"/>
      <c r="BL109" s="18"/>
      <c r="BM109" s="18">
        <v>4640</v>
      </c>
      <c r="BN109" s="90">
        <f t="shared" si="1"/>
        <v>23304</v>
      </c>
      <c r="BO109" s="115"/>
    </row>
    <row r="110" customHeight="1" spans="1:67">
      <c r="A110" s="16" t="s">
        <v>47</v>
      </c>
      <c r="B110" s="102" t="s">
        <v>737</v>
      </c>
      <c r="C110" s="19"/>
      <c r="D110" s="18"/>
      <c r="E110" s="18"/>
      <c r="F110" s="18"/>
      <c r="G110" s="18"/>
      <c r="H110" s="18"/>
      <c r="I110" s="18"/>
      <c r="J110" s="18">
        <v>9000</v>
      </c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9"/>
      <c r="AI110" s="19"/>
      <c r="AJ110" s="19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23"/>
      <c r="BF110" s="23"/>
      <c r="BG110" s="18"/>
      <c r="BH110" s="18"/>
      <c r="BI110" s="18"/>
      <c r="BJ110" s="18"/>
      <c r="BK110" s="19"/>
      <c r="BL110" s="18"/>
      <c r="BM110" s="18">
        <v>7000</v>
      </c>
      <c r="BN110" s="86">
        <f t="shared" si="1"/>
        <v>16000</v>
      </c>
      <c r="BO110" s="116">
        <v>25000</v>
      </c>
    </row>
    <row r="111" customHeight="1" spans="1:67">
      <c r="A111" s="16" t="s">
        <v>71</v>
      </c>
      <c r="B111" s="100" t="s">
        <v>738</v>
      </c>
      <c r="C111" s="19"/>
      <c r="D111" s="18"/>
      <c r="E111" s="18"/>
      <c r="F111" s="18">
        <v>16148</v>
      </c>
      <c r="G111" s="18"/>
      <c r="H111" s="18"/>
      <c r="I111" s="18">
        <v>8000</v>
      </c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9"/>
      <c r="AI111" s="19"/>
      <c r="AJ111" s="19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23"/>
      <c r="BF111" s="23"/>
      <c r="BG111" s="18"/>
      <c r="BH111" s="18"/>
      <c r="BI111" s="18"/>
      <c r="BJ111" s="18"/>
      <c r="BK111" s="19"/>
      <c r="BL111" s="18"/>
      <c r="BM111" s="18">
        <v>8000</v>
      </c>
      <c r="BN111" s="86">
        <f t="shared" si="1"/>
        <v>32148</v>
      </c>
      <c r="BO111" s="116">
        <v>40148</v>
      </c>
    </row>
    <row r="112" customHeight="1" spans="1:67">
      <c r="A112" s="16" t="s">
        <v>257</v>
      </c>
      <c r="B112" s="76" t="s">
        <v>739</v>
      </c>
      <c r="C112" s="19"/>
      <c r="D112" s="18"/>
      <c r="E112" s="18"/>
      <c r="F112" s="18">
        <v>3600</v>
      </c>
      <c r="G112" s="18">
        <v>5760</v>
      </c>
      <c r="H112" s="18"/>
      <c r="I112" s="18">
        <v>720</v>
      </c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9"/>
      <c r="AI112" s="19"/>
      <c r="AJ112" s="19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23"/>
      <c r="BF112" s="23"/>
      <c r="BG112" s="18"/>
      <c r="BH112" s="18"/>
      <c r="BI112" s="18"/>
      <c r="BJ112" s="18"/>
      <c r="BK112" s="19"/>
      <c r="BL112" s="18"/>
      <c r="BM112" s="18"/>
      <c r="BN112" s="90">
        <f t="shared" si="1"/>
        <v>10080</v>
      </c>
      <c r="BO112" s="115"/>
    </row>
    <row r="113" customHeight="1" spans="1:67">
      <c r="A113" s="16" t="s">
        <v>253</v>
      </c>
      <c r="B113" s="76" t="s">
        <v>740</v>
      </c>
      <c r="C113" s="19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9"/>
      <c r="AI113" s="19"/>
      <c r="AJ113" s="19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23"/>
      <c r="BF113" s="23"/>
      <c r="BG113" s="18"/>
      <c r="BH113" s="18"/>
      <c r="BI113" s="18"/>
      <c r="BJ113" s="18"/>
      <c r="BK113" s="19"/>
      <c r="BL113" s="18"/>
      <c r="BM113" s="18">
        <v>2400</v>
      </c>
      <c r="BN113" s="90">
        <f t="shared" si="1"/>
        <v>2400</v>
      </c>
      <c r="BO113" s="115"/>
    </row>
    <row r="114" hidden="1" customHeight="1" spans="1:67">
      <c r="A114" s="16" t="s">
        <v>741</v>
      </c>
      <c r="B114" s="76" t="s">
        <v>742</v>
      </c>
      <c r="C114" s="19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9"/>
      <c r="AI114" s="19"/>
      <c r="AJ114" s="19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23"/>
      <c r="BF114" s="23"/>
      <c r="BG114" s="18"/>
      <c r="BH114" s="18"/>
      <c r="BI114" s="18"/>
      <c r="BJ114" s="18"/>
      <c r="BK114" s="19"/>
      <c r="BL114" s="18"/>
      <c r="BM114" s="18"/>
      <c r="BN114" s="86">
        <f t="shared" si="1"/>
        <v>0</v>
      </c>
    </row>
    <row r="115" hidden="1" customHeight="1" spans="1:67">
      <c r="A115" s="16" t="s">
        <v>743</v>
      </c>
      <c r="B115" s="76"/>
      <c r="C115" s="19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9"/>
      <c r="AI115" s="19"/>
      <c r="AJ115" s="19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23"/>
      <c r="BF115" s="23"/>
      <c r="BG115" s="18"/>
      <c r="BH115" s="18"/>
      <c r="BI115" s="18"/>
      <c r="BJ115" s="18"/>
      <c r="BK115" s="19"/>
      <c r="BL115" s="18"/>
      <c r="BM115" s="18"/>
      <c r="BN115" s="86">
        <f t="shared" si="1"/>
        <v>0</v>
      </c>
    </row>
    <row r="116" hidden="1" customHeight="1" spans="1:67">
      <c r="A116" s="16" t="s">
        <v>744</v>
      </c>
      <c r="B116" s="76"/>
      <c r="C116" s="19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9"/>
      <c r="AI116" s="19"/>
      <c r="AJ116" s="19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23"/>
      <c r="BF116" s="23"/>
      <c r="BG116" s="18"/>
      <c r="BH116" s="18"/>
      <c r="BI116" s="18"/>
      <c r="BJ116" s="18"/>
      <c r="BK116" s="19"/>
      <c r="BL116" s="18"/>
      <c r="BM116" s="18"/>
      <c r="BN116" s="86">
        <f t="shared" si="1"/>
        <v>0</v>
      </c>
    </row>
    <row r="117" hidden="1" customHeight="1" spans="1:67">
      <c r="A117" s="16" t="s">
        <v>745</v>
      </c>
      <c r="B117" s="76"/>
      <c r="C117" s="19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9"/>
      <c r="AI117" s="19"/>
      <c r="AJ117" s="19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23"/>
      <c r="BF117" s="23"/>
      <c r="BG117" s="18"/>
      <c r="BH117" s="18"/>
      <c r="BI117" s="18"/>
      <c r="BJ117" s="18"/>
      <c r="BK117" s="19"/>
      <c r="BL117" s="18"/>
      <c r="BM117" s="18"/>
      <c r="BN117" s="86">
        <f t="shared" si="1"/>
        <v>0</v>
      </c>
    </row>
    <row r="118" hidden="1" customHeight="1" spans="1:67">
      <c r="A118" s="16" t="s">
        <v>746</v>
      </c>
      <c r="B118" s="76"/>
      <c r="C118" s="19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9"/>
      <c r="AI118" s="19"/>
      <c r="AJ118" s="19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23"/>
      <c r="BF118" s="23"/>
      <c r="BG118" s="18"/>
      <c r="BH118" s="18"/>
      <c r="BI118" s="18"/>
      <c r="BJ118" s="18"/>
      <c r="BK118" s="19"/>
      <c r="BL118" s="18"/>
      <c r="BM118" s="18"/>
      <c r="BN118" s="86">
        <f t="shared" si="1"/>
        <v>0</v>
      </c>
    </row>
    <row r="119" hidden="1" customHeight="1" spans="1:67">
      <c r="A119" s="16" t="s">
        <v>747</v>
      </c>
      <c r="B119" s="76"/>
      <c r="C119" s="19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9"/>
      <c r="AI119" s="19"/>
      <c r="AJ119" s="19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23"/>
      <c r="BF119" s="23"/>
      <c r="BG119" s="18"/>
      <c r="BH119" s="18"/>
      <c r="BI119" s="18"/>
      <c r="BJ119" s="18"/>
      <c r="BK119" s="19"/>
      <c r="BL119" s="18"/>
      <c r="BM119" s="18"/>
      <c r="BN119" s="86">
        <f t="shared" si="1"/>
        <v>0</v>
      </c>
    </row>
    <row r="120" hidden="1" customHeight="1" spans="1:67">
      <c r="A120" s="16" t="s">
        <v>748</v>
      </c>
      <c r="B120" s="76"/>
      <c r="C120" s="19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9"/>
      <c r="AI120" s="19"/>
      <c r="AJ120" s="19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23"/>
      <c r="BF120" s="23"/>
      <c r="BG120" s="18"/>
      <c r="BH120" s="18"/>
      <c r="BI120" s="18"/>
      <c r="BJ120" s="18"/>
      <c r="BK120" s="19"/>
      <c r="BL120" s="18"/>
      <c r="BM120" s="18"/>
      <c r="BN120" s="86">
        <f t="shared" si="1"/>
        <v>0</v>
      </c>
    </row>
    <row r="121" hidden="1" customHeight="1" spans="1:67">
      <c r="A121" s="16" t="s">
        <v>749</v>
      </c>
      <c r="B121" s="76"/>
      <c r="C121" s="19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9"/>
      <c r="AI121" s="19"/>
      <c r="AJ121" s="19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23"/>
      <c r="BF121" s="23"/>
      <c r="BG121" s="18"/>
      <c r="BH121" s="18"/>
      <c r="BI121" s="18"/>
      <c r="BJ121" s="18"/>
      <c r="BK121" s="19"/>
      <c r="BL121" s="18"/>
      <c r="BM121" s="18"/>
      <c r="BN121" s="86">
        <f t="shared" si="1"/>
        <v>0</v>
      </c>
    </row>
    <row r="122" hidden="1" customHeight="1" spans="1:67">
      <c r="A122" s="16" t="s">
        <v>750</v>
      </c>
      <c r="B122" s="76"/>
      <c r="C122" s="19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9"/>
      <c r="AI122" s="19"/>
      <c r="AJ122" s="19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23"/>
      <c r="BF122" s="23"/>
      <c r="BG122" s="18"/>
      <c r="BH122" s="18"/>
      <c r="BI122" s="18"/>
      <c r="BJ122" s="18"/>
      <c r="BK122" s="19"/>
      <c r="BL122" s="18"/>
      <c r="BM122" s="18"/>
      <c r="BN122" s="86">
        <f t="shared" si="1"/>
        <v>0</v>
      </c>
    </row>
  </sheetData>
  <mergeCells count="1">
    <mergeCell ref="A1:BN1"/>
  </mergeCells>
  <pageMargins left="0.7" right="0.7" top="0.75" bottom="0.75" header="0.3" footer="0.3"/>
  <pageSetup paperSize="9" scale="65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122"/>
  <sheetViews>
    <sheetView zoomScale="164" zoomScaleNormal="164" workbookViewId="0">
      <pane xSplit="2" ySplit="2" topLeftCell="L33" activePane="bottomRight" state="frozen"/>
      <selection/>
      <selection pane="topRight"/>
      <selection pane="bottomLeft"/>
      <selection pane="bottomRight" activeCell="BN88" sqref="BN88"/>
    </sheetView>
  </sheetViews>
  <sheetFormatPr defaultColWidth="9" defaultRowHeight="20" customHeight="1"/>
  <cols>
    <col min="1" max="1" width="14.3333333333333" style="1" customWidth="1"/>
    <col min="2" max="2" width="23.1666666666667" style="1" customWidth="1"/>
    <col min="3" max="8" width="7.5" style="1" customWidth="1"/>
    <col min="9" max="10" width="8.33333333333333" customWidth="1"/>
    <col min="11" max="11" width="8.33333333333333" style="3" customWidth="1"/>
    <col min="12" max="12" width="7.5" style="3" customWidth="1"/>
    <col min="13" max="14" width="7" style="3" customWidth="1"/>
    <col min="15" max="15" width="7" style="3" hidden="1" customWidth="1"/>
    <col min="16" max="16" width="7.83333333333333" style="3" hidden="1" customWidth="1"/>
    <col min="17" max="17" width="7.5" style="3" hidden="1" customWidth="1"/>
    <col min="18" max="18" width="7.16666666666667" style="3" hidden="1" customWidth="1"/>
    <col min="19" max="19" width="7.33333333333333" style="3" hidden="1" customWidth="1"/>
    <col min="20" max="20" width="7.83333333333333" style="3" hidden="1" customWidth="1"/>
    <col min="21" max="21" width="8.16666666666667" style="3" hidden="1" customWidth="1"/>
    <col min="22" max="22" width="7.66666666666667" style="91" hidden="1" customWidth="1"/>
    <col min="23" max="23" width="5.66666666666667" style="3" hidden="1" customWidth="1"/>
    <col min="24" max="24" width="7.66666666666667" style="3" hidden="1" customWidth="1"/>
    <col min="25" max="25" width="5.66666666666667" style="3" hidden="1" customWidth="1"/>
    <col min="26" max="26" width="6.66666666666667" style="3" hidden="1" customWidth="1"/>
    <col min="27" max="28" width="5.66666666666667" style="3" hidden="1" customWidth="1"/>
    <col min="29" max="30" width="7.33333333333333" style="3" hidden="1" customWidth="1"/>
    <col min="31" max="33" width="8.33333333333333" style="3" hidden="1" customWidth="1"/>
    <col min="34" max="36" width="7.66666666666667" style="41" hidden="1" customWidth="1"/>
    <col min="37" max="37" width="7.16666666666667" style="3" hidden="1" customWidth="1"/>
    <col min="38" max="38" width="6.83333333333333" style="3" hidden="1" customWidth="1"/>
    <col min="39" max="39" width="7.33333333333333" style="3" hidden="1" customWidth="1"/>
    <col min="40" max="40" width="7.66666666666667" style="3" hidden="1" customWidth="1"/>
    <col min="41" max="41" width="6.83333333333333" style="3" hidden="1" customWidth="1"/>
    <col min="42" max="42" width="8.5" style="3" hidden="1" customWidth="1"/>
    <col min="43" max="43" width="7.33333333333333" style="3" hidden="1" customWidth="1"/>
    <col min="44" max="44" width="8" style="3" hidden="1" customWidth="1"/>
    <col min="45" max="45" width="7.5" style="3" hidden="1" customWidth="1"/>
    <col min="46" max="50" width="5.66666666666667" style="3" hidden="1" customWidth="1"/>
    <col min="51" max="51" width="7.5" style="3" hidden="1" customWidth="1"/>
    <col min="52" max="52" width="5.66666666666667" style="3" hidden="1" customWidth="1"/>
    <col min="53" max="53" width="6.5" style="3" hidden="1" customWidth="1"/>
    <col min="54" max="58" width="5.66666666666667" style="3" hidden="1" customWidth="1"/>
    <col min="59" max="59" width="7" style="3" hidden="1" customWidth="1"/>
    <col min="60" max="60" width="7.83333333333333" style="3" hidden="1" customWidth="1"/>
    <col min="61" max="61" width="6.33333333333333" style="3" hidden="1" customWidth="1"/>
    <col min="62" max="62" width="7.33333333333333" style="3" hidden="1" customWidth="1"/>
    <col min="63" max="63" width="7.16666666666667" style="3" hidden="1" customWidth="1"/>
    <col min="64" max="64" width="7.33333333333333" style="3" hidden="1" customWidth="1"/>
    <col min="65" max="65" width="7.16666666666667" style="3" customWidth="1"/>
    <col min="66" max="66" width="8" style="3" customWidth="1"/>
    <col min="68" max="68" width="17.1666666666667" customWidth="1"/>
  </cols>
  <sheetData>
    <row r="1" customHeight="1" spans="1:68">
      <c r="A1" s="4" t="s">
        <v>755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</row>
    <row r="2" customHeight="1" spans="1:68">
      <c r="A2" s="47" t="s">
        <v>596</v>
      </c>
      <c r="B2" s="48" t="s">
        <v>597</v>
      </c>
      <c r="C2" s="49">
        <v>45141</v>
      </c>
      <c r="D2" s="49">
        <v>45143</v>
      </c>
      <c r="E2" s="49">
        <v>45152</v>
      </c>
      <c r="F2" s="49">
        <v>45153</v>
      </c>
      <c r="G2" s="49">
        <v>45156</v>
      </c>
      <c r="H2" s="49">
        <v>45159</v>
      </c>
      <c r="I2" s="50">
        <v>45161</v>
      </c>
      <c r="J2" s="50" t="s">
        <v>756</v>
      </c>
      <c r="K2" s="50">
        <v>45166</v>
      </c>
      <c r="L2" s="50" t="s">
        <v>757</v>
      </c>
      <c r="M2" s="50">
        <v>45168</v>
      </c>
      <c r="N2" s="50">
        <v>45169</v>
      </c>
      <c r="O2" s="50"/>
      <c r="P2" s="50"/>
      <c r="Q2" s="50"/>
      <c r="R2" s="89"/>
      <c r="S2" s="89"/>
      <c r="T2" s="89"/>
      <c r="U2" s="89"/>
      <c r="V2" s="89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2"/>
      <c r="AI2" s="52"/>
      <c r="AJ2" s="52"/>
      <c r="AK2" s="51"/>
      <c r="AL2" s="51"/>
      <c r="AM2" s="51"/>
      <c r="AN2" s="51"/>
      <c r="AO2" s="51"/>
      <c r="AP2" s="51"/>
      <c r="AQ2" s="51"/>
      <c r="AR2" s="51"/>
      <c r="AS2" s="51"/>
      <c r="AT2" s="51"/>
      <c r="AU2" s="51"/>
      <c r="AV2" s="51"/>
      <c r="AW2" s="51"/>
      <c r="AX2" s="51"/>
      <c r="AY2" s="51"/>
      <c r="AZ2" s="51"/>
      <c r="BA2" s="51"/>
      <c r="BB2" s="51"/>
      <c r="BC2" s="51"/>
      <c r="BD2" s="51"/>
      <c r="BE2" s="51"/>
      <c r="BF2" s="51"/>
      <c r="BG2" s="101"/>
      <c r="BH2" s="101"/>
      <c r="BI2" s="101"/>
      <c r="BJ2" s="101"/>
      <c r="BK2" s="101"/>
      <c r="BL2" s="101"/>
      <c r="BM2" s="101"/>
      <c r="BN2" s="53" t="s">
        <v>598</v>
      </c>
      <c r="BO2" s="25"/>
      <c r="BP2" s="25"/>
    </row>
    <row r="3" s="44" customFormat="1" hidden="1" customHeight="1" spans="1:68">
      <c r="A3" s="54" t="s">
        <v>192</v>
      </c>
      <c r="B3" s="55" t="s">
        <v>600</v>
      </c>
      <c r="C3" s="56"/>
      <c r="D3" s="56"/>
      <c r="E3" s="56"/>
      <c r="F3" s="56"/>
      <c r="G3" s="56"/>
      <c r="H3" s="56"/>
      <c r="I3" s="57"/>
      <c r="J3" s="57"/>
      <c r="K3" s="57"/>
      <c r="L3" s="57"/>
      <c r="M3" s="57"/>
      <c r="N3" s="57"/>
      <c r="O3" s="57"/>
      <c r="P3" s="57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9"/>
      <c r="AI3" s="59"/>
      <c r="AJ3" s="59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58"/>
      <c r="BL3" s="58"/>
      <c r="BM3" s="58"/>
      <c r="BN3" s="86">
        <f>BM3+BL3+BK3+BJ3+BI3+BH3+BG3+BF3+BE3+BD3+BC3+BB3+BA3+AZ3+AY3+AX3+AW3+AV3+AU3+AT3+AS3+AR3+AQ3+AP3+AO3+AN3+AM3+AL3+AK3+AJ3+AI3+AH3+AG3+AF3+AE3+AD3+AC3+AB3+AA3+Z3+Y3+X3+W3+V3+U3+T3+S3+R3+Q3+P3+O3+N3+M3+L3+K3+J3+I3+H3+G3+F3+E3+D3+C3</f>
        <v>0</v>
      </c>
    </row>
    <row r="4" s="44" customFormat="1" hidden="1" customHeight="1" spans="1:68">
      <c r="A4" s="54" t="s">
        <v>134</v>
      </c>
      <c r="B4" s="55" t="s">
        <v>601</v>
      </c>
      <c r="C4" s="56"/>
      <c r="D4" s="56"/>
      <c r="E4" s="56"/>
      <c r="F4" s="56"/>
      <c r="G4" s="56"/>
      <c r="H4" s="56"/>
      <c r="I4" s="57"/>
      <c r="J4" s="57"/>
      <c r="K4" s="57"/>
      <c r="L4" s="57"/>
      <c r="M4" s="57"/>
      <c r="N4" s="57"/>
      <c r="O4" s="57"/>
      <c r="P4" s="57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9"/>
      <c r="AI4" s="59"/>
      <c r="AJ4" s="59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8"/>
      <c r="BK4" s="58"/>
      <c r="BL4" s="58"/>
      <c r="BM4" s="58"/>
      <c r="BN4" s="86">
        <f t="shared" ref="BN4:BN68" si="0">BM4+BL4+BK4+BJ4+BI4+BH4+BG4+BF4+BE4+BD4+BC4+BB4+BA4+AZ4+AY4+AX4+AW4+AV4+AU4+AT4+AS4+AR4+AQ4+AP4+AO4+AN4+AM4+AL4+AK4+AJ4+AI4+AH4+AG4+AF4+AE4+AD4+AC4+AB4+AA4+Z4+Y4+X4+W4+V4+U4+T4+S4+R4+Q4+P4+O4+N4+M4+L4+K4+J4+I4+H4+G4+F4+E4+D4+C4</f>
        <v>0</v>
      </c>
    </row>
    <row r="5" s="44" customFormat="1" hidden="1" customHeight="1" spans="1:68">
      <c r="A5" s="54" t="s">
        <v>602</v>
      </c>
      <c r="B5" s="55" t="s">
        <v>603</v>
      </c>
      <c r="C5" s="56"/>
      <c r="D5" s="56"/>
      <c r="E5" s="56"/>
      <c r="F5" s="56"/>
      <c r="G5" s="56"/>
      <c r="H5" s="56"/>
      <c r="I5" s="57"/>
      <c r="J5" s="57"/>
      <c r="K5" s="57"/>
      <c r="L5" s="57"/>
      <c r="M5" s="57"/>
      <c r="N5" s="57"/>
      <c r="O5" s="57"/>
      <c r="P5" s="57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9"/>
      <c r="AI5" s="59"/>
      <c r="AJ5" s="59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8"/>
      <c r="BF5" s="58"/>
      <c r="BG5" s="58"/>
      <c r="BH5" s="58"/>
      <c r="BI5" s="58"/>
      <c r="BJ5" s="58"/>
      <c r="BK5" s="58"/>
      <c r="BL5" s="58"/>
      <c r="BM5" s="58"/>
      <c r="BN5" s="86">
        <f t="shared" si="0"/>
        <v>0</v>
      </c>
    </row>
    <row r="6" s="44" customFormat="1" hidden="1" customHeight="1" spans="1:68">
      <c r="A6" s="54" t="s">
        <v>604</v>
      </c>
      <c r="B6" s="55" t="s">
        <v>605</v>
      </c>
      <c r="C6" s="56"/>
      <c r="D6" s="56"/>
      <c r="E6" s="56"/>
      <c r="F6" s="56"/>
      <c r="G6" s="56"/>
      <c r="H6" s="56"/>
      <c r="I6" s="57"/>
      <c r="J6" s="57"/>
      <c r="K6" s="57"/>
      <c r="L6" s="57"/>
      <c r="M6" s="57"/>
      <c r="N6" s="57"/>
      <c r="O6" s="57"/>
      <c r="P6" s="57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9"/>
      <c r="AI6" s="59"/>
      <c r="AJ6" s="59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58"/>
      <c r="BL6" s="58"/>
      <c r="BM6" s="58"/>
      <c r="BN6" s="86">
        <f t="shared" si="0"/>
        <v>0</v>
      </c>
    </row>
    <row r="7" s="44" customFormat="1" hidden="1" customHeight="1" spans="1:68">
      <c r="A7" s="54" t="s">
        <v>67</v>
      </c>
      <c r="B7" s="55" t="s">
        <v>606</v>
      </c>
      <c r="C7" s="56"/>
      <c r="D7" s="56"/>
      <c r="E7" s="56"/>
      <c r="F7" s="56"/>
      <c r="G7" s="56"/>
      <c r="H7" s="56"/>
      <c r="I7" s="57"/>
      <c r="J7" s="57"/>
      <c r="K7" s="57"/>
      <c r="L7" s="57"/>
      <c r="M7" s="57"/>
      <c r="N7" s="57"/>
      <c r="O7" s="57"/>
      <c r="P7" s="57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9"/>
      <c r="AI7" s="59"/>
      <c r="AJ7" s="59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58"/>
      <c r="BJ7" s="58"/>
      <c r="BK7" s="58"/>
      <c r="BL7" s="58"/>
      <c r="BM7" s="58"/>
      <c r="BN7" s="86">
        <f t="shared" si="0"/>
        <v>0</v>
      </c>
    </row>
    <row r="8" s="44" customFormat="1" customHeight="1" spans="1:68">
      <c r="A8" s="54" t="s">
        <v>53</v>
      </c>
      <c r="B8" s="55" t="s">
        <v>512</v>
      </c>
      <c r="C8" s="56"/>
      <c r="D8" s="56"/>
      <c r="E8" s="56"/>
      <c r="F8" s="56"/>
      <c r="G8" s="56"/>
      <c r="H8" s="56"/>
      <c r="I8" s="57"/>
      <c r="J8" s="57" t="s">
        <v>607</v>
      </c>
      <c r="K8" s="57"/>
      <c r="L8" s="57"/>
      <c r="M8" s="57"/>
      <c r="N8" s="57"/>
      <c r="O8" s="57"/>
      <c r="P8" s="57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9"/>
      <c r="AI8" s="59"/>
      <c r="AJ8" s="59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58"/>
      <c r="BF8" s="58"/>
      <c r="BG8" s="58"/>
      <c r="BH8" s="58"/>
      <c r="BI8" s="58"/>
      <c r="BJ8" s="58"/>
      <c r="BK8" s="58"/>
      <c r="BL8" s="58"/>
      <c r="BM8" s="58"/>
      <c r="BN8" s="103">
        <f t="shared" si="0"/>
        <v>1000</v>
      </c>
    </row>
    <row r="9" s="44" customFormat="1" customHeight="1" spans="1:68">
      <c r="A9" s="54" t="s">
        <v>16</v>
      </c>
      <c r="B9" s="55" t="s">
        <v>608</v>
      </c>
      <c r="C9" s="56"/>
      <c r="D9" s="56"/>
      <c r="E9" s="56"/>
      <c r="F9" s="56"/>
      <c r="G9" s="56"/>
      <c r="H9" s="56"/>
      <c r="I9" s="57"/>
      <c r="J9" s="57"/>
      <c r="K9" s="57"/>
      <c r="L9" s="57"/>
      <c r="M9" s="57"/>
      <c r="N9" s="57"/>
      <c r="O9" s="57"/>
      <c r="P9" s="57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9"/>
      <c r="AI9" s="59"/>
      <c r="AJ9" s="59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58"/>
      <c r="BI9" s="58"/>
      <c r="BJ9" s="58"/>
      <c r="BK9" s="58"/>
      <c r="BL9" s="58"/>
      <c r="BM9" s="58"/>
      <c r="BN9" s="86">
        <f t="shared" si="0"/>
        <v>0</v>
      </c>
    </row>
    <row r="10" s="44" customFormat="1" customHeight="1" spans="1:68">
      <c r="A10" s="54" t="s">
        <v>59</v>
      </c>
      <c r="B10" s="55" t="s">
        <v>609</v>
      </c>
      <c r="C10" s="56"/>
      <c r="D10" s="56"/>
      <c r="E10" s="56"/>
      <c r="F10" s="56"/>
      <c r="G10" s="56" t="s">
        <v>758</v>
      </c>
      <c r="H10" s="56"/>
      <c r="I10" s="57"/>
      <c r="J10" s="57"/>
      <c r="K10" s="57"/>
      <c r="L10" s="57"/>
      <c r="M10" s="57"/>
      <c r="N10" s="57"/>
      <c r="O10" s="57"/>
      <c r="P10" s="57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9"/>
      <c r="AI10" s="59"/>
      <c r="AJ10" s="59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103">
        <f t="shared" si="0"/>
        <v>2400</v>
      </c>
    </row>
    <row r="11" s="44" customFormat="1" hidden="1" customHeight="1" spans="1:68">
      <c r="A11" s="54" t="s">
        <v>612</v>
      </c>
      <c r="B11" s="55" t="s">
        <v>613</v>
      </c>
      <c r="C11" s="56"/>
      <c r="D11" s="56"/>
      <c r="E11" s="56"/>
      <c r="F11" s="56"/>
      <c r="G11" s="56"/>
      <c r="H11" s="56"/>
      <c r="I11" s="57"/>
      <c r="J11" s="57"/>
      <c r="K11" s="57"/>
      <c r="L11" s="57"/>
      <c r="M11" s="57"/>
      <c r="N11" s="57"/>
      <c r="O11" s="57"/>
      <c r="P11" s="57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9"/>
      <c r="AI11" s="59"/>
      <c r="AJ11" s="59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86">
        <f t="shared" si="0"/>
        <v>0</v>
      </c>
    </row>
    <row r="12" s="44" customFormat="1" customHeight="1" spans="1:68">
      <c r="A12" s="54" t="s">
        <v>68</v>
      </c>
      <c r="B12" s="55" t="s">
        <v>614</v>
      </c>
      <c r="C12" s="56" t="s">
        <v>752</v>
      </c>
      <c r="D12" s="56"/>
      <c r="E12" s="56"/>
      <c r="F12" s="56"/>
      <c r="G12" s="56"/>
      <c r="H12" s="56"/>
      <c r="I12" s="57"/>
      <c r="J12" s="57"/>
      <c r="K12" s="57"/>
      <c r="L12" s="57"/>
      <c r="M12" s="57"/>
      <c r="N12" s="57"/>
      <c r="O12" s="57"/>
      <c r="P12" s="57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9"/>
      <c r="AI12" s="59"/>
      <c r="AJ12" s="59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103">
        <f t="shared" si="0"/>
        <v>200</v>
      </c>
    </row>
    <row r="13" s="44" customFormat="1" hidden="1" customHeight="1" spans="1:68">
      <c r="A13" s="54" t="s">
        <v>616</v>
      </c>
      <c r="B13" s="55" t="s">
        <v>617</v>
      </c>
      <c r="C13" s="56"/>
      <c r="D13" s="56"/>
      <c r="E13" s="56"/>
      <c r="F13" s="56"/>
      <c r="G13" s="56"/>
      <c r="H13" s="56"/>
      <c r="I13" s="57"/>
      <c r="J13" s="57"/>
      <c r="K13" s="57"/>
      <c r="L13" s="57"/>
      <c r="M13" s="57"/>
      <c r="N13" s="57"/>
      <c r="O13" s="57"/>
      <c r="P13" s="57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9"/>
      <c r="AI13" s="59"/>
      <c r="AJ13" s="59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86">
        <f t="shared" si="0"/>
        <v>0</v>
      </c>
    </row>
    <row r="14" s="45" customFormat="1" customHeight="1" spans="1:68">
      <c r="A14" s="54" t="s">
        <v>190</v>
      </c>
      <c r="B14" s="55" t="s">
        <v>759</v>
      </c>
      <c r="C14" s="56"/>
      <c r="D14" s="56"/>
      <c r="E14" s="56"/>
      <c r="F14" s="56"/>
      <c r="G14" s="56"/>
      <c r="H14" s="56"/>
      <c r="I14" s="57"/>
      <c r="J14" s="57"/>
      <c r="K14" s="57"/>
      <c r="L14" s="57"/>
      <c r="M14" s="57" t="s">
        <v>752</v>
      </c>
      <c r="N14" s="57"/>
      <c r="O14" s="57"/>
      <c r="P14" s="57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9"/>
      <c r="AI14" s="59"/>
      <c r="AJ14" s="59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103">
        <f t="shared" si="0"/>
        <v>200</v>
      </c>
    </row>
    <row r="15" s="46" customFormat="1" hidden="1" customHeight="1" spans="1:68">
      <c r="A15" s="61" t="s">
        <v>224</v>
      </c>
      <c r="B15" s="62" t="s">
        <v>620</v>
      </c>
      <c r="C15" s="62"/>
      <c r="D15" s="62"/>
      <c r="E15" s="62"/>
      <c r="F15" s="62"/>
      <c r="G15" s="62"/>
      <c r="H15" s="62"/>
      <c r="I15" s="63"/>
      <c r="J15" s="63"/>
      <c r="K15" s="63"/>
      <c r="L15" s="63"/>
      <c r="M15" s="63"/>
      <c r="N15" s="63"/>
      <c r="O15" s="63"/>
      <c r="P15" s="63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5"/>
      <c r="AI15" s="65"/>
      <c r="AJ15" s="65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4"/>
      <c r="BF15" s="64"/>
      <c r="BG15" s="64"/>
      <c r="BH15" s="64"/>
      <c r="BI15" s="64"/>
      <c r="BJ15" s="64"/>
      <c r="BK15" s="64"/>
      <c r="BL15" s="64"/>
      <c r="BM15" s="64"/>
      <c r="BN15" s="86">
        <f t="shared" si="0"/>
        <v>0</v>
      </c>
    </row>
    <row r="16" s="46" customFormat="1" hidden="1" customHeight="1" spans="1:68">
      <c r="A16" s="61" t="s">
        <v>204</v>
      </c>
      <c r="B16" s="77" t="s">
        <v>621</v>
      </c>
      <c r="C16" s="77"/>
      <c r="D16" s="77"/>
      <c r="E16" s="77"/>
      <c r="F16" s="77"/>
      <c r="G16" s="77"/>
      <c r="H16" s="77"/>
      <c r="I16" s="78"/>
      <c r="J16" s="78"/>
      <c r="K16" s="78"/>
      <c r="L16" s="78"/>
      <c r="M16" s="78"/>
      <c r="N16" s="78"/>
      <c r="O16" s="78"/>
      <c r="P16" s="78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80"/>
      <c r="AI16" s="80"/>
      <c r="AJ16" s="80"/>
      <c r="AK16" s="79"/>
      <c r="AL16" s="79"/>
      <c r="AM16" s="79"/>
      <c r="AN16" s="79"/>
      <c r="AO16" s="79"/>
      <c r="AP16" s="79"/>
      <c r="AQ16" s="79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79"/>
      <c r="BF16" s="79"/>
      <c r="BG16" s="79"/>
      <c r="BH16" s="79"/>
      <c r="BI16" s="79"/>
      <c r="BJ16" s="79"/>
      <c r="BK16" s="79"/>
      <c r="BL16" s="79"/>
      <c r="BM16" s="79"/>
      <c r="BN16" s="86">
        <f t="shared" si="0"/>
        <v>0</v>
      </c>
    </row>
    <row r="17" s="46" customFormat="1" hidden="1" customHeight="1" spans="1:66">
      <c r="A17" s="61" t="s">
        <v>623</v>
      </c>
      <c r="B17" s="77" t="s">
        <v>624</v>
      </c>
      <c r="C17" s="77"/>
      <c r="D17" s="77"/>
      <c r="E17" s="77"/>
      <c r="F17" s="77"/>
      <c r="G17" s="77"/>
      <c r="H17" s="77"/>
      <c r="I17" s="78"/>
      <c r="J17" s="78"/>
      <c r="K17" s="78"/>
      <c r="L17" s="78"/>
      <c r="M17" s="78"/>
      <c r="N17" s="78"/>
      <c r="O17" s="78"/>
      <c r="P17" s="78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80"/>
      <c r="AI17" s="80"/>
      <c r="AJ17" s="80"/>
      <c r="AK17" s="79"/>
      <c r="AL17" s="79"/>
      <c r="AM17" s="79"/>
      <c r="AN17" s="79"/>
      <c r="AO17" s="79"/>
      <c r="AP17" s="79"/>
      <c r="AQ17" s="79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79"/>
      <c r="BF17" s="79"/>
      <c r="BG17" s="79"/>
      <c r="BH17" s="79"/>
      <c r="BI17" s="79"/>
      <c r="BJ17" s="79"/>
      <c r="BK17" s="79"/>
      <c r="BL17" s="79"/>
      <c r="BM17" s="79"/>
      <c r="BN17" s="86">
        <f t="shared" si="0"/>
        <v>0</v>
      </c>
    </row>
    <row r="18" s="46" customFormat="1" customHeight="1" spans="1:66">
      <c r="A18" s="61" t="s">
        <v>161</v>
      </c>
      <c r="B18" s="77" t="s">
        <v>625</v>
      </c>
      <c r="C18" s="77"/>
      <c r="D18" s="77"/>
      <c r="E18" s="77"/>
      <c r="F18" s="77"/>
      <c r="G18" s="77"/>
      <c r="H18" s="77"/>
      <c r="I18" s="78" t="s">
        <v>607</v>
      </c>
      <c r="J18" s="78"/>
      <c r="K18" s="78"/>
      <c r="L18" s="78"/>
      <c r="M18" s="78"/>
      <c r="N18" s="78"/>
      <c r="O18" s="78"/>
      <c r="P18" s="78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80"/>
      <c r="AI18" s="80"/>
      <c r="AJ18" s="80"/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79"/>
      <c r="BF18" s="79"/>
      <c r="BG18" s="79"/>
      <c r="BH18" s="79"/>
      <c r="BI18" s="79"/>
      <c r="BJ18" s="79"/>
      <c r="BK18" s="79"/>
      <c r="BL18" s="79"/>
      <c r="BM18" s="79"/>
      <c r="BN18" s="103">
        <f t="shared" si="0"/>
        <v>1000</v>
      </c>
    </row>
    <row r="19" s="3" customFormat="1" customHeight="1" spans="1:66">
      <c r="A19" s="66" t="s">
        <v>626</v>
      </c>
      <c r="B19" s="14" t="s">
        <v>627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5"/>
      <c r="AI19" s="15"/>
      <c r="AJ19" s="15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86">
        <f t="shared" si="0"/>
        <v>0</v>
      </c>
    </row>
    <row r="20" s="3" customFormat="1" customHeight="1" spans="1:66">
      <c r="A20" s="42" t="s">
        <v>114</v>
      </c>
      <c r="B20" s="18" t="s">
        <v>628</v>
      </c>
      <c r="C20" s="18">
        <v>-2750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9"/>
      <c r="AI20" s="19"/>
      <c r="AJ20" s="19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03">
        <f t="shared" si="0"/>
        <v>-2750</v>
      </c>
    </row>
    <row r="21" s="3" customFormat="1" customHeight="1" spans="1:66">
      <c r="A21" s="42" t="s">
        <v>106</v>
      </c>
      <c r="B21" s="18" t="s">
        <v>107</v>
      </c>
      <c r="C21" s="18"/>
      <c r="D21" s="18"/>
      <c r="E21" s="18"/>
      <c r="F21" s="18">
        <v>1000</v>
      </c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9"/>
      <c r="AI21" s="19"/>
      <c r="AJ21" s="19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03">
        <f t="shared" si="0"/>
        <v>1000</v>
      </c>
    </row>
    <row r="22" s="3" customFormat="1" hidden="1" customHeight="1" spans="1:66">
      <c r="A22" s="42" t="s">
        <v>629</v>
      </c>
      <c r="B22" s="18" t="s">
        <v>630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9"/>
      <c r="AI22" s="19"/>
      <c r="AJ22" s="19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20"/>
      <c r="BK22" s="18"/>
      <c r="BL22" s="18"/>
      <c r="BM22" s="18"/>
      <c r="BN22" s="86">
        <f t="shared" si="0"/>
        <v>0</v>
      </c>
    </row>
    <row r="23" s="3" customFormat="1" hidden="1" customHeight="1" spans="1:66">
      <c r="A23" s="42" t="s">
        <v>18</v>
      </c>
      <c r="B23" s="18" t="s">
        <v>631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9"/>
      <c r="AI23" s="19"/>
      <c r="AJ23" s="19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20"/>
      <c r="BK23" s="18"/>
      <c r="BL23" s="18"/>
      <c r="BM23" s="18"/>
      <c r="BN23" s="86">
        <f t="shared" si="0"/>
        <v>0</v>
      </c>
    </row>
    <row r="24" customHeight="1" spans="1:66">
      <c r="A24" s="16" t="s">
        <v>33</v>
      </c>
      <c r="B24" s="17" t="s">
        <v>632</v>
      </c>
      <c r="C24" s="18"/>
      <c r="D24" s="18"/>
      <c r="E24" s="18"/>
      <c r="F24" s="18"/>
      <c r="G24" s="18"/>
      <c r="H24" s="18">
        <v>1000</v>
      </c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9"/>
      <c r="AI24" s="19"/>
      <c r="AJ24" s="19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20"/>
      <c r="BK24" s="18"/>
      <c r="BL24" s="18"/>
      <c r="BM24" s="18"/>
      <c r="BN24" s="103">
        <f t="shared" si="0"/>
        <v>1000</v>
      </c>
    </row>
    <row r="25" hidden="1" customHeight="1" spans="1:66">
      <c r="A25" s="16" t="s">
        <v>69</v>
      </c>
      <c r="B25" s="17" t="s">
        <v>633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9"/>
      <c r="AI25" s="19"/>
      <c r="AJ25" s="19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20"/>
      <c r="BK25" s="18"/>
      <c r="BL25" s="18"/>
      <c r="BM25" s="18"/>
      <c r="BN25" s="86">
        <f t="shared" si="0"/>
        <v>0</v>
      </c>
    </row>
    <row r="26" hidden="1" customHeight="1" spans="1:66">
      <c r="A26" s="16" t="s">
        <v>634</v>
      </c>
      <c r="B26" s="17" t="s">
        <v>635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9"/>
      <c r="AI26" s="19"/>
      <c r="AJ26" s="19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20"/>
      <c r="BK26" s="18"/>
      <c r="BL26" s="18"/>
      <c r="BM26" s="18"/>
      <c r="BN26" s="86">
        <f t="shared" si="0"/>
        <v>0</v>
      </c>
    </row>
    <row r="27" hidden="1" customHeight="1" spans="1:66">
      <c r="A27" s="16" t="s">
        <v>155</v>
      </c>
      <c r="B27" s="17" t="s">
        <v>636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9"/>
      <c r="AI27" s="19"/>
      <c r="AJ27" s="19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20"/>
      <c r="BK27" s="18"/>
      <c r="BL27" s="18"/>
      <c r="BM27" s="18"/>
      <c r="BN27" s="86">
        <f t="shared" si="0"/>
        <v>0</v>
      </c>
    </row>
    <row r="28" customHeight="1" spans="1:66">
      <c r="A28" s="16" t="s">
        <v>193</v>
      </c>
      <c r="B28" s="17" t="s">
        <v>637</v>
      </c>
      <c r="C28" s="18"/>
      <c r="D28" s="18"/>
      <c r="E28" s="18"/>
      <c r="F28" s="18"/>
      <c r="G28" s="18"/>
      <c r="H28" s="18"/>
      <c r="I28" s="18"/>
      <c r="J28" s="18"/>
      <c r="K28" s="18"/>
      <c r="L28" s="18">
        <v>500</v>
      </c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9"/>
      <c r="AI28" s="19"/>
      <c r="AJ28" s="19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20"/>
      <c r="BK28" s="18"/>
      <c r="BL28" s="18"/>
      <c r="BM28" s="18"/>
      <c r="BN28" s="103">
        <f t="shared" si="0"/>
        <v>500</v>
      </c>
    </row>
    <row r="29" hidden="1" customHeight="1" spans="1:66">
      <c r="A29" s="16" t="s">
        <v>35</v>
      </c>
      <c r="B29" s="17" t="s">
        <v>638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9"/>
      <c r="AI29" s="19"/>
      <c r="AJ29" s="19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12"/>
      <c r="BK29" s="18"/>
      <c r="BL29" s="18"/>
      <c r="BM29" s="18"/>
      <c r="BN29" s="86">
        <f t="shared" si="0"/>
        <v>0</v>
      </c>
    </row>
    <row r="30" hidden="1" customHeight="1" spans="1:66">
      <c r="A30" s="16" t="s">
        <v>234</v>
      </c>
      <c r="B30" s="17" t="s">
        <v>639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9"/>
      <c r="AI30" s="19"/>
      <c r="AJ30" s="19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20"/>
      <c r="BK30" s="18"/>
      <c r="BL30" s="18"/>
      <c r="BM30" s="18"/>
      <c r="BN30" s="86">
        <f t="shared" si="0"/>
        <v>0</v>
      </c>
    </row>
    <row r="31" hidden="1" customHeight="1" spans="1:66">
      <c r="A31" s="16" t="s">
        <v>175</v>
      </c>
      <c r="B31" s="17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9"/>
      <c r="AI31" s="19"/>
      <c r="AJ31" s="19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20"/>
      <c r="BK31" s="18"/>
      <c r="BL31" s="18"/>
      <c r="BM31" s="18"/>
      <c r="BN31" s="86">
        <f t="shared" si="0"/>
        <v>0</v>
      </c>
    </row>
    <row r="32" hidden="1" customHeight="1" spans="1:66">
      <c r="A32" s="16" t="s">
        <v>165</v>
      </c>
      <c r="B32" s="17" t="s">
        <v>640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9"/>
      <c r="AI32" s="19"/>
      <c r="AJ32" s="19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20"/>
      <c r="BK32" s="18"/>
      <c r="BL32" s="18"/>
      <c r="BM32" s="18"/>
      <c r="BN32" s="86">
        <f t="shared" si="0"/>
        <v>0</v>
      </c>
    </row>
    <row r="33" customHeight="1" spans="1:66">
      <c r="A33" s="16" t="s">
        <v>78</v>
      </c>
      <c r="B33" s="17" t="s">
        <v>641</v>
      </c>
      <c r="C33" s="18"/>
      <c r="D33" s="18"/>
      <c r="E33" s="18"/>
      <c r="F33" s="18"/>
      <c r="G33" s="18"/>
      <c r="H33" s="18"/>
      <c r="I33" s="18"/>
      <c r="J33" s="18"/>
      <c r="K33" s="18"/>
      <c r="L33" s="18">
        <v>700</v>
      </c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9"/>
      <c r="AI33" s="19"/>
      <c r="AJ33" s="19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20"/>
      <c r="BK33" s="18"/>
      <c r="BL33" s="18"/>
      <c r="BM33" s="18"/>
      <c r="BN33" s="103">
        <f t="shared" si="0"/>
        <v>700</v>
      </c>
    </row>
    <row r="34" hidden="1" customHeight="1" spans="1:66">
      <c r="A34" s="16" t="s">
        <v>74</v>
      </c>
      <c r="B34" s="17" t="s">
        <v>642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9"/>
      <c r="AI34" s="19"/>
      <c r="AJ34" s="19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20"/>
      <c r="BK34" s="18"/>
      <c r="BL34" s="18"/>
      <c r="BM34" s="18"/>
      <c r="BN34" s="86">
        <f t="shared" si="0"/>
        <v>0</v>
      </c>
    </row>
    <row r="35" hidden="1" customHeight="1" spans="1:66">
      <c r="A35" s="16" t="s">
        <v>643</v>
      </c>
      <c r="B35" s="17" t="s">
        <v>644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9"/>
      <c r="AI35" s="19"/>
      <c r="AJ35" s="19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20"/>
      <c r="BK35" s="18"/>
      <c r="BL35" s="18"/>
      <c r="BM35" s="18"/>
      <c r="BN35" s="86">
        <f t="shared" si="0"/>
        <v>0</v>
      </c>
    </row>
    <row r="36" hidden="1" customHeight="1" spans="1:66">
      <c r="A36" s="16" t="s">
        <v>138</v>
      </c>
      <c r="B36" s="17" t="s">
        <v>645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9"/>
      <c r="AI36" s="19"/>
      <c r="AJ36" s="19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20"/>
      <c r="BK36" s="18"/>
      <c r="BL36" s="18"/>
      <c r="BM36" s="18"/>
      <c r="BN36" s="86">
        <f t="shared" si="0"/>
        <v>0</v>
      </c>
    </row>
    <row r="37" hidden="1" customHeight="1" spans="1:66">
      <c r="A37" s="16" t="s">
        <v>141</v>
      </c>
      <c r="B37" s="17" t="s">
        <v>646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9"/>
      <c r="AI37" s="19"/>
      <c r="AJ37" s="19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20"/>
      <c r="BK37" s="18"/>
      <c r="BL37" s="18"/>
      <c r="BM37" s="18"/>
      <c r="BN37" s="86">
        <f t="shared" si="0"/>
        <v>0</v>
      </c>
    </row>
    <row r="38" customHeight="1" spans="1:66">
      <c r="A38" s="16" t="s">
        <v>109</v>
      </c>
      <c r="B38" s="17" t="s">
        <v>110</v>
      </c>
      <c r="C38" s="18">
        <v>200</v>
      </c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9"/>
      <c r="AI38" s="19"/>
      <c r="AJ38" s="19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03">
        <f t="shared" si="0"/>
        <v>200</v>
      </c>
    </row>
    <row r="39" customHeight="1" spans="1:66">
      <c r="A39" s="16" t="s">
        <v>103</v>
      </c>
      <c r="B39" s="17" t="s">
        <v>647</v>
      </c>
      <c r="C39" s="18"/>
      <c r="D39" s="18"/>
      <c r="E39" s="18"/>
      <c r="F39" s="18">
        <v>1000</v>
      </c>
      <c r="G39" s="18"/>
      <c r="H39" s="18"/>
      <c r="I39" s="18"/>
      <c r="J39" s="18"/>
      <c r="K39" s="18">
        <v>740</v>
      </c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9"/>
      <c r="AI39" s="19"/>
      <c r="AJ39" s="19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03">
        <f t="shared" si="0"/>
        <v>1740</v>
      </c>
    </row>
    <row r="40" hidden="1" customHeight="1" spans="1:66">
      <c r="A40" s="16" t="s">
        <v>177</v>
      </c>
      <c r="B40" s="17" t="s">
        <v>648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9"/>
      <c r="AI40" s="19"/>
      <c r="AJ40" s="19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86">
        <f t="shared" si="0"/>
        <v>0</v>
      </c>
    </row>
    <row r="41" customHeight="1" spans="1:66">
      <c r="A41" s="16" t="s">
        <v>37</v>
      </c>
      <c r="B41" s="17" t="s">
        <v>649</v>
      </c>
      <c r="C41" s="18">
        <v>500</v>
      </c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9"/>
      <c r="AI41" s="19"/>
      <c r="AJ41" s="19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03">
        <f t="shared" si="0"/>
        <v>500</v>
      </c>
    </row>
    <row r="42" hidden="1" customHeight="1" spans="1:66">
      <c r="A42" s="16" t="s">
        <v>173</v>
      </c>
      <c r="B42" s="17" t="s">
        <v>650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9"/>
      <c r="AI42" s="19"/>
      <c r="AJ42" s="19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86">
        <f t="shared" si="0"/>
        <v>0</v>
      </c>
    </row>
    <row r="43" hidden="1" customHeight="1" spans="1:66">
      <c r="A43" s="16" t="s">
        <v>651</v>
      </c>
      <c r="B43" s="21" t="s">
        <v>652</v>
      </c>
      <c r="C43" s="22"/>
      <c r="D43" s="22"/>
      <c r="E43" s="22"/>
      <c r="F43" s="22"/>
      <c r="G43" s="22"/>
      <c r="H43" s="22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9"/>
      <c r="AI43" s="19"/>
      <c r="AJ43" s="19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86">
        <f t="shared" si="0"/>
        <v>0</v>
      </c>
    </row>
    <row r="44" customHeight="1" spans="1:66">
      <c r="A44" s="16" t="s">
        <v>144</v>
      </c>
      <c r="B44" s="21" t="s">
        <v>653</v>
      </c>
      <c r="C44" s="22"/>
      <c r="D44" s="22"/>
      <c r="E44" s="22"/>
      <c r="F44" s="22"/>
      <c r="G44" s="22"/>
      <c r="H44" s="22"/>
      <c r="I44" s="18"/>
      <c r="J44" s="18">
        <v>125</v>
      </c>
      <c r="K44" s="18"/>
      <c r="L44" s="18"/>
      <c r="M44" s="18">
        <v>175</v>
      </c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9"/>
      <c r="AI44" s="19"/>
      <c r="AJ44" s="19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03">
        <f t="shared" si="0"/>
        <v>300</v>
      </c>
    </row>
    <row r="45" hidden="1" customHeight="1" spans="1:66">
      <c r="A45" s="16" t="s">
        <v>187</v>
      </c>
      <c r="B45" s="17" t="s">
        <v>654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9"/>
      <c r="AI45" s="19"/>
      <c r="AJ45" s="19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86">
        <f t="shared" si="0"/>
        <v>0</v>
      </c>
    </row>
    <row r="46" hidden="1" customHeight="1" spans="1:66">
      <c r="A46" s="16" t="s">
        <v>14</v>
      </c>
      <c r="B46" s="17" t="s">
        <v>655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9"/>
      <c r="AI46" s="19"/>
      <c r="AJ46" s="19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86">
        <f t="shared" si="0"/>
        <v>0</v>
      </c>
    </row>
    <row r="47" customHeight="1" spans="1:66">
      <c r="A47" s="16" t="s">
        <v>51</v>
      </c>
      <c r="B47" s="17" t="s">
        <v>656</v>
      </c>
      <c r="C47" s="18">
        <v>5000</v>
      </c>
      <c r="D47" s="18"/>
      <c r="E47" s="18"/>
      <c r="F47" s="18">
        <v>5000</v>
      </c>
      <c r="G47" s="18"/>
      <c r="H47" s="18"/>
      <c r="I47" s="18"/>
      <c r="J47" s="18"/>
      <c r="K47" s="18">
        <v>4000</v>
      </c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9"/>
      <c r="AI47" s="19"/>
      <c r="AJ47" s="19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03">
        <f t="shared" si="0"/>
        <v>14000</v>
      </c>
    </row>
    <row r="48" hidden="1" customHeight="1" spans="1:66">
      <c r="A48" s="16" t="s">
        <v>76</v>
      </c>
      <c r="B48" s="17" t="s">
        <v>657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9"/>
      <c r="AI48" s="19"/>
      <c r="AJ48" s="19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86">
        <f t="shared" si="0"/>
        <v>0</v>
      </c>
    </row>
    <row r="49" hidden="1" customHeight="1" spans="1:66">
      <c r="A49" s="16" t="s">
        <v>218</v>
      </c>
      <c r="B49" s="17" t="s">
        <v>658</v>
      </c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9"/>
      <c r="AI49" s="19"/>
      <c r="AJ49" s="19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86">
        <f t="shared" si="0"/>
        <v>0</v>
      </c>
    </row>
    <row r="50" customHeight="1" spans="1:66">
      <c r="A50" s="16" t="s">
        <v>135</v>
      </c>
      <c r="B50" s="17" t="s">
        <v>659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9"/>
      <c r="AI50" s="19"/>
      <c r="AJ50" s="19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86">
        <f t="shared" si="0"/>
        <v>0</v>
      </c>
    </row>
    <row r="51" customHeight="1" spans="1:66">
      <c r="A51" s="16" t="s">
        <v>22</v>
      </c>
      <c r="B51" s="17" t="s">
        <v>652</v>
      </c>
      <c r="C51" s="18"/>
      <c r="D51" s="18"/>
      <c r="E51" s="18"/>
      <c r="F51" s="18"/>
      <c r="G51" s="18"/>
      <c r="H51" s="18"/>
      <c r="I51" s="18"/>
      <c r="J51" s="18">
        <v>2000</v>
      </c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9"/>
      <c r="AI51" s="19"/>
      <c r="AJ51" s="19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03">
        <f t="shared" si="0"/>
        <v>2000</v>
      </c>
    </row>
    <row r="52" hidden="1" customHeight="1" spans="1:66">
      <c r="A52" s="16" t="s">
        <v>660</v>
      </c>
      <c r="B52" s="17" t="s">
        <v>655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9"/>
      <c r="AI52" s="19"/>
      <c r="AJ52" s="19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86">
        <f t="shared" si="0"/>
        <v>0</v>
      </c>
    </row>
    <row r="53" hidden="1" customHeight="1" spans="1:66">
      <c r="A53" s="16" t="s">
        <v>661</v>
      </c>
      <c r="B53" s="17" t="s">
        <v>653</v>
      </c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9"/>
      <c r="AI53" s="19"/>
      <c r="AJ53" s="19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86">
        <f t="shared" si="0"/>
        <v>0</v>
      </c>
    </row>
    <row r="54" hidden="1" customHeight="1" spans="1:66">
      <c r="A54" s="16" t="s">
        <v>662</v>
      </c>
      <c r="B54" s="17" t="s">
        <v>663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9"/>
      <c r="AI54" s="19"/>
      <c r="AJ54" s="19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86">
        <f t="shared" si="0"/>
        <v>0</v>
      </c>
    </row>
    <row r="55" customHeight="1" spans="1:66">
      <c r="A55" s="16" t="s">
        <v>212</v>
      </c>
      <c r="B55" s="17" t="s">
        <v>664</v>
      </c>
      <c r="C55" s="18"/>
      <c r="D55" s="18">
        <v>225</v>
      </c>
      <c r="E55" s="18"/>
      <c r="F55" s="18"/>
      <c r="G55" s="18"/>
      <c r="H55" s="18">
        <v>200</v>
      </c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9"/>
      <c r="AI55" s="19"/>
      <c r="AJ55" s="19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03">
        <f t="shared" si="0"/>
        <v>425</v>
      </c>
    </row>
    <row r="56" customHeight="1" spans="1:66">
      <c r="A56" s="16" t="s">
        <v>214</v>
      </c>
      <c r="B56" s="17" t="s">
        <v>665</v>
      </c>
      <c r="C56" s="18"/>
      <c r="D56" s="18"/>
      <c r="E56" s="18"/>
      <c r="F56" s="18"/>
      <c r="G56" s="18"/>
      <c r="H56" s="18">
        <v>1000</v>
      </c>
      <c r="I56" s="18"/>
      <c r="J56" s="18"/>
      <c r="K56" s="18"/>
      <c r="L56" s="18"/>
      <c r="M56" s="18"/>
      <c r="N56" s="18">
        <v>-900</v>
      </c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9"/>
      <c r="AI56" s="19"/>
      <c r="AJ56" s="19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03">
        <f t="shared" si="0"/>
        <v>100</v>
      </c>
    </row>
    <row r="57" hidden="1" customHeight="1" spans="1:66">
      <c r="A57" s="16" t="s">
        <v>666</v>
      </c>
      <c r="B57" s="17" t="s">
        <v>667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9"/>
      <c r="AI57" s="19"/>
      <c r="AJ57" s="19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86">
        <f t="shared" si="0"/>
        <v>0</v>
      </c>
    </row>
    <row r="58" hidden="1" customHeight="1" spans="1:66">
      <c r="A58" s="16" t="s">
        <v>668</v>
      </c>
      <c r="B58" s="17" t="s">
        <v>669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9"/>
      <c r="AI58" s="19"/>
      <c r="AJ58" s="19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86">
        <f t="shared" si="0"/>
        <v>0</v>
      </c>
    </row>
    <row r="59" hidden="1" customHeight="1" spans="1:66">
      <c r="A59" s="16" t="s">
        <v>670</v>
      </c>
      <c r="B59" s="17" t="s">
        <v>671</v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9"/>
      <c r="AI59" s="19"/>
      <c r="AJ59" s="19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86">
        <f t="shared" si="0"/>
        <v>0</v>
      </c>
    </row>
    <row r="60" hidden="1" customHeight="1" spans="1:66">
      <c r="A60" s="16" t="s">
        <v>672</v>
      </c>
      <c r="B60" s="17" t="s">
        <v>671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9"/>
      <c r="AI60" s="19"/>
      <c r="AJ60" s="19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86">
        <f t="shared" si="0"/>
        <v>0</v>
      </c>
    </row>
    <row r="61" hidden="1" customHeight="1" spans="1:66">
      <c r="A61" s="16" t="s">
        <v>673</v>
      </c>
      <c r="B61" s="17" t="s">
        <v>674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9"/>
      <c r="AI61" s="19"/>
      <c r="AJ61" s="19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86">
        <f t="shared" si="0"/>
        <v>0</v>
      </c>
    </row>
    <row r="62" hidden="1" customHeight="1" spans="1:66">
      <c r="A62" s="16" t="s">
        <v>675</v>
      </c>
      <c r="B62" s="17" t="s">
        <v>676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9"/>
      <c r="AI62" s="19"/>
      <c r="AJ62" s="19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86">
        <f t="shared" si="0"/>
        <v>0</v>
      </c>
    </row>
    <row r="63" hidden="1" customHeight="1" spans="1:66">
      <c r="A63" s="16" t="s">
        <v>677</v>
      </c>
      <c r="B63" s="17" t="s">
        <v>678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9"/>
      <c r="AI63" s="19"/>
      <c r="AJ63" s="19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86">
        <f t="shared" si="0"/>
        <v>0</v>
      </c>
    </row>
    <row r="64" hidden="1" customHeight="1" spans="1:66">
      <c r="A64" s="16" t="s">
        <v>679</v>
      </c>
      <c r="B64" s="17" t="s">
        <v>680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9"/>
      <c r="AI64" s="19"/>
      <c r="AJ64" s="19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86">
        <f t="shared" si="0"/>
        <v>0</v>
      </c>
    </row>
    <row r="65" hidden="1" customHeight="1" spans="1:66">
      <c r="A65" s="16" t="s">
        <v>681</v>
      </c>
      <c r="B65" s="17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9"/>
      <c r="AI65" s="19"/>
      <c r="AJ65" s="19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86">
        <f t="shared" si="0"/>
        <v>0</v>
      </c>
    </row>
    <row r="66" hidden="1" customHeight="1" spans="1:66">
      <c r="A66" s="16" t="s">
        <v>604</v>
      </c>
      <c r="B66" s="17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9"/>
      <c r="AI66" s="19"/>
      <c r="AJ66" s="19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86">
        <f t="shared" si="0"/>
        <v>0</v>
      </c>
    </row>
    <row r="67" hidden="1" customHeight="1" spans="1:66">
      <c r="A67" s="16" t="s">
        <v>682</v>
      </c>
      <c r="B67" s="17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9"/>
      <c r="AI67" s="19"/>
      <c r="AJ67" s="19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86">
        <f t="shared" si="0"/>
        <v>0</v>
      </c>
    </row>
    <row r="68" hidden="1" customHeight="1" spans="1:66">
      <c r="A68" s="16" t="s">
        <v>683</v>
      </c>
      <c r="B68" s="17" t="s">
        <v>684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9"/>
      <c r="AI68" s="19"/>
      <c r="AJ68" s="19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86">
        <f t="shared" si="0"/>
        <v>0</v>
      </c>
    </row>
    <row r="69" hidden="1" customHeight="1" spans="1:66">
      <c r="A69" s="16" t="s">
        <v>685</v>
      </c>
      <c r="B69" s="17" t="s">
        <v>686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9"/>
      <c r="AI69" s="19"/>
      <c r="AJ69" s="19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86">
        <f t="shared" ref="BN69:BN122" si="1">BM69+BL69+BK69+BJ69+BI69+BH69+BG69+BF69+BE69+BD69+BC69+BB69+BA69+AZ69+AY69+AX69+AW69+AV69+AU69+AT69+AS69+AR69+AQ69+AP69+AO69+AN69+AM69+AL69+AK69+AJ69+AI69+AH69+AG69+AF69+AE69+AD69+AC69+AB69+AA69+Z69+Y69+X69+W69+V69+U69+T69+S69+R69+Q69+P69+O69+N69+M69+L69+K69+J69+I69+H69+G69+F69+E69+D69+C69</f>
        <v>0</v>
      </c>
    </row>
    <row r="70" hidden="1" customHeight="1" spans="1:66">
      <c r="A70" s="16" t="s">
        <v>687</v>
      </c>
      <c r="B70" s="17" t="s">
        <v>688</v>
      </c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9"/>
      <c r="AI70" s="19"/>
      <c r="AJ70" s="19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86">
        <f t="shared" si="1"/>
        <v>0</v>
      </c>
    </row>
    <row r="71" hidden="1" customHeight="1" spans="1:66">
      <c r="A71" s="16" t="s">
        <v>689</v>
      </c>
      <c r="B71" s="17" t="s">
        <v>690</v>
      </c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9"/>
      <c r="AI71" s="19"/>
      <c r="AJ71" s="19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86">
        <f t="shared" si="1"/>
        <v>0</v>
      </c>
    </row>
    <row r="72" hidden="1" customHeight="1" spans="1:66">
      <c r="A72" s="16" t="s">
        <v>691</v>
      </c>
      <c r="B72" s="17" t="s">
        <v>692</v>
      </c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9"/>
      <c r="AI72" s="19"/>
      <c r="AJ72" s="19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86">
        <f t="shared" si="1"/>
        <v>0</v>
      </c>
    </row>
    <row r="73" hidden="1" customHeight="1" spans="1:66">
      <c r="A73" s="16" t="s">
        <v>693</v>
      </c>
      <c r="B73" s="17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9"/>
      <c r="AI73" s="19"/>
      <c r="AJ73" s="19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86">
        <f t="shared" si="1"/>
        <v>0</v>
      </c>
    </row>
    <row r="74" hidden="1" customHeight="1" spans="1:66">
      <c r="A74" s="16" t="s">
        <v>694</v>
      </c>
      <c r="B74" s="17" t="s">
        <v>695</v>
      </c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9"/>
      <c r="AI74" s="19"/>
      <c r="AJ74" s="19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86">
        <f t="shared" si="1"/>
        <v>0</v>
      </c>
    </row>
    <row r="75" hidden="1" customHeight="1" spans="1:66">
      <c r="A75" s="16" t="s">
        <v>697</v>
      </c>
      <c r="B75" s="17" t="s">
        <v>698</v>
      </c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9"/>
      <c r="AI75" s="19"/>
      <c r="AJ75" s="19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86">
        <f t="shared" si="1"/>
        <v>0</v>
      </c>
    </row>
    <row r="76" hidden="1" customHeight="1" spans="1:66">
      <c r="A76" s="16" t="s">
        <v>699</v>
      </c>
      <c r="B76" s="21" t="s">
        <v>700</v>
      </c>
      <c r="C76" s="22"/>
      <c r="D76" s="22"/>
      <c r="E76" s="22"/>
      <c r="F76" s="22"/>
      <c r="G76" s="22"/>
      <c r="H76" s="22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9"/>
      <c r="AI76" s="19"/>
      <c r="AJ76" s="19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86">
        <f t="shared" si="1"/>
        <v>0</v>
      </c>
    </row>
    <row r="77" hidden="1" customHeight="1" spans="1:66">
      <c r="A77" s="16" t="s">
        <v>701</v>
      </c>
      <c r="B77" s="17" t="s">
        <v>702</v>
      </c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9"/>
      <c r="AI77" s="19"/>
      <c r="AJ77" s="19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86">
        <f t="shared" si="1"/>
        <v>0</v>
      </c>
    </row>
    <row r="78" hidden="1" customHeight="1" spans="1:66">
      <c r="A78" s="16" t="s">
        <v>20</v>
      </c>
      <c r="B78" s="21" t="s">
        <v>703</v>
      </c>
      <c r="C78" s="22"/>
      <c r="D78" s="22"/>
      <c r="E78" s="22"/>
      <c r="F78" s="22"/>
      <c r="G78" s="22"/>
      <c r="H78" s="22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9"/>
      <c r="AI78" s="19"/>
      <c r="AJ78" s="19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86">
        <f t="shared" si="1"/>
        <v>0</v>
      </c>
    </row>
    <row r="79" hidden="1" customHeight="1" spans="1:66">
      <c r="A79" s="16" t="s">
        <v>704</v>
      </c>
      <c r="B79" s="21" t="s">
        <v>705</v>
      </c>
      <c r="C79" s="22"/>
      <c r="D79" s="22"/>
      <c r="E79" s="22"/>
      <c r="F79" s="22"/>
      <c r="G79" s="22"/>
      <c r="H79" s="22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9"/>
      <c r="AI79" s="19"/>
      <c r="AJ79" s="19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86">
        <f t="shared" si="1"/>
        <v>0</v>
      </c>
    </row>
    <row r="80" customHeight="1" spans="1:66">
      <c r="A80" s="16" t="s">
        <v>706</v>
      </c>
      <c r="B80" s="21" t="s">
        <v>707</v>
      </c>
      <c r="C80" s="22"/>
      <c r="D80" s="22"/>
      <c r="E80" s="22"/>
      <c r="F80" s="22"/>
      <c r="G80" s="22"/>
      <c r="H80" s="22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9"/>
      <c r="AI80" s="19"/>
      <c r="AJ80" s="19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86">
        <f t="shared" si="1"/>
        <v>0</v>
      </c>
    </row>
    <row r="81" customHeight="1" spans="1:67">
      <c r="A81" s="16" t="s">
        <v>123</v>
      </c>
      <c r="B81" s="21" t="s">
        <v>708</v>
      </c>
      <c r="C81" s="22">
        <v>-6251</v>
      </c>
      <c r="D81" s="22"/>
      <c r="E81" s="22"/>
      <c r="F81" s="22"/>
      <c r="G81" s="22"/>
      <c r="H81" s="22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9"/>
      <c r="AI81" s="19"/>
      <c r="AJ81" s="19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03">
        <f t="shared" si="1"/>
        <v>-6251</v>
      </c>
    </row>
    <row r="82" customHeight="1" spans="1:67">
      <c r="A82" s="16" t="s">
        <v>117</v>
      </c>
      <c r="B82" s="21" t="s">
        <v>709</v>
      </c>
      <c r="C82" s="22"/>
      <c r="D82" s="22">
        <v>570</v>
      </c>
      <c r="E82" s="22"/>
      <c r="F82" s="22"/>
      <c r="G82" s="22"/>
      <c r="H82" s="22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9"/>
      <c r="AI82" s="19"/>
      <c r="AJ82" s="19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03">
        <f t="shared" si="1"/>
        <v>570</v>
      </c>
    </row>
    <row r="83" customHeight="1" spans="1:67">
      <c r="A83" s="16" t="s">
        <v>120</v>
      </c>
      <c r="B83" s="21" t="s">
        <v>710</v>
      </c>
      <c r="C83" s="22">
        <v>-2303</v>
      </c>
      <c r="D83" s="22"/>
      <c r="E83" s="22"/>
      <c r="F83" s="22"/>
      <c r="G83" s="22"/>
      <c r="H83" s="22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9"/>
      <c r="AI83" s="19"/>
      <c r="AJ83" s="19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03">
        <f t="shared" si="1"/>
        <v>-2303</v>
      </c>
    </row>
    <row r="84" customHeight="1" spans="1:67">
      <c r="A84" s="16" t="s">
        <v>65</v>
      </c>
      <c r="B84" s="21" t="s">
        <v>713</v>
      </c>
      <c r="C84" s="22">
        <v>15000</v>
      </c>
      <c r="D84" s="22"/>
      <c r="E84" s="22"/>
      <c r="F84" s="22"/>
      <c r="G84" s="22"/>
      <c r="H84" s="22"/>
      <c r="I84" s="18"/>
      <c r="J84" s="18"/>
      <c r="K84" s="18"/>
      <c r="L84" s="18"/>
      <c r="M84" s="18"/>
      <c r="N84" s="18">
        <v>10000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9"/>
      <c r="AI84" s="19"/>
      <c r="AJ84" s="19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03">
        <f t="shared" si="1"/>
        <v>25000</v>
      </c>
    </row>
    <row r="85" customHeight="1" spans="1:67">
      <c r="A85" s="16" t="s">
        <v>159</v>
      </c>
      <c r="B85" s="21" t="s">
        <v>714</v>
      </c>
      <c r="C85" s="22"/>
      <c r="D85" s="22"/>
      <c r="E85" s="22">
        <v>10000</v>
      </c>
      <c r="F85" s="22"/>
      <c r="G85" s="22"/>
      <c r="H85" s="22"/>
      <c r="I85" s="18">
        <v>10000</v>
      </c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9"/>
      <c r="AI85" s="19"/>
      <c r="AJ85" s="19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03">
        <f t="shared" si="1"/>
        <v>20000</v>
      </c>
    </row>
    <row r="86" customHeight="1" spans="1:67">
      <c r="A86" s="16" t="s">
        <v>126</v>
      </c>
      <c r="B86" s="21" t="s">
        <v>715</v>
      </c>
      <c r="C86" s="22"/>
      <c r="D86" s="22"/>
      <c r="E86" s="22"/>
      <c r="F86" s="22">
        <v>6000</v>
      </c>
      <c r="G86" s="22"/>
      <c r="H86" s="22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9"/>
      <c r="AI86" s="19"/>
      <c r="AJ86" s="19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03">
        <f t="shared" si="1"/>
        <v>6000</v>
      </c>
    </row>
    <row r="87" customHeight="1" spans="1:67">
      <c r="A87" s="16" t="s">
        <v>181</v>
      </c>
      <c r="B87" s="21" t="s">
        <v>716</v>
      </c>
      <c r="C87" s="22"/>
      <c r="D87" s="22"/>
      <c r="E87" s="22"/>
      <c r="F87" s="22"/>
      <c r="G87" s="22"/>
      <c r="H87" s="22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9"/>
      <c r="AI87" s="19"/>
      <c r="AJ87" s="19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86">
        <f t="shared" si="1"/>
        <v>0</v>
      </c>
    </row>
    <row r="88" customHeight="1" spans="1:67">
      <c r="A88" s="16" t="s">
        <v>169</v>
      </c>
      <c r="B88" s="21" t="s">
        <v>717</v>
      </c>
      <c r="C88" s="22"/>
      <c r="D88" s="22"/>
      <c r="E88" s="22"/>
      <c r="F88" s="22">
        <v>5000</v>
      </c>
      <c r="G88" s="22"/>
      <c r="H88" s="22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9"/>
      <c r="AI88" s="19"/>
      <c r="AJ88" s="19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03">
        <f t="shared" si="1"/>
        <v>5000</v>
      </c>
    </row>
    <row r="89" customHeight="1" spans="1:67">
      <c r="A89" s="16" t="s">
        <v>222</v>
      </c>
      <c r="B89" s="21" t="s">
        <v>718</v>
      </c>
      <c r="C89" s="22"/>
      <c r="D89" s="22"/>
      <c r="E89" s="22"/>
      <c r="F89" s="22"/>
      <c r="G89" s="22"/>
      <c r="H89" s="22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9"/>
      <c r="AI89" s="19"/>
      <c r="AJ89" s="19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86">
        <f t="shared" si="1"/>
        <v>0</v>
      </c>
    </row>
    <row r="90" customHeight="1" spans="1:67">
      <c r="A90" s="16" t="s">
        <v>719</v>
      </c>
      <c r="B90" s="17" t="s">
        <v>720</v>
      </c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9"/>
      <c r="AI90" s="19"/>
      <c r="AJ90" s="19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86">
        <f t="shared" si="1"/>
        <v>0</v>
      </c>
    </row>
    <row r="91" customHeight="1" spans="1:67">
      <c r="A91" s="16" t="s">
        <v>206</v>
      </c>
      <c r="B91" s="17" t="s">
        <v>721</v>
      </c>
      <c r="C91" s="18"/>
      <c r="D91" s="18"/>
      <c r="E91" s="18"/>
      <c r="F91" s="18"/>
      <c r="G91" s="18">
        <v>10000</v>
      </c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9"/>
      <c r="AI91" s="19"/>
      <c r="AJ91" s="19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03">
        <f t="shared" si="1"/>
        <v>10000</v>
      </c>
    </row>
    <row r="92" customHeight="1" spans="1:67">
      <c r="A92" s="16" t="s">
        <v>202</v>
      </c>
      <c r="B92" s="17" t="s">
        <v>722</v>
      </c>
      <c r="C92" s="18">
        <v>10000</v>
      </c>
      <c r="D92" s="18"/>
      <c r="E92" s="18"/>
      <c r="F92" s="18"/>
      <c r="G92" s="18">
        <v>5000</v>
      </c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9"/>
      <c r="AI92" s="19"/>
      <c r="AJ92" s="19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03">
        <f t="shared" si="1"/>
        <v>15000</v>
      </c>
    </row>
    <row r="93" customHeight="1" spans="1:67">
      <c r="A93" s="16" t="s">
        <v>167</v>
      </c>
      <c r="B93" s="17" t="s">
        <v>723</v>
      </c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9"/>
      <c r="AI93" s="19"/>
      <c r="AJ93" s="19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86">
        <f t="shared" si="1"/>
        <v>0</v>
      </c>
    </row>
    <row r="94" customHeight="1" spans="1:67">
      <c r="A94" s="16" t="s">
        <v>208</v>
      </c>
      <c r="B94" s="17" t="s">
        <v>724</v>
      </c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9"/>
      <c r="AI94" s="19"/>
      <c r="AJ94" s="19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86">
        <f t="shared" si="1"/>
        <v>0</v>
      </c>
    </row>
    <row r="95" customHeight="1" spans="1:67">
      <c r="A95" s="16" t="s">
        <v>157</v>
      </c>
      <c r="B95" s="17" t="s">
        <v>725</v>
      </c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>
        <v>20000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9"/>
      <c r="AI95" s="19"/>
      <c r="AJ95" s="19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03">
        <f t="shared" si="1"/>
        <v>20000</v>
      </c>
      <c r="BO95" s="3"/>
    </row>
    <row r="96" customHeight="1" spans="1:67">
      <c r="A96" s="16" t="s">
        <v>129</v>
      </c>
      <c r="B96" s="17" t="s">
        <v>726</v>
      </c>
      <c r="C96" s="18"/>
      <c r="D96" s="18"/>
      <c r="E96" s="18"/>
      <c r="F96" s="18">
        <v>3000</v>
      </c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9"/>
      <c r="AI96" s="19"/>
      <c r="AJ96" s="19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03">
        <f t="shared" si="1"/>
        <v>3000</v>
      </c>
      <c r="BO96" s="3"/>
    </row>
    <row r="97" customHeight="1" spans="1:67">
      <c r="A97" s="16" t="s">
        <v>132</v>
      </c>
      <c r="B97" s="17" t="s">
        <v>727</v>
      </c>
      <c r="C97" s="18"/>
      <c r="D97" s="18"/>
      <c r="E97" s="18"/>
      <c r="F97" s="18">
        <v>3000</v>
      </c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9"/>
      <c r="AI97" s="19"/>
      <c r="AJ97" s="19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03">
        <f t="shared" si="1"/>
        <v>3000</v>
      </c>
      <c r="BO97" s="3"/>
    </row>
    <row r="98" customHeight="1" spans="1:67">
      <c r="A98" s="16" t="s">
        <v>80</v>
      </c>
      <c r="B98" s="17" t="s">
        <v>728</v>
      </c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9"/>
      <c r="AI98" s="19"/>
      <c r="AJ98" s="19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86">
        <f t="shared" si="1"/>
        <v>0</v>
      </c>
    </row>
    <row r="99" customHeight="1" spans="1:67">
      <c r="A99" s="16" t="s">
        <v>171</v>
      </c>
      <c r="B99" s="17" t="s">
        <v>729</v>
      </c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9"/>
      <c r="AI99" s="19"/>
      <c r="AJ99" s="19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86">
        <f t="shared" si="1"/>
        <v>0</v>
      </c>
    </row>
    <row r="100" customHeight="1" spans="1:67">
      <c r="A100" s="16" t="s">
        <v>210</v>
      </c>
      <c r="B100" s="17"/>
      <c r="C100" s="18"/>
      <c r="D100" s="18"/>
      <c r="E100" s="18"/>
      <c r="F100" s="18"/>
      <c r="G100" s="18">
        <v>5000</v>
      </c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9"/>
      <c r="AI100" s="19"/>
      <c r="AJ100" s="19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03">
        <f t="shared" si="1"/>
        <v>5000</v>
      </c>
    </row>
    <row r="101" customHeight="1" spans="1:67">
      <c r="A101" s="16" t="s">
        <v>49</v>
      </c>
      <c r="B101" s="17" t="s">
        <v>730</v>
      </c>
      <c r="C101" s="18"/>
      <c r="D101" s="18"/>
      <c r="E101" s="18"/>
      <c r="F101" s="18">
        <v>24000</v>
      </c>
      <c r="G101" s="18"/>
      <c r="H101" s="18"/>
      <c r="I101" s="18">
        <v>24000</v>
      </c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9"/>
      <c r="AI101" s="19"/>
      <c r="AJ101" s="19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86">
        <f t="shared" si="1"/>
        <v>48000</v>
      </c>
      <c r="BO101" s="3">
        <v>5600</v>
      </c>
    </row>
    <row r="102" customHeight="1" spans="1:67">
      <c r="A102" s="16" t="s">
        <v>112</v>
      </c>
      <c r="B102" s="17" t="s">
        <v>731</v>
      </c>
      <c r="C102" s="19"/>
      <c r="D102" s="18"/>
      <c r="E102" s="18"/>
      <c r="F102" s="18">
        <v>500</v>
      </c>
      <c r="G102" s="18">
        <v>2000</v>
      </c>
      <c r="H102" s="18"/>
      <c r="I102" s="18"/>
      <c r="J102" s="18"/>
      <c r="K102" s="18"/>
      <c r="L102" s="18"/>
      <c r="M102" s="18">
        <v>6000</v>
      </c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9"/>
      <c r="AI102" s="19"/>
      <c r="AJ102" s="19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23"/>
      <c r="BF102" s="23"/>
      <c r="BG102" s="18"/>
      <c r="BH102" s="18"/>
      <c r="BI102" s="18"/>
      <c r="BJ102" s="18"/>
      <c r="BK102" s="19"/>
      <c r="BL102" s="18"/>
      <c r="BM102" s="18"/>
      <c r="BN102" s="103">
        <f t="shared" si="1"/>
        <v>8500</v>
      </c>
    </row>
    <row r="103" customHeight="1" spans="1:67">
      <c r="A103" s="16" t="s">
        <v>184</v>
      </c>
      <c r="B103" s="76" t="s">
        <v>732</v>
      </c>
      <c r="C103" s="19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9"/>
      <c r="AI103" s="19"/>
      <c r="AJ103" s="19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23"/>
      <c r="BF103" s="23"/>
      <c r="BG103" s="18"/>
      <c r="BH103" s="18"/>
      <c r="BI103" s="18"/>
      <c r="BJ103" s="18"/>
      <c r="BK103" s="19"/>
      <c r="BL103" s="18"/>
      <c r="BM103" s="18"/>
      <c r="BN103" s="86">
        <f t="shared" si="1"/>
        <v>0</v>
      </c>
    </row>
    <row r="104" customHeight="1" spans="1:67">
      <c r="A104" s="16" t="s">
        <v>39</v>
      </c>
      <c r="B104" s="76" t="s">
        <v>40</v>
      </c>
      <c r="C104" s="19"/>
      <c r="D104" s="18"/>
      <c r="E104" s="18"/>
      <c r="F104" s="18"/>
      <c r="G104" s="18"/>
      <c r="H104" s="18">
        <v>41400</v>
      </c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9"/>
      <c r="AI104" s="19"/>
      <c r="AJ104" s="19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23"/>
      <c r="BF104" s="23"/>
      <c r="BG104" s="18"/>
      <c r="BH104" s="18"/>
      <c r="BI104" s="18"/>
      <c r="BJ104" s="18"/>
      <c r="BK104" s="19"/>
      <c r="BL104" s="18"/>
      <c r="BM104" s="18"/>
      <c r="BN104" s="103">
        <f t="shared" si="1"/>
        <v>41400</v>
      </c>
    </row>
    <row r="105" customHeight="1" spans="1:67">
      <c r="A105" s="16" t="s">
        <v>41</v>
      </c>
      <c r="B105" s="76" t="s">
        <v>42</v>
      </c>
      <c r="C105" s="19"/>
      <c r="D105" s="18"/>
      <c r="E105" s="18"/>
      <c r="F105" s="18"/>
      <c r="G105" s="18"/>
      <c r="H105" s="18">
        <v>41400</v>
      </c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9"/>
      <c r="AI105" s="19"/>
      <c r="AJ105" s="19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23"/>
      <c r="BF105" s="23"/>
      <c r="BG105" s="18"/>
      <c r="BH105" s="18"/>
      <c r="BI105" s="18"/>
      <c r="BJ105" s="18"/>
      <c r="BK105" s="19"/>
      <c r="BL105" s="18"/>
      <c r="BM105" s="18"/>
      <c r="BN105" s="103">
        <f t="shared" si="1"/>
        <v>41400</v>
      </c>
    </row>
    <row r="106" customHeight="1" spans="1:67">
      <c r="A106" s="16" t="s">
        <v>70</v>
      </c>
      <c r="B106" s="76" t="s">
        <v>733</v>
      </c>
      <c r="C106" s="19"/>
      <c r="D106" s="18">
        <v>3000</v>
      </c>
      <c r="E106" s="18">
        <v>6000</v>
      </c>
      <c r="F106" s="18"/>
      <c r="G106" s="18"/>
      <c r="H106" s="18">
        <v>6000</v>
      </c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9"/>
      <c r="AI106" s="19"/>
      <c r="AJ106" s="19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23"/>
      <c r="BF106" s="23"/>
      <c r="BG106" s="18"/>
      <c r="BH106" s="18"/>
      <c r="BI106" s="18"/>
      <c r="BJ106" s="18"/>
      <c r="BK106" s="19"/>
      <c r="BL106" s="18"/>
      <c r="BM106" s="18"/>
      <c r="BN106" s="103">
        <f t="shared" si="1"/>
        <v>15000</v>
      </c>
    </row>
    <row r="107" customHeight="1" spans="1:67">
      <c r="A107" s="16" t="s">
        <v>56</v>
      </c>
      <c r="B107" s="76" t="s">
        <v>734</v>
      </c>
      <c r="C107" s="19"/>
      <c r="D107" s="18">
        <v>6000</v>
      </c>
      <c r="E107" s="18">
        <v>9000</v>
      </c>
      <c r="F107" s="18"/>
      <c r="G107" s="18"/>
      <c r="H107" s="18">
        <v>12000</v>
      </c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9"/>
      <c r="AI107" s="19"/>
      <c r="AJ107" s="19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23"/>
      <c r="BF107" s="23"/>
      <c r="BG107" s="18"/>
      <c r="BH107" s="18"/>
      <c r="BI107" s="18"/>
      <c r="BJ107" s="18"/>
      <c r="BK107" s="19"/>
      <c r="BL107" s="18"/>
      <c r="BM107" s="18"/>
      <c r="BN107" s="103">
        <f t="shared" si="1"/>
        <v>27000</v>
      </c>
    </row>
    <row r="108" customHeight="1" spans="1:67">
      <c r="A108" s="16" t="s">
        <v>43</v>
      </c>
      <c r="B108" s="76" t="s">
        <v>735</v>
      </c>
      <c r="C108" s="19"/>
      <c r="D108" s="18">
        <v>2826</v>
      </c>
      <c r="E108" s="18">
        <v>3032</v>
      </c>
      <c r="F108" s="18"/>
      <c r="G108" s="18"/>
      <c r="H108" s="18">
        <v>3298</v>
      </c>
      <c r="I108" s="18"/>
      <c r="J108" s="18"/>
      <c r="K108" s="18">
        <v>11757</v>
      </c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9"/>
      <c r="AI108" s="19"/>
      <c r="AJ108" s="19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23"/>
      <c r="BF108" s="23"/>
      <c r="BG108" s="18"/>
      <c r="BH108" s="18"/>
      <c r="BI108" s="18"/>
      <c r="BJ108" s="18"/>
      <c r="BK108" s="19"/>
      <c r="BL108" s="18"/>
      <c r="BM108" s="18"/>
      <c r="BN108" s="86">
        <f t="shared" si="1"/>
        <v>20913</v>
      </c>
      <c r="BO108">
        <v>20908</v>
      </c>
    </row>
    <row r="109" customHeight="1" spans="1:67">
      <c r="A109" s="16" t="s">
        <v>45</v>
      </c>
      <c r="B109" s="100" t="s">
        <v>736</v>
      </c>
      <c r="C109" s="19"/>
      <c r="D109" s="18">
        <v>2880</v>
      </c>
      <c r="E109" s="18">
        <v>6520</v>
      </c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9"/>
      <c r="AI109" s="19"/>
      <c r="AJ109" s="19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23"/>
      <c r="BF109" s="23"/>
      <c r="BG109" s="18"/>
      <c r="BH109" s="18"/>
      <c r="BI109" s="18"/>
      <c r="BJ109" s="18"/>
      <c r="BK109" s="19"/>
      <c r="BL109" s="18"/>
      <c r="BM109" s="18"/>
      <c r="BN109" s="103">
        <f t="shared" si="1"/>
        <v>9400</v>
      </c>
    </row>
    <row r="110" customHeight="1" spans="1:67">
      <c r="A110" s="16" t="s">
        <v>47</v>
      </c>
      <c r="B110" s="102" t="s">
        <v>737</v>
      </c>
      <c r="C110" s="19"/>
      <c r="D110" s="18">
        <v>6000</v>
      </c>
      <c r="E110" s="18">
        <v>1000</v>
      </c>
      <c r="F110" s="18"/>
      <c r="G110" s="18"/>
      <c r="H110" s="18">
        <v>13000</v>
      </c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9"/>
      <c r="AI110" s="19"/>
      <c r="AJ110" s="19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23"/>
      <c r="BF110" s="23"/>
      <c r="BG110" s="18"/>
      <c r="BH110" s="18"/>
      <c r="BI110" s="18"/>
      <c r="BJ110" s="18"/>
      <c r="BK110" s="19"/>
      <c r="BL110" s="18"/>
      <c r="BM110" s="18"/>
      <c r="BN110" s="103">
        <f t="shared" si="1"/>
        <v>20000</v>
      </c>
    </row>
    <row r="111" customHeight="1" spans="1:67">
      <c r="A111" s="16" t="s">
        <v>71</v>
      </c>
      <c r="B111" s="100" t="s">
        <v>738</v>
      </c>
      <c r="C111" s="19"/>
      <c r="D111" s="18">
        <v>14400</v>
      </c>
      <c r="E111" s="18">
        <v>5600</v>
      </c>
      <c r="F111" s="18"/>
      <c r="G111" s="18"/>
      <c r="H111" s="18">
        <v>11200</v>
      </c>
      <c r="I111" s="18"/>
      <c r="J111" s="18"/>
      <c r="K111" s="18">
        <v>3406</v>
      </c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9"/>
      <c r="AI111" s="19"/>
      <c r="AJ111" s="19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23"/>
      <c r="BF111" s="23"/>
      <c r="BG111" s="18"/>
      <c r="BH111" s="18"/>
      <c r="BI111" s="18"/>
      <c r="BJ111" s="18"/>
      <c r="BK111" s="19"/>
      <c r="BL111" s="18"/>
      <c r="BM111" s="18"/>
      <c r="BN111" s="103">
        <f t="shared" si="1"/>
        <v>34606</v>
      </c>
    </row>
    <row r="112" customHeight="1" spans="1:67">
      <c r="A112" s="16" t="s">
        <v>257</v>
      </c>
      <c r="B112" s="76" t="s">
        <v>739</v>
      </c>
      <c r="C112" s="19"/>
      <c r="D112" s="18">
        <v>5760</v>
      </c>
      <c r="E112" s="18">
        <v>7200</v>
      </c>
      <c r="F112" s="18"/>
      <c r="G112" s="18"/>
      <c r="H112" s="18">
        <v>7200</v>
      </c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9"/>
      <c r="AI112" s="19"/>
      <c r="AJ112" s="19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23"/>
      <c r="BF112" s="23"/>
      <c r="BG112" s="18"/>
      <c r="BH112" s="18"/>
      <c r="BI112" s="18"/>
      <c r="BJ112" s="18"/>
      <c r="BK112" s="19"/>
      <c r="BL112" s="18"/>
      <c r="BM112" s="18"/>
      <c r="BN112" s="103">
        <f t="shared" si="1"/>
        <v>20160</v>
      </c>
    </row>
    <row r="113" customHeight="1" spans="1:66">
      <c r="A113" s="16" t="s">
        <v>253</v>
      </c>
      <c r="B113" s="76" t="s">
        <v>740</v>
      </c>
      <c r="C113" s="19"/>
      <c r="D113" s="18">
        <v>2400</v>
      </c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9"/>
      <c r="AI113" s="19"/>
      <c r="AJ113" s="19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23"/>
      <c r="BF113" s="23"/>
      <c r="BG113" s="18"/>
      <c r="BH113" s="18"/>
      <c r="BI113" s="18"/>
      <c r="BJ113" s="18"/>
      <c r="BK113" s="19"/>
      <c r="BL113" s="18"/>
      <c r="BM113" s="18"/>
      <c r="BN113" s="103">
        <f t="shared" si="1"/>
        <v>2400</v>
      </c>
    </row>
    <row r="114" customHeight="1" spans="1:66">
      <c r="A114" s="16" t="s">
        <v>741</v>
      </c>
      <c r="B114" s="76" t="s">
        <v>742</v>
      </c>
      <c r="C114" s="19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9"/>
      <c r="AI114" s="19"/>
      <c r="AJ114" s="19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23"/>
      <c r="BF114" s="23"/>
      <c r="BG114" s="18"/>
      <c r="BH114" s="18"/>
      <c r="BI114" s="18"/>
      <c r="BJ114" s="18"/>
      <c r="BK114" s="19"/>
      <c r="BL114" s="18"/>
      <c r="BM114" s="18"/>
      <c r="BN114" s="86">
        <f t="shared" si="1"/>
        <v>0</v>
      </c>
    </row>
    <row r="115" customHeight="1" spans="1:66">
      <c r="A115" s="16" t="s">
        <v>743</v>
      </c>
      <c r="B115" s="76"/>
      <c r="C115" s="19"/>
      <c r="D115" s="18"/>
      <c r="E115" s="18"/>
      <c r="F115" s="18"/>
      <c r="G115" s="18"/>
      <c r="H115" s="18"/>
      <c r="I115" s="18"/>
      <c r="J115" s="18"/>
      <c r="K115" s="18"/>
      <c r="L115" s="18">
        <v>-99</v>
      </c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9"/>
      <c r="AI115" s="19"/>
      <c r="AJ115" s="19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23"/>
      <c r="BF115" s="23"/>
      <c r="BG115" s="18"/>
      <c r="BH115" s="18"/>
      <c r="BI115" s="18"/>
      <c r="BJ115" s="18"/>
      <c r="BK115" s="19"/>
      <c r="BL115" s="18"/>
      <c r="BM115" s="18"/>
      <c r="BN115" s="103">
        <f t="shared" si="1"/>
        <v>-99</v>
      </c>
    </row>
    <row r="116" customHeight="1" spans="1:66">
      <c r="A116" s="16" t="s">
        <v>744</v>
      </c>
      <c r="B116" s="76"/>
      <c r="C116" s="19"/>
      <c r="D116" s="18"/>
      <c r="E116" s="18"/>
      <c r="F116" s="18"/>
      <c r="G116" s="18"/>
      <c r="H116" s="18"/>
      <c r="I116" s="18"/>
      <c r="J116" s="18"/>
      <c r="K116" s="18"/>
      <c r="L116" s="18">
        <v>-31</v>
      </c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9"/>
      <c r="AI116" s="19"/>
      <c r="AJ116" s="19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23"/>
      <c r="BF116" s="23"/>
      <c r="BG116" s="18"/>
      <c r="BH116" s="18"/>
      <c r="BI116" s="18"/>
      <c r="BJ116" s="18"/>
      <c r="BK116" s="19"/>
      <c r="BL116" s="18"/>
      <c r="BM116" s="18"/>
      <c r="BN116" s="103">
        <f t="shared" si="1"/>
        <v>-31</v>
      </c>
    </row>
    <row r="117" customHeight="1" spans="1:66">
      <c r="A117" s="16" t="s">
        <v>745</v>
      </c>
      <c r="B117" s="76"/>
      <c r="C117" s="19"/>
      <c r="D117" s="18"/>
      <c r="E117" s="18"/>
      <c r="F117" s="18"/>
      <c r="G117" s="18"/>
      <c r="H117" s="18"/>
      <c r="I117" s="18"/>
      <c r="J117" s="18"/>
      <c r="K117" s="18"/>
      <c r="L117" s="18">
        <v>-220</v>
      </c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9"/>
      <c r="AI117" s="19"/>
      <c r="AJ117" s="19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23"/>
      <c r="BF117" s="23"/>
      <c r="BG117" s="18"/>
      <c r="BH117" s="18"/>
      <c r="BI117" s="18"/>
      <c r="BJ117" s="18"/>
      <c r="BK117" s="19"/>
      <c r="BL117" s="18"/>
      <c r="BM117" s="18"/>
      <c r="BN117" s="103">
        <f t="shared" si="1"/>
        <v>-220</v>
      </c>
    </row>
    <row r="118" customHeight="1" spans="1:66">
      <c r="A118" s="16" t="s">
        <v>746</v>
      </c>
      <c r="B118" s="76"/>
      <c r="C118" s="19"/>
      <c r="D118" s="18"/>
      <c r="E118" s="18"/>
      <c r="F118" s="18"/>
      <c r="G118" s="18"/>
      <c r="H118" s="18"/>
      <c r="I118" s="18"/>
      <c r="J118" s="18"/>
      <c r="K118" s="18"/>
      <c r="L118" s="18">
        <v>-20</v>
      </c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9"/>
      <c r="AI118" s="19"/>
      <c r="AJ118" s="19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23"/>
      <c r="BF118" s="23"/>
      <c r="BG118" s="18"/>
      <c r="BH118" s="18"/>
      <c r="BI118" s="18"/>
      <c r="BJ118" s="18"/>
      <c r="BK118" s="19"/>
      <c r="BL118" s="18"/>
      <c r="BM118" s="18"/>
      <c r="BN118" s="103">
        <f t="shared" si="1"/>
        <v>-20</v>
      </c>
    </row>
    <row r="119" customHeight="1" spans="1:66">
      <c r="A119" s="16" t="s">
        <v>747</v>
      </c>
      <c r="B119" s="76"/>
      <c r="C119" s="19"/>
      <c r="D119" s="18"/>
      <c r="E119" s="18"/>
      <c r="F119" s="18"/>
      <c r="G119" s="18"/>
      <c r="H119" s="18"/>
      <c r="I119" s="18"/>
      <c r="J119" s="18"/>
      <c r="K119" s="18"/>
      <c r="L119" s="18">
        <v>-138</v>
      </c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9"/>
      <c r="AI119" s="19"/>
      <c r="AJ119" s="19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23"/>
      <c r="BF119" s="23"/>
      <c r="BG119" s="18"/>
      <c r="BH119" s="18"/>
      <c r="BI119" s="18"/>
      <c r="BJ119" s="18"/>
      <c r="BK119" s="19"/>
      <c r="BL119" s="18"/>
      <c r="BM119" s="18"/>
      <c r="BN119" s="103">
        <f t="shared" si="1"/>
        <v>-138</v>
      </c>
    </row>
    <row r="120" customHeight="1" spans="1:66">
      <c r="A120" s="16" t="s">
        <v>748</v>
      </c>
      <c r="B120" s="76"/>
      <c r="C120" s="19"/>
      <c r="D120" s="18"/>
      <c r="E120" s="18"/>
      <c r="F120" s="18"/>
      <c r="G120" s="18"/>
      <c r="H120" s="18"/>
      <c r="I120" s="18"/>
      <c r="J120" s="18"/>
      <c r="K120" s="18"/>
      <c r="L120" s="18">
        <v>-22</v>
      </c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9"/>
      <c r="AI120" s="19"/>
      <c r="AJ120" s="19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23"/>
      <c r="BF120" s="23"/>
      <c r="BG120" s="18"/>
      <c r="BH120" s="18"/>
      <c r="BI120" s="18"/>
      <c r="BJ120" s="18"/>
      <c r="BK120" s="19"/>
      <c r="BL120" s="18"/>
      <c r="BM120" s="18"/>
      <c r="BN120" s="103">
        <f t="shared" si="1"/>
        <v>-22</v>
      </c>
    </row>
    <row r="121" customHeight="1" spans="1:66">
      <c r="A121" s="16" t="s">
        <v>749</v>
      </c>
      <c r="B121" s="76"/>
      <c r="C121" s="19"/>
      <c r="D121" s="18"/>
      <c r="E121" s="18"/>
      <c r="F121" s="18"/>
      <c r="G121" s="18"/>
      <c r="H121" s="18"/>
      <c r="I121" s="18"/>
      <c r="J121" s="18"/>
      <c r="K121" s="18"/>
      <c r="L121" s="18">
        <v>-26</v>
      </c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9"/>
      <c r="AI121" s="19"/>
      <c r="AJ121" s="19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23"/>
      <c r="BF121" s="23"/>
      <c r="BG121" s="18"/>
      <c r="BH121" s="18"/>
      <c r="BI121" s="18"/>
      <c r="BJ121" s="18"/>
      <c r="BK121" s="19"/>
      <c r="BL121" s="18"/>
      <c r="BM121" s="18"/>
      <c r="BN121" s="103">
        <f t="shared" si="1"/>
        <v>-26</v>
      </c>
    </row>
    <row r="122" customHeight="1" spans="1:66">
      <c r="A122" s="16" t="s">
        <v>750</v>
      </c>
      <c r="B122" s="76"/>
      <c r="C122" s="19"/>
      <c r="D122" s="18"/>
      <c r="E122" s="18"/>
      <c r="F122" s="18"/>
      <c r="G122" s="18"/>
      <c r="H122" s="18"/>
      <c r="I122" s="18"/>
      <c r="J122" s="18"/>
      <c r="K122" s="18"/>
      <c r="L122" s="18">
        <v>-35</v>
      </c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9"/>
      <c r="AI122" s="19"/>
      <c r="AJ122" s="19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23"/>
      <c r="BF122" s="23"/>
      <c r="BG122" s="18"/>
      <c r="BH122" s="18"/>
      <c r="BI122" s="18"/>
      <c r="BJ122" s="18"/>
      <c r="BK122" s="19"/>
      <c r="BL122" s="18"/>
      <c r="BM122" s="18"/>
      <c r="BN122" s="103">
        <f t="shared" si="1"/>
        <v>-35</v>
      </c>
    </row>
  </sheetData>
  <mergeCells count="1">
    <mergeCell ref="A1:BN1"/>
  </mergeCells>
  <pageMargins left="0.7" right="0.7" top="0.75" bottom="0.75" header="0.3" footer="0.3"/>
  <pageSetup paperSize="9" scale="65" orientation="portrait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114"/>
  <sheetViews>
    <sheetView zoomScale="164" zoomScaleNormal="164" workbookViewId="0">
      <pane xSplit="2" ySplit="2" topLeftCell="BM10" activePane="bottomRight" state="frozen"/>
      <selection/>
      <selection pane="topRight"/>
      <selection pane="bottomLeft"/>
      <selection pane="bottomRight" activeCell="BN39" sqref="BN39"/>
    </sheetView>
  </sheetViews>
  <sheetFormatPr defaultColWidth="9" defaultRowHeight="20" customHeight="1"/>
  <cols>
    <col min="1" max="1" width="14.3333333333333" style="1" customWidth="1"/>
    <col min="2" max="2" width="23.1666666666667" style="1" customWidth="1"/>
    <col min="3" max="8" width="7.5" style="1" customWidth="1"/>
    <col min="9" max="10" width="8.33333333333333" customWidth="1"/>
    <col min="11" max="11" width="8.33333333333333" style="3" customWidth="1"/>
    <col min="12" max="12" width="7.5" style="3" customWidth="1"/>
    <col min="13" max="14" width="7" style="3" customWidth="1"/>
    <col min="15" max="15" width="7" style="3" hidden="1" customWidth="1"/>
    <col min="16" max="16" width="7.83333333333333" style="3" hidden="1" customWidth="1"/>
    <col min="17" max="17" width="7.5" style="3" hidden="1" customWidth="1"/>
    <col min="18" max="18" width="7.16666666666667" style="3" hidden="1" customWidth="1"/>
    <col min="19" max="19" width="7.33333333333333" style="3" hidden="1" customWidth="1"/>
    <col min="20" max="20" width="7.83333333333333" style="3" hidden="1" customWidth="1"/>
    <col min="21" max="21" width="8.16666666666667" style="3" hidden="1" customWidth="1"/>
    <col min="22" max="22" width="7.66666666666667" style="91" hidden="1" customWidth="1"/>
    <col min="23" max="23" width="5.66666666666667" style="3" hidden="1" customWidth="1"/>
    <col min="24" max="24" width="7.66666666666667" style="3" hidden="1" customWidth="1"/>
    <col min="25" max="25" width="5.66666666666667" style="3" hidden="1" customWidth="1"/>
    <col min="26" max="26" width="6.66666666666667" style="3" hidden="1" customWidth="1"/>
    <col min="27" max="28" width="5.66666666666667" style="3" hidden="1" customWidth="1"/>
    <col min="29" max="30" width="7.33333333333333" style="3" hidden="1" customWidth="1"/>
    <col min="31" max="33" width="8.33333333333333" style="3" hidden="1" customWidth="1"/>
    <col min="34" max="36" width="7.66666666666667" style="41" hidden="1" customWidth="1"/>
    <col min="37" max="37" width="7.16666666666667" style="3" hidden="1" customWidth="1"/>
    <col min="38" max="38" width="6.83333333333333" style="3" hidden="1" customWidth="1"/>
    <col min="39" max="39" width="7.33333333333333" style="3" hidden="1" customWidth="1"/>
    <col min="40" max="40" width="7.66666666666667" style="3" hidden="1" customWidth="1"/>
    <col min="41" max="41" width="6.83333333333333" style="3" hidden="1" customWidth="1"/>
    <col min="42" max="42" width="8.5" style="3" hidden="1" customWidth="1"/>
    <col min="43" max="43" width="7.33333333333333" style="3" hidden="1" customWidth="1"/>
    <col min="44" max="44" width="8" style="3" hidden="1" customWidth="1"/>
    <col min="45" max="45" width="7.5" style="3" hidden="1" customWidth="1"/>
    <col min="46" max="50" width="5.66666666666667" style="3" hidden="1" customWidth="1"/>
    <col min="51" max="51" width="7.5" style="3" hidden="1" customWidth="1"/>
    <col min="52" max="52" width="5.66666666666667" style="3" hidden="1" customWidth="1"/>
    <col min="53" max="53" width="6.5" style="3" hidden="1" customWidth="1"/>
    <col min="54" max="58" width="5.66666666666667" style="3" hidden="1" customWidth="1"/>
    <col min="59" max="59" width="7" style="3" customWidth="1"/>
    <col min="60" max="60" width="7.83333333333333" style="3" customWidth="1"/>
    <col min="61" max="61" width="6.33333333333333" style="3" customWidth="1"/>
    <col min="62" max="62" width="7.33333333333333" style="3" customWidth="1"/>
    <col min="63" max="63" width="7.16666666666667" style="3" customWidth="1"/>
    <col min="64" max="64" width="7.33333333333333" style="3" customWidth="1"/>
    <col min="65" max="65" width="7.16666666666667" style="3" customWidth="1"/>
    <col min="66" max="66" width="8" style="3" customWidth="1"/>
    <col min="68" max="68" width="17.1666666666667" customWidth="1"/>
  </cols>
  <sheetData>
    <row r="1" customHeight="1" spans="1:68">
      <c r="A1" s="4" t="s">
        <v>755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</row>
    <row r="2" customHeight="1" spans="1:68">
      <c r="A2" s="47" t="s">
        <v>596</v>
      </c>
      <c r="B2" s="48" t="s">
        <v>597</v>
      </c>
      <c r="C2" s="49">
        <v>45110</v>
      </c>
      <c r="D2" s="49">
        <v>45112</v>
      </c>
      <c r="E2" s="49">
        <v>45114</v>
      </c>
      <c r="F2" s="49">
        <v>45115</v>
      </c>
      <c r="G2" s="49">
        <v>45117</v>
      </c>
      <c r="H2" s="49">
        <v>45119</v>
      </c>
      <c r="I2" s="50">
        <v>45122</v>
      </c>
      <c r="J2" s="50">
        <v>45124</v>
      </c>
      <c r="K2" s="50">
        <v>45126</v>
      </c>
      <c r="L2" s="50">
        <v>45127</v>
      </c>
      <c r="M2" s="50">
        <v>45130</v>
      </c>
      <c r="N2" s="50">
        <v>45133</v>
      </c>
      <c r="O2" s="50"/>
      <c r="P2" s="50"/>
      <c r="Q2" s="50"/>
      <c r="R2" s="89"/>
      <c r="S2" s="89"/>
      <c r="T2" s="89"/>
      <c r="U2" s="89"/>
      <c r="V2" s="89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2"/>
      <c r="AI2" s="52"/>
      <c r="AJ2" s="52"/>
      <c r="AK2" s="51"/>
      <c r="AL2" s="51"/>
      <c r="AM2" s="51"/>
      <c r="AN2" s="51"/>
      <c r="AO2" s="51"/>
      <c r="AP2" s="51"/>
      <c r="AQ2" s="51"/>
      <c r="AR2" s="51"/>
      <c r="AS2" s="51"/>
      <c r="AT2" s="51"/>
      <c r="AU2" s="51"/>
      <c r="AV2" s="51"/>
      <c r="AW2" s="51"/>
      <c r="AX2" s="51"/>
      <c r="AY2" s="51"/>
      <c r="AZ2" s="51"/>
      <c r="BA2" s="51"/>
      <c r="BB2" s="51"/>
      <c r="BC2" s="51"/>
      <c r="BD2" s="51"/>
      <c r="BE2" s="51"/>
      <c r="BF2" s="51"/>
      <c r="BG2" s="101">
        <v>45134</v>
      </c>
      <c r="BH2" s="101">
        <v>45136</v>
      </c>
      <c r="BI2" s="101"/>
      <c r="BJ2" s="101"/>
      <c r="BK2" s="101"/>
      <c r="BL2" s="101"/>
      <c r="BM2" s="101"/>
      <c r="BN2" s="53" t="s">
        <v>598</v>
      </c>
      <c r="BO2" s="25"/>
      <c r="BP2" s="25"/>
    </row>
    <row r="3" s="44" customFormat="1" hidden="1" customHeight="1" spans="1:68">
      <c r="A3" s="54" t="s">
        <v>192</v>
      </c>
      <c r="B3" s="55" t="s">
        <v>600</v>
      </c>
      <c r="C3" s="56"/>
      <c r="D3" s="56"/>
      <c r="E3" s="56"/>
      <c r="F3" s="56"/>
      <c r="G3" s="56"/>
      <c r="H3" s="56"/>
      <c r="I3" s="57"/>
      <c r="J3" s="57"/>
      <c r="K3" s="57"/>
      <c r="L3" s="57"/>
      <c r="M3" s="57"/>
      <c r="N3" s="57"/>
      <c r="O3" s="57"/>
      <c r="P3" s="57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9"/>
      <c r="AI3" s="59"/>
      <c r="AJ3" s="59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58"/>
      <c r="BL3" s="58"/>
      <c r="BM3" s="58"/>
      <c r="BN3" s="86">
        <f>BM3+BL3+BK3+BJ3+BI3+BH3+BG3+BF3+BE3+BD3+BC3+BB3+BA3+AZ3+AY3+AX3+AW3+AV3+AU3+AT3+AS3+AR3+AQ3+AP3+AO3+AN3+AM3+AL3+AK3+AJ3+AI3+AH3+AG3+AF3+AE3+AD3+AC3+AB3+AA3+Z3+Y3+X3+W3+V3+U3+T3+S3+R3+Q3+P3+O3+N3+M3+L3+K3+J3+I3+H3+G3+F3+E3+D3+C3</f>
        <v>0</v>
      </c>
    </row>
    <row r="4" s="44" customFormat="1" hidden="1" customHeight="1" spans="1:68">
      <c r="A4" s="54" t="s">
        <v>134</v>
      </c>
      <c r="B4" s="55" t="s">
        <v>601</v>
      </c>
      <c r="C4" s="56"/>
      <c r="D4" s="56"/>
      <c r="E4" s="56"/>
      <c r="F4" s="56"/>
      <c r="G4" s="56"/>
      <c r="H4" s="56"/>
      <c r="I4" s="57"/>
      <c r="J4" s="57"/>
      <c r="K4" s="57"/>
      <c r="L4" s="57"/>
      <c r="M4" s="57"/>
      <c r="N4" s="57"/>
      <c r="O4" s="57"/>
      <c r="P4" s="57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9"/>
      <c r="AI4" s="59"/>
      <c r="AJ4" s="59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8"/>
      <c r="BK4" s="58"/>
      <c r="BL4" s="58"/>
      <c r="BM4" s="58"/>
      <c r="BN4" s="86">
        <f t="shared" ref="BN4:BN67" si="0">BM4+BL4+BK4+BJ4+BI4+BH4+BG4+BF4+BE4+BD4+BC4+BB4+BA4+AZ4+AY4+AX4+AW4+AV4+AU4+AT4+AS4+AR4+AQ4+AP4+AO4+AN4+AM4+AL4+AK4+AJ4+AI4+AH4+AG4+AF4+AE4+AD4+AC4+AB4+AA4+Z4+Y4+X4+W4+V4+U4+T4+S4+R4+Q4+P4+O4+N4+M4+L4+K4+J4+I4+H4+G4+F4+E4+D4+C4</f>
        <v>0</v>
      </c>
    </row>
    <row r="5" s="44" customFormat="1" hidden="1" customHeight="1" spans="1:68">
      <c r="A5" s="54" t="s">
        <v>602</v>
      </c>
      <c r="B5" s="55" t="s">
        <v>603</v>
      </c>
      <c r="C5" s="56"/>
      <c r="D5" s="56"/>
      <c r="E5" s="56"/>
      <c r="F5" s="56"/>
      <c r="G5" s="56"/>
      <c r="H5" s="56"/>
      <c r="I5" s="57"/>
      <c r="J5" s="57"/>
      <c r="K5" s="57"/>
      <c r="L5" s="57"/>
      <c r="M5" s="57"/>
      <c r="N5" s="57"/>
      <c r="O5" s="57"/>
      <c r="P5" s="57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9"/>
      <c r="AI5" s="59"/>
      <c r="AJ5" s="59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8"/>
      <c r="BF5" s="58"/>
      <c r="BG5" s="58"/>
      <c r="BH5" s="58"/>
      <c r="BI5" s="58"/>
      <c r="BJ5" s="58"/>
      <c r="BK5" s="58"/>
      <c r="BL5" s="58"/>
      <c r="BM5" s="58"/>
      <c r="BN5" s="86">
        <f t="shared" si="0"/>
        <v>0</v>
      </c>
    </row>
    <row r="6" s="44" customFormat="1" hidden="1" customHeight="1" spans="1:68">
      <c r="A6" s="54" t="s">
        <v>604</v>
      </c>
      <c r="B6" s="55" t="s">
        <v>605</v>
      </c>
      <c r="C6" s="56"/>
      <c r="D6" s="56"/>
      <c r="E6" s="56"/>
      <c r="F6" s="56"/>
      <c r="G6" s="56"/>
      <c r="H6" s="56"/>
      <c r="I6" s="57"/>
      <c r="J6" s="57"/>
      <c r="K6" s="57"/>
      <c r="L6" s="57"/>
      <c r="M6" s="57"/>
      <c r="N6" s="57"/>
      <c r="O6" s="57"/>
      <c r="P6" s="57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9"/>
      <c r="AI6" s="59"/>
      <c r="AJ6" s="59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58"/>
      <c r="BL6" s="58"/>
      <c r="BM6" s="58"/>
      <c r="BN6" s="86">
        <f t="shared" si="0"/>
        <v>0</v>
      </c>
    </row>
    <row r="7" s="44" customFormat="1" hidden="1" customHeight="1" spans="1:68">
      <c r="A7" s="54" t="s">
        <v>67</v>
      </c>
      <c r="B7" s="55" t="s">
        <v>606</v>
      </c>
      <c r="C7" s="56"/>
      <c r="D7" s="56"/>
      <c r="E7" s="56"/>
      <c r="F7" s="56"/>
      <c r="G7" s="56"/>
      <c r="H7" s="56"/>
      <c r="I7" s="57"/>
      <c r="J7" s="57"/>
      <c r="K7" s="57"/>
      <c r="L7" s="57"/>
      <c r="M7" s="57"/>
      <c r="N7" s="57"/>
      <c r="O7" s="57"/>
      <c r="P7" s="57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9"/>
      <c r="AI7" s="59"/>
      <c r="AJ7" s="59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58"/>
      <c r="BJ7" s="58"/>
      <c r="BK7" s="58"/>
      <c r="BL7" s="58"/>
      <c r="BM7" s="58"/>
      <c r="BN7" s="86">
        <f t="shared" si="0"/>
        <v>0</v>
      </c>
    </row>
    <row r="8" s="44" customFormat="1" hidden="1" customHeight="1" spans="1:68">
      <c r="A8" s="54" t="s">
        <v>53</v>
      </c>
      <c r="B8" s="55" t="s">
        <v>512</v>
      </c>
      <c r="C8" s="56"/>
      <c r="D8" s="56"/>
      <c r="E8" s="56"/>
      <c r="F8" s="56"/>
      <c r="G8" s="56"/>
      <c r="H8" s="56"/>
      <c r="I8" s="57"/>
      <c r="J8" s="57"/>
      <c r="K8" s="57"/>
      <c r="L8" s="57"/>
      <c r="M8" s="57"/>
      <c r="N8" s="57"/>
      <c r="O8" s="57"/>
      <c r="P8" s="57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9"/>
      <c r="AI8" s="59"/>
      <c r="AJ8" s="59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58"/>
      <c r="BF8" s="58"/>
      <c r="BG8" s="58"/>
      <c r="BH8" s="58"/>
      <c r="BI8" s="58"/>
      <c r="BJ8" s="58"/>
      <c r="BK8" s="58"/>
      <c r="BL8" s="58"/>
      <c r="BM8" s="58"/>
      <c r="BN8" s="86">
        <f t="shared" si="0"/>
        <v>0</v>
      </c>
    </row>
    <row r="9" s="44" customFormat="1" hidden="1" customHeight="1" spans="1:68">
      <c r="A9" s="54" t="s">
        <v>16</v>
      </c>
      <c r="B9" s="55" t="s">
        <v>608</v>
      </c>
      <c r="C9" s="56"/>
      <c r="D9" s="56"/>
      <c r="E9" s="56"/>
      <c r="F9" s="56"/>
      <c r="G9" s="56"/>
      <c r="H9" s="56"/>
      <c r="I9" s="57"/>
      <c r="J9" s="57"/>
      <c r="K9" s="57"/>
      <c r="L9" s="57"/>
      <c r="M9" s="57"/>
      <c r="N9" s="57"/>
      <c r="O9" s="57"/>
      <c r="P9" s="57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9"/>
      <c r="AI9" s="59"/>
      <c r="AJ9" s="59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58"/>
      <c r="BI9" s="58"/>
      <c r="BJ9" s="58"/>
      <c r="BK9" s="58"/>
      <c r="BL9" s="58"/>
      <c r="BM9" s="58"/>
      <c r="BN9" s="86">
        <f t="shared" si="0"/>
        <v>0</v>
      </c>
    </row>
    <row r="10" s="44" customFormat="1" customHeight="1" spans="1:68">
      <c r="A10" s="54" t="s">
        <v>59</v>
      </c>
      <c r="B10" s="55" t="s">
        <v>609</v>
      </c>
      <c r="C10" s="56"/>
      <c r="D10" s="56"/>
      <c r="E10" s="56"/>
      <c r="F10" s="56"/>
      <c r="G10" s="56"/>
      <c r="H10" s="56"/>
      <c r="I10" s="57" t="s">
        <v>760</v>
      </c>
      <c r="J10" s="57"/>
      <c r="K10" s="57"/>
      <c r="L10" s="57"/>
      <c r="M10" s="57"/>
      <c r="N10" s="57"/>
      <c r="O10" s="57"/>
      <c r="P10" s="57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9"/>
      <c r="AI10" s="59"/>
      <c r="AJ10" s="59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113">
        <f t="shared" si="0"/>
        <v>3200</v>
      </c>
    </row>
    <row r="11" s="44" customFormat="1" hidden="1" customHeight="1" spans="1:68">
      <c r="A11" s="54" t="s">
        <v>612</v>
      </c>
      <c r="B11" s="55" t="s">
        <v>613</v>
      </c>
      <c r="C11" s="56"/>
      <c r="D11" s="56"/>
      <c r="E11" s="56"/>
      <c r="F11" s="56"/>
      <c r="G11" s="56"/>
      <c r="H11" s="56"/>
      <c r="I11" s="57"/>
      <c r="J11" s="57"/>
      <c r="K11" s="57"/>
      <c r="L11" s="57"/>
      <c r="M11" s="57"/>
      <c r="N11" s="57"/>
      <c r="O11" s="57"/>
      <c r="P11" s="57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9"/>
      <c r="AI11" s="59"/>
      <c r="AJ11" s="59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86">
        <f t="shared" si="0"/>
        <v>0</v>
      </c>
    </row>
    <row r="12" s="44" customFormat="1" hidden="1" customHeight="1" spans="1:68">
      <c r="A12" s="54" t="s">
        <v>68</v>
      </c>
      <c r="B12" s="55" t="s">
        <v>614</v>
      </c>
      <c r="C12" s="56"/>
      <c r="D12" s="56"/>
      <c r="E12" s="56"/>
      <c r="F12" s="56"/>
      <c r="G12" s="56"/>
      <c r="H12" s="56"/>
      <c r="I12" s="57"/>
      <c r="J12" s="57"/>
      <c r="K12" s="57"/>
      <c r="L12" s="57"/>
      <c r="M12" s="57"/>
      <c r="N12" s="57"/>
      <c r="O12" s="57"/>
      <c r="P12" s="57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9"/>
      <c r="AI12" s="59"/>
      <c r="AJ12" s="59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86">
        <f t="shared" si="0"/>
        <v>0</v>
      </c>
    </row>
    <row r="13" s="44" customFormat="1" hidden="1" customHeight="1" spans="1:68">
      <c r="A13" s="54" t="s">
        <v>616</v>
      </c>
      <c r="B13" s="55" t="s">
        <v>617</v>
      </c>
      <c r="C13" s="56"/>
      <c r="D13" s="56"/>
      <c r="E13" s="56"/>
      <c r="F13" s="56"/>
      <c r="G13" s="56"/>
      <c r="H13" s="56"/>
      <c r="I13" s="57"/>
      <c r="J13" s="57"/>
      <c r="K13" s="57"/>
      <c r="L13" s="57"/>
      <c r="M13" s="57"/>
      <c r="N13" s="57"/>
      <c r="O13" s="57"/>
      <c r="P13" s="57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9"/>
      <c r="AI13" s="59"/>
      <c r="AJ13" s="59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86">
        <f t="shared" si="0"/>
        <v>0</v>
      </c>
    </row>
    <row r="14" s="45" customFormat="1" hidden="1" customHeight="1" spans="1:68">
      <c r="A14" s="54" t="s">
        <v>190</v>
      </c>
      <c r="B14" s="55" t="s">
        <v>759</v>
      </c>
      <c r="C14" s="56"/>
      <c r="D14" s="56"/>
      <c r="E14" s="56"/>
      <c r="F14" s="56"/>
      <c r="G14" s="56"/>
      <c r="H14" s="56"/>
      <c r="I14" s="57"/>
      <c r="J14" s="57"/>
      <c r="K14" s="57"/>
      <c r="L14" s="57"/>
      <c r="M14" s="57"/>
      <c r="N14" s="57"/>
      <c r="O14" s="57"/>
      <c r="P14" s="57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9"/>
      <c r="AI14" s="59"/>
      <c r="AJ14" s="59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86">
        <f t="shared" si="0"/>
        <v>0</v>
      </c>
    </row>
    <row r="15" s="46" customFormat="1" hidden="1" customHeight="1" spans="1:68">
      <c r="A15" s="61" t="s">
        <v>224</v>
      </c>
      <c r="B15" s="62" t="s">
        <v>620</v>
      </c>
      <c r="C15" s="62"/>
      <c r="D15" s="62"/>
      <c r="E15" s="62"/>
      <c r="F15" s="62"/>
      <c r="G15" s="62"/>
      <c r="H15" s="62"/>
      <c r="I15" s="63"/>
      <c r="J15" s="63"/>
      <c r="K15" s="63"/>
      <c r="L15" s="63"/>
      <c r="M15" s="63"/>
      <c r="N15" s="63"/>
      <c r="O15" s="63"/>
      <c r="P15" s="63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5"/>
      <c r="AI15" s="65"/>
      <c r="AJ15" s="65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4"/>
      <c r="BF15" s="64"/>
      <c r="BG15" s="64"/>
      <c r="BH15" s="64"/>
      <c r="BI15" s="64"/>
      <c r="BJ15" s="64"/>
      <c r="BK15" s="64"/>
      <c r="BL15" s="64"/>
      <c r="BM15" s="64"/>
      <c r="BN15" s="86">
        <f t="shared" si="0"/>
        <v>0</v>
      </c>
    </row>
    <row r="16" s="46" customFormat="1" hidden="1" customHeight="1" spans="1:68">
      <c r="A16" s="61" t="s">
        <v>204</v>
      </c>
      <c r="B16" s="77" t="s">
        <v>621</v>
      </c>
      <c r="C16" s="77"/>
      <c r="D16" s="77"/>
      <c r="E16" s="77"/>
      <c r="F16" s="77"/>
      <c r="G16" s="77"/>
      <c r="H16" s="77"/>
      <c r="I16" s="78"/>
      <c r="J16" s="78"/>
      <c r="K16" s="78"/>
      <c r="L16" s="78"/>
      <c r="M16" s="78"/>
      <c r="N16" s="78"/>
      <c r="O16" s="78"/>
      <c r="P16" s="78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80"/>
      <c r="AI16" s="80"/>
      <c r="AJ16" s="80"/>
      <c r="AK16" s="79"/>
      <c r="AL16" s="79"/>
      <c r="AM16" s="79"/>
      <c r="AN16" s="79"/>
      <c r="AO16" s="79"/>
      <c r="AP16" s="79"/>
      <c r="AQ16" s="79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79"/>
      <c r="BF16" s="79"/>
      <c r="BG16" s="79"/>
      <c r="BH16" s="79"/>
      <c r="BI16" s="79"/>
      <c r="BJ16" s="79"/>
      <c r="BK16" s="79"/>
      <c r="BL16" s="79"/>
      <c r="BM16" s="79"/>
      <c r="BN16" s="86">
        <f t="shared" si="0"/>
        <v>0</v>
      </c>
    </row>
    <row r="17" s="46" customFormat="1" hidden="1" customHeight="1" spans="1:66">
      <c r="A17" s="61" t="s">
        <v>623</v>
      </c>
      <c r="B17" s="77" t="s">
        <v>624</v>
      </c>
      <c r="C17" s="77"/>
      <c r="D17" s="77"/>
      <c r="E17" s="77"/>
      <c r="F17" s="77"/>
      <c r="G17" s="77"/>
      <c r="H17" s="77"/>
      <c r="I17" s="78"/>
      <c r="J17" s="78"/>
      <c r="K17" s="78"/>
      <c r="L17" s="78"/>
      <c r="M17" s="78"/>
      <c r="N17" s="78"/>
      <c r="O17" s="78"/>
      <c r="P17" s="78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80"/>
      <c r="AI17" s="80"/>
      <c r="AJ17" s="80"/>
      <c r="AK17" s="79"/>
      <c r="AL17" s="79"/>
      <c r="AM17" s="79"/>
      <c r="AN17" s="79"/>
      <c r="AO17" s="79"/>
      <c r="AP17" s="79"/>
      <c r="AQ17" s="79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79"/>
      <c r="BF17" s="79"/>
      <c r="BG17" s="79"/>
      <c r="BH17" s="79"/>
      <c r="BI17" s="79"/>
      <c r="BJ17" s="79"/>
      <c r="BK17" s="79"/>
      <c r="BL17" s="79"/>
      <c r="BM17" s="79"/>
      <c r="BN17" s="86">
        <f t="shared" si="0"/>
        <v>0</v>
      </c>
    </row>
    <row r="18" s="46" customFormat="1" customHeight="1" spans="1:66">
      <c r="A18" s="61" t="s">
        <v>161</v>
      </c>
      <c r="B18" s="77" t="s">
        <v>625</v>
      </c>
      <c r="C18" s="77" t="s">
        <v>607</v>
      </c>
      <c r="D18" s="77" t="s">
        <v>761</v>
      </c>
      <c r="E18" s="77"/>
      <c r="F18" s="77"/>
      <c r="G18" s="77"/>
      <c r="H18" s="77"/>
      <c r="I18" s="78"/>
      <c r="J18" s="78"/>
      <c r="K18" s="78" t="s">
        <v>762</v>
      </c>
      <c r="L18" s="78"/>
      <c r="M18" s="78" t="s">
        <v>607</v>
      </c>
      <c r="N18" s="78"/>
      <c r="O18" s="78"/>
      <c r="P18" s="78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80"/>
      <c r="AI18" s="80"/>
      <c r="AJ18" s="80"/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79"/>
      <c r="BF18" s="79"/>
      <c r="BG18" s="79"/>
      <c r="BH18" s="79"/>
      <c r="BI18" s="79"/>
      <c r="BJ18" s="79"/>
      <c r="BK18" s="79"/>
      <c r="BL18" s="79"/>
      <c r="BM18" s="79"/>
      <c r="BN18" s="113">
        <f t="shared" si="0"/>
        <v>2400</v>
      </c>
    </row>
    <row r="19" s="3" customFormat="1" customHeight="1" spans="1:66">
      <c r="A19" s="66" t="s">
        <v>626</v>
      </c>
      <c r="B19" s="14" t="s">
        <v>627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5"/>
      <c r="AI19" s="15"/>
      <c r="AJ19" s="15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86">
        <f t="shared" si="0"/>
        <v>0</v>
      </c>
    </row>
    <row r="20" s="3" customFormat="1" customHeight="1" spans="1:66">
      <c r="A20" s="42" t="s">
        <v>114</v>
      </c>
      <c r="B20" s="18"/>
      <c r="C20" s="18"/>
      <c r="D20" s="18">
        <v>4000</v>
      </c>
      <c r="E20" s="18"/>
      <c r="F20" s="18"/>
      <c r="G20" s="18"/>
      <c r="H20" s="18"/>
      <c r="I20" s="18"/>
      <c r="J20" s="18"/>
      <c r="K20" s="18"/>
      <c r="L20" s="18"/>
      <c r="M20" s="18">
        <v>4000</v>
      </c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9"/>
      <c r="AI20" s="19"/>
      <c r="AJ20" s="19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13">
        <f t="shared" si="0"/>
        <v>8000</v>
      </c>
    </row>
    <row r="21" s="3" customFormat="1" customHeight="1" spans="1:66">
      <c r="A21" s="42" t="s">
        <v>106</v>
      </c>
      <c r="B21" s="18" t="s">
        <v>107</v>
      </c>
      <c r="C21" s="18">
        <v>1000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9"/>
      <c r="AI21" s="19"/>
      <c r="AJ21" s="19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13">
        <f t="shared" si="0"/>
        <v>1000</v>
      </c>
    </row>
    <row r="22" s="3" customFormat="1" hidden="1" customHeight="1" spans="1:66">
      <c r="A22" s="42" t="s">
        <v>629</v>
      </c>
      <c r="B22" s="18" t="s">
        <v>630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9"/>
      <c r="AI22" s="19"/>
      <c r="AJ22" s="19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20"/>
      <c r="BK22" s="18"/>
      <c r="BL22" s="18"/>
      <c r="BM22" s="18"/>
      <c r="BN22" s="86">
        <f t="shared" si="0"/>
        <v>0</v>
      </c>
    </row>
    <row r="23" s="3" customFormat="1" hidden="1" customHeight="1" spans="1:66">
      <c r="A23" s="42" t="s">
        <v>18</v>
      </c>
      <c r="B23" s="18" t="s">
        <v>631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9"/>
      <c r="AI23" s="19"/>
      <c r="AJ23" s="19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20"/>
      <c r="BK23" s="18"/>
      <c r="BL23" s="18"/>
      <c r="BM23" s="18"/>
      <c r="BN23" s="86">
        <f t="shared" si="0"/>
        <v>0</v>
      </c>
    </row>
    <row r="24" customHeight="1" spans="1:66">
      <c r="A24" s="16" t="s">
        <v>33</v>
      </c>
      <c r="B24" s="17" t="s">
        <v>632</v>
      </c>
      <c r="C24" s="18"/>
      <c r="D24" s="18"/>
      <c r="E24" s="18"/>
      <c r="F24" s="18"/>
      <c r="G24" s="18"/>
      <c r="H24" s="18"/>
      <c r="I24" s="18">
        <v>1000</v>
      </c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9"/>
      <c r="AI24" s="19"/>
      <c r="AJ24" s="19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20"/>
      <c r="BK24" s="18"/>
      <c r="BL24" s="18"/>
      <c r="BM24" s="18"/>
      <c r="BN24" s="113">
        <f t="shared" si="0"/>
        <v>1000</v>
      </c>
    </row>
    <row r="25" hidden="1" customHeight="1" spans="1:66">
      <c r="A25" s="16" t="s">
        <v>69</v>
      </c>
      <c r="B25" s="17" t="s">
        <v>633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9"/>
      <c r="AI25" s="19"/>
      <c r="AJ25" s="19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20"/>
      <c r="BK25" s="18"/>
      <c r="BL25" s="18"/>
      <c r="BM25" s="18"/>
      <c r="BN25" s="86">
        <f t="shared" si="0"/>
        <v>0</v>
      </c>
    </row>
    <row r="26" hidden="1" customHeight="1" spans="1:66">
      <c r="A26" s="16" t="s">
        <v>634</v>
      </c>
      <c r="B26" s="17" t="s">
        <v>635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9"/>
      <c r="AI26" s="19"/>
      <c r="AJ26" s="19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20"/>
      <c r="BK26" s="18"/>
      <c r="BL26" s="18"/>
      <c r="BM26" s="18"/>
      <c r="BN26" s="86">
        <f t="shared" si="0"/>
        <v>0</v>
      </c>
    </row>
    <row r="27" customHeight="1" spans="1:66">
      <c r="A27" s="16" t="s">
        <v>155</v>
      </c>
      <c r="B27" s="17" t="s">
        <v>636</v>
      </c>
      <c r="C27" s="18"/>
      <c r="D27" s="18"/>
      <c r="E27" s="18"/>
      <c r="F27" s="18"/>
      <c r="G27" s="18"/>
      <c r="H27" s="18"/>
      <c r="I27" s="18"/>
      <c r="J27" s="18"/>
      <c r="K27" s="18">
        <v>1000</v>
      </c>
      <c r="L27" s="18"/>
      <c r="M27" s="18"/>
      <c r="N27" s="18">
        <v>-150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9"/>
      <c r="AI27" s="19"/>
      <c r="AJ27" s="19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20"/>
      <c r="BK27" s="18"/>
      <c r="BL27" s="18"/>
      <c r="BM27" s="18"/>
      <c r="BN27" s="113">
        <f t="shared" si="0"/>
        <v>850</v>
      </c>
    </row>
    <row r="28" customHeight="1" spans="1:66">
      <c r="A28" s="16" t="s">
        <v>193</v>
      </c>
      <c r="B28" s="17" t="s">
        <v>637</v>
      </c>
      <c r="C28" s="18"/>
      <c r="D28" s="18"/>
      <c r="E28" s="18"/>
      <c r="F28" s="18"/>
      <c r="G28" s="18"/>
      <c r="H28" s="18"/>
      <c r="I28" s="18"/>
      <c r="J28" s="18"/>
      <c r="K28" s="18">
        <v>125</v>
      </c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9"/>
      <c r="AI28" s="19"/>
      <c r="AJ28" s="19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>
        <v>375</v>
      </c>
      <c r="BI28" s="18"/>
      <c r="BJ28" s="20"/>
      <c r="BK28" s="18"/>
      <c r="BL28" s="18"/>
      <c r="BM28" s="18"/>
      <c r="BN28" s="113">
        <f t="shared" si="0"/>
        <v>500</v>
      </c>
    </row>
    <row r="29" hidden="1" customHeight="1" spans="1:66">
      <c r="A29" s="16" t="s">
        <v>35</v>
      </c>
      <c r="B29" s="17" t="s">
        <v>638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9"/>
      <c r="AI29" s="19"/>
      <c r="AJ29" s="19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12"/>
      <c r="BK29" s="18"/>
      <c r="BL29" s="18"/>
      <c r="BM29" s="18"/>
      <c r="BN29" s="86">
        <f t="shared" si="0"/>
        <v>0</v>
      </c>
    </row>
    <row r="30" hidden="1" customHeight="1" spans="1:66">
      <c r="A30" s="16" t="s">
        <v>234</v>
      </c>
      <c r="B30" s="17" t="s">
        <v>639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9"/>
      <c r="AI30" s="19"/>
      <c r="AJ30" s="19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20"/>
      <c r="BK30" s="18"/>
      <c r="BL30" s="18"/>
      <c r="BM30" s="18"/>
      <c r="BN30" s="86">
        <f t="shared" si="0"/>
        <v>0</v>
      </c>
    </row>
    <row r="31" hidden="1" customHeight="1" spans="1:66">
      <c r="A31" s="16" t="s">
        <v>175</v>
      </c>
      <c r="B31" s="17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9"/>
      <c r="AI31" s="19"/>
      <c r="AJ31" s="19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20"/>
      <c r="BK31" s="18"/>
      <c r="BL31" s="18"/>
      <c r="BM31" s="18"/>
      <c r="BN31" s="86">
        <f t="shared" si="0"/>
        <v>0</v>
      </c>
    </row>
    <row r="32" customHeight="1" spans="1:66">
      <c r="A32" s="16" t="s">
        <v>165</v>
      </c>
      <c r="B32" s="17" t="s">
        <v>640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>
        <v>1000</v>
      </c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9"/>
      <c r="AI32" s="19"/>
      <c r="AJ32" s="19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20"/>
      <c r="BK32" s="18"/>
      <c r="BL32" s="18"/>
      <c r="BM32" s="18"/>
      <c r="BN32" s="113">
        <f t="shared" si="0"/>
        <v>1000</v>
      </c>
    </row>
    <row r="33" customHeight="1" spans="1:66">
      <c r="A33" s="16" t="s">
        <v>78</v>
      </c>
      <c r="B33" s="17" t="s">
        <v>641</v>
      </c>
      <c r="C33" s="18"/>
      <c r="D33" s="18"/>
      <c r="E33" s="18"/>
      <c r="F33" s="18"/>
      <c r="G33" s="18"/>
      <c r="H33" s="18"/>
      <c r="I33" s="18"/>
      <c r="J33" s="18"/>
      <c r="K33" s="18">
        <v>1000</v>
      </c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9"/>
      <c r="AI33" s="19"/>
      <c r="AJ33" s="19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20"/>
      <c r="BK33" s="18"/>
      <c r="BL33" s="18"/>
      <c r="BM33" s="18"/>
      <c r="BN33" s="113">
        <f t="shared" si="0"/>
        <v>1000</v>
      </c>
    </row>
    <row r="34" hidden="1" customHeight="1" spans="1:66">
      <c r="A34" s="16" t="s">
        <v>74</v>
      </c>
      <c r="B34" s="17" t="s">
        <v>642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9"/>
      <c r="AI34" s="19"/>
      <c r="AJ34" s="19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20"/>
      <c r="BK34" s="18"/>
      <c r="BL34" s="18"/>
      <c r="BM34" s="18"/>
      <c r="BN34" s="86">
        <f t="shared" si="0"/>
        <v>0</v>
      </c>
    </row>
    <row r="35" hidden="1" customHeight="1" spans="1:66">
      <c r="A35" s="16" t="s">
        <v>643</v>
      </c>
      <c r="B35" s="17" t="s">
        <v>644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9"/>
      <c r="AI35" s="19"/>
      <c r="AJ35" s="19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20"/>
      <c r="BK35" s="18"/>
      <c r="BL35" s="18"/>
      <c r="BM35" s="18"/>
      <c r="BN35" s="86">
        <f t="shared" si="0"/>
        <v>0</v>
      </c>
    </row>
    <row r="36" customHeight="1" spans="1:66">
      <c r="A36" s="16" t="s">
        <v>138</v>
      </c>
      <c r="B36" s="17" t="s">
        <v>645</v>
      </c>
      <c r="C36" s="18"/>
      <c r="D36" s="18"/>
      <c r="E36" s="18"/>
      <c r="F36" s="18"/>
      <c r="G36" s="18"/>
      <c r="H36" s="18"/>
      <c r="I36" s="18"/>
      <c r="J36" s="18"/>
      <c r="K36" s="18">
        <v>1000</v>
      </c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9"/>
      <c r="AI36" s="19"/>
      <c r="AJ36" s="19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20"/>
      <c r="BK36" s="18"/>
      <c r="BL36" s="18"/>
      <c r="BM36" s="18"/>
      <c r="BN36" s="113">
        <f t="shared" si="0"/>
        <v>1000</v>
      </c>
    </row>
    <row r="37" customHeight="1" spans="1:66">
      <c r="A37" s="16" t="s">
        <v>141</v>
      </c>
      <c r="B37" s="17" t="s">
        <v>646</v>
      </c>
      <c r="C37" s="18"/>
      <c r="D37" s="18"/>
      <c r="E37" s="18"/>
      <c r="F37" s="18"/>
      <c r="G37" s="18"/>
      <c r="H37" s="18"/>
      <c r="I37" s="18"/>
      <c r="J37" s="18"/>
      <c r="K37" s="18">
        <v>1000</v>
      </c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9"/>
      <c r="AI37" s="19"/>
      <c r="AJ37" s="19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20"/>
      <c r="BK37" s="18"/>
      <c r="BL37" s="18"/>
      <c r="BM37" s="18"/>
      <c r="BN37" s="113">
        <f t="shared" si="0"/>
        <v>1000</v>
      </c>
    </row>
    <row r="38" hidden="1" customHeight="1" spans="1:66">
      <c r="A38" s="16" t="s">
        <v>109</v>
      </c>
      <c r="B38" s="17" t="s">
        <v>110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9"/>
      <c r="AI38" s="19"/>
      <c r="AJ38" s="19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86">
        <f t="shared" si="0"/>
        <v>0</v>
      </c>
    </row>
    <row r="39" customHeight="1" spans="1:66">
      <c r="A39" s="16" t="s">
        <v>103</v>
      </c>
      <c r="B39" s="17" t="s">
        <v>647</v>
      </c>
      <c r="C39" s="18"/>
      <c r="D39" s="18">
        <v>1000</v>
      </c>
      <c r="E39" s="18"/>
      <c r="F39" s="18"/>
      <c r="G39" s="18"/>
      <c r="H39" s="18"/>
      <c r="I39" s="18"/>
      <c r="J39" s="18">
        <v>1000</v>
      </c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9"/>
      <c r="AI39" s="19"/>
      <c r="AJ39" s="19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13">
        <f t="shared" si="0"/>
        <v>2000</v>
      </c>
    </row>
    <row r="40" hidden="1" customHeight="1" spans="1:66">
      <c r="A40" s="16" t="s">
        <v>177</v>
      </c>
      <c r="B40" s="17" t="s">
        <v>648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9"/>
      <c r="AI40" s="19"/>
      <c r="AJ40" s="19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86">
        <f t="shared" si="0"/>
        <v>0</v>
      </c>
    </row>
    <row r="41" hidden="1" customHeight="1" spans="1:66">
      <c r="A41" s="16" t="s">
        <v>37</v>
      </c>
      <c r="B41" s="17" t="s">
        <v>649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9"/>
      <c r="AI41" s="19"/>
      <c r="AJ41" s="19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86">
        <f t="shared" si="0"/>
        <v>0</v>
      </c>
    </row>
    <row r="42" hidden="1" customHeight="1" spans="1:66">
      <c r="A42" s="16" t="s">
        <v>173</v>
      </c>
      <c r="B42" s="17" t="s">
        <v>650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9"/>
      <c r="AI42" s="19"/>
      <c r="AJ42" s="19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86">
        <f t="shared" si="0"/>
        <v>0</v>
      </c>
    </row>
    <row r="43" hidden="1" customHeight="1" spans="1:66">
      <c r="A43" s="16" t="s">
        <v>651</v>
      </c>
      <c r="B43" s="21" t="s">
        <v>652</v>
      </c>
      <c r="C43" s="22"/>
      <c r="D43" s="22"/>
      <c r="E43" s="22"/>
      <c r="F43" s="22"/>
      <c r="G43" s="22"/>
      <c r="H43" s="22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9"/>
      <c r="AI43" s="19"/>
      <c r="AJ43" s="19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86">
        <f t="shared" si="0"/>
        <v>0</v>
      </c>
    </row>
    <row r="44" customHeight="1" spans="1:66">
      <c r="A44" s="16" t="s">
        <v>144</v>
      </c>
      <c r="B44" s="21" t="s">
        <v>653</v>
      </c>
      <c r="C44" s="22">
        <v>500</v>
      </c>
      <c r="D44" s="22"/>
      <c r="E44" s="22"/>
      <c r="F44" s="22"/>
      <c r="G44" s="22"/>
      <c r="H44" s="22"/>
      <c r="I44" s="18"/>
      <c r="J44" s="18"/>
      <c r="K44" s="18">
        <v>300</v>
      </c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9"/>
      <c r="AI44" s="19"/>
      <c r="AJ44" s="19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13">
        <f t="shared" si="0"/>
        <v>800</v>
      </c>
    </row>
    <row r="45" hidden="1" customHeight="1" spans="1:66">
      <c r="A45" s="16" t="s">
        <v>187</v>
      </c>
      <c r="B45" s="17" t="s">
        <v>654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9"/>
      <c r="AI45" s="19"/>
      <c r="AJ45" s="19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86">
        <f t="shared" si="0"/>
        <v>0</v>
      </c>
    </row>
    <row r="46" hidden="1" customHeight="1" spans="1:66">
      <c r="A46" s="16" t="s">
        <v>14</v>
      </c>
      <c r="B46" s="17" t="s">
        <v>655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9"/>
      <c r="AI46" s="19"/>
      <c r="AJ46" s="19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86">
        <f t="shared" si="0"/>
        <v>0</v>
      </c>
    </row>
    <row r="47" customHeight="1" spans="1:66">
      <c r="A47" s="16" t="s">
        <v>51</v>
      </c>
      <c r="B47" s="17" t="s">
        <v>656</v>
      </c>
      <c r="C47" s="18">
        <v>5000</v>
      </c>
      <c r="D47" s="18"/>
      <c r="E47" s="18"/>
      <c r="F47" s="18"/>
      <c r="G47" s="18"/>
      <c r="H47" s="18"/>
      <c r="I47" s="18"/>
      <c r="J47" s="18">
        <v>7000</v>
      </c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9"/>
      <c r="AI47" s="19"/>
      <c r="AJ47" s="19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13">
        <f t="shared" si="0"/>
        <v>12000</v>
      </c>
    </row>
    <row r="48" hidden="1" customHeight="1" spans="1:66">
      <c r="A48" s="16" t="s">
        <v>76</v>
      </c>
      <c r="B48" s="17" t="s">
        <v>657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9"/>
      <c r="AI48" s="19"/>
      <c r="AJ48" s="19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86">
        <f t="shared" si="0"/>
        <v>0</v>
      </c>
    </row>
    <row r="49" hidden="1" customHeight="1" spans="1:66">
      <c r="A49" s="16" t="s">
        <v>218</v>
      </c>
      <c r="B49" s="17" t="s">
        <v>658</v>
      </c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9"/>
      <c r="AI49" s="19"/>
      <c r="AJ49" s="19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86">
        <f t="shared" si="0"/>
        <v>0</v>
      </c>
    </row>
    <row r="50" customHeight="1" spans="1:66">
      <c r="A50" s="16" t="s">
        <v>135</v>
      </c>
      <c r="B50" s="17" t="s">
        <v>659</v>
      </c>
      <c r="C50" s="18"/>
      <c r="D50" s="18"/>
      <c r="E50" s="18"/>
      <c r="F50" s="18"/>
      <c r="G50" s="18"/>
      <c r="H50" s="18"/>
      <c r="I50" s="18">
        <v>1000</v>
      </c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9"/>
      <c r="AI50" s="19"/>
      <c r="AJ50" s="19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13">
        <f t="shared" si="0"/>
        <v>1000</v>
      </c>
    </row>
    <row r="51" customHeight="1" spans="1:66">
      <c r="A51" s="16" t="s">
        <v>22</v>
      </c>
      <c r="B51" s="17" t="s">
        <v>652</v>
      </c>
      <c r="C51" s="18">
        <v>1000</v>
      </c>
      <c r="D51" s="18"/>
      <c r="E51" s="18"/>
      <c r="F51" s="18"/>
      <c r="G51" s="18">
        <v>4000</v>
      </c>
      <c r="H51" s="18"/>
      <c r="I51" s="18"/>
      <c r="J51" s="18"/>
      <c r="K51" s="18"/>
      <c r="L51" s="18"/>
      <c r="M51" s="18">
        <v>2000</v>
      </c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9"/>
      <c r="AI51" s="19"/>
      <c r="AJ51" s="19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13">
        <f t="shared" si="0"/>
        <v>7000</v>
      </c>
    </row>
    <row r="52" hidden="1" customHeight="1" spans="1:66">
      <c r="A52" s="16" t="s">
        <v>660</v>
      </c>
      <c r="B52" s="17" t="s">
        <v>655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9"/>
      <c r="AI52" s="19"/>
      <c r="AJ52" s="19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86">
        <f t="shared" si="0"/>
        <v>0</v>
      </c>
    </row>
    <row r="53" hidden="1" customHeight="1" spans="1:66">
      <c r="A53" s="16" t="s">
        <v>661</v>
      </c>
      <c r="B53" s="17" t="s">
        <v>653</v>
      </c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9"/>
      <c r="AI53" s="19"/>
      <c r="AJ53" s="19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86">
        <f t="shared" si="0"/>
        <v>0</v>
      </c>
    </row>
    <row r="54" hidden="1" customHeight="1" spans="1:66">
      <c r="A54" s="16" t="s">
        <v>662</v>
      </c>
      <c r="B54" s="17" t="s">
        <v>663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9"/>
      <c r="AI54" s="19"/>
      <c r="AJ54" s="19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86">
        <f t="shared" si="0"/>
        <v>0</v>
      </c>
    </row>
    <row r="55" customHeight="1" spans="1:66">
      <c r="A55" s="16" t="s">
        <v>212</v>
      </c>
      <c r="B55" s="17" t="s">
        <v>664</v>
      </c>
      <c r="C55" s="18"/>
      <c r="D55" s="18"/>
      <c r="E55" s="18"/>
      <c r="F55" s="18"/>
      <c r="G55" s="18"/>
      <c r="H55" s="18"/>
      <c r="I55" s="18"/>
      <c r="J55" s="18"/>
      <c r="K55" s="18">
        <v>300</v>
      </c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9"/>
      <c r="AI55" s="19"/>
      <c r="AJ55" s="19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13">
        <f t="shared" si="0"/>
        <v>300</v>
      </c>
    </row>
    <row r="56" hidden="1" customHeight="1" spans="1:66">
      <c r="A56" s="16" t="s">
        <v>666</v>
      </c>
      <c r="B56" s="17" t="s">
        <v>667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9"/>
      <c r="AI56" s="19"/>
      <c r="AJ56" s="19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86">
        <f t="shared" si="0"/>
        <v>0</v>
      </c>
    </row>
    <row r="57" hidden="1" customHeight="1" spans="1:66">
      <c r="A57" s="16" t="s">
        <v>668</v>
      </c>
      <c r="B57" s="17" t="s">
        <v>669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9"/>
      <c r="AI57" s="19"/>
      <c r="AJ57" s="19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86">
        <f t="shared" si="0"/>
        <v>0</v>
      </c>
    </row>
    <row r="58" hidden="1" customHeight="1" spans="1:66">
      <c r="A58" s="16" t="s">
        <v>670</v>
      </c>
      <c r="B58" s="17" t="s">
        <v>671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9"/>
      <c r="AI58" s="19"/>
      <c r="AJ58" s="19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86">
        <f t="shared" si="0"/>
        <v>0</v>
      </c>
    </row>
    <row r="59" hidden="1" customHeight="1" spans="1:66">
      <c r="A59" s="16" t="s">
        <v>672</v>
      </c>
      <c r="B59" s="17" t="s">
        <v>671</v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9"/>
      <c r="AI59" s="19"/>
      <c r="AJ59" s="19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86">
        <f t="shared" si="0"/>
        <v>0</v>
      </c>
    </row>
    <row r="60" hidden="1" customHeight="1" spans="1:66">
      <c r="A60" s="16" t="s">
        <v>673</v>
      </c>
      <c r="B60" s="17" t="s">
        <v>674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9"/>
      <c r="AI60" s="19"/>
      <c r="AJ60" s="19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86">
        <f t="shared" si="0"/>
        <v>0</v>
      </c>
    </row>
    <row r="61" hidden="1" customHeight="1" spans="1:66">
      <c r="A61" s="16" t="s">
        <v>675</v>
      </c>
      <c r="B61" s="17" t="s">
        <v>676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9"/>
      <c r="AI61" s="19"/>
      <c r="AJ61" s="19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86">
        <f t="shared" si="0"/>
        <v>0</v>
      </c>
    </row>
    <row r="62" hidden="1" customHeight="1" spans="1:66">
      <c r="A62" s="16" t="s">
        <v>677</v>
      </c>
      <c r="B62" s="17" t="s">
        <v>678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9"/>
      <c r="AI62" s="19"/>
      <c r="AJ62" s="19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86">
        <f t="shared" si="0"/>
        <v>0</v>
      </c>
    </row>
    <row r="63" hidden="1" customHeight="1" spans="1:66">
      <c r="A63" s="16" t="s">
        <v>679</v>
      </c>
      <c r="B63" s="17" t="s">
        <v>680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9"/>
      <c r="AI63" s="19"/>
      <c r="AJ63" s="19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86">
        <f t="shared" si="0"/>
        <v>0</v>
      </c>
    </row>
    <row r="64" hidden="1" customHeight="1" spans="1:66">
      <c r="A64" s="16" t="s">
        <v>681</v>
      </c>
      <c r="B64" s="17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9"/>
      <c r="AI64" s="19"/>
      <c r="AJ64" s="19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86">
        <f t="shared" si="0"/>
        <v>0</v>
      </c>
    </row>
    <row r="65" hidden="1" customHeight="1" spans="1:66">
      <c r="A65" s="16" t="s">
        <v>604</v>
      </c>
      <c r="B65" s="17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9"/>
      <c r="AI65" s="19"/>
      <c r="AJ65" s="19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86">
        <f t="shared" si="0"/>
        <v>0</v>
      </c>
    </row>
    <row r="66" hidden="1" customHeight="1" spans="1:66">
      <c r="A66" s="16" t="s">
        <v>682</v>
      </c>
      <c r="B66" s="17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9"/>
      <c r="AI66" s="19"/>
      <c r="AJ66" s="19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86">
        <f t="shared" si="0"/>
        <v>0</v>
      </c>
    </row>
    <row r="67" hidden="1" customHeight="1" spans="1:66">
      <c r="A67" s="16" t="s">
        <v>683</v>
      </c>
      <c r="B67" s="17" t="s">
        <v>684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9"/>
      <c r="AI67" s="19"/>
      <c r="AJ67" s="19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86">
        <f t="shared" si="0"/>
        <v>0</v>
      </c>
    </row>
    <row r="68" hidden="1" customHeight="1" spans="1:66">
      <c r="A68" s="16" t="s">
        <v>685</v>
      </c>
      <c r="B68" s="17" t="s">
        <v>686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9"/>
      <c r="AI68" s="19"/>
      <c r="AJ68" s="19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86">
        <f t="shared" ref="BN68:BN114" si="1">BM68+BL68+BK68+BJ68+BI68+BH68+BG68+BF68+BE68+BD68+BC68+BB68+BA68+AZ68+AY68+AX68+AW68+AV68+AU68+AT68+AS68+AR68+AQ68+AP68+AO68+AN68+AM68+AL68+AK68+AJ68+AI68+AH68+AG68+AF68+AE68+AD68+AC68+AB68+AA68+Z68+Y68+X68+W68+V68+U68+T68+S68+R68+Q68+P68+O68+N68+M68+L68+K68+J68+I68+H68+G68+F68+E68+D68+C68</f>
        <v>0</v>
      </c>
    </row>
    <row r="69" hidden="1" customHeight="1" spans="1:66">
      <c r="A69" s="16" t="s">
        <v>687</v>
      </c>
      <c r="B69" s="17" t="s">
        <v>688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9"/>
      <c r="AI69" s="19"/>
      <c r="AJ69" s="19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86">
        <f t="shared" si="1"/>
        <v>0</v>
      </c>
    </row>
    <row r="70" hidden="1" customHeight="1" spans="1:66">
      <c r="A70" s="16" t="s">
        <v>689</v>
      </c>
      <c r="B70" s="17" t="s">
        <v>690</v>
      </c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9"/>
      <c r="AI70" s="19"/>
      <c r="AJ70" s="19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86">
        <f t="shared" si="1"/>
        <v>0</v>
      </c>
    </row>
    <row r="71" hidden="1" customHeight="1" spans="1:66">
      <c r="A71" s="16" t="s">
        <v>691</v>
      </c>
      <c r="B71" s="17" t="s">
        <v>692</v>
      </c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9"/>
      <c r="AI71" s="19"/>
      <c r="AJ71" s="19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86">
        <f t="shared" si="1"/>
        <v>0</v>
      </c>
    </row>
    <row r="72" hidden="1" customHeight="1" spans="1:66">
      <c r="A72" s="16" t="s">
        <v>693</v>
      </c>
      <c r="B72" s="17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9"/>
      <c r="AI72" s="19"/>
      <c r="AJ72" s="19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86">
        <f t="shared" si="1"/>
        <v>0</v>
      </c>
    </row>
    <row r="73" hidden="1" customHeight="1" spans="1:66">
      <c r="A73" s="16" t="s">
        <v>694</v>
      </c>
      <c r="B73" s="17" t="s">
        <v>695</v>
      </c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9"/>
      <c r="AI73" s="19"/>
      <c r="AJ73" s="19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86">
        <f t="shared" si="1"/>
        <v>0</v>
      </c>
    </row>
    <row r="74" hidden="1" customHeight="1" spans="1:66">
      <c r="A74" s="16" t="s">
        <v>697</v>
      </c>
      <c r="B74" s="17" t="s">
        <v>698</v>
      </c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9"/>
      <c r="AI74" s="19"/>
      <c r="AJ74" s="19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86">
        <f t="shared" si="1"/>
        <v>0</v>
      </c>
    </row>
    <row r="75" hidden="1" customHeight="1" spans="1:66">
      <c r="A75" s="16" t="s">
        <v>699</v>
      </c>
      <c r="B75" s="21" t="s">
        <v>700</v>
      </c>
      <c r="C75" s="22"/>
      <c r="D75" s="22"/>
      <c r="E75" s="22"/>
      <c r="F75" s="22"/>
      <c r="G75" s="22"/>
      <c r="H75" s="22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9"/>
      <c r="AI75" s="19"/>
      <c r="AJ75" s="19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86">
        <f t="shared" si="1"/>
        <v>0</v>
      </c>
    </row>
    <row r="76" hidden="1" customHeight="1" spans="1:66">
      <c r="A76" s="16" t="s">
        <v>701</v>
      </c>
      <c r="B76" s="17" t="s">
        <v>702</v>
      </c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9"/>
      <c r="AI76" s="19"/>
      <c r="AJ76" s="19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86">
        <f t="shared" si="1"/>
        <v>0</v>
      </c>
    </row>
    <row r="77" hidden="1" customHeight="1" spans="1:66">
      <c r="A77" s="16" t="s">
        <v>20</v>
      </c>
      <c r="B77" s="21" t="s">
        <v>703</v>
      </c>
      <c r="C77" s="22"/>
      <c r="D77" s="22"/>
      <c r="E77" s="22"/>
      <c r="F77" s="22"/>
      <c r="G77" s="22"/>
      <c r="H77" s="22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9"/>
      <c r="AI77" s="19"/>
      <c r="AJ77" s="19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86">
        <f t="shared" si="1"/>
        <v>0</v>
      </c>
    </row>
    <row r="78" hidden="1" customHeight="1" spans="1:66">
      <c r="A78" s="16" t="s">
        <v>704</v>
      </c>
      <c r="B78" s="21" t="s">
        <v>705</v>
      </c>
      <c r="C78" s="22"/>
      <c r="D78" s="22"/>
      <c r="E78" s="22"/>
      <c r="F78" s="22"/>
      <c r="G78" s="22"/>
      <c r="H78" s="22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9"/>
      <c r="AI78" s="19"/>
      <c r="AJ78" s="19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86">
        <f t="shared" si="1"/>
        <v>0</v>
      </c>
    </row>
    <row r="79" customHeight="1" spans="1:66">
      <c r="A79" s="16" t="s">
        <v>706</v>
      </c>
      <c r="B79" s="21" t="s">
        <v>707</v>
      </c>
      <c r="C79" s="22"/>
      <c r="D79" s="22"/>
      <c r="E79" s="22"/>
      <c r="F79" s="22"/>
      <c r="G79" s="22"/>
      <c r="H79" s="22"/>
      <c r="I79" s="18"/>
      <c r="J79" s="18">
        <v>120</v>
      </c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9"/>
      <c r="AI79" s="19"/>
      <c r="AJ79" s="19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13">
        <f t="shared" si="1"/>
        <v>120</v>
      </c>
    </row>
    <row r="80" customHeight="1" spans="1:66">
      <c r="A80" s="16" t="s">
        <v>123</v>
      </c>
      <c r="B80" s="21" t="s">
        <v>708</v>
      </c>
      <c r="C80" s="22"/>
      <c r="D80" s="22"/>
      <c r="E80" s="22">
        <v>9000</v>
      </c>
      <c r="F80" s="22"/>
      <c r="G80" s="22"/>
      <c r="H80" s="22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9"/>
      <c r="AI80" s="19"/>
      <c r="AJ80" s="19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13">
        <f t="shared" si="1"/>
        <v>9000</v>
      </c>
    </row>
    <row r="81" customHeight="1" spans="1:67">
      <c r="A81" s="16" t="s">
        <v>117</v>
      </c>
      <c r="B81" s="21" t="s">
        <v>709</v>
      </c>
      <c r="C81" s="22"/>
      <c r="D81" s="22"/>
      <c r="E81" s="22">
        <v>10000</v>
      </c>
      <c r="F81" s="22"/>
      <c r="G81" s="22"/>
      <c r="H81" s="22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9"/>
      <c r="AI81" s="19"/>
      <c r="AJ81" s="19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13">
        <f t="shared" si="1"/>
        <v>10000</v>
      </c>
    </row>
    <row r="82" customHeight="1" spans="1:67">
      <c r="A82" s="16" t="s">
        <v>120</v>
      </c>
      <c r="B82" s="21" t="s">
        <v>710</v>
      </c>
      <c r="C82" s="22">
        <v>6000</v>
      </c>
      <c r="D82" s="22"/>
      <c r="E82" s="22">
        <v>10800</v>
      </c>
      <c r="F82" s="22"/>
      <c r="G82" s="22"/>
      <c r="H82" s="22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9"/>
      <c r="AI82" s="19"/>
      <c r="AJ82" s="19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13">
        <f t="shared" si="1"/>
        <v>16800</v>
      </c>
    </row>
    <row r="83" customHeight="1" spans="1:67">
      <c r="A83" s="16" t="s">
        <v>65</v>
      </c>
      <c r="B83" s="21" t="s">
        <v>713</v>
      </c>
      <c r="C83" s="22"/>
      <c r="D83" s="22"/>
      <c r="E83" s="22"/>
      <c r="F83" s="22"/>
      <c r="G83" s="22"/>
      <c r="H83" s="22"/>
      <c r="I83" s="18"/>
      <c r="J83" s="18">
        <v>10000</v>
      </c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9"/>
      <c r="AI83" s="19"/>
      <c r="AJ83" s="19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13">
        <f t="shared" si="1"/>
        <v>10000</v>
      </c>
    </row>
    <row r="84" customHeight="1" spans="1:67">
      <c r="A84" s="16" t="s">
        <v>159</v>
      </c>
      <c r="B84" s="21" t="s">
        <v>714</v>
      </c>
      <c r="C84" s="22"/>
      <c r="D84" s="22"/>
      <c r="E84" s="22"/>
      <c r="F84" s="22"/>
      <c r="G84" s="22"/>
      <c r="H84" s="22"/>
      <c r="I84" s="18">
        <v>12000</v>
      </c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9"/>
      <c r="AI84" s="19"/>
      <c r="AJ84" s="19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13">
        <f t="shared" si="1"/>
        <v>12000</v>
      </c>
    </row>
    <row r="85" customHeight="1" spans="1:67">
      <c r="A85" s="16" t="s">
        <v>126</v>
      </c>
      <c r="B85" s="21" t="s">
        <v>715</v>
      </c>
      <c r="C85" s="22"/>
      <c r="D85" s="22"/>
      <c r="E85" s="22"/>
      <c r="F85" s="22"/>
      <c r="G85" s="22"/>
      <c r="H85" s="22"/>
      <c r="I85" s="18"/>
      <c r="J85" s="18">
        <v>6000</v>
      </c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9"/>
      <c r="AI85" s="19"/>
      <c r="AJ85" s="19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13">
        <f t="shared" si="1"/>
        <v>6000</v>
      </c>
    </row>
    <row r="86" hidden="1" customHeight="1" spans="1:67">
      <c r="A86" s="16" t="s">
        <v>181</v>
      </c>
      <c r="B86" s="21" t="s">
        <v>716</v>
      </c>
      <c r="C86" s="22"/>
      <c r="D86" s="22"/>
      <c r="E86" s="22"/>
      <c r="F86" s="22"/>
      <c r="G86" s="22"/>
      <c r="H86" s="22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9"/>
      <c r="AI86" s="19"/>
      <c r="AJ86" s="19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86">
        <f t="shared" si="1"/>
        <v>0</v>
      </c>
    </row>
    <row r="87" customHeight="1" spans="1:67">
      <c r="A87" s="16" t="s">
        <v>169</v>
      </c>
      <c r="B87" s="21" t="s">
        <v>717</v>
      </c>
      <c r="C87" s="22"/>
      <c r="D87" s="22"/>
      <c r="E87" s="22"/>
      <c r="F87" s="22"/>
      <c r="G87" s="22"/>
      <c r="H87" s="22"/>
      <c r="I87" s="18">
        <v>5000</v>
      </c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9"/>
      <c r="AI87" s="19"/>
      <c r="AJ87" s="19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13">
        <f t="shared" si="1"/>
        <v>5000</v>
      </c>
    </row>
    <row r="88" hidden="1" customHeight="1" spans="1:67">
      <c r="A88" s="16" t="s">
        <v>222</v>
      </c>
      <c r="B88" s="21" t="s">
        <v>718</v>
      </c>
      <c r="C88" s="22"/>
      <c r="D88" s="22"/>
      <c r="E88" s="22"/>
      <c r="F88" s="22"/>
      <c r="G88" s="22"/>
      <c r="H88" s="22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9"/>
      <c r="AI88" s="19"/>
      <c r="AJ88" s="19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86">
        <f t="shared" si="1"/>
        <v>0</v>
      </c>
    </row>
    <row r="89" hidden="1" customHeight="1" spans="1:67">
      <c r="A89" s="16" t="s">
        <v>719</v>
      </c>
      <c r="B89" s="17" t="s">
        <v>720</v>
      </c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9"/>
      <c r="AI89" s="19"/>
      <c r="AJ89" s="19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86">
        <f t="shared" si="1"/>
        <v>0</v>
      </c>
    </row>
    <row r="90" hidden="1" customHeight="1" spans="1:67">
      <c r="A90" s="16" t="s">
        <v>206</v>
      </c>
      <c r="B90" s="17" t="s">
        <v>721</v>
      </c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9"/>
      <c r="AI90" s="19"/>
      <c r="AJ90" s="19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86">
        <f t="shared" si="1"/>
        <v>0</v>
      </c>
    </row>
    <row r="91" customHeight="1" spans="1:67">
      <c r="A91" s="16" t="s">
        <v>202</v>
      </c>
      <c r="B91" s="17" t="s">
        <v>722</v>
      </c>
      <c r="C91" s="18"/>
      <c r="D91" s="18"/>
      <c r="E91" s="18"/>
      <c r="F91" s="18"/>
      <c r="G91" s="18"/>
      <c r="H91" s="18"/>
      <c r="I91" s="18">
        <v>14000</v>
      </c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9"/>
      <c r="AI91" s="19"/>
      <c r="AJ91" s="19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13">
        <f t="shared" si="1"/>
        <v>14000</v>
      </c>
    </row>
    <row r="92" customHeight="1" spans="1:67">
      <c r="A92" s="16" t="s">
        <v>167</v>
      </c>
      <c r="B92" s="17" t="s">
        <v>723</v>
      </c>
      <c r="C92" s="18"/>
      <c r="D92" s="18"/>
      <c r="E92" s="18"/>
      <c r="F92" s="18"/>
      <c r="G92" s="18"/>
      <c r="H92" s="18"/>
      <c r="I92" s="18">
        <v>6000</v>
      </c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9"/>
      <c r="AI92" s="19"/>
      <c r="AJ92" s="19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13">
        <f t="shared" si="1"/>
        <v>6000</v>
      </c>
    </row>
    <row r="93" hidden="1" customHeight="1" spans="1:67">
      <c r="A93" s="16" t="s">
        <v>208</v>
      </c>
      <c r="B93" s="17" t="s">
        <v>724</v>
      </c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9"/>
      <c r="AI93" s="19"/>
      <c r="AJ93" s="19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86">
        <f t="shared" si="1"/>
        <v>0</v>
      </c>
    </row>
    <row r="94" customHeight="1" spans="1:67">
      <c r="A94" s="16" t="s">
        <v>157</v>
      </c>
      <c r="B94" s="17" t="s">
        <v>725</v>
      </c>
      <c r="C94" s="18"/>
      <c r="D94" s="18"/>
      <c r="E94" s="18"/>
      <c r="F94" s="18"/>
      <c r="G94" s="18"/>
      <c r="H94" s="18"/>
      <c r="I94" s="18">
        <v>15000</v>
      </c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9"/>
      <c r="AI94" s="19"/>
      <c r="AJ94" s="19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13">
        <f t="shared" si="1"/>
        <v>15000</v>
      </c>
      <c r="BO94" s="3"/>
    </row>
    <row r="95" customHeight="1" spans="1:67">
      <c r="A95" s="16" t="s">
        <v>129</v>
      </c>
      <c r="B95" s="17" t="s">
        <v>726</v>
      </c>
      <c r="C95" s="18"/>
      <c r="D95" s="18"/>
      <c r="E95" s="18"/>
      <c r="F95" s="18"/>
      <c r="G95" s="18"/>
      <c r="H95" s="18"/>
      <c r="I95" s="18"/>
      <c r="J95" s="18">
        <v>3000</v>
      </c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9"/>
      <c r="AI95" s="19"/>
      <c r="AJ95" s="19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13">
        <f t="shared" si="1"/>
        <v>3000</v>
      </c>
      <c r="BO95" s="3"/>
    </row>
    <row r="96" customHeight="1" spans="1:67">
      <c r="A96" s="16" t="s">
        <v>132</v>
      </c>
      <c r="B96" s="17" t="s">
        <v>727</v>
      </c>
      <c r="C96" s="18"/>
      <c r="D96" s="18"/>
      <c r="E96" s="18"/>
      <c r="F96" s="18"/>
      <c r="G96" s="18"/>
      <c r="H96" s="18"/>
      <c r="I96" s="18"/>
      <c r="J96" s="18">
        <v>3000</v>
      </c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9"/>
      <c r="AI96" s="19"/>
      <c r="AJ96" s="19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13">
        <f t="shared" si="1"/>
        <v>3000</v>
      </c>
      <c r="BO96" s="3"/>
    </row>
    <row r="97" hidden="1" customHeight="1" spans="1:67">
      <c r="A97" s="16" t="s">
        <v>80</v>
      </c>
      <c r="B97" s="17" t="s">
        <v>728</v>
      </c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9"/>
      <c r="AI97" s="19"/>
      <c r="AJ97" s="19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13">
        <f t="shared" si="1"/>
        <v>0</v>
      </c>
    </row>
    <row r="98" customHeight="1" spans="1:67">
      <c r="A98" s="16" t="s">
        <v>171</v>
      </c>
      <c r="B98" s="17" t="s">
        <v>729</v>
      </c>
      <c r="C98" s="18"/>
      <c r="D98" s="18"/>
      <c r="E98" s="18"/>
      <c r="F98" s="18"/>
      <c r="G98" s="18"/>
      <c r="H98" s="18">
        <v>3000</v>
      </c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9"/>
      <c r="AI98" s="19"/>
      <c r="AJ98" s="19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13">
        <f t="shared" si="1"/>
        <v>3000</v>
      </c>
    </row>
    <row r="99" hidden="1" customHeight="1" spans="1:67">
      <c r="A99" s="16" t="s">
        <v>210</v>
      </c>
      <c r="B99" s="17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9"/>
      <c r="AI99" s="19"/>
      <c r="AJ99" s="19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86">
        <f t="shared" si="1"/>
        <v>0</v>
      </c>
    </row>
    <row r="100" customHeight="1" spans="1:67">
      <c r="A100" s="16" t="s">
        <v>49</v>
      </c>
      <c r="B100" s="17" t="s">
        <v>730</v>
      </c>
      <c r="C100" s="18"/>
      <c r="D100" s="18"/>
      <c r="E100" s="18"/>
      <c r="F100" s="18">
        <v>24000</v>
      </c>
      <c r="G100" s="18"/>
      <c r="H100" s="18"/>
      <c r="I100" s="18"/>
      <c r="J100" s="18"/>
      <c r="K100" s="18"/>
      <c r="L100" s="18"/>
      <c r="M100" s="18"/>
      <c r="N100" s="18">
        <v>16000</v>
      </c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9"/>
      <c r="AI100" s="19"/>
      <c r="AJ100" s="19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13">
        <f t="shared" si="1"/>
        <v>40000</v>
      </c>
      <c r="BO100" s="3"/>
    </row>
    <row r="101" hidden="1" customHeight="1" spans="1:67">
      <c r="A101" s="16" t="s">
        <v>112</v>
      </c>
      <c r="B101" s="17" t="s">
        <v>731</v>
      </c>
      <c r="C101" s="19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9"/>
      <c r="AI101" s="19"/>
      <c r="AJ101" s="19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23"/>
      <c r="BF101" s="23"/>
      <c r="BG101" s="18"/>
      <c r="BH101" s="18"/>
      <c r="BI101" s="18"/>
      <c r="BJ101" s="18"/>
      <c r="BK101" s="19"/>
      <c r="BL101" s="18"/>
      <c r="BM101" s="18"/>
      <c r="BN101" s="86">
        <f t="shared" si="1"/>
        <v>0</v>
      </c>
    </row>
    <row r="102" hidden="1" customHeight="1" spans="1:67">
      <c r="A102" s="16" t="s">
        <v>184</v>
      </c>
      <c r="B102" s="76" t="s">
        <v>732</v>
      </c>
      <c r="C102" s="19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9"/>
      <c r="AI102" s="19"/>
      <c r="AJ102" s="19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23"/>
      <c r="BF102" s="23"/>
      <c r="BG102" s="18"/>
      <c r="BH102" s="18"/>
      <c r="BI102" s="18"/>
      <c r="BJ102" s="18"/>
      <c r="BK102" s="19"/>
      <c r="BL102" s="18"/>
      <c r="BM102" s="18"/>
      <c r="BN102" s="86">
        <f t="shared" si="1"/>
        <v>0</v>
      </c>
    </row>
    <row r="103" customHeight="1" spans="1:67">
      <c r="A103" s="16" t="s">
        <v>39</v>
      </c>
      <c r="B103" s="76" t="s">
        <v>40</v>
      </c>
      <c r="C103" s="19">
        <v>3600</v>
      </c>
      <c r="D103" s="18"/>
      <c r="E103" s="18">
        <v>21600</v>
      </c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9"/>
      <c r="AI103" s="19"/>
      <c r="AJ103" s="19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23"/>
      <c r="BF103" s="23"/>
      <c r="BG103" s="18">
        <v>21600</v>
      </c>
      <c r="BH103" s="18"/>
      <c r="BI103" s="18"/>
      <c r="BJ103" s="18"/>
      <c r="BK103" s="19"/>
      <c r="BL103" s="18"/>
      <c r="BM103" s="18"/>
      <c r="BN103" s="113">
        <f t="shared" si="1"/>
        <v>46800</v>
      </c>
    </row>
    <row r="104" customHeight="1" spans="1:67">
      <c r="A104" s="16" t="s">
        <v>41</v>
      </c>
      <c r="B104" s="76" t="s">
        <v>42</v>
      </c>
      <c r="C104" s="19">
        <v>3600</v>
      </c>
      <c r="D104" s="18"/>
      <c r="E104" s="18">
        <v>21600</v>
      </c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9"/>
      <c r="AI104" s="19"/>
      <c r="AJ104" s="19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23"/>
      <c r="BF104" s="23"/>
      <c r="BG104" s="18">
        <v>21600</v>
      </c>
      <c r="BH104" s="18"/>
      <c r="BI104" s="18"/>
      <c r="BJ104" s="18"/>
      <c r="BK104" s="19"/>
      <c r="BL104" s="18"/>
      <c r="BM104" s="18"/>
      <c r="BN104" s="113">
        <f t="shared" si="1"/>
        <v>46800</v>
      </c>
    </row>
    <row r="105" customHeight="1" spans="1:67">
      <c r="A105" s="16" t="s">
        <v>70</v>
      </c>
      <c r="B105" s="76" t="s">
        <v>733</v>
      </c>
      <c r="C105" s="19"/>
      <c r="D105" s="18"/>
      <c r="E105" s="18"/>
      <c r="F105" s="18"/>
      <c r="G105" s="18"/>
      <c r="H105" s="18">
        <v>12000</v>
      </c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9"/>
      <c r="AI105" s="19"/>
      <c r="AJ105" s="19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23"/>
      <c r="BF105" s="23"/>
      <c r="BG105" s="18"/>
      <c r="BH105" s="18"/>
      <c r="BI105" s="18"/>
      <c r="BJ105" s="18"/>
      <c r="BK105" s="19"/>
      <c r="BL105" s="18"/>
      <c r="BM105" s="18"/>
      <c r="BN105" s="113">
        <f t="shared" si="1"/>
        <v>12000</v>
      </c>
    </row>
    <row r="106" customHeight="1" spans="1:67">
      <c r="A106" s="16" t="s">
        <v>56</v>
      </c>
      <c r="B106" s="76" t="s">
        <v>734</v>
      </c>
      <c r="C106" s="19">
        <v>10000</v>
      </c>
      <c r="D106" s="18"/>
      <c r="E106" s="18"/>
      <c r="F106" s="18"/>
      <c r="G106" s="18"/>
      <c r="H106" s="18"/>
      <c r="I106" s="18"/>
      <c r="J106" s="18"/>
      <c r="K106" s="18"/>
      <c r="L106" s="18">
        <v>3000</v>
      </c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9"/>
      <c r="AI106" s="19"/>
      <c r="AJ106" s="19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23"/>
      <c r="BF106" s="23"/>
      <c r="BG106" s="18">
        <v>3000</v>
      </c>
      <c r="BH106" s="18"/>
      <c r="BI106" s="18"/>
      <c r="BJ106" s="18"/>
      <c r="BK106" s="19"/>
      <c r="BL106" s="18"/>
      <c r="BM106" s="18"/>
      <c r="BN106" s="113">
        <f t="shared" si="1"/>
        <v>16000</v>
      </c>
    </row>
    <row r="107" customHeight="1" spans="1:67">
      <c r="A107" s="16" t="s">
        <v>43</v>
      </c>
      <c r="B107" s="76" t="s">
        <v>735</v>
      </c>
      <c r="C107" s="19"/>
      <c r="D107" s="18"/>
      <c r="E107" s="18"/>
      <c r="F107" s="18"/>
      <c r="G107" s="18"/>
      <c r="H107" s="18">
        <v>3441</v>
      </c>
      <c r="I107" s="18"/>
      <c r="J107" s="18">
        <v>4359</v>
      </c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9"/>
      <c r="AI107" s="19"/>
      <c r="AJ107" s="19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23"/>
      <c r="BF107" s="23"/>
      <c r="BG107" s="18"/>
      <c r="BH107" s="18"/>
      <c r="BI107" s="18"/>
      <c r="BJ107" s="18"/>
      <c r="BK107" s="19"/>
      <c r="BL107" s="18"/>
      <c r="BM107" s="18"/>
      <c r="BN107" s="113">
        <f t="shared" si="1"/>
        <v>7800</v>
      </c>
    </row>
    <row r="108" customHeight="1" spans="1:67">
      <c r="A108" s="16" t="s">
        <v>45</v>
      </c>
      <c r="B108" s="100" t="s">
        <v>736</v>
      </c>
      <c r="C108" s="19">
        <v>5994</v>
      </c>
      <c r="D108" s="18"/>
      <c r="E108" s="18"/>
      <c r="F108" s="18"/>
      <c r="G108" s="18"/>
      <c r="H108" s="18"/>
      <c r="I108" s="18"/>
      <c r="J108" s="18"/>
      <c r="K108" s="18"/>
      <c r="L108" s="18">
        <v>7400</v>
      </c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9"/>
      <c r="AI108" s="19"/>
      <c r="AJ108" s="19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23"/>
      <c r="BF108" s="23"/>
      <c r="BG108" s="18"/>
      <c r="BH108" s="18"/>
      <c r="BI108" s="18"/>
      <c r="BJ108" s="18"/>
      <c r="BK108" s="19"/>
      <c r="BL108" s="18"/>
      <c r="BM108" s="18"/>
      <c r="BN108" s="113">
        <f t="shared" si="1"/>
        <v>13394</v>
      </c>
    </row>
    <row r="109" customHeight="1" spans="1:67">
      <c r="A109" s="16" t="s">
        <v>47</v>
      </c>
      <c r="B109" s="102" t="s">
        <v>737</v>
      </c>
      <c r="C109" s="19">
        <v>10000</v>
      </c>
      <c r="D109" s="18"/>
      <c r="E109" s="18"/>
      <c r="F109" s="18"/>
      <c r="G109" s="18"/>
      <c r="H109" s="18"/>
      <c r="I109" s="18"/>
      <c r="J109" s="18"/>
      <c r="K109" s="18"/>
      <c r="L109" s="18">
        <v>2000</v>
      </c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9"/>
      <c r="AI109" s="19"/>
      <c r="AJ109" s="19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23"/>
      <c r="BF109" s="23"/>
      <c r="BG109" s="18">
        <v>3000</v>
      </c>
      <c r="BH109" s="18"/>
      <c r="BI109" s="18"/>
      <c r="BJ109" s="18"/>
      <c r="BK109" s="19"/>
      <c r="BL109" s="18"/>
      <c r="BM109" s="18"/>
      <c r="BN109" s="113">
        <f t="shared" si="1"/>
        <v>15000</v>
      </c>
    </row>
    <row r="110" customHeight="1" spans="1:67">
      <c r="A110" s="16" t="s">
        <v>71</v>
      </c>
      <c r="B110" s="100" t="s">
        <v>738</v>
      </c>
      <c r="C110" s="19">
        <v>20000</v>
      </c>
      <c r="D110" s="18"/>
      <c r="E110" s="18"/>
      <c r="F110" s="18"/>
      <c r="G110" s="18"/>
      <c r="H110" s="18"/>
      <c r="I110" s="18"/>
      <c r="J110" s="18">
        <v>6400</v>
      </c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9"/>
      <c r="AI110" s="19"/>
      <c r="AJ110" s="19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23"/>
      <c r="BF110" s="23"/>
      <c r="BG110" s="18">
        <v>1600</v>
      </c>
      <c r="BH110" s="18"/>
      <c r="BI110" s="18"/>
      <c r="BJ110" s="18"/>
      <c r="BK110" s="19"/>
      <c r="BL110" s="18"/>
      <c r="BM110" s="18"/>
      <c r="BN110" s="113">
        <f t="shared" si="1"/>
        <v>28000</v>
      </c>
    </row>
    <row r="111" customHeight="1" spans="1:67">
      <c r="A111" s="16" t="s">
        <v>257</v>
      </c>
      <c r="B111" s="76" t="s">
        <v>739</v>
      </c>
      <c r="C111" s="19"/>
      <c r="D111" s="18"/>
      <c r="E111" s="18"/>
      <c r="F111" s="18">
        <v>5040</v>
      </c>
      <c r="G111" s="18"/>
      <c r="H111" s="18"/>
      <c r="I111" s="18"/>
      <c r="J111" s="18">
        <v>4320</v>
      </c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9"/>
      <c r="AI111" s="19"/>
      <c r="AJ111" s="19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23"/>
      <c r="BF111" s="23"/>
      <c r="BG111" s="18"/>
      <c r="BH111" s="18"/>
      <c r="BI111" s="18"/>
      <c r="BJ111" s="18"/>
      <c r="BK111" s="19"/>
      <c r="BL111" s="18"/>
      <c r="BM111" s="18"/>
      <c r="BN111" s="113">
        <f t="shared" si="1"/>
        <v>9360</v>
      </c>
    </row>
    <row r="112" hidden="1" customHeight="1" spans="1:67">
      <c r="A112" s="16" t="s">
        <v>741</v>
      </c>
      <c r="B112" s="76" t="s">
        <v>742</v>
      </c>
      <c r="C112" s="19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9"/>
      <c r="AI112" s="19"/>
      <c r="AJ112" s="19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23"/>
      <c r="BF112" s="23"/>
      <c r="BG112" s="18"/>
      <c r="BH112" s="18"/>
      <c r="BI112" s="18"/>
      <c r="BJ112" s="18"/>
      <c r="BK112" s="19"/>
      <c r="BL112" s="18"/>
      <c r="BM112" s="18"/>
      <c r="BN112" s="86">
        <f t="shared" si="1"/>
        <v>0</v>
      </c>
    </row>
    <row r="113" hidden="1" customHeight="1" spans="1:66">
      <c r="A113" s="16" t="s">
        <v>196</v>
      </c>
      <c r="B113" s="76" t="s">
        <v>763</v>
      </c>
      <c r="C113" s="19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9"/>
      <c r="AI113" s="19"/>
      <c r="AJ113" s="19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23"/>
      <c r="BF113" s="23"/>
      <c r="BG113" s="18"/>
      <c r="BH113" s="18"/>
      <c r="BI113" s="18"/>
      <c r="BJ113" s="18"/>
      <c r="BK113" s="19"/>
      <c r="BL113" s="18"/>
      <c r="BM113" s="18"/>
      <c r="BN113" s="86">
        <f t="shared" si="1"/>
        <v>0</v>
      </c>
    </row>
    <row r="114" hidden="1" customHeight="1" spans="1:66">
      <c r="A114" s="16" t="s">
        <v>199</v>
      </c>
      <c r="B114" s="76" t="s">
        <v>764</v>
      </c>
      <c r="C114" s="19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9"/>
      <c r="AI114" s="19"/>
      <c r="AJ114" s="19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23"/>
      <c r="BF114" s="23"/>
      <c r="BG114" s="18"/>
      <c r="BH114" s="18"/>
      <c r="BI114" s="18"/>
      <c r="BJ114" s="18"/>
      <c r="BK114" s="19"/>
      <c r="BL114" s="18"/>
      <c r="BM114" s="18"/>
      <c r="BN114" s="86">
        <f t="shared" si="1"/>
        <v>0</v>
      </c>
    </row>
  </sheetData>
  <mergeCells count="1">
    <mergeCell ref="A1:BN1"/>
  </mergeCells>
  <pageMargins left="0.7" right="0.7" top="0.75" bottom="0.75" header="0.3" footer="0.3"/>
  <pageSetup paperSize="9" scale="65" orientation="portrait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114"/>
  <sheetViews>
    <sheetView zoomScale="164" zoomScaleNormal="164" workbookViewId="0">
      <pane xSplit="2" ySplit="2" topLeftCell="C89" activePane="bottomRight" state="frozen"/>
      <selection/>
      <selection pane="topRight"/>
      <selection pane="bottomLeft"/>
      <selection pane="bottomRight" activeCell="BI117" sqref="BI117"/>
    </sheetView>
  </sheetViews>
  <sheetFormatPr defaultColWidth="9" defaultRowHeight="20" customHeight="1"/>
  <cols>
    <col min="1" max="1" width="14.3333333333333" style="1" customWidth="1"/>
    <col min="2" max="2" width="23.1666666666667" style="1" customWidth="1"/>
    <col min="3" max="8" width="7.5" style="1" customWidth="1"/>
    <col min="9" max="10" width="8.33333333333333" customWidth="1"/>
    <col min="11" max="11" width="8.33333333333333" style="3" customWidth="1"/>
    <col min="12" max="12" width="7.5" style="3" customWidth="1"/>
    <col min="13" max="14" width="7" style="3" customWidth="1"/>
    <col min="15" max="15" width="7" style="3" hidden="1" customWidth="1"/>
    <col min="16" max="16" width="7.83333333333333" style="3" hidden="1" customWidth="1"/>
    <col min="17" max="17" width="7.5" style="3" hidden="1" customWidth="1"/>
    <col min="18" max="18" width="7.16666666666667" style="3" hidden="1" customWidth="1"/>
    <col min="19" max="19" width="7.33333333333333" style="3" hidden="1" customWidth="1"/>
    <col min="20" max="20" width="7.83333333333333" style="3" hidden="1" customWidth="1"/>
    <col min="21" max="21" width="8.16666666666667" style="3" hidden="1" customWidth="1"/>
    <col min="22" max="22" width="7.66666666666667" style="91" hidden="1" customWidth="1"/>
    <col min="23" max="23" width="5.66666666666667" style="3" hidden="1" customWidth="1"/>
    <col min="24" max="24" width="7.66666666666667" style="3" hidden="1" customWidth="1"/>
    <col min="25" max="25" width="5.66666666666667" style="3" hidden="1" customWidth="1"/>
    <col min="26" max="26" width="6.66666666666667" style="3" hidden="1" customWidth="1"/>
    <col min="27" max="28" width="5.66666666666667" style="3" hidden="1" customWidth="1"/>
    <col min="29" max="30" width="7.33333333333333" style="3" hidden="1" customWidth="1"/>
    <col min="31" max="33" width="8.33333333333333" style="3" hidden="1" customWidth="1"/>
    <col min="34" max="36" width="7.66666666666667" style="41" hidden="1" customWidth="1"/>
    <col min="37" max="37" width="7.16666666666667" style="3" hidden="1" customWidth="1"/>
    <col min="38" max="38" width="6.83333333333333" style="3" hidden="1" customWidth="1"/>
    <col min="39" max="39" width="7.33333333333333" style="3" hidden="1" customWidth="1"/>
    <col min="40" max="40" width="7.66666666666667" style="3" hidden="1" customWidth="1"/>
    <col min="41" max="41" width="6.83333333333333" style="3" hidden="1" customWidth="1"/>
    <col min="42" max="42" width="8.5" style="3" hidden="1" customWidth="1"/>
    <col min="43" max="43" width="7.33333333333333" style="3" hidden="1" customWidth="1"/>
    <col min="44" max="44" width="8" style="3" hidden="1" customWidth="1"/>
    <col min="45" max="45" width="7.5" style="3" hidden="1" customWidth="1"/>
    <col min="46" max="50" width="5.66666666666667" style="3" hidden="1" customWidth="1"/>
    <col min="51" max="51" width="7.5" style="3" hidden="1" customWidth="1"/>
    <col min="52" max="52" width="5.66666666666667" style="3" hidden="1" customWidth="1"/>
    <col min="53" max="53" width="6.5" style="3" hidden="1" customWidth="1"/>
    <col min="54" max="58" width="5.66666666666667" style="3" hidden="1" customWidth="1"/>
    <col min="59" max="59" width="7" style="3" customWidth="1"/>
    <col min="60" max="60" width="7.83333333333333" style="3" customWidth="1"/>
    <col min="61" max="61" width="6.33333333333333" style="3" customWidth="1"/>
    <col min="62" max="62" width="7.33333333333333" style="3" customWidth="1"/>
    <col min="63" max="63" width="7.16666666666667" style="3" customWidth="1"/>
    <col min="64" max="64" width="7.33333333333333" style="3" customWidth="1"/>
    <col min="65" max="65" width="7.16666666666667" style="3" customWidth="1"/>
    <col min="66" max="66" width="8" style="3" customWidth="1"/>
    <col min="68" max="68" width="17.1666666666667" customWidth="1"/>
  </cols>
  <sheetData>
    <row r="1" customHeight="1" spans="1:68">
      <c r="A1" s="4" t="s">
        <v>765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</row>
    <row r="2" customHeight="1" spans="1:68">
      <c r="A2" s="47" t="s">
        <v>596</v>
      </c>
      <c r="B2" s="48" t="s">
        <v>597</v>
      </c>
      <c r="C2" s="49">
        <v>45080</v>
      </c>
      <c r="D2" s="49">
        <v>45082</v>
      </c>
      <c r="E2" s="49">
        <v>45083</v>
      </c>
      <c r="F2" s="49">
        <v>45086</v>
      </c>
      <c r="G2" s="49">
        <v>45089</v>
      </c>
      <c r="H2" s="49">
        <v>45090</v>
      </c>
      <c r="I2" s="50">
        <v>45092</v>
      </c>
      <c r="J2" s="50">
        <v>45093</v>
      </c>
      <c r="K2" s="50">
        <v>45094</v>
      </c>
      <c r="L2" s="50">
        <v>45096</v>
      </c>
      <c r="M2" s="50">
        <v>45097</v>
      </c>
      <c r="N2" s="50">
        <v>45102</v>
      </c>
      <c r="O2" s="50"/>
      <c r="P2" s="50"/>
      <c r="Q2" s="50"/>
      <c r="R2" s="89"/>
      <c r="S2" s="89"/>
      <c r="T2" s="89"/>
      <c r="U2" s="89"/>
      <c r="V2" s="89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2"/>
      <c r="AI2" s="52"/>
      <c r="AJ2" s="52"/>
      <c r="AK2" s="51"/>
      <c r="AL2" s="51"/>
      <c r="AM2" s="51"/>
      <c r="AN2" s="51"/>
      <c r="AO2" s="51"/>
      <c r="AP2" s="51"/>
      <c r="AQ2" s="51"/>
      <c r="AR2" s="51"/>
      <c r="AS2" s="51"/>
      <c r="AT2" s="51"/>
      <c r="AU2" s="51"/>
      <c r="AV2" s="51"/>
      <c r="AW2" s="51"/>
      <c r="AX2" s="51"/>
      <c r="AY2" s="51"/>
      <c r="AZ2" s="51"/>
      <c r="BA2" s="51"/>
      <c r="BB2" s="51"/>
      <c r="BC2" s="51"/>
      <c r="BD2" s="51"/>
      <c r="BE2" s="51"/>
      <c r="BF2" s="51"/>
      <c r="BG2" s="101">
        <v>45103</v>
      </c>
      <c r="BH2" s="101">
        <v>45105</v>
      </c>
      <c r="BI2" s="101"/>
      <c r="BJ2" s="101"/>
      <c r="BK2" s="101"/>
      <c r="BL2" s="101"/>
      <c r="BM2" s="101"/>
      <c r="BN2" s="53" t="s">
        <v>598</v>
      </c>
      <c r="BO2" s="25"/>
      <c r="BP2" s="25"/>
    </row>
    <row r="3" s="44" customFormat="1" customHeight="1" spans="1:68">
      <c r="A3" s="54" t="s">
        <v>192</v>
      </c>
      <c r="B3" s="55" t="s">
        <v>600</v>
      </c>
      <c r="C3" s="56"/>
      <c r="D3" s="56"/>
      <c r="E3" s="56"/>
      <c r="F3" s="56"/>
      <c r="G3" s="56"/>
      <c r="H3" s="56"/>
      <c r="I3" s="57"/>
      <c r="J3" s="57"/>
      <c r="K3" s="57"/>
      <c r="L3" s="57"/>
      <c r="M3" s="57"/>
      <c r="N3" s="57"/>
      <c r="O3" s="57"/>
      <c r="P3" s="57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9"/>
      <c r="AI3" s="59"/>
      <c r="AJ3" s="59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58"/>
      <c r="BL3" s="58"/>
      <c r="BM3" s="58"/>
      <c r="BN3" s="86">
        <f>BM3+BL3+BK3+BJ3+BI3+BH3+BG3+BF3+BE3+BD3+BC3+BB3+BA3+AZ3+AY3+AX3+AW3+AV3+AU3+AT3+AS3+AR3+AQ3+AP3+AO3+AN3+AM3+AL3+AK3+AJ3+AI3+AH3+AG3+AF3+AE3+AD3+AC3+AB3+AA3+Z3+Y3+X3+W3+V3+U3+T3+S3+R3+Q3+P3+O3+N3+M3+L3+K3+J3+I3+H3+G3+F3+E3+D3+C3</f>
        <v>0</v>
      </c>
    </row>
    <row r="4" s="44" customFormat="1" customHeight="1" spans="1:68">
      <c r="A4" s="54" t="s">
        <v>134</v>
      </c>
      <c r="B4" s="55" t="s">
        <v>601</v>
      </c>
      <c r="C4" s="56"/>
      <c r="D4" s="56"/>
      <c r="E4" s="56"/>
      <c r="F4" s="56"/>
      <c r="G4" s="56"/>
      <c r="H4" s="56"/>
      <c r="I4" s="57"/>
      <c r="J4" s="57"/>
      <c r="K4" s="57"/>
      <c r="L4" s="57"/>
      <c r="M4" s="57"/>
      <c r="N4" s="57"/>
      <c r="O4" s="57"/>
      <c r="P4" s="57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9"/>
      <c r="AI4" s="59"/>
      <c r="AJ4" s="59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8"/>
      <c r="BK4" s="58"/>
      <c r="BL4" s="58"/>
      <c r="BM4" s="58"/>
      <c r="BN4" s="86">
        <f t="shared" ref="BN4:BN67" si="0">BM4+BL4+BK4+BJ4+BI4+BH4+BG4+BF4+BE4+BD4+BC4+BB4+BA4+AZ4+AY4+AX4+AW4+AV4+AU4+AT4+AS4+AR4+AQ4+AP4+AO4+AN4+AM4+AL4+AK4+AJ4+AI4+AH4+AG4+AF4+AE4+AD4+AC4+AB4+AA4+Z4+Y4+X4+W4+V4+U4+T4+S4+R4+Q4+P4+O4+N4+M4+L4+K4+J4+I4+H4+G4+F4+E4+D4+C4</f>
        <v>0</v>
      </c>
    </row>
    <row r="5" s="44" customFormat="1" customHeight="1" spans="1:68">
      <c r="A5" s="54" t="s">
        <v>602</v>
      </c>
      <c r="B5" s="55" t="s">
        <v>603</v>
      </c>
      <c r="C5" s="56"/>
      <c r="D5" s="56"/>
      <c r="E5" s="56"/>
      <c r="F5" s="56"/>
      <c r="G5" s="56"/>
      <c r="H5" s="56"/>
      <c r="I5" s="57"/>
      <c r="J5" s="57"/>
      <c r="K5" s="57"/>
      <c r="L5" s="57"/>
      <c r="M5" s="57"/>
      <c r="N5" s="57"/>
      <c r="O5" s="57"/>
      <c r="P5" s="57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9"/>
      <c r="AI5" s="59"/>
      <c r="AJ5" s="59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8"/>
      <c r="BF5" s="58"/>
      <c r="BG5" s="58"/>
      <c r="BH5" s="58"/>
      <c r="BI5" s="58"/>
      <c r="BJ5" s="58"/>
      <c r="BK5" s="58"/>
      <c r="BL5" s="58"/>
      <c r="BM5" s="58"/>
      <c r="BN5" s="86">
        <f t="shared" si="0"/>
        <v>0</v>
      </c>
    </row>
    <row r="6" s="44" customFormat="1" customHeight="1" spans="1:68">
      <c r="A6" s="54" t="s">
        <v>604</v>
      </c>
      <c r="B6" s="55" t="s">
        <v>605</v>
      </c>
      <c r="C6" s="56"/>
      <c r="D6" s="56"/>
      <c r="E6" s="56"/>
      <c r="F6" s="56"/>
      <c r="G6" s="56"/>
      <c r="H6" s="56"/>
      <c r="I6" s="57"/>
      <c r="J6" s="57"/>
      <c r="K6" s="57"/>
      <c r="L6" s="57"/>
      <c r="M6" s="57"/>
      <c r="N6" s="57"/>
      <c r="O6" s="57"/>
      <c r="P6" s="57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9"/>
      <c r="AI6" s="59"/>
      <c r="AJ6" s="59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58"/>
      <c r="BL6" s="58"/>
      <c r="BM6" s="58"/>
      <c r="BN6" s="86">
        <f t="shared" si="0"/>
        <v>0</v>
      </c>
    </row>
    <row r="7" s="44" customFormat="1" customHeight="1" spans="1:68">
      <c r="A7" s="54" t="s">
        <v>67</v>
      </c>
      <c r="B7" s="55" t="s">
        <v>606</v>
      </c>
      <c r="C7" s="56"/>
      <c r="D7" s="56"/>
      <c r="E7" s="56"/>
      <c r="F7" s="56"/>
      <c r="G7" s="56" t="s">
        <v>615</v>
      </c>
      <c r="H7" s="56"/>
      <c r="I7" s="57"/>
      <c r="J7" s="57"/>
      <c r="K7" s="57"/>
      <c r="L7" s="57"/>
      <c r="M7" s="57"/>
      <c r="N7" s="57"/>
      <c r="O7" s="57"/>
      <c r="P7" s="57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9"/>
      <c r="AI7" s="59"/>
      <c r="AJ7" s="59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58"/>
      <c r="BJ7" s="58"/>
      <c r="BK7" s="58"/>
      <c r="BL7" s="58"/>
      <c r="BM7" s="58"/>
      <c r="BN7" s="86">
        <f t="shared" si="0"/>
        <v>300</v>
      </c>
    </row>
    <row r="8" s="44" customFormat="1" customHeight="1" spans="1:68">
      <c r="A8" s="54" t="s">
        <v>53</v>
      </c>
      <c r="B8" s="55" t="s">
        <v>512</v>
      </c>
      <c r="C8" s="56"/>
      <c r="D8" s="56"/>
      <c r="E8" s="56"/>
      <c r="F8" s="56" t="s">
        <v>607</v>
      </c>
      <c r="G8" s="56"/>
      <c r="H8" s="56"/>
      <c r="I8" s="57"/>
      <c r="J8" s="57"/>
      <c r="K8" s="57"/>
      <c r="L8" s="57"/>
      <c r="M8" s="57"/>
      <c r="N8" s="57"/>
      <c r="O8" s="57"/>
      <c r="P8" s="57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9"/>
      <c r="AI8" s="59"/>
      <c r="AJ8" s="59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58"/>
      <c r="BF8" s="58"/>
      <c r="BG8" s="58"/>
      <c r="BH8" s="58"/>
      <c r="BI8" s="58"/>
      <c r="BJ8" s="58"/>
      <c r="BK8" s="58"/>
      <c r="BL8" s="58"/>
      <c r="BM8" s="58"/>
      <c r="BN8" s="86">
        <f t="shared" si="0"/>
        <v>1000</v>
      </c>
    </row>
    <row r="9" s="44" customFormat="1" customHeight="1" spans="1:68">
      <c r="A9" s="54" t="s">
        <v>16</v>
      </c>
      <c r="B9" s="55" t="s">
        <v>608</v>
      </c>
      <c r="C9" s="56"/>
      <c r="D9" s="56"/>
      <c r="E9" s="56"/>
      <c r="F9" s="56"/>
      <c r="G9" s="56"/>
      <c r="H9" s="56"/>
      <c r="I9" s="57"/>
      <c r="J9" s="57"/>
      <c r="K9" s="57"/>
      <c r="L9" s="57"/>
      <c r="M9" s="57"/>
      <c r="N9" s="57"/>
      <c r="O9" s="57"/>
      <c r="P9" s="57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9"/>
      <c r="AI9" s="59"/>
      <c r="AJ9" s="59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58"/>
      <c r="BI9" s="58"/>
      <c r="BJ9" s="58"/>
      <c r="BK9" s="58"/>
      <c r="BL9" s="58"/>
      <c r="BM9" s="58"/>
      <c r="BN9" s="86">
        <f t="shared" si="0"/>
        <v>0</v>
      </c>
    </row>
    <row r="10" s="44" customFormat="1" customHeight="1" spans="1:68">
      <c r="A10" s="54" t="s">
        <v>59</v>
      </c>
      <c r="B10" s="55" t="s">
        <v>609</v>
      </c>
      <c r="C10" s="56"/>
      <c r="D10" s="56"/>
      <c r="E10" s="56"/>
      <c r="F10" s="56"/>
      <c r="G10" s="56"/>
      <c r="H10" s="56"/>
      <c r="I10" s="57"/>
      <c r="J10" s="57" t="s">
        <v>611</v>
      </c>
      <c r="K10" s="57"/>
      <c r="L10" s="57"/>
      <c r="M10" s="57"/>
      <c r="N10" s="57"/>
      <c r="O10" s="57"/>
      <c r="P10" s="57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9"/>
      <c r="AI10" s="59"/>
      <c r="AJ10" s="59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 t="s">
        <v>758</v>
      </c>
      <c r="BH10" s="58"/>
      <c r="BI10" s="58"/>
      <c r="BJ10" s="58"/>
      <c r="BK10" s="58"/>
      <c r="BL10" s="58"/>
      <c r="BM10" s="58"/>
      <c r="BN10" s="86">
        <f t="shared" si="0"/>
        <v>4000</v>
      </c>
    </row>
    <row r="11" s="44" customFormat="1" customHeight="1" spans="1:68">
      <c r="A11" s="54" t="s">
        <v>612</v>
      </c>
      <c r="B11" s="55" t="s">
        <v>613</v>
      </c>
      <c r="C11" s="56"/>
      <c r="D11" s="56"/>
      <c r="E11" s="56"/>
      <c r="F11" s="56"/>
      <c r="G11" s="56"/>
      <c r="H11" s="56"/>
      <c r="I11" s="57"/>
      <c r="J11" s="57"/>
      <c r="K11" s="57"/>
      <c r="L11" s="57"/>
      <c r="M11" s="57"/>
      <c r="N11" s="57"/>
      <c r="O11" s="57"/>
      <c r="P11" s="57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9"/>
      <c r="AI11" s="59"/>
      <c r="AJ11" s="59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86">
        <f t="shared" si="0"/>
        <v>0</v>
      </c>
    </row>
    <row r="12" s="44" customFormat="1" customHeight="1" spans="1:68">
      <c r="A12" s="54" t="s">
        <v>68</v>
      </c>
      <c r="B12" s="55" t="s">
        <v>614</v>
      </c>
      <c r="C12" s="56"/>
      <c r="D12" s="56"/>
      <c r="E12" s="56"/>
      <c r="F12" s="56"/>
      <c r="G12" s="56"/>
      <c r="H12" s="56"/>
      <c r="I12" s="57"/>
      <c r="J12" s="57"/>
      <c r="K12" s="57"/>
      <c r="L12" s="57"/>
      <c r="M12" s="57"/>
      <c r="N12" s="57"/>
      <c r="O12" s="57"/>
      <c r="P12" s="57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9"/>
      <c r="AI12" s="59"/>
      <c r="AJ12" s="59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86">
        <f t="shared" si="0"/>
        <v>0</v>
      </c>
    </row>
    <row r="13" s="44" customFormat="1" customHeight="1" spans="1:68">
      <c r="A13" s="54" t="s">
        <v>616</v>
      </c>
      <c r="B13" s="55" t="s">
        <v>617</v>
      </c>
      <c r="C13" s="56"/>
      <c r="D13" s="56"/>
      <c r="E13" s="56"/>
      <c r="F13" s="56"/>
      <c r="G13" s="56"/>
      <c r="H13" s="56"/>
      <c r="I13" s="57"/>
      <c r="J13" s="57"/>
      <c r="K13" s="57"/>
      <c r="L13" s="57"/>
      <c r="M13" s="57"/>
      <c r="N13" s="57"/>
      <c r="O13" s="57"/>
      <c r="P13" s="57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9"/>
      <c r="AI13" s="59"/>
      <c r="AJ13" s="59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86">
        <f t="shared" si="0"/>
        <v>0</v>
      </c>
    </row>
    <row r="14" s="45" customFormat="1" customHeight="1" spans="1:68">
      <c r="A14" s="54" t="s">
        <v>190</v>
      </c>
      <c r="B14" s="55" t="s">
        <v>759</v>
      </c>
      <c r="C14" s="56"/>
      <c r="D14" s="56" t="s">
        <v>752</v>
      </c>
      <c r="E14" s="56"/>
      <c r="F14" s="56"/>
      <c r="G14" s="56"/>
      <c r="H14" s="56"/>
      <c r="I14" s="57"/>
      <c r="J14" s="57"/>
      <c r="K14" s="57"/>
      <c r="L14" s="57"/>
      <c r="M14" s="57"/>
      <c r="N14" s="57"/>
      <c r="O14" s="57"/>
      <c r="P14" s="57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9"/>
      <c r="AI14" s="59"/>
      <c r="AJ14" s="59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86">
        <f t="shared" si="0"/>
        <v>200</v>
      </c>
    </row>
    <row r="15" s="46" customFormat="1" customHeight="1" spans="1:68">
      <c r="A15" s="61" t="s">
        <v>224</v>
      </c>
      <c r="B15" s="62" t="s">
        <v>620</v>
      </c>
      <c r="C15" s="62"/>
      <c r="D15" s="62"/>
      <c r="E15" s="62"/>
      <c r="F15" s="62"/>
      <c r="G15" s="62"/>
      <c r="H15" s="62"/>
      <c r="I15" s="63"/>
      <c r="J15" s="63"/>
      <c r="K15" s="63"/>
      <c r="L15" s="63"/>
      <c r="M15" s="63"/>
      <c r="N15" s="63"/>
      <c r="O15" s="63"/>
      <c r="P15" s="63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5"/>
      <c r="AI15" s="65"/>
      <c r="AJ15" s="65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4"/>
      <c r="BF15" s="64"/>
      <c r="BG15" s="64"/>
      <c r="BH15" s="64"/>
      <c r="BI15" s="64"/>
      <c r="BJ15" s="64"/>
      <c r="BK15" s="64"/>
      <c r="BL15" s="64"/>
      <c r="BM15" s="64"/>
      <c r="BN15" s="86">
        <f t="shared" si="0"/>
        <v>0</v>
      </c>
    </row>
    <row r="16" s="46" customFormat="1" customHeight="1" spans="1:68">
      <c r="A16" s="61" t="s">
        <v>204</v>
      </c>
      <c r="B16" s="77" t="s">
        <v>621</v>
      </c>
      <c r="C16" s="77"/>
      <c r="D16" s="77"/>
      <c r="E16" s="77"/>
      <c r="F16" s="77"/>
      <c r="G16" s="77"/>
      <c r="H16" s="77"/>
      <c r="I16" s="78"/>
      <c r="J16" s="78"/>
      <c r="K16" s="78"/>
      <c r="L16" s="78"/>
      <c r="M16" s="78"/>
      <c r="N16" s="78"/>
      <c r="O16" s="78"/>
      <c r="P16" s="78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80"/>
      <c r="AI16" s="80"/>
      <c r="AJ16" s="80"/>
      <c r="AK16" s="79"/>
      <c r="AL16" s="79"/>
      <c r="AM16" s="79"/>
      <c r="AN16" s="79"/>
      <c r="AO16" s="79"/>
      <c r="AP16" s="79"/>
      <c r="AQ16" s="79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79"/>
      <c r="BF16" s="79"/>
      <c r="BG16" s="79"/>
      <c r="BH16" s="79"/>
      <c r="BI16" s="79"/>
      <c r="BJ16" s="79"/>
      <c r="BK16" s="79"/>
      <c r="BL16" s="79"/>
      <c r="BM16" s="79"/>
      <c r="BN16" s="86">
        <f t="shared" si="0"/>
        <v>0</v>
      </c>
    </row>
    <row r="17" s="46" customFormat="1" customHeight="1" spans="1:66">
      <c r="A17" s="61" t="s">
        <v>623</v>
      </c>
      <c r="B17" s="77" t="s">
        <v>624</v>
      </c>
      <c r="C17" s="77"/>
      <c r="D17" s="77"/>
      <c r="E17" s="77"/>
      <c r="F17" s="77"/>
      <c r="G17" s="77"/>
      <c r="H17" s="77"/>
      <c r="I17" s="78"/>
      <c r="J17" s="78"/>
      <c r="K17" s="78"/>
      <c r="L17" s="78"/>
      <c r="M17" s="78"/>
      <c r="N17" s="78"/>
      <c r="O17" s="78"/>
      <c r="P17" s="78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80"/>
      <c r="AI17" s="80"/>
      <c r="AJ17" s="80"/>
      <c r="AK17" s="79"/>
      <c r="AL17" s="79"/>
      <c r="AM17" s="79"/>
      <c r="AN17" s="79"/>
      <c r="AO17" s="79"/>
      <c r="AP17" s="79"/>
      <c r="AQ17" s="79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79"/>
      <c r="BF17" s="79"/>
      <c r="BG17" s="79"/>
      <c r="BH17" s="79"/>
      <c r="BI17" s="79"/>
      <c r="BJ17" s="79"/>
      <c r="BK17" s="79"/>
      <c r="BL17" s="79"/>
      <c r="BM17" s="79"/>
      <c r="BN17" s="86">
        <f t="shared" si="0"/>
        <v>0</v>
      </c>
    </row>
    <row r="18" s="46" customFormat="1" customHeight="1" spans="1:66">
      <c r="A18" s="61" t="s">
        <v>161</v>
      </c>
      <c r="B18" s="77" t="s">
        <v>625</v>
      </c>
      <c r="C18" s="77"/>
      <c r="D18" s="77"/>
      <c r="E18" s="77"/>
      <c r="F18" s="77"/>
      <c r="G18" s="77" t="s">
        <v>766</v>
      </c>
      <c r="H18" s="77"/>
      <c r="I18" s="78"/>
      <c r="J18" s="78"/>
      <c r="K18" s="78"/>
      <c r="L18" s="78"/>
      <c r="M18" s="78" t="s">
        <v>622</v>
      </c>
      <c r="N18" s="78"/>
      <c r="O18" s="78"/>
      <c r="P18" s="78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80"/>
      <c r="AI18" s="80"/>
      <c r="AJ18" s="80"/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79"/>
      <c r="BF18" s="79"/>
      <c r="BG18" s="79"/>
      <c r="BH18" s="79"/>
      <c r="BI18" s="79"/>
      <c r="BJ18" s="79"/>
      <c r="BK18" s="79"/>
      <c r="BL18" s="79"/>
      <c r="BM18" s="79"/>
      <c r="BN18" s="86">
        <f t="shared" si="0"/>
        <v>775</v>
      </c>
    </row>
    <row r="19" s="3" customFormat="1" customHeight="1" spans="1:66">
      <c r="A19" s="66" t="s">
        <v>626</v>
      </c>
      <c r="B19" s="14" t="s">
        <v>627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5"/>
      <c r="AI19" s="15"/>
      <c r="AJ19" s="15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86">
        <f t="shared" si="0"/>
        <v>0</v>
      </c>
    </row>
    <row r="20" s="3" customFormat="1" customHeight="1" spans="1:66">
      <c r="A20" s="42" t="s">
        <v>114</v>
      </c>
      <c r="B20" s="18"/>
      <c r="C20" s="18"/>
      <c r="D20" s="18">
        <v>4790</v>
      </c>
      <c r="E20" s="18"/>
      <c r="F20" s="18"/>
      <c r="G20" s="18"/>
      <c r="H20" s="18"/>
      <c r="I20" s="18"/>
      <c r="J20" s="18"/>
      <c r="K20" s="18"/>
      <c r="L20" s="18"/>
      <c r="M20" s="18">
        <v>5000</v>
      </c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9"/>
      <c r="AI20" s="19"/>
      <c r="AJ20" s="19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86">
        <f t="shared" si="0"/>
        <v>9790</v>
      </c>
    </row>
    <row r="21" s="3" customFormat="1" customHeight="1" spans="1:66">
      <c r="A21" s="42" t="s">
        <v>106</v>
      </c>
      <c r="B21" s="18" t="s">
        <v>107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9"/>
      <c r="AI21" s="19"/>
      <c r="AJ21" s="19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86">
        <f t="shared" si="0"/>
        <v>0</v>
      </c>
    </row>
    <row r="22" s="3" customFormat="1" customHeight="1" spans="1:66">
      <c r="A22" s="42" t="s">
        <v>629</v>
      </c>
      <c r="B22" s="18" t="s">
        <v>630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9"/>
      <c r="AI22" s="19"/>
      <c r="AJ22" s="19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20"/>
      <c r="BK22" s="18"/>
      <c r="BL22" s="18"/>
      <c r="BM22" s="18"/>
      <c r="BN22" s="86">
        <f t="shared" si="0"/>
        <v>0</v>
      </c>
    </row>
    <row r="23" s="3" customFormat="1" customHeight="1" spans="1:66">
      <c r="A23" s="42" t="s">
        <v>18</v>
      </c>
      <c r="B23" s="18" t="s">
        <v>631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9"/>
      <c r="AI23" s="19"/>
      <c r="AJ23" s="19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20"/>
      <c r="BK23" s="18"/>
      <c r="BL23" s="18"/>
      <c r="BM23" s="18"/>
      <c r="BN23" s="86">
        <f t="shared" si="0"/>
        <v>0</v>
      </c>
    </row>
    <row r="24" customHeight="1" spans="1:66">
      <c r="A24" s="16" t="s">
        <v>33</v>
      </c>
      <c r="B24" s="17" t="s">
        <v>632</v>
      </c>
      <c r="C24" s="18"/>
      <c r="D24" s="18">
        <v>1000</v>
      </c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9"/>
      <c r="AI24" s="19"/>
      <c r="AJ24" s="19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20"/>
      <c r="BK24" s="18"/>
      <c r="BL24" s="18"/>
      <c r="BM24" s="18"/>
      <c r="BN24" s="86">
        <f t="shared" si="0"/>
        <v>1000</v>
      </c>
    </row>
    <row r="25" customHeight="1" spans="1:66">
      <c r="A25" s="16" t="s">
        <v>69</v>
      </c>
      <c r="B25" s="17" t="s">
        <v>633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9"/>
      <c r="AI25" s="19"/>
      <c r="AJ25" s="19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20"/>
      <c r="BK25" s="18"/>
      <c r="BL25" s="18"/>
      <c r="BM25" s="18"/>
      <c r="BN25" s="86">
        <f t="shared" si="0"/>
        <v>0</v>
      </c>
    </row>
    <row r="26" customHeight="1" spans="1:66">
      <c r="A26" s="16" t="s">
        <v>634</v>
      </c>
      <c r="B26" s="17" t="s">
        <v>635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9"/>
      <c r="AI26" s="19"/>
      <c r="AJ26" s="19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20"/>
      <c r="BK26" s="18"/>
      <c r="BL26" s="18"/>
      <c r="BM26" s="18"/>
      <c r="BN26" s="86">
        <f t="shared" si="0"/>
        <v>0</v>
      </c>
    </row>
    <row r="27" customHeight="1" spans="1:66">
      <c r="A27" s="16" t="s">
        <v>155</v>
      </c>
      <c r="B27" s="17" t="s">
        <v>636</v>
      </c>
      <c r="C27" s="18"/>
      <c r="D27" s="18"/>
      <c r="E27" s="18"/>
      <c r="F27" s="18"/>
      <c r="G27" s="18"/>
      <c r="H27" s="18"/>
      <c r="I27" s="18"/>
      <c r="J27" s="18"/>
      <c r="K27" s="18"/>
      <c r="L27" s="18">
        <v>400</v>
      </c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9"/>
      <c r="AI27" s="19"/>
      <c r="AJ27" s="19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20"/>
      <c r="BK27" s="18"/>
      <c r="BL27" s="18"/>
      <c r="BM27" s="18"/>
      <c r="BN27" s="86">
        <f t="shared" si="0"/>
        <v>400</v>
      </c>
    </row>
    <row r="28" customHeight="1" spans="1:66">
      <c r="A28" s="16" t="s">
        <v>193</v>
      </c>
      <c r="B28" s="17" t="s">
        <v>637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9"/>
      <c r="AI28" s="19"/>
      <c r="AJ28" s="19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20"/>
      <c r="BK28" s="18"/>
      <c r="BL28" s="18"/>
      <c r="BM28" s="18"/>
      <c r="BN28" s="86">
        <f t="shared" si="0"/>
        <v>0</v>
      </c>
    </row>
    <row r="29" customHeight="1" spans="1:66">
      <c r="A29" s="16" t="s">
        <v>35</v>
      </c>
      <c r="B29" s="17" t="s">
        <v>638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9"/>
      <c r="AI29" s="19"/>
      <c r="AJ29" s="19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12"/>
      <c r="BK29" s="18"/>
      <c r="BL29" s="18"/>
      <c r="BM29" s="18"/>
      <c r="BN29" s="86">
        <f t="shared" si="0"/>
        <v>0</v>
      </c>
    </row>
    <row r="30" customHeight="1" spans="1:66">
      <c r="A30" s="16" t="s">
        <v>234</v>
      </c>
      <c r="B30" s="17" t="s">
        <v>639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9"/>
      <c r="AI30" s="19"/>
      <c r="AJ30" s="19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20"/>
      <c r="BK30" s="18"/>
      <c r="BL30" s="18"/>
      <c r="BM30" s="18"/>
      <c r="BN30" s="86">
        <f t="shared" si="0"/>
        <v>0</v>
      </c>
    </row>
    <row r="31" customHeight="1" spans="1:66">
      <c r="A31" s="16" t="s">
        <v>175</v>
      </c>
      <c r="B31" s="17"/>
      <c r="C31" s="18"/>
      <c r="D31" s="18"/>
      <c r="E31" s="18"/>
      <c r="F31" s="18">
        <v>225</v>
      </c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9"/>
      <c r="AI31" s="19"/>
      <c r="AJ31" s="19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20"/>
      <c r="BK31" s="18"/>
      <c r="BL31" s="18"/>
      <c r="BM31" s="18"/>
      <c r="BN31" s="86">
        <f t="shared" si="0"/>
        <v>225</v>
      </c>
    </row>
    <row r="32" customHeight="1" spans="1:66">
      <c r="A32" s="16" t="s">
        <v>165</v>
      </c>
      <c r="B32" s="17" t="s">
        <v>640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>
        <v>1000</v>
      </c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9"/>
      <c r="AI32" s="19"/>
      <c r="AJ32" s="19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20"/>
      <c r="BK32" s="18"/>
      <c r="BL32" s="18"/>
      <c r="BM32" s="18"/>
      <c r="BN32" s="86">
        <f t="shared" si="0"/>
        <v>1000</v>
      </c>
    </row>
    <row r="33" customHeight="1" spans="1:66">
      <c r="A33" s="16" t="s">
        <v>78</v>
      </c>
      <c r="B33" s="17" t="s">
        <v>641</v>
      </c>
      <c r="C33" s="18"/>
      <c r="D33" s="18"/>
      <c r="E33" s="18"/>
      <c r="F33" s="18"/>
      <c r="G33" s="18"/>
      <c r="H33" s="18">
        <v>1000</v>
      </c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9"/>
      <c r="AI33" s="19"/>
      <c r="AJ33" s="19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20"/>
      <c r="BK33" s="18"/>
      <c r="BL33" s="18"/>
      <c r="BM33" s="18"/>
      <c r="BN33" s="86">
        <f t="shared" si="0"/>
        <v>1000</v>
      </c>
    </row>
    <row r="34" customHeight="1" spans="1:66">
      <c r="A34" s="16" t="s">
        <v>74</v>
      </c>
      <c r="B34" s="17" t="s">
        <v>642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9"/>
      <c r="AI34" s="19"/>
      <c r="AJ34" s="19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20"/>
      <c r="BK34" s="18"/>
      <c r="BL34" s="18"/>
      <c r="BM34" s="18"/>
      <c r="BN34" s="86">
        <f t="shared" si="0"/>
        <v>0</v>
      </c>
    </row>
    <row r="35" customHeight="1" spans="1:66">
      <c r="A35" s="16" t="s">
        <v>643</v>
      </c>
      <c r="B35" s="17" t="s">
        <v>644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9"/>
      <c r="AI35" s="19"/>
      <c r="AJ35" s="19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20"/>
      <c r="BK35" s="18"/>
      <c r="BL35" s="18"/>
      <c r="BM35" s="18"/>
      <c r="BN35" s="86">
        <f t="shared" si="0"/>
        <v>0</v>
      </c>
    </row>
    <row r="36" customHeight="1" spans="1:66">
      <c r="A36" s="16" t="s">
        <v>138</v>
      </c>
      <c r="B36" s="17" t="s">
        <v>645</v>
      </c>
      <c r="C36" s="18"/>
      <c r="D36" s="18">
        <v>1000</v>
      </c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9"/>
      <c r="AI36" s="19"/>
      <c r="AJ36" s="19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20"/>
      <c r="BK36" s="18"/>
      <c r="BL36" s="18"/>
      <c r="BM36" s="18"/>
      <c r="BN36" s="86">
        <f t="shared" si="0"/>
        <v>1000</v>
      </c>
    </row>
    <row r="37" customHeight="1" spans="1:66">
      <c r="A37" s="16" t="s">
        <v>141</v>
      </c>
      <c r="B37" s="17" t="s">
        <v>646</v>
      </c>
      <c r="C37" s="18"/>
      <c r="D37" s="18"/>
      <c r="E37" s="18"/>
      <c r="F37" s="18"/>
      <c r="G37" s="18"/>
      <c r="H37" s="18">
        <v>1000</v>
      </c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9"/>
      <c r="AI37" s="19"/>
      <c r="AJ37" s="19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20"/>
      <c r="BK37" s="18"/>
      <c r="BL37" s="18"/>
      <c r="BM37" s="18"/>
      <c r="BN37" s="86">
        <f t="shared" si="0"/>
        <v>1000</v>
      </c>
    </row>
    <row r="38" customHeight="1" spans="1:66">
      <c r="A38" s="16" t="s">
        <v>109</v>
      </c>
      <c r="B38" s="17" t="s">
        <v>110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9"/>
      <c r="AI38" s="19"/>
      <c r="AJ38" s="19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86">
        <f t="shared" si="0"/>
        <v>0</v>
      </c>
    </row>
    <row r="39" customHeight="1" spans="1:66">
      <c r="A39" s="16" t="s">
        <v>103</v>
      </c>
      <c r="B39" s="17" t="s">
        <v>647</v>
      </c>
      <c r="C39" s="18"/>
      <c r="D39" s="18"/>
      <c r="E39" s="18"/>
      <c r="F39" s="18">
        <v>1000</v>
      </c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9"/>
      <c r="AI39" s="19"/>
      <c r="AJ39" s="19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86">
        <f t="shared" si="0"/>
        <v>1000</v>
      </c>
    </row>
    <row r="40" customHeight="1" spans="1:66">
      <c r="A40" s="16" t="s">
        <v>177</v>
      </c>
      <c r="B40" s="17" t="s">
        <v>648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9"/>
      <c r="AI40" s="19"/>
      <c r="AJ40" s="19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86">
        <f t="shared" si="0"/>
        <v>0</v>
      </c>
    </row>
    <row r="41" customHeight="1" spans="1:66">
      <c r="A41" s="16" t="s">
        <v>37</v>
      </c>
      <c r="B41" s="17" t="s">
        <v>649</v>
      </c>
      <c r="C41" s="18"/>
      <c r="D41" s="18">
        <v>750</v>
      </c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9"/>
      <c r="AI41" s="19"/>
      <c r="AJ41" s="19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86">
        <f t="shared" si="0"/>
        <v>750</v>
      </c>
    </row>
    <row r="42" customHeight="1" spans="1:66">
      <c r="A42" s="16" t="s">
        <v>173</v>
      </c>
      <c r="B42" s="17" t="s">
        <v>650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9"/>
      <c r="AI42" s="19"/>
      <c r="AJ42" s="19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86">
        <f t="shared" si="0"/>
        <v>0</v>
      </c>
    </row>
    <row r="43" customHeight="1" spans="1:66">
      <c r="A43" s="16" t="s">
        <v>651</v>
      </c>
      <c r="B43" s="21" t="s">
        <v>652</v>
      </c>
      <c r="C43" s="22"/>
      <c r="D43" s="22"/>
      <c r="E43" s="22"/>
      <c r="F43" s="22"/>
      <c r="G43" s="22"/>
      <c r="H43" s="22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9"/>
      <c r="AI43" s="19"/>
      <c r="AJ43" s="19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86">
        <f t="shared" si="0"/>
        <v>0</v>
      </c>
    </row>
    <row r="44" customHeight="1" spans="1:66">
      <c r="A44" s="16" t="s">
        <v>144</v>
      </c>
      <c r="B44" s="21" t="s">
        <v>653</v>
      </c>
      <c r="C44" s="22"/>
      <c r="D44" s="22"/>
      <c r="E44" s="22"/>
      <c r="F44" s="22"/>
      <c r="G44" s="22"/>
      <c r="H44" s="22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9"/>
      <c r="AI44" s="19"/>
      <c r="AJ44" s="19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86">
        <f t="shared" si="0"/>
        <v>0</v>
      </c>
    </row>
    <row r="45" customHeight="1" spans="1:66">
      <c r="A45" s="16" t="s">
        <v>187</v>
      </c>
      <c r="B45" s="17" t="s">
        <v>654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9"/>
      <c r="AI45" s="19"/>
      <c r="AJ45" s="19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86">
        <f t="shared" si="0"/>
        <v>0</v>
      </c>
    </row>
    <row r="46" customHeight="1" spans="1:66">
      <c r="A46" s="16" t="s">
        <v>14</v>
      </c>
      <c r="B46" s="17" t="s">
        <v>655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9"/>
      <c r="AI46" s="19"/>
      <c r="AJ46" s="19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86">
        <f t="shared" si="0"/>
        <v>0</v>
      </c>
    </row>
    <row r="47" customHeight="1" spans="1:66">
      <c r="A47" s="16" t="s">
        <v>51</v>
      </c>
      <c r="B47" s="17" t="s">
        <v>656</v>
      </c>
      <c r="C47" s="18">
        <v>2900</v>
      </c>
      <c r="D47" s="18"/>
      <c r="E47" s="18"/>
      <c r="F47" s="18">
        <v>5000</v>
      </c>
      <c r="G47" s="18"/>
      <c r="H47" s="18"/>
      <c r="I47" s="18"/>
      <c r="J47" s="18"/>
      <c r="K47" s="18">
        <v>2000</v>
      </c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9"/>
      <c r="AI47" s="19"/>
      <c r="AJ47" s="19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>
        <v>3000</v>
      </c>
      <c r="BH47" s="18"/>
      <c r="BI47" s="18"/>
      <c r="BJ47" s="18"/>
      <c r="BK47" s="18"/>
      <c r="BL47" s="18"/>
      <c r="BM47" s="18"/>
      <c r="BN47" s="86">
        <f t="shared" si="0"/>
        <v>12900</v>
      </c>
    </row>
    <row r="48" customHeight="1" spans="1:66">
      <c r="A48" s="16" t="s">
        <v>76</v>
      </c>
      <c r="B48" s="17" t="s">
        <v>657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9"/>
      <c r="AI48" s="19"/>
      <c r="AJ48" s="19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86">
        <f t="shared" si="0"/>
        <v>0</v>
      </c>
    </row>
    <row r="49" customHeight="1" spans="1:66">
      <c r="A49" s="16" t="s">
        <v>218</v>
      </c>
      <c r="B49" s="17" t="s">
        <v>658</v>
      </c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9"/>
      <c r="AI49" s="19"/>
      <c r="AJ49" s="19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86">
        <f t="shared" si="0"/>
        <v>0</v>
      </c>
    </row>
    <row r="50" customHeight="1" spans="1:66">
      <c r="A50" s="16" t="s">
        <v>135</v>
      </c>
      <c r="B50" s="17" t="s">
        <v>659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9"/>
      <c r="AI50" s="19"/>
      <c r="AJ50" s="19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86">
        <f t="shared" si="0"/>
        <v>0</v>
      </c>
    </row>
    <row r="51" customHeight="1" spans="1:66">
      <c r="A51" s="16" t="s">
        <v>22</v>
      </c>
      <c r="B51" s="17" t="s">
        <v>652</v>
      </c>
      <c r="C51" s="18"/>
      <c r="D51" s="18">
        <v>2000</v>
      </c>
      <c r="E51" s="18"/>
      <c r="F51" s="18"/>
      <c r="G51" s="18"/>
      <c r="H51" s="18"/>
      <c r="I51" s="18"/>
      <c r="J51" s="18"/>
      <c r="K51" s="18"/>
      <c r="L51" s="18">
        <v>1000</v>
      </c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9"/>
      <c r="AI51" s="19"/>
      <c r="AJ51" s="19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86">
        <f t="shared" si="0"/>
        <v>3000</v>
      </c>
    </row>
    <row r="52" customHeight="1" spans="1:66">
      <c r="A52" s="16" t="s">
        <v>660</v>
      </c>
      <c r="B52" s="17" t="s">
        <v>655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9"/>
      <c r="AI52" s="19"/>
      <c r="AJ52" s="19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86">
        <f t="shared" si="0"/>
        <v>0</v>
      </c>
    </row>
    <row r="53" customHeight="1" spans="1:66">
      <c r="A53" s="16" t="s">
        <v>661</v>
      </c>
      <c r="B53" s="17" t="s">
        <v>653</v>
      </c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9"/>
      <c r="AI53" s="19"/>
      <c r="AJ53" s="19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86">
        <f t="shared" si="0"/>
        <v>0</v>
      </c>
    </row>
    <row r="54" customHeight="1" spans="1:66">
      <c r="A54" s="16" t="s">
        <v>662</v>
      </c>
      <c r="B54" s="17" t="s">
        <v>663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9"/>
      <c r="AI54" s="19"/>
      <c r="AJ54" s="19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86">
        <f t="shared" si="0"/>
        <v>0</v>
      </c>
    </row>
    <row r="55" customHeight="1" spans="1:66">
      <c r="A55" s="16" t="s">
        <v>212</v>
      </c>
      <c r="B55" s="17" t="s">
        <v>664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>
        <v>300</v>
      </c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9"/>
      <c r="AI55" s="19"/>
      <c r="AJ55" s="19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>
        <v>300</v>
      </c>
      <c r="BI55" s="18"/>
      <c r="BJ55" s="18"/>
      <c r="BK55" s="18"/>
      <c r="BL55" s="18"/>
      <c r="BM55" s="18"/>
      <c r="BN55" s="86">
        <f t="shared" si="0"/>
        <v>600</v>
      </c>
    </row>
    <row r="56" customHeight="1" spans="1:66">
      <c r="A56" s="16" t="s">
        <v>666</v>
      </c>
      <c r="B56" s="17" t="s">
        <v>667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9"/>
      <c r="AI56" s="19"/>
      <c r="AJ56" s="19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86">
        <f t="shared" si="0"/>
        <v>0</v>
      </c>
    </row>
    <row r="57" customHeight="1" spans="1:66">
      <c r="A57" s="16" t="s">
        <v>668</v>
      </c>
      <c r="B57" s="17" t="s">
        <v>669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9"/>
      <c r="AI57" s="19"/>
      <c r="AJ57" s="19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86">
        <f t="shared" si="0"/>
        <v>0</v>
      </c>
    </row>
    <row r="58" customHeight="1" spans="1:66">
      <c r="A58" s="16" t="s">
        <v>670</v>
      </c>
      <c r="B58" s="17" t="s">
        <v>671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9"/>
      <c r="AI58" s="19"/>
      <c r="AJ58" s="19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86">
        <f t="shared" si="0"/>
        <v>0</v>
      </c>
    </row>
    <row r="59" customHeight="1" spans="1:66">
      <c r="A59" s="16" t="s">
        <v>672</v>
      </c>
      <c r="B59" s="17" t="s">
        <v>671</v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9"/>
      <c r="AI59" s="19"/>
      <c r="AJ59" s="19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86">
        <f t="shared" si="0"/>
        <v>0</v>
      </c>
    </row>
    <row r="60" customHeight="1" spans="1:66">
      <c r="A60" s="16" t="s">
        <v>673</v>
      </c>
      <c r="B60" s="17" t="s">
        <v>674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9"/>
      <c r="AI60" s="19"/>
      <c r="AJ60" s="19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86">
        <f t="shared" si="0"/>
        <v>0</v>
      </c>
    </row>
    <row r="61" customHeight="1" spans="1:66">
      <c r="A61" s="16" t="s">
        <v>675</v>
      </c>
      <c r="B61" s="17" t="s">
        <v>676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9"/>
      <c r="AI61" s="19"/>
      <c r="AJ61" s="19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86">
        <f t="shared" si="0"/>
        <v>0</v>
      </c>
    </row>
    <row r="62" customHeight="1" spans="1:66">
      <c r="A62" s="16" t="s">
        <v>677</v>
      </c>
      <c r="B62" s="17" t="s">
        <v>678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9"/>
      <c r="AI62" s="19"/>
      <c r="AJ62" s="19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86">
        <f t="shared" si="0"/>
        <v>0</v>
      </c>
    </row>
    <row r="63" customHeight="1" spans="1:66">
      <c r="A63" s="16" t="s">
        <v>679</v>
      </c>
      <c r="B63" s="17" t="s">
        <v>680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9"/>
      <c r="AI63" s="19"/>
      <c r="AJ63" s="19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86">
        <f t="shared" si="0"/>
        <v>0</v>
      </c>
    </row>
    <row r="64" customHeight="1" spans="1:66">
      <c r="A64" s="16" t="s">
        <v>681</v>
      </c>
      <c r="B64" s="17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9"/>
      <c r="AI64" s="19"/>
      <c r="AJ64" s="19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86">
        <f t="shared" si="0"/>
        <v>0</v>
      </c>
    </row>
    <row r="65" customHeight="1" spans="1:66">
      <c r="A65" s="16" t="s">
        <v>604</v>
      </c>
      <c r="B65" s="17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9"/>
      <c r="AI65" s="19"/>
      <c r="AJ65" s="19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86">
        <f t="shared" si="0"/>
        <v>0</v>
      </c>
    </row>
    <row r="66" customHeight="1" spans="1:66">
      <c r="A66" s="16" t="s">
        <v>682</v>
      </c>
      <c r="B66" s="17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9"/>
      <c r="AI66" s="19"/>
      <c r="AJ66" s="19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86">
        <f t="shared" si="0"/>
        <v>0</v>
      </c>
    </row>
    <row r="67" customHeight="1" spans="1:66">
      <c r="A67" s="16" t="s">
        <v>683</v>
      </c>
      <c r="B67" s="17" t="s">
        <v>684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9"/>
      <c r="AI67" s="19"/>
      <c r="AJ67" s="19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86">
        <f t="shared" si="0"/>
        <v>0</v>
      </c>
    </row>
    <row r="68" customHeight="1" spans="1:66">
      <c r="A68" s="16" t="s">
        <v>685</v>
      </c>
      <c r="B68" s="17" t="s">
        <v>686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9"/>
      <c r="AI68" s="19"/>
      <c r="AJ68" s="19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86">
        <f t="shared" ref="BN68:BN114" si="1">BM68+BL68+BK68+BJ68+BI68+BH68+BG68+BF68+BE68+BD68+BC68+BB68+BA68+AZ68+AY68+AX68+AW68+AV68+AU68+AT68+AS68+AR68+AQ68+AP68+AO68+AN68+AM68+AL68+AK68+AJ68+AI68+AH68+AG68+AF68+AE68+AD68+AC68+AB68+AA68+Z68+Y68+X68+W68+V68+U68+T68+S68+R68+Q68+P68+O68+N68+M68+L68+K68+J68+I68+H68+G68+F68+E68+D68+C68</f>
        <v>0</v>
      </c>
    </row>
    <row r="69" customHeight="1" spans="1:66">
      <c r="A69" s="16" t="s">
        <v>687</v>
      </c>
      <c r="B69" s="17" t="s">
        <v>688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9"/>
      <c r="AI69" s="19"/>
      <c r="AJ69" s="19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86">
        <f t="shared" si="1"/>
        <v>0</v>
      </c>
    </row>
    <row r="70" customHeight="1" spans="1:66">
      <c r="A70" s="16" t="s">
        <v>689</v>
      </c>
      <c r="B70" s="17" t="s">
        <v>690</v>
      </c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9"/>
      <c r="AI70" s="19"/>
      <c r="AJ70" s="19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86">
        <f t="shared" si="1"/>
        <v>0</v>
      </c>
    </row>
    <row r="71" customHeight="1" spans="1:66">
      <c r="A71" s="16" t="s">
        <v>691</v>
      </c>
      <c r="B71" s="17" t="s">
        <v>692</v>
      </c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9"/>
      <c r="AI71" s="19"/>
      <c r="AJ71" s="19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86">
        <f t="shared" si="1"/>
        <v>0</v>
      </c>
    </row>
    <row r="72" customHeight="1" spans="1:66">
      <c r="A72" s="16" t="s">
        <v>693</v>
      </c>
      <c r="B72" s="17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9"/>
      <c r="AI72" s="19"/>
      <c r="AJ72" s="19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86">
        <f t="shared" si="1"/>
        <v>0</v>
      </c>
    </row>
    <row r="73" customHeight="1" spans="1:66">
      <c r="A73" s="16" t="s">
        <v>694</v>
      </c>
      <c r="B73" s="17" t="s">
        <v>695</v>
      </c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9"/>
      <c r="AI73" s="19"/>
      <c r="AJ73" s="19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86">
        <f t="shared" si="1"/>
        <v>0</v>
      </c>
    </row>
    <row r="74" customHeight="1" spans="1:66">
      <c r="A74" s="16" t="s">
        <v>697</v>
      </c>
      <c r="B74" s="17" t="s">
        <v>698</v>
      </c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9"/>
      <c r="AI74" s="19"/>
      <c r="AJ74" s="19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86">
        <f t="shared" si="1"/>
        <v>0</v>
      </c>
    </row>
    <row r="75" customHeight="1" spans="1:66">
      <c r="A75" s="16" t="s">
        <v>699</v>
      </c>
      <c r="B75" s="21" t="s">
        <v>700</v>
      </c>
      <c r="C75" s="22"/>
      <c r="D75" s="22"/>
      <c r="E75" s="22"/>
      <c r="F75" s="22"/>
      <c r="G75" s="22"/>
      <c r="H75" s="22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9"/>
      <c r="AI75" s="19"/>
      <c r="AJ75" s="19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86">
        <f t="shared" si="1"/>
        <v>0</v>
      </c>
    </row>
    <row r="76" customHeight="1" spans="1:66">
      <c r="A76" s="16" t="s">
        <v>701</v>
      </c>
      <c r="B76" s="17" t="s">
        <v>702</v>
      </c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9"/>
      <c r="AI76" s="19"/>
      <c r="AJ76" s="19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86">
        <f t="shared" si="1"/>
        <v>0</v>
      </c>
    </row>
    <row r="77" customHeight="1" spans="1:66">
      <c r="A77" s="16" t="s">
        <v>20</v>
      </c>
      <c r="B77" s="21" t="s">
        <v>703</v>
      </c>
      <c r="C77" s="22"/>
      <c r="D77" s="22"/>
      <c r="E77" s="22"/>
      <c r="F77" s="22"/>
      <c r="G77" s="22"/>
      <c r="H77" s="22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9"/>
      <c r="AI77" s="19"/>
      <c r="AJ77" s="19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86">
        <f t="shared" si="1"/>
        <v>0</v>
      </c>
    </row>
    <row r="78" customHeight="1" spans="1:66">
      <c r="A78" s="16" t="s">
        <v>704</v>
      </c>
      <c r="B78" s="21" t="s">
        <v>705</v>
      </c>
      <c r="C78" s="22"/>
      <c r="D78" s="22"/>
      <c r="E78" s="22"/>
      <c r="F78" s="22"/>
      <c r="G78" s="22"/>
      <c r="H78" s="22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9"/>
      <c r="AI78" s="19"/>
      <c r="AJ78" s="19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86">
        <f t="shared" si="1"/>
        <v>0</v>
      </c>
    </row>
    <row r="79" customHeight="1" spans="1:66">
      <c r="A79" s="16" t="s">
        <v>706</v>
      </c>
      <c r="B79" s="21" t="s">
        <v>707</v>
      </c>
      <c r="C79" s="22"/>
      <c r="D79" s="22"/>
      <c r="E79" s="22"/>
      <c r="F79" s="22"/>
      <c r="G79" s="22"/>
      <c r="H79" s="22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9"/>
      <c r="AI79" s="19"/>
      <c r="AJ79" s="19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86">
        <f t="shared" si="1"/>
        <v>0</v>
      </c>
    </row>
    <row r="80" customHeight="1" spans="1:66">
      <c r="A80" s="16" t="s">
        <v>123</v>
      </c>
      <c r="B80" s="21" t="s">
        <v>708</v>
      </c>
      <c r="C80" s="22"/>
      <c r="D80" s="22"/>
      <c r="E80" s="22"/>
      <c r="F80" s="22"/>
      <c r="G80" s="22"/>
      <c r="H80" s="22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9"/>
      <c r="AI80" s="19"/>
      <c r="AJ80" s="19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86">
        <f t="shared" si="1"/>
        <v>0</v>
      </c>
    </row>
    <row r="81" customHeight="1" spans="1:67">
      <c r="A81" s="16" t="s">
        <v>117</v>
      </c>
      <c r="B81" s="21" t="s">
        <v>709</v>
      </c>
      <c r="C81" s="22"/>
      <c r="D81" s="22"/>
      <c r="E81" s="22"/>
      <c r="F81" s="22"/>
      <c r="G81" s="22"/>
      <c r="H81" s="22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9"/>
      <c r="AI81" s="19"/>
      <c r="AJ81" s="19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86">
        <f t="shared" si="1"/>
        <v>0</v>
      </c>
    </row>
    <row r="82" customHeight="1" spans="1:67">
      <c r="A82" s="16" t="s">
        <v>120</v>
      </c>
      <c r="B82" s="21" t="s">
        <v>710</v>
      </c>
      <c r="C82" s="22"/>
      <c r="D82" s="22"/>
      <c r="E82" s="22"/>
      <c r="F82" s="22"/>
      <c r="G82" s="22">
        <v>10800</v>
      </c>
      <c r="H82" s="22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9"/>
      <c r="AI82" s="19"/>
      <c r="AJ82" s="19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86">
        <f t="shared" si="1"/>
        <v>10800</v>
      </c>
    </row>
    <row r="83" customHeight="1" spans="1:67">
      <c r="A83" s="16" t="s">
        <v>65</v>
      </c>
      <c r="B83" s="21" t="s">
        <v>713</v>
      </c>
      <c r="C83" s="22">
        <v>10000</v>
      </c>
      <c r="D83" s="22"/>
      <c r="E83" s="22"/>
      <c r="F83" s="22"/>
      <c r="G83" s="22"/>
      <c r="H83" s="22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9"/>
      <c r="AI83" s="19"/>
      <c r="AJ83" s="19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>
        <v>10000</v>
      </c>
      <c r="BI83" s="18"/>
      <c r="BJ83" s="18"/>
      <c r="BK83" s="18"/>
      <c r="BL83" s="18"/>
      <c r="BM83" s="18"/>
      <c r="BN83" s="86">
        <f t="shared" si="1"/>
        <v>20000</v>
      </c>
    </row>
    <row r="84" customHeight="1" spans="1:67">
      <c r="A84" s="16" t="s">
        <v>159</v>
      </c>
      <c r="B84" s="21" t="s">
        <v>714</v>
      </c>
      <c r="C84" s="22"/>
      <c r="D84" s="22">
        <v>10000</v>
      </c>
      <c r="E84" s="22"/>
      <c r="F84" s="22"/>
      <c r="G84" s="22"/>
      <c r="H84" s="22"/>
      <c r="I84" s="18"/>
      <c r="J84" s="18"/>
      <c r="K84" s="18"/>
      <c r="L84" s="18">
        <v>10000</v>
      </c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9"/>
      <c r="AI84" s="19"/>
      <c r="AJ84" s="19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86">
        <f t="shared" si="1"/>
        <v>20000</v>
      </c>
    </row>
    <row r="85" customHeight="1" spans="1:67">
      <c r="A85" s="16" t="s">
        <v>126</v>
      </c>
      <c r="B85" s="21" t="s">
        <v>715</v>
      </c>
      <c r="C85" s="22"/>
      <c r="D85" s="22"/>
      <c r="E85" s="22"/>
      <c r="F85" s="22"/>
      <c r="G85" s="22"/>
      <c r="H85" s="22"/>
      <c r="I85" s="18">
        <v>6000</v>
      </c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9"/>
      <c r="AI85" s="19"/>
      <c r="AJ85" s="19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86">
        <f t="shared" si="1"/>
        <v>6000</v>
      </c>
    </row>
    <row r="86" customHeight="1" spans="1:67">
      <c r="A86" s="16" t="s">
        <v>181</v>
      </c>
      <c r="B86" s="21" t="s">
        <v>716</v>
      </c>
      <c r="C86" s="22"/>
      <c r="D86" s="22"/>
      <c r="E86" s="22"/>
      <c r="F86" s="22"/>
      <c r="G86" s="22"/>
      <c r="H86" s="22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9"/>
      <c r="AI86" s="19"/>
      <c r="AJ86" s="19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86">
        <f t="shared" si="1"/>
        <v>0</v>
      </c>
    </row>
    <row r="87" customHeight="1" spans="1:67">
      <c r="A87" s="16" t="s">
        <v>169</v>
      </c>
      <c r="B87" s="21" t="s">
        <v>717</v>
      </c>
      <c r="C87" s="22">
        <v>6000</v>
      </c>
      <c r="D87" s="22"/>
      <c r="E87" s="22"/>
      <c r="F87" s="22"/>
      <c r="G87" s="22"/>
      <c r="H87" s="22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9"/>
      <c r="AI87" s="19"/>
      <c r="AJ87" s="19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86">
        <f t="shared" si="1"/>
        <v>6000</v>
      </c>
    </row>
    <row r="88" customHeight="1" spans="1:67">
      <c r="A88" s="16" t="s">
        <v>222</v>
      </c>
      <c r="B88" s="21" t="s">
        <v>718</v>
      </c>
      <c r="C88" s="22"/>
      <c r="D88" s="22"/>
      <c r="E88" s="22"/>
      <c r="F88" s="22"/>
      <c r="G88" s="22"/>
      <c r="H88" s="22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9"/>
      <c r="AI88" s="19"/>
      <c r="AJ88" s="19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86">
        <f t="shared" si="1"/>
        <v>0</v>
      </c>
    </row>
    <row r="89" customHeight="1" spans="1:67">
      <c r="A89" s="16" t="s">
        <v>719</v>
      </c>
      <c r="B89" s="17" t="s">
        <v>720</v>
      </c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9"/>
      <c r="AI89" s="19"/>
      <c r="AJ89" s="19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86">
        <f t="shared" si="1"/>
        <v>0</v>
      </c>
    </row>
    <row r="90" customHeight="1" spans="1:67">
      <c r="A90" s="16" t="s">
        <v>206</v>
      </c>
      <c r="B90" s="17" t="s">
        <v>721</v>
      </c>
      <c r="C90" s="18">
        <v>9000</v>
      </c>
      <c r="D90" s="18"/>
      <c r="E90" s="18">
        <v>-3000</v>
      </c>
      <c r="F90" s="18"/>
      <c r="G90" s="18"/>
      <c r="H90" s="18"/>
      <c r="I90" s="18"/>
      <c r="J90" s="18"/>
      <c r="K90" s="18"/>
      <c r="L90" s="18">
        <v>10000</v>
      </c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9"/>
      <c r="AI90" s="19"/>
      <c r="AJ90" s="19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>
        <v>5000</v>
      </c>
      <c r="BI90" s="18"/>
      <c r="BJ90" s="18"/>
      <c r="BK90" s="18"/>
      <c r="BL90" s="18"/>
      <c r="BM90" s="18"/>
      <c r="BN90" s="86">
        <f t="shared" si="1"/>
        <v>21000</v>
      </c>
    </row>
    <row r="91" customHeight="1" spans="1:67">
      <c r="A91" s="16" t="s">
        <v>202</v>
      </c>
      <c r="B91" s="17" t="s">
        <v>722</v>
      </c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9"/>
      <c r="AI91" s="19"/>
      <c r="AJ91" s="19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86">
        <f t="shared" si="1"/>
        <v>0</v>
      </c>
    </row>
    <row r="92" customHeight="1" spans="1:67">
      <c r="A92" s="16" t="s">
        <v>167</v>
      </c>
      <c r="B92" s="17" t="s">
        <v>723</v>
      </c>
      <c r="C92" s="18"/>
      <c r="D92" s="18"/>
      <c r="E92" s="18"/>
      <c r="F92" s="18"/>
      <c r="G92" s="18"/>
      <c r="H92" s="18"/>
      <c r="I92" s="18"/>
      <c r="J92" s="18"/>
      <c r="K92" s="18"/>
      <c r="L92" s="18">
        <v>10000</v>
      </c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9"/>
      <c r="AI92" s="19"/>
      <c r="AJ92" s="19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86">
        <f t="shared" si="1"/>
        <v>10000</v>
      </c>
    </row>
    <row r="93" customHeight="1" spans="1:67">
      <c r="A93" s="16" t="s">
        <v>208</v>
      </c>
      <c r="B93" s="17" t="s">
        <v>724</v>
      </c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9"/>
      <c r="AI93" s="19"/>
      <c r="AJ93" s="19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86">
        <f t="shared" si="1"/>
        <v>0</v>
      </c>
    </row>
    <row r="94" customHeight="1" spans="1:67">
      <c r="A94" s="16" t="s">
        <v>157</v>
      </c>
      <c r="B94" s="17" t="s">
        <v>725</v>
      </c>
      <c r="C94" s="18">
        <v>10000</v>
      </c>
      <c r="D94" s="18"/>
      <c r="E94" s="18"/>
      <c r="F94" s="18"/>
      <c r="G94" s="18"/>
      <c r="H94" s="18"/>
      <c r="I94" s="18"/>
      <c r="J94" s="18"/>
      <c r="K94" s="18"/>
      <c r="L94" s="18">
        <v>10000</v>
      </c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9"/>
      <c r="AI94" s="19"/>
      <c r="AJ94" s="19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86">
        <f t="shared" si="1"/>
        <v>20000</v>
      </c>
      <c r="BO94" s="3"/>
    </row>
    <row r="95" customHeight="1" spans="1:67">
      <c r="A95" s="16" t="s">
        <v>129</v>
      </c>
      <c r="B95" s="17" t="s">
        <v>726</v>
      </c>
      <c r="C95" s="18"/>
      <c r="D95" s="18"/>
      <c r="E95" s="18"/>
      <c r="F95" s="18"/>
      <c r="G95" s="18"/>
      <c r="H95" s="18"/>
      <c r="I95" s="18">
        <v>4000</v>
      </c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9"/>
      <c r="AI95" s="19"/>
      <c r="AJ95" s="19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86">
        <f t="shared" si="1"/>
        <v>4000</v>
      </c>
      <c r="BO95" s="3"/>
    </row>
    <row r="96" customHeight="1" spans="1:67">
      <c r="A96" s="16" t="s">
        <v>132</v>
      </c>
      <c r="B96" s="17" t="s">
        <v>727</v>
      </c>
      <c r="C96" s="18"/>
      <c r="D96" s="18"/>
      <c r="E96" s="18"/>
      <c r="F96" s="18"/>
      <c r="G96" s="18"/>
      <c r="H96" s="18"/>
      <c r="I96" s="18">
        <v>4000</v>
      </c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9"/>
      <c r="AI96" s="19"/>
      <c r="AJ96" s="19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86">
        <f t="shared" si="1"/>
        <v>4000</v>
      </c>
      <c r="BO96" s="3"/>
    </row>
    <row r="97" customHeight="1" spans="1:67">
      <c r="A97" s="16" t="s">
        <v>80</v>
      </c>
      <c r="B97" s="17" t="s">
        <v>728</v>
      </c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9"/>
      <c r="AI97" s="19"/>
      <c r="AJ97" s="19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86">
        <f t="shared" si="1"/>
        <v>0</v>
      </c>
    </row>
    <row r="98" customHeight="1" spans="1:67">
      <c r="A98" s="16" t="s">
        <v>171</v>
      </c>
      <c r="B98" s="17" t="s">
        <v>729</v>
      </c>
      <c r="C98" s="18"/>
      <c r="D98" s="18"/>
      <c r="E98" s="18"/>
      <c r="F98" s="18"/>
      <c r="G98" s="18">
        <v>2000</v>
      </c>
      <c r="H98" s="18"/>
      <c r="I98" s="18">
        <v>2000</v>
      </c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9"/>
      <c r="AI98" s="19"/>
      <c r="AJ98" s="19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86">
        <f t="shared" si="1"/>
        <v>4000</v>
      </c>
    </row>
    <row r="99" customHeight="1" spans="1:67">
      <c r="A99" s="16" t="s">
        <v>210</v>
      </c>
      <c r="B99" s="17"/>
      <c r="C99" s="18"/>
      <c r="D99" s="18">
        <v>4000</v>
      </c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9"/>
      <c r="AI99" s="19"/>
      <c r="AJ99" s="19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>
        <v>10000</v>
      </c>
      <c r="BI99" s="18"/>
      <c r="BJ99" s="18"/>
      <c r="BK99" s="18"/>
      <c r="BL99" s="18"/>
      <c r="BM99" s="18"/>
      <c r="BN99" s="86">
        <f t="shared" si="1"/>
        <v>14000</v>
      </c>
    </row>
    <row r="100" customHeight="1" spans="1:67">
      <c r="A100" s="16" t="s">
        <v>49</v>
      </c>
      <c r="B100" s="17" t="s">
        <v>730</v>
      </c>
      <c r="C100" s="18">
        <v>24000</v>
      </c>
      <c r="D100" s="18">
        <v>24000</v>
      </c>
      <c r="E100" s="18"/>
      <c r="F100" s="18"/>
      <c r="G100" s="18"/>
      <c r="H100" s="18"/>
      <c r="I100" s="18"/>
      <c r="J100" s="18"/>
      <c r="K100" s="18"/>
      <c r="L100" s="18">
        <v>24000</v>
      </c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9"/>
      <c r="AI100" s="19"/>
      <c r="AJ100" s="19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86">
        <f t="shared" si="1"/>
        <v>72000</v>
      </c>
      <c r="BO100" s="3"/>
    </row>
    <row r="101" customHeight="1" spans="1:67">
      <c r="A101" s="16" t="s">
        <v>112</v>
      </c>
      <c r="B101" s="17" t="s">
        <v>731</v>
      </c>
      <c r="C101" s="19">
        <v>2000</v>
      </c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9"/>
      <c r="AI101" s="19"/>
      <c r="AJ101" s="19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23"/>
      <c r="BF101" s="23"/>
      <c r="BG101" s="18"/>
      <c r="BH101" s="18"/>
      <c r="BI101" s="18"/>
      <c r="BJ101" s="18"/>
      <c r="BK101" s="19"/>
      <c r="BL101" s="18"/>
      <c r="BM101" s="18"/>
      <c r="BN101" s="86">
        <f t="shared" si="1"/>
        <v>2000</v>
      </c>
    </row>
    <row r="102" customHeight="1" spans="1:67">
      <c r="A102" s="16" t="s">
        <v>184</v>
      </c>
      <c r="B102" s="76" t="s">
        <v>732</v>
      </c>
      <c r="C102" s="19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9"/>
      <c r="AI102" s="19"/>
      <c r="AJ102" s="19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23"/>
      <c r="BF102" s="23"/>
      <c r="BG102" s="18"/>
      <c r="BH102" s="18"/>
      <c r="BI102" s="18"/>
      <c r="BJ102" s="18"/>
      <c r="BK102" s="19"/>
      <c r="BL102" s="18"/>
      <c r="BM102" s="18"/>
      <c r="BN102" s="86">
        <f t="shared" si="1"/>
        <v>0</v>
      </c>
    </row>
    <row r="103" customHeight="1" spans="1:67">
      <c r="A103" s="16" t="s">
        <v>39</v>
      </c>
      <c r="B103" s="76" t="s">
        <v>40</v>
      </c>
      <c r="C103" s="19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9"/>
      <c r="AI103" s="19"/>
      <c r="AJ103" s="19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23"/>
      <c r="BF103" s="23"/>
      <c r="BG103" s="18"/>
      <c r="BH103" s="18"/>
      <c r="BI103" s="18"/>
      <c r="BJ103" s="18"/>
      <c r="BK103" s="19"/>
      <c r="BL103" s="18"/>
      <c r="BM103" s="18"/>
      <c r="BN103" s="86">
        <f t="shared" si="1"/>
        <v>0</v>
      </c>
    </row>
    <row r="104" customHeight="1" spans="1:67">
      <c r="A104" s="16" t="s">
        <v>41</v>
      </c>
      <c r="B104" s="76" t="s">
        <v>42</v>
      </c>
      <c r="C104" s="19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9"/>
      <c r="AI104" s="19"/>
      <c r="AJ104" s="19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23"/>
      <c r="BF104" s="23"/>
      <c r="BG104" s="18"/>
      <c r="BH104" s="18"/>
      <c r="BI104" s="18"/>
      <c r="BJ104" s="18"/>
      <c r="BK104" s="19"/>
      <c r="BL104" s="18"/>
      <c r="BM104" s="18"/>
      <c r="BN104" s="86">
        <f t="shared" si="1"/>
        <v>0</v>
      </c>
    </row>
    <row r="105" customHeight="1" spans="1:67">
      <c r="A105" s="16" t="s">
        <v>70</v>
      </c>
      <c r="B105" s="76" t="s">
        <v>733</v>
      </c>
      <c r="C105" s="19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9"/>
      <c r="AI105" s="19"/>
      <c r="AJ105" s="19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23"/>
      <c r="BF105" s="23"/>
      <c r="BG105" s="18"/>
      <c r="BH105" s="18"/>
      <c r="BI105" s="18"/>
      <c r="BJ105" s="18"/>
      <c r="BK105" s="19"/>
      <c r="BL105" s="18"/>
      <c r="BM105" s="18"/>
      <c r="BN105" s="86">
        <f t="shared" si="1"/>
        <v>0</v>
      </c>
    </row>
    <row r="106" customHeight="1" spans="1:67">
      <c r="A106" s="16" t="s">
        <v>56</v>
      </c>
      <c r="B106" s="76" t="s">
        <v>734</v>
      </c>
      <c r="C106" s="19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9"/>
      <c r="AI106" s="19"/>
      <c r="AJ106" s="19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23"/>
      <c r="BF106" s="23"/>
      <c r="BG106" s="18"/>
      <c r="BH106" s="18"/>
      <c r="BI106" s="18"/>
      <c r="BJ106" s="18"/>
      <c r="BK106" s="19"/>
      <c r="BL106" s="18"/>
      <c r="BM106" s="18"/>
      <c r="BN106" s="86">
        <f t="shared" si="1"/>
        <v>0</v>
      </c>
    </row>
    <row r="107" customHeight="1" spans="1:67">
      <c r="A107" s="16" t="s">
        <v>43</v>
      </c>
      <c r="B107" s="76" t="s">
        <v>735</v>
      </c>
      <c r="C107" s="19"/>
      <c r="D107" s="18"/>
      <c r="E107" s="18"/>
      <c r="F107" s="18"/>
      <c r="G107" s="18"/>
      <c r="H107" s="18"/>
      <c r="I107" s="18">
        <v>6930</v>
      </c>
      <c r="J107" s="18"/>
      <c r="K107" s="18"/>
      <c r="L107" s="18"/>
      <c r="M107" s="18"/>
      <c r="N107" s="18">
        <v>6930</v>
      </c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9"/>
      <c r="AI107" s="19"/>
      <c r="AJ107" s="19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23"/>
      <c r="BF107" s="23"/>
      <c r="BG107" s="18"/>
      <c r="BH107" s="18"/>
      <c r="BI107" s="18"/>
      <c r="BJ107" s="18"/>
      <c r="BK107" s="19"/>
      <c r="BL107" s="18"/>
      <c r="BM107" s="18"/>
      <c r="BN107" s="86">
        <f t="shared" si="1"/>
        <v>13860</v>
      </c>
    </row>
    <row r="108" customHeight="1" spans="1:67">
      <c r="A108" s="16" t="s">
        <v>45</v>
      </c>
      <c r="B108" s="100" t="s">
        <v>736</v>
      </c>
      <c r="C108" s="19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9"/>
      <c r="AI108" s="19"/>
      <c r="AJ108" s="19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23"/>
      <c r="BF108" s="23"/>
      <c r="BG108" s="18"/>
      <c r="BH108" s="18"/>
      <c r="BI108" s="18"/>
      <c r="BJ108" s="18"/>
      <c r="BK108" s="19"/>
      <c r="BL108" s="18"/>
      <c r="BM108" s="18"/>
      <c r="BN108" s="86">
        <f t="shared" si="1"/>
        <v>0</v>
      </c>
    </row>
    <row r="109" customHeight="1" spans="1:67">
      <c r="A109" s="16" t="s">
        <v>47</v>
      </c>
      <c r="B109" s="102" t="s">
        <v>737</v>
      </c>
      <c r="C109" s="19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9"/>
      <c r="AI109" s="19"/>
      <c r="AJ109" s="19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23"/>
      <c r="BF109" s="23"/>
      <c r="BG109" s="18"/>
      <c r="BH109" s="18"/>
      <c r="BI109" s="18"/>
      <c r="BJ109" s="18"/>
      <c r="BK109" s="19"/>
      <c r="BL109" s="18"/>
      <c r="BM109" s="18"/>
      <c r="BN109" s="86">
        <f t="shared" si="1"/>
        <v>0</v>
      </c>
    </row>
    <row r="110" customHeight="1" spans="1:67">
      <c r="A110" s="16" t="s">
        <v>71</v>
      </c>
      <c r="B110" s="100" t="s">
        <v>738</v>
      </c>
      <c r="C110" s="19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9"/>
      <c r="AI110" s="19"/>
      <c r="AJ110" s="19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23"/>
      <c r="BF110" s="23"/>
      <c r="BG110" s="18"/>
      <c r="BH110" s="18"/>
      <c r="BI110" s="18"/>
      <c r="BJ110" s="18"/>
      <c r="BK110" s="19"/>
      <c r="BL110" s="18"/>
      <c r="BM110" s="18"/>
      <c r="BN110" s="86">
        <f t="shared" si="1"/>
        <v>0</v>
      </c>
    </row>
    <row r="111" customHeight="1" spans="1:67">
      <c r="A111" s="16" t="s">
        <v>257</v>
      </c>
      <c r="B111" s="76" t="s">
        <v>739</v>
      </c>
      <c r="C111" s="19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>
        <v>8640</v>
      </c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9"/>
      <c r="AI111" s="19"/>
      <c r="AJ111" s="19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23"/>
      <c r="BF111" s="23"/>
      <c r="BG111" s="18"/>
      <c r="BH111" s="18"/>
      <c r="BI111" s="18"/>
      <c r="BJ111" s="18"/>
      <c r="BK111" s="19"/>
      <c r="BL111" s="18"/>
      <c r="BM111" s="18"/>
      <c r="BN111" s="86">
        <f t="shared" si="1"/>
        <v>8640</v>
      </c>
    </row>
    <row r="112" customHeight="1" spans="1:67">
      <c r="A112" s="16" t="s">
        <v>741</v>
      </c>
      <c r="B112" s="76" t="s">
        <v>742</v>
      </c>
      <c r="C112" s="19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9"/>
      <c r="AI112" s="19"/>
      <c r="AJ112" s="19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23"/>
      <c r="BF112" s="23"/>
      <c r="BG112" s="18"/>
      <c r="BH112" s="18"/>
      <c r="BI112" s="18"/>
      <c r="BJ112" s="18"/>
      <c r="BK112" s="19"/>
      <c r="BL112" s="18"/>
      <c r="BM112" s="18"/>
      <c r="BN112" s="86">
        <f t="shared" si="1"/>
        <v>0</v>
      </c>
    </row>
    <row r="113" customHeight="1" spans="1:66">
      <c r="A113" s="16" t="s">
        <v>196</v>
      </c>
      <c r="B113" s="76" t="s">
        <v>763</v>
      </c>
      <c r="C113" s="19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9"/>
      <c r="AI113" s="19"/>
      <c r="AJ113" s="19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23"/>
      <c r="BF113" s="23"/>
      <c r="BG113" s="18"/>
      <c r="BH113" s="18"/>
      <c r="BI113" s="18"/>
      <c r="BJ113" s="18"/>
      <c r="BK113" s="19"/>
      <c r="BL113" s="18"/>
      <c r="BM113" s="18"/>
      <c r="BN113" s="86">
        <f t="shared" si="1"/>
        <v>0</v>
      </c>
    </row>
    <row r="114" customHeight="1" spans="1:66">
      <c r="A114" s="16" t="s">
        <v>199</v>
      </c>
      <c r="B114" s="76" t="s">
        <v>764</v>
      </c>
      <c r="C114" s="19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9"/>
      <c r="AI114" s="19"/>
      <c r="AJ114" s="19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23"/>
      <c r="BF114" s="23"/>
      <c r="BG114" s="18"/>
      <c r="BH114" s="18"/>
      <c r="BI114" s="18"/>
      <c r="BJ114" s="18"/>
      <c r="BK114" s="19"/>
      <c r="BL114" s="18"/>
      <c r="BM114" s="18"/>
      <c r="BN114" s="86">
        <f t="shared" si="1"/>
        <v>0</v>
      </c>
    </row>
  </sheetData>
  <mergeCells count="1">
    <mergeCell ref="A1:BN1"/>
  </mergeCells>
  <pageMargins left="0.7" right="0.7" top="0.75" bottom="0.75" header="0.3" footer="0.3"/>
  <pageSetup paperSize="9" scale="65" orientation="portrait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122"/>
  <sheetViews>
    <sheetView zoomScale="164" zoomScaleNormal="164" workbookViewId="0">
      <pane xSplit="2" ySplit="2" topLeftCell="BI99" activePane="bottomRight" state="frozen"/>
      <selection/>
      <selection pane="topRight"/>
      <selection pane="bottomLeft"/>
      <selection pane="bottomRight" activeCell="BK82" sqref="BK82"/>
    </sheetView>
  </sheetViews>
  <sheetFormatPr defaultColWidth="9" defaultRowHeight="20" customHeight="1"/>
  <cols>
    <col min="1" max="1" width="14.3333333333333" style="1" customWidth="1"/>
    <col min="2" max="2" width="23.1666666666667" style="1" customWidth="1"/>
    <col min="3" max="8" width="7.5" style="1" customWidth="1"/>
    <col min="9" max="10" width="8.33333333333333" customWidth="1"/>
    <col min="11" max="11" width="8.33333333333333" style="3" customWidth="1"/>
    <col min="12" max="12" width="7.5" style="3" customWidth="1"/>
    <col min="13" max="14" width="7" style="3" customWidth="1"/>
    <col min="15" max="15" width="7" style="3" hidden="1" customWidth="1"/>
    <col min="16" max="16" width="7.83333333333333" style="3" hidden="1" customWidth="1"/>
    <col min="17" max="17" width="7.5" style="3" hidden="1" customWidth="1"/>
    <col min="18" max="18" width="7.16666666666667" style="3" hidden="1" customWidth="1"/>
    <col min="19" max="19" width="7.33333333333333" style="3" hidden="1" customWidth="1"/>
    <col min="20" max="20" width="7.83333333333333" style="3" hidden="1" customWidth="1"/>
    <col min="21" max="21" width="8.16666666666667" style="3" hidden="1" customWidth="1"/>
    <col min="22" max="22" width="7.66666666666667" style="91" hidden="1" customWidth="1"/>
    <col min="23" max="23" width="5.66666666666667" style="3" hidden="1" customWidth="1"/>
    <col min="24" max="24" width="7.66666666666667" style="3" hidden="1" customWidth="1"/>
    <col min="25" max="25" width="5.66666666666667" style="3" hidden="1" customWidth="1"/>
    <col min="26" max="26" width="6.66666666666667" style="3" hidden="1" customWidth="1"/>
    <col min="27" max="28" width="5.66666666666667" style="3" hidden="1" customWidth="1"/>
    <col min="29" max="30" width="7.33333333333333" style="3" hidden="1" customWidth="1"/>
    <col min="31" max="33" width="8.33333333333333" style="3" hidden="1" customWidth="1"/>
    <col min="34" max="36" width="7.66666666666667" style="41" hidden="1" customWidth="1"/>
    <col min="37" max="37" width="7.16666666666667" style="3" hidden="1" customWidth="1"/>
    <col min="38" max="38" width="6.83333333333333" style="3" hidden="1" customWidth="1"/>
    <col min="39" max="39" width="7.33333333333333" style="3" hidden="1" customWidth="1"/>
    <col min="40" max="40" width="7.66666666666667" style="3" hidden="1" customWidth="1"/>
    <col min="41" max="41" width="6.83333333333333" style="3" hidden="1" customWidth="1"/>
    <col min="42" max="42" width="8.5" style="3" hidden="1" customWidth="1"/>
    <col min="43" max="43" width="7.33333333333333" style="3" hidden="1" customWidth="1"/>
    <col min="44" max="44" width="8" style="3" hidden="1" customWidth="1"/>
    <col min="45" max="45" width="7.5" style="3" hidden="1" customWidth="1"/>
    <col min="46" max="50" width="5.66666666666667" style="3" hidden="1" customWidth="1"/>
    <col min="51" max="51" width="7.5" style="3" hidden="1" customWidth="1"/>
    <col min="52" max="52" width="5.66666666666667" style="3" hidden="1" customWidth="1"/>
    <col min="53" max="53" width="6.5" style="3" hidden="1" customWidth="1"/>
    <col min="54" max="58" width="5.66666666666667" style="3" hidden="1" customWidth="1"/>
    <col min="59" max="59" width="7" style="3" customWidth="1"/>
    <col min="60" max="60" width="7.83333333333333" style="3" customWidth="1"/>
    <col min="61" max="61" width="6.33333333333333" style="3" customWidth="1"/>
    <col min="62" max="62" width="7.33333333333333" style="3" customWidth="1"/>
    <col min="63" max="63" width="7.16666666666667" style="3" customWidth="1"/>
    <col min="64" max="64" width="7.33333333333333" style="3" customWidth="1"/>
    <col min="65" max="65" width="7.16666666666667" style="3" customWidth="1"/>
    <col min="66" max="66" width="8" style="3" customWidth="1"/>
    <col min="68" max="68" width="17.1666666666667" customWidth="1"/>
  </cols>
  <sheetData>
    <row r="1" customHeight="1" spans="1:68">
      <c r="A1" s="4" t="s">
        <v>767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</row>
    <row r="2" customHeight="1" spans="1:68">
      <c r="A2" s="47" t="s">
        <v>596</v>
      </c>
      <c r="B2" s="48" t="s">
        <v>597</v>
      </c>
      <c r="C2" s="49">
        <v>45047</v>
      </c>
      <c r="D2" s="49">
        <v>45050</v>
      </c>
      <c r="E2" s="49">
        <v>45052</v>
      </c>
      <c r="F2" s="49">
        <v>45054</v>
      </c>
      <c r="G2" s="49">
        <v>45058</v>
      </c>
      <c r="H2" s="49">
        <v>45061</v>
      </c>
      <c r="I2" s="50">
        <v>45056</v>
      </c>
      <c r="J2" s="50">
        <v>45059</v>
      </c>
      <c r="K2" s="50">
        <v>45057</v>
      </c>
      <c r="L2" s="50">
        <v>45062</v>
      </c>
      <c r="M2" s="50">
        <v>45068</v>
      </c>
      <c r="N2" s="50">
        <v>45069</v>
      </c>
      <c r="O2" s="50"/>
      <c r="P2" s="50"/>
      <c r="Q2" s="50"/>
      <c r="R2" s="89"/>
      <c r="S2" s="89"/>
      <c r="T2" s="89"/>
      <c r="U2" s="89"/>
      <c r="V2" s="84"/>
      <c r="W2" s="85"/>
      <c r="X2" s="85"/>
      <c r="Y2" s="85"/>
      <c r="Z2" s="85"/>
      <c r="AA2" s="85"/>
      <c r="AB2" s="85"/>
      <c r="AC2" s="85"/>
      <c r="AD2" s="51"/>
      <c r="AE2" s="51"/>
      <c r="AF2" s="51"/>
      <c r="AG2" s="51"/>
      <c r="AH2" s="52"/>
      <c r="AI2" s="52"/>
      <c r="AJ2" s="52"/>
      <c r="AK2" s="51"/>
      <c r="AL2" s="51"/>
      <c r="AM2" s="51"/>
      <c r="AN2" s="51"/>
      <c r="AO2" s="51"/>
      <c r="AP2" s="51"/>
      <c r="AQ2" s="51"/>
      <c r="AR2" s="51"/>
      <c r="AS2" s="51"/>
      <c r="AT2" s="51"/>
      <c r="AU2" s="51"/>
      <c r="AV2" s="51"/>
      <c r="AW2" s="51"/>
      <c r="AX2" s="51"/>
      <c r="AY2" s="51"/>
      <c r="AZ2" s="51"/>
      <c r="BA2" s="51"/>
      <c r="BB2" s="51"/>
      <c r="BC2" s="51"/>
      <c r="BD2" s="51"/>
      <c r="BE2" s="51"/>
      <c r="BF2" s="51"/>
      <c r="BG2" s="101">
        <v>45072</v>
      </c>
      <c r="BH2" s="101">
        <v>45073</v>
      </c>
      <c r="BI2" s="101">
        <v>45075</v>
      </c>
      <c r="BJ2" s="101">
        <v>45064</v>
      </c>
      <c r="BK2" s="101">
        <v>45076</v>
      </c>
      <c r="BL2" s="101"/>
      <c r="BM2" s="101"/>
      <c r="BN2" s="53" t="s">
        <v>598</v>
      </c>
      <c r="BO2" s="25"/>
      <c r="BP2" s="25"/>
    </row>
    <row r="3" s="44" customFormat="1" hidden="1" customHeight="1" spans="1:68">
      <c r="A3" s="54" t="s">
        <v>192</v>
      </c>
      <c r="B3" s="55" t="s">
        <v>600</v>
      </c>
      <c r="C3" s="56"/>
      <c r="D3" s="56"/>
      <c r="E3" s="56"/>
      <c r="F3" s="56"/>
      <c r="G3" s="56"/>
      <c r="H3" s="56"/>
      <c r="I3" s="57"/>
      <c r="J3" s="57"/>
      <c r="K3" s="57"/>
      <c r="L3" s="57"/>
      <c r="M3" s="57"/>
      <c r="N3" s="57"/>
      <c r="O3" s="57"/>
      <c r="P3" s="57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9"/>
      <c r="AI3" s="59"/>
      <c r="AJ3" s="59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58"/>
      <c r="BL3" s="58"/>
      <c r="BM3" s="58"/>
      <c r="BN3" s="86">
        <f>BM3+BL3+BK3+BJ3+BI3+BH3+BG3+BF3+BE3+BD3+BC3+BB3+BA3+AZ3+AY3+AX3+AW3+AV3+AU3+AT3+AS3+AR3+AQ3+AP3+AO3+AN3+AM3+AL3+AK3+AJ3+AI3+AH3+AG3+AF3+AE3+AD3+AC3+AB3+AA3+Z3+Y3+X3+W3+V3+U3+T3+S3+R3+Q3+P3+O3+N3+M3+L3+K3+J3+I3+H3+G3+F3+E3+D3+C3</f>
        <v>0</v>
      </c>
    </row>
    <row r="4" s="44" customFormat="1" hidden="1" customHeight="1" spans="1:68">
      <c r="A4" s="54" t="s">
        <v>134</v>
      </c>
      <c r="B4" s="55" t="s">
        <v>601</v>
      </c>
      <c r="C4" s="56"/>
      <c r="D4" s="56"/>
      <c r="E4" s="56"/>
      <c r="F4" s="56"/>
      <c r="G4" s="56"/>
      <c r="H4" s="56"/>
      <c r="I4" s="57"/>
      <c r="J4" s="57"/>
      <c r="K4" s="57"/>
      <c r="L4" s="57"/>
      <c r="M4" s="57"/>
      <c r="N4" s="57"/>
      <c r="O4" s="57"/>
      <c r="P4" s="57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9"/>
      <c r="AI4" s="59"/>
      <c r="AJ4" s="59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8"/>
      <c r="BK4" s="58"/>
      <c r="BL4" s="58"/>
      <c r="BM4" s="58"/>
      <c r="BN4" s="86">
        <f t="shared" ref="BN4:BN67" si="0">BM4+BL4+BK4+BJ4+BI4+BH4+BG4+BF4+BE4+BD4+BC4+BB4+BA4+AZ4+AY4+AX4+AW4+AV4+AU4+AT4+AS4+AR4+AQ4+AP4+AO4+AN4+AM4+AL4+AK4+AJ4+AI4+AH4+AG4+AF4+AE4+AD4+AC4+AB4+AA4+Z4+Y4+X4+W4+V4+U4+T4+S4+R4+Q4+P4+O4+N4+M4+L4+K4+J4+I4+H4+G4+F4+E4+D4+C4</f>
        <v>0</v>
      </c>
    </row>
    <row r="5" s="44" customFormat="1" hidden="1" customHeight="1" spans="1:68">
      <c r="A5" s="54" t="s">
        <v>602</v>
      </c>
      <c r="B5" s="55" t="s">
        <v>603</v>
      </c>
      <c r="C5" s="56"/>
      <c r="D5" s="56"/>
      <c r="E5" s="56"/>
      <c r="F5" s="56"/>
      <c r="G5" s="56"/>
      <c r="H5" s="56"/>
      <c r="I5" s="57"/>
      <c r="J5" s="57"/>
      <c r="K5" s="57"/>
      <c r="L5" s="57"/>
      <c r="M5" s="57"/>
      <c r="N5" s="57"/>
      <c r="O5" s="57"/>
      <c r="P5" s="57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9"/>
      <c r="AI5" s="59"/>
      <c r="AJ5" s="59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8"/>
      <c r="BF5" s="58"/>
      <c r="BG5" s="58"/>
      <c r="BH5" s="58"/>
      <c r="BI5" s="58"/>
      <c r="BJ5" s="58"/>
      <c r="BK5" s="58"/>
      <c r="BL5" s="58"/>
      <c r="BM5" s="58"/>
      <c r="BN5" s="86">
        <f t="shared" si="0"/>
        <v>0</v>
      </c>
    </row>
    <row r="6" s="44" customFormat="1" hidden="1" customHeight="1" spans="1:68">
      <c r="A6" s="54" t="s">
        <v>604</v>
      </c>
      <c r="B6" s="55" t="s">
        <v>605</v>
      </c>
      <c r="C6" s="56"/>
      <c r="D6" s="56"/>
      <c r="E6" s="56"/>
      <c r="F6" s="56"/>
      <c r="G6" s="56"/>
      <c r="H6" s="56"/>
      <c r="I6" s="57"/>
      <c r="J6" s="57"/>
      <c r="K6" s="57"/>
      <c r="L6" s="57"/>
      <c r="M6" s="57"/>
      <c r="N6" s="57"/>
      <c r="O6" s="57"/>
      <c r="P6" s="57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9"/>
      <c r="AI6" s="59"/>
      <c r="AJ6" s="59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58"/>
      <c r="BL6" s="58"/>
      <c r="BM6" s="58"/>
      <c r="BN6" s="86">
        <f t="shared" si="0"/>
        <v>0</v>
      </c>
    </row>
    <row r="7" s="44" customFormat="1" hidden="1" customHeight="1" spans="1:68">
      <c r="A7" s="54" t="s">
        <v>67</v>
      </c>
      <c r="B7" s="55" t="s">
        <v>606</v>
      </c>
      <c r="C7" s="56"/>
      <c r="D7" s="56"/>
      <c r="E7" s="56"/>
      <c r="F7" s="56"/>
      <c r="G7" s="56"/>
      <c r="H7" s="56"/>
      <c r="I7" s="57"/>
      <c r="J7" s="57"/>
      <c r="K7" s="57"/>
      <c r="L7" s="57"/>
      <c r="M7" s="57"/>
      <c r="N7" s="57"/>
      <c r="O7" s="57"/>
      <c r="P7" s="57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9"/>
      <c r="AI7" s="59"/>
      <c r="AJ7" s="59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58"/>
      <c r="BJ7" s="58"/>
      <c r="BK7" s="58"/>
      <c r="BL7" s="58"/>
      <c r="BM7" s="58"/>
      <c r="BN7" s="86">
        <f t="shared" si="0"/>
        <v>0</v>
      </c>
    </row>
    <row r="8" s="44" customFormat="1" customHeight="1" spans="1:68">
      <c r="A8" s="54" t="s">
        <v>53</v>
      </c>
      <c r="B8" s="55" t="s">
        <v>512</v>
      </c>
      <c r="C8" s="104" t="s">
        <v>751</v>
      </c>
      <c r="D8" s="56"/>
      <c r="E8" s="56"/>
      <c r="F8" s="56"/>
      <c r="G8" s="56"/>
      <c r="H8" s="56"/>
      <c r="I8" s="57"/>
      <c r="J8" s="57"/>
      <c r="K8" s="57"/>
      <c r="L8" s="57"/>
      <c r="M8" s="57"/>
      <c r="N8" s="57"/>
      <c r="O8" s="57"/>
      <c r="P8" s="57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9"/>
      <c r="AI8" s="59"/>
      <c r="AJ8" s="59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58"/>
      <c r="BF8" s="58"/>
      <c r="BG8" s="58"/>
      <c r="BH8" s="58"/>
      <c r="BI8" s="58"/>
      <c r="BJ8" s="58"/>
      <c r="BK8" s="58"/>
      <c r="BL8" s="58"/>
      <c r="BM8" s="58"/>
      <c r="BN8" s="90">
        <f t="shared" si="0"/>
        <v>2000</v>
      </c>
    </row>
    <row r="9" s="44" customFormat="1" hidden="1" customHeight="1" spans="1:68">
      <c r="A9" s="54" t="s">
        <v>16</v>
      </c>
      <c r="B9" s="55" t="s">
        <v>608</v>
      </c>
      <c r="C9" s="56"/>
      <c r="D9" s="56"/>
      <c r="E9" s="56"/>
      <c r="F9" s="56"/>
      <c r="G9" s="56"/>
      <c r="H9" s="56"/>
      <c r="I9" s="57"/>
      <c r="J9" s="57"/>
      <c r="K9" s="57"/>
      <c r="L9" s="57"/>
      <c r="M9" s="57"/>
      <c r="N9" s="57"/>
      <c r="O9" s="57"/>
      <c r="P9" s="57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9"/>
      <c r="AI9" s="59"/>
      <c r="AJ9" s="59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58"/>
      <c r="BI9" s="58"/>
      <c r="BJ9" s="58"/>
      <c r="BK9" s="58"/>
      <c r="BL9" s="58"/>
      <c r="BM9" s="58"/>
      <c r="BN9" s="86">
        <f t="shared" si="0"/>
        <v>0</v>
      </c>
    </row>
    <row r="10" s="44" customFormat="1" hidden="1" customHeight="1" spans="1:68">
      <c r="A10" s="54" t="s">
        <v>59</v>
      </c>
      <c r="B10" s="55" t="s">
        <v>609</v>
      </c>
      <c r="C10" s="56"/>
      <c r="D10" s="56"/>
      <c r="E10" s="56"/>
      <c r="F10" s="56"/>
      <c r="G10" s="56"/>
      <c r="H10" s="56"/>
      <c r="I10" s="57"/>
      <c r="J10" s="57"/>
      <c r="K10" s="57"/>
      <c r="L10" s="57"/>
      <c r="M10" s="57"/>
      <c r="N10" s="57"/>
      <c r="O10" s="57"/>
      <c r="P10" s="57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9"/>
      <c r="AI10" s="59"/>
      <c r="AJ10" s="59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86">
        <f t="shared" si="0"/>
        <v>0</v>
      </c>
    </row>
    <row r="11" s="44" customFormat="1" hidden="1" customHeight="1" spans="1:68">
      <c r="A11" s="54" t="s">
        <v>612</v>
      </c>
      <c r="B11" s="55" t="s">
        <v>613</v>
      </c>
      <c r="C11" s="56"/>
      <c r="D11" s="56"/>
      <c r="E11" s="56"/>
      <c r="F11" s="56"/>
      <c r="G11" s="56"/>
      <c r="H11" s="56"/>
      <c r="I11" s="57"/>
      <c r="J11" s="57"/>
      <c r="K11" s="57"/>
      <c r="L11" s="57"/>
      <c r="M11" s="57"/>
      <c r="N11" s="57"/>
      <c r="O11" s="57"/>
      <c r="P11" s="57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9"/>
      <c r="AI11" s="59"/>
      <c r="AJ11" s="59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86">
        <f t="shared" si="0"/>
        <v>0</v>
      </c>
    </row>
    <row r="12" s="44" customFormat="1" hidden="1" customHeight="1" spans="1:68">
      <c r="A12" s="54" t="s">
        <v>68</v>
      </c>
      <c r="B12" s="55" t="s">
        <v>614</v>
      </c>
      <c r="C12" s="56"/>
      <c r="D12" s="56"/>
      <c r="E12" s="56"/>
      <c r="F12" s="56"/>
      <c r="G12" s="56"/>
      <c r="H12" s="56"/>
      <c r="I12" s="57"/>
      <c r="J12" s="57"/>
      <c r="K12" s="57"/>
      <c r="L12" s="57"/>
      <c r="M12" s="57"/>
      <c r="N12" s="57"/>
      <c r="O12" s="57"/>
      <c r="P12" s="57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9"/>
      <c r="AI12" s="59"/>
      <c r="AJ12" s="59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86">
        <f t="shared" si="0"/>
        <v>0</v>
      </c>
    </row>
    <row r="13" s="44" customFormat="1" hidden="1" customHeight="1" spans="1:68">
      <c r="A13" s="54" t="s">
        <v>616</v>
      </c>
      <c r="B13" s="55" t="s">
        <v>617</v>
      </c>
      <c r="C13" s="56"/>
      <c r="D13" s="56"/>
      <c r="E13" s="56"/>
      <c r="F13" s="56"/>
      <c r="G13" s="56"/>
      <c r="H13" s="56"/>
      <c r="I13" s="57"/>
      <c r="J13" s="57"/>
      <c r="K13" s="57"/>
      <c r="L13" s="57"/>
      <c r="M13" s="57"/>
      <c r="N13" s="57"/>
      <c r="O13" s="57"/>
      <c r="P13" s="57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9"/>
      <c r="AI13" s="59"/>
      <c r="AJ13" s="59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86">
        <f t="shared" si="0"/>
        <v>0</v>
      </c>
    </row>
    <row r="14" s="45" customFormat="1" hidden="1" customHeight="1" spans="1:68">
      <c r="A14" s="54" t="s">
        <v>190</v>
      </c>
      <c r="B14" s="55" t="s">
        <v>759</v>
      </c>
      <c r="C14" s="56"/>
      <c r="D14" s="56"/>
      <c r="E14" s="56"/>
      <c r="F14" s="56"/>
      <c r="G14" s="56"/>
      <c r="H14" s="56"/>
      <c r="I14" s="57"/>
      <c r="J14" s="57"/>
      <c r="K14" s="57"/>
      <c r="L14" s="57"/>
      <c r="M14" s="57"/>
      <c r="N14" s="57"/>
      <c r="O14" s="57"/>
      <c r="P14" s="57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9"/>
      <c r="AI14" s="59"/>
      <c r="AJ14" s="59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86">
        <f t="shared" si="0"/>
        <v>0</v>
      </c>
    </row>
    <row r="15" s="46" customFormat="1" hidden="1" customHeight="1" spans="1:68">
      <c r="A15" s="61" t="s">
        <v>224</v>
      </c>
      <c r="B15" s="62" t="s">
        <v>620</v>
      </c>
      <c r="C15" s="62"/>
      <c r="D15" s="62"/>
      <c r="E15" s="62"/>
      <c r="F15" s="62"/>
      <c r="G15" s="62"/>
      <c r="H15" s="62"/>
      <c r="I15" s="63"/>
      <c r="J15" s="63"/>
      <c r="K15" s="63"/>
      <c r="L15" s="63"/>
      <c r="M15" s="63"/>
      <c r="N15" s="63"/>
      <c r="O15" s="63"/>
      <c r="P15" s="63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5"/>
      <c r="AI15" s="65"/>
      <c r="AJ15" s="65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4"/>
      <c r="BF15" s="64"/>
      <c r="BG15" s="64"/>
      <c r="BH15" s="64"/>
      <c r="BI15" s="64"/>
      <c r="BJ15" s="64"/>
      <c r="BK15" s="64"/>
      <c r="BL15" s="64"/>
      <c r="BM15" s="64"/>
      <c r="BN15" s="86">
        <f t="shared" si="0"/>
        <v>0</v>
      </c>
    </row>
    <row r="16" s="46" customFormat="1" customHeight="1" spans="1:68">
      <c r="A16" s="61" t="s">
        <v>204</v>
      </c>
      <c r="B16" s="77" t="s">
        <v>621</v>
      </c>
      <c r="C16" s="77"/>
      <c r="D16" s="77"/>
      <c r="E16" s="77"/>
      <c r="F16" s="77"/>
      <c r="G16" s="77"/>
      <c r="H16" s="77"/>
      <c r="I16" s="78"/>
      <c r="J16" s="78"/>
      <c r="K16" s="105" t="s">
        <v>607</v>
      </c>
      <c r="L16" s="78"/>
      <c r="M16" s="78"/>
      <c r="N16" s="78"/>
      <c r="O16" s="78"/>
      <c r="P16" s="78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80"/>
      <c r="AI16" s="80"/>
      <c r="AJ16" s="80"/>
      <c r="AK16" s="79"/>
      <c r="AL16" s="79"/>
      <c r="AM16" s="79"/>
      <c r="AN16" s="79"/>
      <c r="AO16" s="79"/>
      <c r="AP16" s="79"/>
      <c r="AQ16" s="79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79"/>
      <c r="BF16" s="79"/>
      <c r="BG16" s="79"/>
      <c r="BH16" s="79"/>
      <c r="BI16" s="79"/>
      <c r="BJ16" s="79"/>
      <c r="BK16" s="79"/>
      <c r="BL16" s="79"/>
      <c r="BM16" s="79"/>
      <c r="BN16" s="90">
        <f t="shared" si="0"/>
        <v>1000</v>
      </c>
    </row>
    <row r="17" s="46" customFormat="1" customHeight="1" spans="1:66">
      <c r="A17" s="61" t="s">
        <v>623</v>
      </c>
      <c r="B17" s="77" t="s">
        <v>624</v>
      </c>
      <c r="C17" s="77"/>
      <c r="D17" s="77"/>
      <c r="E17" s="77"/>
      <c r="F17" s="77"/>
      <c r="G17" s="77"/>
      <c r="H17" s="77"/>
      <c r="I17" s="78"/>
      <c r="J17" s="78"/>
      <c r="K17" s="78"/>
      <c r="L17" s="78"/>
      <c r="M17" s="78"/>
      <c r="N17" s="78"/>
      <c r="O17" s="78"/>
      <c r="P17" s="78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80"/>
      <c r="AI17" s="80"/>
      <c r="AJ17" s="80"/>
      <c r="AK17" s="79"/>
      <c r="AL17" s="79"/>
      <c r="AM17" s="79"/>
      <c r="AN17" s="79"/>
      <c r="AO17" s="79"/>
      <c r="AP17" s="79"/>
      <c r="AQ17" s="79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79"/>
      <c r="BF17" s="79"/>
      <c r="BG17" s="79"/>
      <c r="BH17" s="79"/>
      <c r="BI17" s="79"/>
      <c r="BJ17" s="79"/>
      <c r="BK17" s="79"/>
      <c r="BL17" s="79"/>
      <c r="BM17" s="79"/>
      <c r="BN17" s="86">
        <f t="shared" si="0"/>
        <v>0</v>
      </c>
    </row>
    <row r="18" s="46" customFormat="1" customHeight="1" spans="1:66">
      <c r="A18" s="61" t="s">
        <v>161</v>
      </c>
      <c r="B18" s="77" t="s">
        <v>625</v>
      </c>
      <c r="C18" s="77"/>
      <c r="D18" s="106" t="s">
        <v>607</v>
      </c>
      <c r="E18" s="77"/>
      <c r="F18" s="77"/>
      <c r="G18" s="77"/>
      <c r="H18" s="77"/>
      <c r="I18" s="78"/>
      <c r="J18" s="78"/>
      <c r="K18" s="78"/>
      <c r="L18" s="78"/>
      <c r="M18" s="78"/>
      <c r="N18" s="78"/>
      <c r="O18" s="78"/>
      <c r="P18" s="78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80"/>
      <c r="AI18" s="80"/>
      <c r="AJ18" s="80"/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79"/>
      <c r="BF18" s="79"/>
      <c r="BG18" s="79"/>
      <c r="BH18" s="79"/>
      <c r="BI18" s="79"/>
      <c r="BJ18" s="79"/>
      <c r="BK18" s="79"/>
      <c r="BL18" s="79"/>
      <c r="BM18" s="79"/>
      <c r="BN18" s="90">
        <f t="shared" si="0"/>
        <v>1000</v>
      </c>
    </row>
    <row r="19" s="3" customFormat="1" hidden="1" customHeight="1" spans="1:66">
      <c r="A19" s="66" t="s">
        <v>626</v>
      </c>
      <c r="B19" s="14" t="s">
        <v>627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5"/>
      <c r="AI19" s="15"/>
      <c r="AJ19" s="15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86">
        <f t="shared" si="0"/>
        <v>0</v>
      </c>
    </row>
    <row r="20" s="3" customFormat="1" hidden="1" customHeight="1" spans="1:66">
      <c r="A20" s="42" t="s">
        <v>114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9"/>
      <c r="AI20" s="19"/>
      <c r="AJ20" s="19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86">
        <f t="shared" si="0"/>
        <v>0</v>
      </c>
    </row>
    <row r="21" s="3" customFormat="1" hidden="1" customHeight="1" spans="1:66">
      <c r="A21" s="42" t="s">
        <v>106</v>
      </c>
      <c r="B21" s="18" t="s">
        <v>107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9"/>
      <c r="AI21" s="19"/>
      <c r="AJ21" s="19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86">
        <f t="shared" si="0"/>
        <v>0</v>
      </c>
    </row>
    <row r="22" s="3" customFormat="1" hidden="1" customHeight="1" spans="1:66">
      <c r="A22" s="42" t="s">
        <v>629</v>
      </c>
      <c r="B22" s="18" t="s">
        <v>630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9"/>
      <c r="AI22" s="19"/>
      <c r="AJ22" s="19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20"/>
      <c r="BK22" s="18"/>
      <c r="BL22" s="18"/>
      <c r="BM22" s="18"/>
      <c r="BN22" s="86">
        <f t="shared" si="0"/>
        <v>0</v>
      </c>
    </row>
    <row r="23" s="3" customFormat="1" customHeight="1" spans="1:66">
      <c r="A23" s="42" t="s">
        <v>18</v>
      </c>
      <c r="B23" s="18" t="s">
        <v>631</v>
      </c>
      <c r="C23" s="18"/>
      <c r="D23" s="107">
        <v>800</v>
      </c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9"/>
      <c r="AI23" s="19"/>
      <c r="AJ23" s="19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20"/>
      <c r="BK23" s="18"/>
      <c r="BL23" s="18"/>
      <c r="BM23" s="18"/>
      <c r="BN23" s="90">
        <f t="shared" si="0"/>
        <v>800</v>
      </c>
    </row>
    <row r="24" customHeight="1" spans="1:66">
      <c r="A24" s="16" t="s">
        <v>33</v>
      </c>
      <c r="B24" s="17" t="s">
        <v>632</v>
      </c>
      <c r="C24" s="18"/>
      <c r="D24" s="18"/>
      <c r="E24" s="18"/>
      <c r="F24" s="18"/>
      <c r="G24" s="18"/>
      <c r="H24" s="18"/>
      <c r="I24" s="18"/>
      <c r="J24" s="107">
        <v>1000</v>
      </c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9"/>
      <c r="AI24" s="19"/>
      <c r="AJ24" s="19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20"/>
      <c r="BK24" s="18"/>
      <c r="BL24" s="18"/>
      <c r="BM24" s="18"/>
      <c r="BN24" s="90">
        <f t="shared" si="0"/>
        <v>1000</v>
      </c>
    </row>
    <row r="25" hidden="1" customHeight="1" spans="1:66">
      <c r="A25" s="16" t="s">
        <v>69</v>
      </c>
      <c r="B25" s="17" t="s">
        <v>633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9"/>
      <c r="AI25" s="19"/>
      <c r="AJ25" s="19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20"/>
      <c r="BK25" s="18"/>
      <c r="BL25" s="18"/>
      <c r="BM25" s="18"/>
      <c r="BN25" s="86">
        <f t="shared" si="0"/>
        <v>0</v>
      </c>
    </row>
    <row r="26" hidden="1" customHeight="1" spans="1:66">
      <c r="A26" s="16" t="s">
        <v>634</v>
      </c>
      <c r="B26" s="17" t="s">
        <v>635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9"/>
      <c r="AI26" s="19"/>
      <c r="AJ26" s="19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20"/>
      <c r="BK26" s="18"/>
      <c r="BL26" s="18"/>
      <c r="BM26" s="18"/>
      <c r="BN26" s="86">
        <f t="shared" si="0"/>
        <v>0</v>
      </c>
    </row>
    <row r="27" customHeight="1" spans="1:66">
      <c r="A27" s="16" t="s">
        <v>155</v>
      </c>
      <c r="B27" s="17" t="s">
        <v>636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9"/>
      <c r="AI27" s="19"/>
      <c r="AJ27" s="19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20"/>
      <c r="BK27" s="107">
        <v>500</v>
      </c>
      <c r="BL27" s="18"/>
      <c r="BM27" s="18"/>
      <c r="BN27" s="90">
        <f t="shared" si="0"/>
        <v>500</v>
      </c>
    </row>
    <row r="28" hidden="1" customHeight="1" spans="1:66">
      <c r="A28" s="16" t="s">
        <v>193</v>
      </c>
      <c r="B28" s="17" t="s">
        <v>637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9"/>
      <c r="AI28" s="19"/>
      <c r="AJ28" s="19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20"/>
      <c r="BK28" s="18"/>
      <c r="BL28" s="18"/>
      <c r="BM28" s="18"/>
      <c r="BN28" s="86">
        <f t="shared" si="0"/>
        <v>0</v>
      </c>
    </row>
    <row r="29" customHeight="1" spans="1:66">
      <c r="A29" s="16" t="s">
        <v>35</v>
      </c>
      <c r="B29" s="17" t="s">
        <v>638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9"/>
      <c r="AI29" s="19"/>
      <c r="AJ29" s="19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08">
        <v>1000</v>
      </c>
      <c r="BK29" s="18"/>
      <c r="BL29" s="18"/>
      <c r="BM29" s="18"/>
      <c r="BN29" s="90">
        <f t="shared" si="0"/>
        <v>1000</v>
      </c>
    </row>
    <row r="30" hidden="1" customHeight="1" spans="1:66">
      <c r="A30" s="16" t="s">
        <v>234</v>
      </c>
      <c r="B30" s="17" t="s">
        <v>639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9"/>
      <c r="AI30" s="19"/>
      <c r="AJ30" s="19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20"/>
      <c r="BK30" s="18"/>
      <c r="BL30" s="18"/>
      <c r="BM30" s="18"/>
      <c r="BN30" s="86">
        <f t="shared" si="0"/>
        <v>0</v>
      </c>
    </row>
    <row r="31" customHeight="1" spans="1:66">
      <c r="A31" s="16" t="s">
        <v>175</v>
      </c>
      <c r="B31" s="17"/>
      <c r="C31" s="18"/>
      <c r="D31" s="107">
        <v>250</v>
      </c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9"/>
      <c r="AI31" s="19"/>
      <c r="AJ31" s="19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07">
        <v>250</v>
      </c>
      <c r="BI31" s="18"/>
      <c r="BJ31" s="20"/>
      <c r="BK31" s="18"/>
      <c r="BL31" s="18"/>
      <c r="BM31" s="18"/>
      <c r="BN31" s="90">
        <f t="shared" si="0"/>
        <v>500</v>
      </c>
    </row>
    <row r="32" customHeight="1" spans="1:66">
      <c r="A32" s="16" t="s">
        <v>165</v>
      </c>
      <c r="B32" s="17" t="s">
        <v>640</v>
      </c>
      <c r="C32" s="18"/>
      <c r="D32" s="107">
        <v>1000</v>
      </c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9"/>
      <c r="AI32" s="19"/>
      <c r="AJ32" s="19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20"/>
      <c r="BK32" s="18"/>
      <c r="BL32" s="18"/>
      <c r="BM32" s="18"/>
      <c r="BN32" s="90">
        <f t="shared" si="0"/>
        <v>1000</v>
      </c>
    </row>
    <row r="33" hidden="1" customHeight="1" spans="1:66">
      <c r="A33" s="16" t="s">
        <v>78</v>
      </c>
      <c r="B33" s="17" t="s">
        <v>641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9"/>
      <c r="AI33" s="19"/>
      <c r="AJ33" s="19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20"/>
      <c r="BK33" s="18"/>
      <c r="BL33" s="18"/>
      <c r="BM33" s="18"/>
      <c r="BN33" s="86">
        <f t="shared" si="0"/>
        <v>0</v>
      </c>
    </row>
    <row r="34" hidden="1" customHeight="1" spans="1:66">
      <c r="A34" s="16" t="s">
        <v>74</v>
      </c>
      <c r="B34" s="17" t="s">
        <v>642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9"/>
      <c r="AI34" s="19"/>
      <c r="AJ34" s="19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20"/>
      <c r="BK34" s="18"/>
      <c r="BL34" s="18"/>
      <c r="BM34" s="18"/>
      <c r="BN34" s="86">
        <f t="shared" si="0"/>
        <v>0</v>
      </c>
    </row>
    <row r="35" hidden="1" customHeight="1" spans="1:66">
      <c r="A35" s="16" t="s">
        <v>643</v>
      </c>
      <c r="B35" s="17" t="s">
        <v>644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9"/>
      <c r="AI35" s="19"/>
      <c r="AJ35" s="19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20"/>
      <c r="BK35" s="18"/>
      <c r="BL35" s="18"/>
      <c r="BM35" s="18"/>
      <c r="BN35" s="86">
        <f t="shared" si="0"/>
        <v>0</v>
      </c>
    </row>
    <row r="36" customHeight="1" spans="1:66">
      <c r="A36" s="16" t="s">
        <v>138</v>
      </c>
      <c r="B36" s="17" t="s">
        <v>645</v>
      </c>
      <c r="C36" s="18"/>
      <c r="D36" s="18"/>
      <c r="E36" s="18"/>
      <c r="F36" s="18"/>
      <c r="G36" s="107">
        <v>500</v>
      </c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9"/>
      <c r="AI36" s="19"/>
      <c r="AJ36" s="19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20"/>
      <c r="BK36" s="18"/>
      <c r="BL36" s="18"/>
      <c r="BM36" s="18"/>
      <c r="BN36" s="90">
        <f t="shared" si="0"/>
        <v>500</v>
      </c>
    </row>
    <row r="37" customHeight="1" spans="1:66">
      <c r="A37" s="16" t="s">
        <v>141</v>
      </c>
      <c r="B37" s="17" t="s">
        <v>646</v>
      </c>
      <c r="C37" s="18"/>
      <c r="D37" s="18"/>
      <c r="E37" s="18"/>
      <c r="F37" s="18"/>
      <c r="G37" s="107">
        <v>500</v>
      </c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9"/>
      <c r="AI37" s="19"/>
      <c r="AJ37" s="19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20"/>
      <c r="BK37" s="18"/>
      <c r="BL37" s="18"/>
      <c r="BM37" s="18"/>
      <c r="BN37" s="90">
        <f t="shared" si="0"/>
        <v>500</v>
      </c>
    </row>
    <row r="38" customHeight="1" spans="1:66">
      <c r="A38" s="16" t="s">
        <v>109</v>
      </c>
      <c r="B38" s="17" t="s">
        <v>110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9"/>
      <c r="AI38" s="19"/>
      <c r="AJ38" s="19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86">
        <f t="shared" si="0"/>
        <v>0</v>
      </c>
    </row>
    <row r="39" customHeight="1" spans="1:66">
      <c r="A39" s="16" t="s">
        <v>103</v>
      </c>
      <c r="B39" s="17" t="s">
        <v>647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9"/>
      <c r="AI39" s="19"/>
      <c r="AJ39" s="19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07">
        <v>1000</v>
      </c>
      <c r="BH39" s="18"/>
      <c r="BI39" s="18"/>
      <c r="BJ39" s="107">
        <v>500</v>
      </c>
      <c r="BK39" s="18"/>
      <c r="BL39" s="18"/>
      <c r="BM39" s="18"/>
      <c r="BN39" s="90">
        <f t="shared" si="0"/>
        <v>1500</v>
      </c>
    </row>
    <row r="40" customHeight="1" spans="1:66">
      <c r="A40" s="16" t="s">
        <v>177</v>
      </c>
      <c r="B40" s="17" t="s">
        <v>648</v>
      </c>
      <c r="C40" s="18"/>
      <c r="D40" s="18"/>
      <c r="E40" s="18"/>
      <c r="F40" s="18"/>
      <c r="G40" s="107">
        <v>500</v>
      </c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9"/>
      <c r="AI40" s="19"/>
      <c r="AJ40" s="19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90">
        <f t="shared" si="0"/>
        <v>500</v>
      </c>
    </row>
    <row r="41" customHeight="1" spans="1:66">
      <c r="A41" s="16" t="s">
        <v>37</v>
      </c>
      <c r="B41" s="17" t="s">
        <v>649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9"/>
      <c r="AI41" s="19"/>
      <c r="AJ41" s="19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86">
        <f t="shared" si="0"/>
        <v>0</v>
      </c>
    </row>
    <row r="42" customHeight="1" spans="1:66">
      <c r="A42" s="16" t="s">
        <v>173</v>
      </c>
      <c r="B42" s="17" t="s">
        <v>650</v>
      </c>
      <c r="C42" s="18"/>
      <c r="D42" s="107">
        <v>5000</v>
      </c>
      <c r="E42" s="18"/>
      <c r="F42" s="18"/>
      <c r="G42" s="18"/>
      <c r="H42" s="18"/>
      <c r="I42" s="18"/>
      <c r="J42" s="18"/>
      <c r="K42" s="18"/>
      <c r="L42" s="107">
        <v>5000</v>
      </c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9"/>
      <c r="AI42" s="19"/>
      <c r="AJ42" s="19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86">
        <f t="shared" si="0"/>
        <v>10000</v>
      </c>
    </row>
    <row r="43" customHeight="1" spans="1:66">
      <c r="A43" s="16" t="s">
        <v>651</v>
      </c>
      <c r="B43" s="21" t="s">
        <v>652</v>
      </c>
      <c r="C43" s="22"/>
      <c r="D43" s="22"/>
      <c r="E43" s="22"/>
      <c r="F43" s="22"/>
      <c r="G43" s="22"/>
      <c r="H43" s="22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9"/>
      <c r="AI43" s="19"/>
      <c r="AJ43" s="19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86">
        <f t="shared" si="0"/>
        <v>0</v>
      </c>
    </row>
    <row r="44" customHeight="1" spans="1:66">
      <c r="A44" s="16" t="s">
        <v>144</v>
      </c>
      <c r="B44" s="21" t="s">
        <v>653</v>
      </c>
      <c r="C44" s="22"/>
      <c r="D44" s="22"/>
      <c r="E44" s="22"/>
      <c r="F44" s="22"/>
      <c r="G44" s="22"/>
      <c r="H44" s="22"/>
      <c r="I44" s="18"/>
      <c r="J44" s="107">
        <v>500</v>
      </c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9"/>
      <c r="AI44" s="19"/>
      <c r="AJ44" s="19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90">
        <f t="shared" si="0"/>
        <v>500</v>
      </c>
    </row>
    <row r="45" hidden="1" customHeight="1" spans="1:66">
      <c r="A45" s="16" t="s">
        <v>187</v>
      </c>
      <c r="B45" s="17" t="s">
        <v>654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9"/>
      <c r="AI45" s="19"/>
      <c r="AJ45" s="19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86">
        <f t="shared" si="0"/>
        <v>0</v>
      </c>
    </row>
    <row r="46" hidden="1" customHeight="1" spans="1:66">
      <c r="A46" s="16" t="s">
        <v>14</v>
      </c>
      <c r="B46" s="17" t="s">
        <v>655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9"/>
      <c r="AI46" s="19"/>
      <c r="AJ46" s="19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86">
        <f t="shared" si="0"/>
        <v>0</v>
      </c>
    </row>
    <row r="47" customHeight="1" spans="1:66">
      <c r="A47" s="16" t="s">
        <v>768</v>
      </c>
      <c r="B47" s="17" t="s">
        <v>656</v>
      </c>
      <c r="C47" s="107">
        <v>5050</v>
      </c>
      <c r="D47" s="18"/>
      <c r="E47" s="18"/>
      <c r="F47" s="18"/>
      <c r="G47" s="18"/>
      <c r="H47" s="18"/>
      <c r="I47" s="18"/>
      <c r="J47" s="18">
        <v>2000</v>
      </c>
      <c r="K47" s="18"/>
      <c r="L47" s="107">
        <v>2000</v>
      </c>
      <c r="M47" s="107">
        <v>975</v>
      </c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9"/>
      <c r="AI47" s="19"/>
      <c r="AJ47" s="19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07">
        <v>1100</v>
      </c>
      <c r="BH47" s="18"/>
      <c r="BI47" s="18"/>
      <c r="BJ47" s="18"/>
      <c r="BK47" s="18"/>
      <c r="BL47" s="18"/>
      <c r="BM47" s="18"/>
      <c r="BN47" s="86">
        <f t="shared" si="0"/>
        <v>11125</v>
      </c>
    </row>
    <row r="48" hidden="1" customHeight="1" spans="1:66">
      <c r="A48" s="16" t="s">
        <v>76</v>
      </c>
      <c r="B48" s="17" t="s">
        <v>657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9"/>
      <c r="AI48" s="19"/>
      <c r="AJ48" s="19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86">
        <f t="shared" si="0"/>
        <v>0</v>
      </c>
    </row>
    <row r="49" hidden="1" customHeight="1" spans="1:66">
      <c r="A49" s="16" t="s">
        <v>218</v>
      </c>
      <c r="B49" s="17" t="s">
        <v>658</v>
      </c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9"/>
      <c r="AI49" s="19"/>
      <c r="AJ49" s="19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86">
        <f t="shared" si="0"/>
        <v>0</v>
      </c>
    </row>
    <row r="50" customHeight="1" spans="1:66">
      <c r="A50" s="16" t="s">
        <v>135</v>
      </c>
      <c r="B50" s="17" t="s">
        <v>659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9"/>
      <c r="AI50" s="19"/>
      <c r="AJ50" s="19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07">
        <v>500</v>
      </c>
      <c r="BI50" s="18"/>
      <c r="BJ50" s="107">
        <v>500</v>
      </c>
      <c r="BK50" s="18"/>
      <c r="BL50" s="18"/>
      <c r="BM50" s="18"/>
      <c r="BN50" s="90">
        <f t="shared" si="0"/>
        <v>1000</v>
      </c>
    </row>
    <row r="51" customHeight="1" spans="1:66">
      <c r="A51" s="16" t="s">
        <v>22</v>
      </c>
      <c r="B51" s="17" t="s">
        <v>652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9"/>
      <c r="AI51" s="19"/>
      <c r="AJ51" s="19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07">
        <v>1000</v>
      </c>
      <c r="BJ51" s="18"/>
      <c r="BK51" s="18"/>
      <c r="BL51" s="18"/>
      <c r="BM51" s="18"/>
      <c r="BN51" s="90">
        <f t="shared" si="0"/>
        <v>1000</v>
      </c>
    </row>
    <row r="52" hidden="1" customHeight="1" spans="1:66">
      <c r="A52" s="16" t="s">
        <v>660</v>
      </c>
      <c r="B52" s="17" t="s">
        <v>655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9"/>
      <c r="AI52" s="19"/>
      <c r="AJ52" s="19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86">
        <f t="shared" si="0"/>
        <v>0</v>
      </c>
    </row>
    <row r="53" hidden="1" customHeight="1" spans="1:66">
      <c r="A53" s="16" t="s">
        <v>661</v>
      </c>
      <c r="B53" s="17" t="s">
        <v>653</v>
      </c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9"/>
      <c r="AI53" s="19"/>
      <c r="AJ53" s="19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86">
        <f t="shared" si="0"/>
        <v>0</v>
      </c>
    </row>
    <row r="54" hidden="1" customHeight="1" spans="1:66">
      <c r="A54" s="16" t="s">
        <v>662</v>
      </c>
      <c r="B54" s="17" t="s">
        <v>663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9"/>
      <c r="AI54" s="19"/>
      <c r="AJ54" s="19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86">
        <f t="shared" si="0"/>
        <v>0</v>
      </c>
    </row>
    <row r="55" hidden="1" customHeight="1" spans="1:66">
      <c r="A55" s="16" t="s">
        <v>666</v>
      </c>
      <c r="B55" s="17" t="s">
        <v>667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9"/>
      <c r="AI55" s="19"/>
      <c r="AJ55" s="19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86">
        <f t="shared" si="0"/>
        <v>0</v>
      </c>
    </row>
    <row r="56" hidden="1" customHeight="1" spans="1:66">
      <c r="A56" s="16" t="s">
        <v>668</v>
      </c>
      <c r="B56" s="17" t="s">
        <v>669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9"/>
      <c r="AI56" s="19"/>
      <c r="AJ56" s="19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86">
        <f t="shared" si="0"/>
        <v>0</v>
      </c>
    </row>
    <row r="57" hidden="1" customHeight="1" spans="1:66">
      <c r="A57" s="16" t="s">
        <v>670</v>
      </c>
      <c r="B57" s="17" t="s">
        <v>671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9"/>
      <c r="AI57" s="19"/>
      <c r="AJ57" s="19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86">
        <f t="shared" si="0"/>
        <v>0</v>
      </c>
    </row>
    <row r="58" hidden="1" customHeight="1" spans="1:66">
      <c r="A58" s="16" t="s">
        <v>672</v>
      </c>
      <c r="B58" s="17" t="s">
        <v>671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9"/>
      <c r="AI58" s="19"/>
      <c r="AJ58" s="19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86">
        <f t="shared" si="0"/>
        <v>0</v>
      </c>
    </row>
    <row r="59" hidden="1" customHeight="1" spans="1:66">
      <c r="A59" s="16" t="s">
        <v>673</v>
      </c>
      <c r="B59" s="17" t="s">
        <v>674</v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9"/>
      <c r="AI59" s="19"/>
      <c r="AJ59" s="19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86">
        <f t="shared" si="0"/>
        <v>0</v>
      </c>
    </row>
    <row r="60" hidden="1" customHeight="1" spans="1:66">
      <c r="A60" s="16" t="s">
        <v>675</v>
      </c>
      <c r="B60" s="17" t="s">
        <v>676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9"/>
      <c r="AI60" s="19"/>
      <c r="AJ60" s="19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86">
        <f t="shared" si="0"/>
        <v>0</v>
      </c>
    </row>
    <row r="61" hidden="1" customHeight="1" spans="1:66">
      <c r="A61" s="16" t="s">
        <v>677</v>
      </c>
      <c r="B61" s="17" t="s">
        <v>678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9"/>
      <c r="AI61" s="19"/>
      <c r="AJ61" s="19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86">
        <f t="shared" si="0"/>
        <v>0</v>
      </c>
    </row>
    <row r="62" hidden="1" customHeight="1" spans="1:66">
      <c r="A62" s="16" t="s">
        <v>679</v>
      </c>
      <c r="B62" s="17" t="s">
        <v>680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9"/>
      <c r="AI62" s="19"/>
      <c r="AJ62" s="19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86">
        <f t="shared" si="0"/>
        <v>0</v>
      </c>
    </row>
    <row r="63" hidden="1" customHeight="1" spans="1:66">
      <c r="A63" s="16" t="s">
        <v>681</v>
      </c>
      <c r="B63" s="17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9"/>
      <c r="AI63" s="19"/>
      <c r="AJ63" s="19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86">
        <f t="shared" si="0"/>
        <v>0</v>
      </c>
    </row>
    <row r="64" hidden="1" customHeight="1" spans="1:66">
      <c r="A64" s="16" t="s">
        <v>604</v>
      </c>
      <c r="B64" s="17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9"/>
      <c r="AI64" s="19"/>
      <c r="AJ64" s="19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86">
        <f t="shared" si="0"/>
        <v>0</v>
      </c>
    </row>
    <row r="65" hidden="1" customHeight="1" spans="1:66">
      <c r="A65" s="16" t="s">
        <v>682</v>
      </c>
      <c r="B65" s="17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9"/>
      <c r="AI65" s="19"/>
      <c r="AJ65" s="19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86">
        <f t="shared" si="0"/>
        <v>0</v>
      </c>
    </row>
    <row r="66" hidden="1" customHeight="1" spans="1:66">
      <c r="A66" s="16" t="s">
        <v>683</v>
      </c>
      <c r="B66" s="17" t="s">
        <v>684</v>
      </c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9"/>
      <c r="AI66" s="19"/>
      <c r="AJ66" s="19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86">
        <f t="shared" si="0"/>
        <v>0</v>
      </c>
    </row>
    <row r="67" hidden="1" customHeight="1" spans="1:66">
      <c r="A67" s="16" t="s">
        <v>685</v>
      </c>
      <c r="B67" s="17" t="s">
        <v>686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9"/>
      <c r="AI67" s="19"/>
      <c r="AJ67" s="19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86">
        <f t="shared" si="0"/>
        <v>0</v>
      </c>
    </row>
    <row r="68" hidden="1" customHeight="1" spans="1:66">
      <c r="A68" s="16" t="s">
        <v>687</v>
      </c>
      <c r="B68" s="17" t="s">
        <v>688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9"/>
      <c r="AI68" s="19"/>
      <c r="AJ68" s="19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86">
        <f t="shared" ref="BN68:BN120" si="1">BM68+BL68+BK68+BJ68+BI68+BH68+BG68+BF68+BE68+BD68+BC68+BB68+BA68+AZ68+AY68+AX68+AW68+AV68+AU68+AT68+AS68+AR68+AQ68+AP68+AO68+AN68+AM68+AL68+AK68+AJ68+AI68+AH68+AG68+AF68+AE68+AD68+AC68+AB68+AA68+Z68+Y68+X68+W68+V68+U68+T68+S68+R68+Q68+P68+O68+N68+M68+L68+K68+J68+I68+H68+G68+F68+E68+D68+C68</f>
        <v>0</v>
      </c>
    </row>
    <row r="69" hidden="1" customHeight="1" spans="1:66">
      <c r="A69" s="16" t="s">
        <v>689</v>
      </c>
      <c r="B69" s="17" t="s">
        <v>690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9"/>
      <c r="AI69" s="19"/>
      <c r="AJ69" s="19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86">
        <f t="shared" si="1"/>
        <v>0</v>
      </c>
    </row>
    <row r="70" hidden="1" customHeight="1" spans="1:66">
      <c r="A70" s="16" t="s">
        <v>691</v>
      </c>
      <c r="B70" s="17" t="s">
        <v>692</v>
      </c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9"/>
      <c r="AI70" s="19"/>
      <c r="AJ70" s="19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86">
        <f t="shared" si="1"/>
        <v>0</v>
      </c>
    </row>
    <row r="71" hidden="1" customHeight="1" spans="1:66">
      <c r="A71" s="16" t="s">
        <v>693</v>
      </c>
      <c r="B71" s="17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9"/>
      <c r="AI71" s="19"/>
      <c r="AJ71" s="19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86">
        <f t="shared" si="1"/>
        <v>0</v>
      </c>
    </row>
    <row r="72" hidden="1" customHeight="1" spans="1:66">
      <c r="A72" s="16" t="s">
        <v>694</v>
      </c>
      <c r="B72" s="17" t="s">
        <v>695</v>
      </c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9"/>
      <c r="AI72" s="19"/>
      <c r="AJ72" s="19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86">
        <f t="shared" si="1"/>
        <v>0</v>
      </c>
    </row>
    <row r="73" customHeight="1" spans="1:66">
      <c r="A73" s="16" t="s">
        <v>697</v>
      </c>
      <c r="B73" s="17" t="s">
        <v>698</v>
      </c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07">
        <v>50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9"/>
      <c r="AI73" s="19"/>
      <c r="AJ73" s="19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90">
        <f t="shared" si="1"/>
        <v>50</v>
      </c>
    </row>
    <row r="74" hidden="1" customHeight="1" spans="1:66">
      <c r="A74" s="16" t="s">
        <v>699</v>
      </c>
      <c r="B74" s="21" t="s">
        <v>700</v>
      </c>
      <c r="C74" s="22"/>
      <c r="D74" s="22"/>
      <c r="E74" s="22"/>
      <c r="F74" s="22"/>
      <c r="G74" s="22"/>
      <c r="H74" s="22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9"/>
      <c r="AI74" s="19"/>
      <c r="AJ74" s="19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86">
        <f t="shared" si="1"/>
        <v>0</v>
      </c>
    </row>
    <row r="75" hidden="1" customHeight="1" spans="1:66">
      <c r="A75" s="16" t="s">
        <v>701</v>
      </c>
      <c r="B75" s="17" t="s">
        <v>702</v>
      </c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9"/>
      <c r="AI75" s="19"/>
      <c r="AJ75" s="19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86">
        <f t="shared" si="1"/>
        <v>0</v>
      </c>
    </row>
    <row r="76" customHeight="1" spans="1:66">
      <c r="A76" s="16" t="s">
        <v>20</v>
      </c>
      <c r="B76" s="21" t="s">
        <v>703</v>
      </c>
      <c r="C76" s="22"/>
      <c r="D76" s="22"/>
      <c r="E76" s="22"/>
      <c r="F76" s="22"/>
      <c r="G76" s="22"/>
      <c r="H76" s="22"/>
      <c r="I76" s="18"/>
      <c r="J76" s="18"/>
      <c r="K76" s="18"/>
      <c r="L76" s="18"/>
      <c r="M76" s="18"/>
      <c r="N76" s="107">
        <v>400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9"/>
      <c r="AI76" s="19"/>
      <c r="AJ76" s="19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90">
        <f t="shared" si="1"/>
        <v>400</v>
      </c>
    </row>
    <row r="77" hidden="1" customHeight="1" spans="1:66">
      <c r="A77" s="16" t="s">
        <v>704</v>
      </c>
      <c r="B77" s="21" t="s">
        <v>705</v>
      </c>
      <c r="C77" s="22"/>
      <c r="D77" s="22"/>
      <c r="E77" s="22"/>
      <c r="F77" s="22"/>
      <c r="G77" s="22"/>
      <c r="H77" s="22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9"/>
      <c r="AI77" s="19"/>
      <c r="AJ77" s="19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86">
        <f t="shared" si="1"/>
        <v>0</v>
      </c>
    </row>
    <row r="78" hidden="1" customHeight="1" spans="1:66">
      <c r="A78" s="16" t="s">
        <v>706</v>
      </c>
      <c r="B78" s="21" t="s">
        <v>707</v>
      </c>
      <c r="C78" s="22"/>
      <c r="D78" s="22"/>
      <c r="E78" s="22"/>
      <c r="F78" s="22"/>
      <c r="G78" s="22"/>
      <c r="H78" s="22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9"/>
      <c r="AI78" s="19"/>
      <c r="AJ78" s="19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86">
        <f t="shared" si="1"/>
        <v>0</v>
      </c>
    </row>
    <row r="79" customHeight="1" spans="1:66">
      <c r="A79" s="16" t="s">
        <v>123</v>
      </c>
      <c r="B79" s="21" t="s">
        <v>708</v>
      </c>
      <c r="C79" s="22"/>
      <c r="D79" s="22"/>
      <c r="E79" s="22"/>
      <c r="F79" s="22"/>
      <c r="G79" s="22"/>
      <c r="H79" s="22"/>
      <c r="I79" s="107">
        <v>9200</v>
      </c>
      <c r="J79" s="18"/>
      <c r="K79" s="18"/>
      <c r="L79" s="107">
        <v>16100</v>
      </c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9"/>
      <c r="AI79" s="19"/>
      <c r="AJ79" s="19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07"/>
      <c r="BH79" s="107">
        <v>8500</v>
      </c>
      <c r="BI79" s="18"/>
      <c r="BJ79" s="107">
        <v>-6900</v>
      </c>
      <c r="BK79" s="18"/>
      <c r="BL79" s="18"/>
      <c r="BM79" s="18"/>
      <c r="BN79" s="86">
        <f t="shared" si="1"/>
        <v>26900</v>
      </c>
    </row>
    <row r="80" customHeight="1" spans="1:66">
      <c r="A80" s="16" t="s">
        <v>117</v>
      </c>
      <c r="B80" s="21" t="s">
        <v>709</v>
      </c>
      <c r="C80" s="22"/>
      <c r="D80" s="22"/>
      <c r="E80" s="22"/>
      <c r="F80" s="22"/>
      <c r="G80" s="22"/>
      <c r="H80" s="22"/>
      <c r="I80" s="107">
        <v>15000</v>
      </c>
      <c r="J80" s="18"/>
      <c r="K80" s="18"/>
      <c r="L80" s="107">
        <v>12000</v>
      </c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9"/>
      <c r="AI80" s="19"/>
      <c r="AJ80" s="19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07">
        <v>7400</v>
      </c>
      <c r="BI80" s="18"/>
      <c r="BJ80" s="107">
        <v>-6000</v>
      </c>
      <c r="BK80" s="18"/>
      <c r="BL80" s="18"/>
      <c r="BM80" s="18"/>
      <c r="BN80" s="86">
        <f t="shared" si="1"/>
        <v>28400</v>
      </c>
    </row>
    <row r="81" customHeight="1" spans="1:67">
      <c r="A81" s="16" t="s">
        <v>120</v>
      </c>
      <c r="B81" s="21" t="s">
        <v>710</v>
      </c>
      <c r="C81" s="22"/>
      <c r="D81" s="22"/>
      <c r="E81" s="22"/>
      <c r="F81" s="22"/>
      <c r="G81" s="22"/>
      <c r="H81" s="22"/>
      <c r="I81" s="107">
        <v>6000</v>
      </c>
      <c r="J81" s="18"/>
      <c r="K81" s="18"/>
      <c r="L81" s="107">
        <v>9000</v>
      </c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9"/>
      <c r="AI81" s="19"/>
      <c r="AJ81" s="19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>
        <v>7430</v>
      </c>
      <c r="BH81" s="18"/>
      <c r="BI81" s="18"/>
      <c r="BJ81" s="107">
        <v>-6000</v>
      </c>
      <c r="BK81" s="18"/>
      <c r="BL81" s="18"/>
      <c r="BM81" s="18"/>
      <c r="BN81" s="86">
        <f t="shared" si="1"/>
        <v>16430</v>
      </c>
    </row>
    <row r="82" customHeight="1" spans="1:67">
      <c r="A82" s="16" t="s">
        <v>65</v>
      </c>
      <c r="B82" s="21" t="s">
        <v>713</v>
      </c>
      <c r="C82" s="22"/>
      <c r="D82" s="22"/>
      <c r="E82" s="22"/>
      <c r="F82" s="22"/>
      <c r="G82" s="22"/>
      <c r="H82" s="22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9"/>
      <c r="AI82" s="19"/>
      <c r="AJ82" s="19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86">
        <f t="shared" si="1"/>
        <v>0</v>
      </c>
    </row>
    <row r="83" customHeight="1" spans="1:67">
      <c r="A83" s="16" t="s">
        <v>159</v>
      </c>
      <c r="B83" s="21" t="s">
        <v>714</v>
      </c>
      <c r="C83" s="22"/>
      <c r="D83" s="22"/>
      <c r="E83" s="109">
        <v>10000</v>
      </c>
      <c r="F83" s="22"/>
      <c r="G83" s="22"/>
      <c r="H83" s="22"/>
      <c r="I83" s="18"/>
      <c r="J83" s="18"/>
      <c r="K83" s="18"/>
      <c r="L83" s="18"/>
      <c r="M83" s="107">
        <v>8000</v>
      </c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9"/>
      <c r="AI83" s="19"/>
      <c r="AJ83" s="19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90">
        <f t="shared" si="1"/>
        <v>18000</v>
      </c>
    </row>
    <row r="84" customHeight="1" spans="1:67">
      <c r="A84" s="16" t="s">
        <v>126</v>
      </c>
      <c r="B84" s="21" t="s">
        <v>715</v>
      </c>
      <c r="C84" s="22"/>
      <c r="D84" s="22"/>
      <c r="E84" s="22"/>
      <c r="F84" s="22"/>
      <c r="G84" s="109">
        <v>3000</v>
      </c>
      <c r="H84" s="22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9"/>
      <c r="AI84" s="19"/>
      <c r="AJ84" s="19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90">
        <f t="shared" si="1"/>
        <v>3000</v>
      </c>
    </row>
    <row r="85" customHeight="1" spans="1:67">
      <c r="A85" s="16" t="s">
        <v>181</v>
      </c>
      <c r="B85" s="21" t="s">
        <v>716</v>
      </c>
      <c r="C85" s="22"/>
      <c r="D85" s="22"/>
      <c r="E85" s="109">
        <v>3000</v>
      </c>
      <c r="F85" s="22"/>
      <c r="G85" s="22"/>
      <c r="H85" s="22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9"/>
      <c r="AI85" s="19"/>
      <c r="AJ85" s="19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90">
        <f t="shared" si="1"/>
        <v>3000</v>
      </c>
    </row>
    <row r="86" customHeight="1" spans="1:67">
      <c r="A86" s="16" t="s">
        <v>169</v>
      </c>
      <c r="B86" s="21" t="s">
        <v>717</v>
      </c>
      <c r="C86" s="22"/>
      <c r="D86" s="22"/>
      <c r="E86" s="109">
        <v>1000</v>
      </c>
      <c r="F86" s="22"/>
      <c r="G86" s="22"/>
      <c r="H86" s="22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9"/>
      <c r="AI86" s="19"/>
      <c r="AJ86" s="19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90">
        <f t="shared" si="1"/>
        <v>1000</v>
      </c>
    </row>
    <row r="87" hidden="1" customHeight="1" spans="1:67">
      <c r="A87" s="16" t="s">
        <v>222</v>
      </c>
      <c r="B87" s="21" t="s">
        <v>718</v>
      </c>
      <c r="C87" s="22"/>
      <c r="D87" s="22"/>
      <c r="E87" s="22"/>
      <c r="F87" s="22"/>
      <c r="G87" s="22"/>
      <c r="H87" s="22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9"/>
      <c r="AI87" s="19"/>
      <c r="AJ87" s="19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86">
        <f t="shared" si="1"/>
        <v>0</v>
      </c>
    </row>
    <row r="88" hidden="1" customHeight="1" spans="1:67">
      <c r="A88" s="16" t="s">
        <v>719</v>
      </c>
      <c r="B88" s="17" t="s">
        <v>720</v>
      </c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9"/>
      <c r="AI88" s="19"/>
      <c r="AJ88" s="19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86">
        <f t="shared" si="1"/>
        <v>0</v>
      </c>
    </row>
    <row r="89" customHeight="1" spans="1:67">
      <c r="A89" s="16" t="s">
        <v>206</v>
      </c>
      <c r="B89" s="17" t="s">
        <v>721</v>
      </c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07">
        <v>7000</v>
      </c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9"/>
      <c r="AI89" s="19"/>
      <c r="AJ89" s="19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90">
        <f t="shared" si="1"/>
        <v>7000</v>
      </c>
    </row>
    <row r="90" customHeight="1" spans="1:67">
      <c r="A90" s="16" t="s">
        <v>202</v>
      </c>
      <c r="B90" s="17" t="s">
        <v>722</v>
      </c>
      <c r="C90" s="18"/>
      <c r="D90" s="18"/>
      <c r="E90" s="18"/>
      <c r="F90" s="18"/>
      <c r="G90" s="107">
        <v>10000</v>
      </c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9"/>
      <c r="AI90" s="19"/>
      <c r="AJ90" s="19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90">
        <f t="shared" si="1"/>
        <v>10000</v>
      </c>
    </row>
    <row r="91" customHeight="1" spans="1:67">
      <c r="A91" s="16" t="s">
        <v>167</v>
      </c>
      <c r="B91" s="17" t="s">
        <v>723</v>
      </c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9"/>
      <c r="AI91" s="19"/>
      <c r="AJ91" s="19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07">
        <v>5000</v>
      </c>
      <c r="BH91" s="18"/>
      <c r="BI91" s="18"/>
      <c r="BJ91" s="18"/>
      <c r="BK91" s="18"/>
      <c r="BL91" s="18"/>
      <c r="BM91" s="18"/>
      <c r="BN91" s="90">
        <f t="shared" si="1"/>
        <v>5000</v>
      </c>
    </row>
    <row r="92" hidden="1" customHeight="1" spans="1:67">
      <c r="A92" s="16" t="s">
        <v>208</v>
      </c>
      <c r="B92" s="17" t="s">
        <v>724</v>
      </c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9"/>
      <c r="AI92" s="19"/>
      <c r="AJ92" s="19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86">
        <f t="shared" si="1"/>
        <v>0</v>
      </c>
    </row>
    <row r="93" customHeight="1" spans="1:67">
      <c r="A93" s="16" t="s">
        <v>157</v>
      </c>
      <c r="B93" s="17" t="s">
        <v>725</v>
      </c>
      <c r="C93" s="18"/>
      <c r="D93" s="18"/>
      <c r="E93" s="18"/>
      <c r="F93" s="18"/>
      <c r="G93" s="18"/>
      <c r="H93" s="18"/>
      <c r="I93" s="107">
        <v>15000</v>
      </c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9"/>
      <c r="AI93" s="19"/>
      <c r="AJ93" s="19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07">
        <v>13000</v>
      </c>
      <c r="BH93" s="18"/>
      <c r="BI93" s="18"/>
      <c r="BJ93" s="18"/>
      <c r="BK93" s="18"/>
      <c r="BL93" s="18"/>
      <c r="BM93" s="18"/>
      <c r="BN93" s="90">
        <f t="shared" si="1"/>
        <v>28000</v>
      </c>
      <c r="BO93" s="3"/>
    </row>
    <row r="94" customHeight="1" spans="1:67">
      <c r="A94" s="16" t="s">
        <v>129</v>
      </c>
      <c r="B94" s="17" t="s">
        <v>726</v>
      </c>
      <c r="C94" s="18"/>
      <c r="D94" s="18"/>
      <c r="E94" s="18"/>
      <c r="F94" s="107">
        <v>4000</v>
      </c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9"/>
      <c r="AI94" s="19"/>
      <c r="AJ94" s="19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90">
        <f t="shared" si="1"/>
        <v>4000</v>
      </c>
      <c r="BO94" s="3"/>
    </row>
    <row r="95" customHeight="1" spans="1:67">
      <c r="A95" s="16" t="s">
        <v>132</v>
      </c>
      <c r="B95" s="17" t="s">
        <v>727</v>
      </c>
      <c r="C95" s="18"/>
      <c r="D95" s="18"/>
      <c r="E95" s="18"/>
      <c r="F95" s="107">
        <v>4000</v>
      </c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9"/>
      <c r="AI95" s="19"/>
      <c r="AJ95" s="19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90">
        <f t="shared" si="1"/>
        <v>4000</v>
      </c>
      <c r="BO95" s="3"/>
    </row>
    <row r="96" customHeight="1" spans="1:67">
      <c r="A96" s="16" t="s">
        <v>80</v>
      </c>
      <c r="B96" s="17" t="s">
        <v>728</v>
      </c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9"/>
      <c r="AI96" s="19"/>
      <c r="AJ96" s="19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86">
        <f t="shared" si="1"/>
        <v>0</v>
      </c>
    </row>
    <row r="97" customHeight="1" spans="1:67">
      <c r="A97" s="16" t="s">
        <v>171</v>
      </c>
      <c r="B97" s="17" t="s">
        <v>729</v>
      </c>
      <c r="C97" s="18"/>
      <c r="D97" s="18"/>
      <c r="E97" s="18"/>
      <c r="F97" s="18"/>
      <c r="G97" s="18"/>
      <c r="H97" s="18"/>
      <c r="I97" s="18"/>
      <c r="J97" s="18"/>
      <c r="K97" s="107">
        <v>1000</v>
      </c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9"/>
      <c r="AI97" s="19"/>
      <c r="AJ97" s="19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90">
        <f t="shared" si="1"/>
        <v>1000</v>
      </c>
    </row>
    <row r="98" customHeight="1" spans="1:67">
      <c r="A98" s="16" t="s">
        <v>210</v>
      </c>
      <c r="B98" s="17"/>
      <c r="C98" s="18"/>
      <c r="D98" s="18"/>
      <c r="E98" s="18"/>
      <c r="F98" s="18"/>
      <c r="G98" s="107">
        <v>4000</v>
      </c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9"/>
      <c r="AI98" s="19"/>
      <c r="AJ98" s="19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90">
        <f t="shared" si="1"/>
        <v>4000</v>
      </c>
    </row>
    <row r="99" customHeight="1" spans="1:67">
      <c r="A99" s="16" t="s">
        <v>49</v>
      </c>
      <c r="B99" s="17" t="s">
        <v>730</v>
      </c>
      <c r="C99" s="18"/>
      <c r="D99" s="18"/>
      <c r="E99" s="18"/>
      <c r="F99" s="107">
        <v>8000</v>
      </c>
      <c r="G99" s="18"/>
      <c r="H99" s="107">
        <v>24000</v>
      </c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9"/>
      <c r="AI99" s="19"/>
      <c r="AJ99" s="19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07">
        <v>8000</v>
      </c>
      <c r="BH99" s="18"/>
      <c r="BI99" s="18"/>
      <c r="BJ99" s="18"/>
      <c r="BK99" s="18"/>
      <c r="BL99" s="18"/>
      <c r="BM99" s="18"/>
      <c r="BN99" s="90">
        <f t="shared" si="1"/>
        <v>40000</v>
      </c>
      <c r="BO99" s="3"/>
    </row>
    <row r="100" customHeight="1" spans="1:67">
      <c r="A100" s="16" t="s">
        <v>112</v>
      </c>
      <c r="B100" s="17" t="s">
        <v>731</v>
      </c>
      <c r="C100" s="19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9"/>
      <c r="AI100" s="19"/>
      <c r="AJ100" s="19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23"/>
      <c r="BF100" s="23"/>
      <c r="BG100" s="18"/>
      <c r="BH100" s="18"/>
      <c r="BI100" s="18"/>
      <c r="BJ100" s="18"/>
      <c r="BK100" s="19"/>
      <c r="BL100" s="18"/>
      <c r="BM100" s="18"/>
      <c r="BN100" s="86">
        <f t="shared" si="1"/>
        <v>0</v>
      </c>
    </row>
    <row r="101" customHeight="1" spans="1:67">
      <c r="A101" s="16" t="s">
        <v>184</v>
      </c>
      <c r="B101" s="76" t="s">
        <v>732</v>
      </c>
      <c r="C101" s="19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9"/>
      <c r="AI101" s="19"/>
      <c r="AJ101" s="19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23"/>
      <c r="BF101" s="23"/>
      <c r="BG101" s="18"/>
      <c r="BH101" s="18"/>
      <c r="BI101" s="18"/>
      <c r="BJ101" s="18"/>
      <c r="BK101" s="19"/>
      <c r="BL101" s="18"/>
      <c r="BM101" s="18"/>
      <c r="BN101" s="86">
        <f t="shared" si="1"/>
        <v>0</v>
      </c>
    </row>
    <row r="102" customHeight="1" spans="1:67">
      <c r="A102" s="16" t="s">
        <v>39</v>
      </c>
      <c r="B102" s="76" t="s">
        <v>40</v>
      </c>
      <c r="C102" s="19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9"/>
      <c r="AI102" s="19"/>
      <c r="AJ102" s="19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23"/>
      <c r="BF102" s="23"/>
      <c r="BG102" s="18"/>
      <c r="BH102" s="18">
        <v>16200</v>
      </c>
      <c r="BI102" s="18"/>
      <c r="BJ102" s="18"/>
      <c r="BK102" s="19"/>
      <c r="BL102" s="18"/>
      <c r="BM102" s="18"/>
      <c r="BN102" s="90">
        <f t="shared" si="1"/>
        <v>16200</v>
      </c>
    </row>
    <row r="103" customHeight="1" spans="1:67">
      <c r="A103" s="16" t="s">
        <v>41</v>
      </c>
      <c r="B103" s="76" t="s">
        <v>42</v>
      </c>
      <c r="C103" s="19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9"/>
      <c r="AI103" s="19"/>
      <c r="AJ103" s="19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23"/>
      <c r="BF103" s="23"/>
      <c r="BG103" s="18"/>
      <c r="BH103" s="107">
        <v>16200</v>
      </c>
      <c r="BI103" s="18"/>
      <c r="BJ103" s="18"/>
      <c r="BK103" s="19"/>
      <c r="BL103" s="18"/>
      <c r="BM103" s="18"/>
      <c r="BN103" s="90">
        <f t="shared" si="1"/>
        <v>16200</v>
      </c>
    </row>
    <row r="104" customHeight="1" spans="1:67">
      <c r="A104" s="16" t="s">
        <v>70</v>
      </c>
      <c r="B104" s="76" t="s">
        <v>733</v>
      </c>
      <c r="C104" s="19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9"/>
      <c r="AI104" s="19"/>
      <c r="AJ104" s="19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23"/>
      <c r="BF104" s="23"/>
      <c r="BG104" s="18"/>
      <c r="BH104" s="18"/>
      <c r="BI104" s="18"/>
      <c r="BJ104" s="18"/>
      <c r="BK104" s="19"/>
      <c r="BL104" s="18"/>
      <c r="BM104" s="18"/>
      <c r="BN104" s="86">
        <f t="shared" si="1"/>
        <v>0</v>
      </c>
    </row>
    <row r="105" customHeight="1" spans="1:67">
      <c r="A105" s="16" t="s">
        <v>56</v>
      </c>
      <c r="B105" s="76" t="s">
        <v>734</v>
      </c>
      <c r="C105" s="19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9"/>
      <c r="AI105" s="19"/>
      <c r="AJ105" s="19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23"/>
      <c r="BF105" s="23"/>
      <c r="BG105" s="18"/>
      <c r="BH105" s="107">
        <v>6000</v>
      </c>
      <c r="BI105" s="18"/>
      <c r="BJ105" s="18"/>
      <c r="BK105" s="19"/>
      <c r="BL105" s="18"/>
      <c r="BM105" s="18">
        <v>3000</v>
      </c>
      <c r="BN105" s="90">
        <f t="shared" si="1"/>
        <v>9000</v>
      </c>
    </row>
    <row r="106" customHeight="1" spans="1:67">
      <c r="A106" s="16" t="s">
        <v>43</v>
      </c>
      <c r="B106" s="76" t="s">
        <v>735</v>
      </c>
      <c r="C106" s="19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9"/>
      <c r="AI106" s="19"/>
      <c r="AJ106" s="19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23"/>
      <c r="BF106" s="23"/>
      <c r="BG106" s="18"/>
      <c r="BH106" s="18"/>
      <c r="BI106" s="18"/>
      <c r="BJ106" s="18"/>
      <c r="BK106" s="19"/>
      <c r="BL106" s="18"/>
      <c r="BM106" s="18">
        <v>4500</v>
      </c>
      <c r="BN106" s="90">
        <f t="shared" si="1"/>
        <v>4500</v>
      </c>
    </row>
    <row r="107" customHeight="1" spans="1:67">
      <c r="A107" s="16" t="s">
        <v>45</v>
      </c>
      <c r="B107" s="100" t="s">
        <v>736</v>
      </c>
      <c r="C107" s="19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9"/>
      <c r="AI107" s="19"/>
      <c r="AJ107" s="19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23"/>
      <c r="BF107" s="23"/>
      <c r="BG107" s="18"/>
      <c r="BH107" s="107">
        <v>1120</v>
      </c>
      <c r="BI107" s="18"/>
      <c r="BJ107" s="18"/>
      <c r="BK107" s="19"/>
      <c r="BL107" s="18"/>
      <c r="BM107" s="18">
        <v>2560</v>
      </c>
      <c r="BN107" s="90">
        <f t="shared" si="1"/>
        <v>3680</v>
      </c>
    </row>
    <row r="108" customHeight="1" spans="1:67">
      <c r="A108" s="16" t="s">
        <v>47</v>
      </c>
      <c r="B108" s="102" t="s">
        <v>737</v>
      </c>
      <c r="C108" s="19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9"/>
      <c r="AI108" s="19"/>
      <c r="AJ108" s="19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23"/>
      <c r="BF108" s="23"/>
      <c r="BG108" s="18"/>
      <c r="BH108" s="107"/>
      <c r="BI108" s="18"/>
      <c r="BJ108" s="18"/>
      <c r="BK108" s="19"/>
      <c r="BL108" s="18"/>
      <c r="BM108" s="18">
        <v>7000</v>
      </c>
      <c r="BN108" s="90">
        <f t="shared" si="1"/>
        <v>7000</v>
      </c>
    </row>
    <row r="109" customHeight="1" spans="1:67">
      <c r="A109" s="16" t="s">
        <v>71</v>
      </c>
      <c r="B109" s="100" t="s">
        <v>738</v>
      </c>
      <c r="C109" s="19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9"/>
      <c r="AI109" s="19"/>
      <c r="AJ109" s="19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23"/>
      <c r="BF109" s="23"/>
      <c r="BG109" s="18"/>
      <c r="BH109" s="107">
        <v>14400</v>
      </c>
      <c r="BI109" s="18"/>
      <c r="BJ109" s="18"/>
      <c r="BK109" s="19"/>
      <c r="BL109" s="18"/>
      <c r="BM109" s="18"/>
      <c r="BN109" s="90">
        <f t="shared" si="1"/>
        <v>14400</v>
      </c>
    </row>
    <row r="110" customHeight="1" spans="1:67">
      <c r="A110" s="16" t="s">
        <v>257</v>
      </c>
      <c r="B110" s="76" t="s">
        <v>739</v>
      </c>
      <c r="C110" s="19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07">
        <v>7200</v>
      </c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9"/>
      <c r="AI110" s="19"/>
      <c r="AJ110" s="19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23"/>
      <c r="BF110" s="23"/>
      <c r="BG110" s="18"/>
      <c r="BH110" s="18"/>
      <c r="BI110" s="18"/>
      <c r="BJ110" s="18"/>
      <c r="BK110" s="19"/>
      <c r="BL110" s="18"/>
      <c r="BM110" s="18">
        <v>2880</v>
      </c>
      <c r="BN110" s="90">
        <f t="shared" si="1"/>
        <v>10080</v>
      </c>
    </row>
    <row r="111" customHeight="1" spans="1:67">
      <c r="A111" s="16" t="s">
        <v>741</v>
      </c>
      <c r="B111" s="76" t="s">
        <v>742</v>
      </c>
      <c r="C111" s="19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9"/>
      <c r="AI111" s="19"/>
      <c r="AJ111" s="19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23"/>
      <c r="BF111" s="23"/>
      <c r="BG111" s="18"/>
      <c r="BH111" s="18"/>
      <c r="BI111" s="18"/>
      <c r="BJ111" s="18"/>
      <c r="BK111" s="19"/>
      <c r="BL111" s="18"/>
      <c r="BM111" s="18"/>
      <c r="BN111" s="86">
        <f t="shared" si="1"/>
        <v>0</v>
      </c>
    </row>
    <row r="112" customHeight="1" spans="1:67">
      <c r="A112" s="16" t="s">
        <v>196</v>
      </c>
      <c r="B112" s="76" t="s">
        <v>763</v>
      </c>
      <c r="C112" s="19"/>
      <c r="D112" s="18"/>
      <c r="E112" s="18"/>
      <c r="F112" s="18"/>
      <c r="G112" s="18"/>
      <c r="H112" s="18"/>
      <c r="I112" s="107">
        <v>1000</v>
      </c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9"/>
      <c r="AI112" s="19"/>
      <c r="AJ112" s="19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23"/>
      <c r="BF112" s="23"/>
      <c r="BG112" s="18"/>
      <c r="BH112" s="18"/>
      <c r="BI112" s="18"/>
      <c r="BJ112" s="18"/>
      <c r="BK112" s="19"/>
      <c r="BL112" s="18"/>
      <c r="BM112" s="18"/>
      <c r="BN112" s="90">
        <f t="shared" si="1"/>
        <v>1000</v>
      </c>
    </row>
    <row r="113" customHeight="1" spans="1:68">
      <c r="A113" s="16" t="s">
        <v>199</v>
      </c>
      <c r="B113" s="76" t="s">
        <v>764</v>
      </c>
      <c r="C113" s="19"/>
      <c r="D113" s="18"/>
      <c r="E113" s="18"/>
      <c r="F113" s="18"/>
      <c r="G113" s="18"/>
      <c r="H113" s="18"/>
      <c r="I113" s="107">
        <v>2000</v>
      </c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9"/>
      <c r="AI113" s="19"/>
      <c r="AJ113" s="19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23"/>
      <c r="BF113" s="23"/>
      <c r="BG113" s="18"/>
      <c r="BH113" s="18"/>
      <c r="BI113" s="18"/>
      <c r="BJ113" s="18"/>
      <c r="BK113" s="19"/>
      <c r="BL113" s="18"/>
      <c r="BM113" s="18"/>
      <c r="BN113" s="90">
        <f t="shared" si="1"/>
        <v>2000</v>
      </c>
    </row>
    <row r="114" hidden="1" customHeight="1" spans="1:68">
      <c r="A114" s="82" t="s">
        <v>769</v>
      </c>
      <c r="B114" s="33" t="s">
        <v>40</v>
      </c>
      <c r="C114" s="34"/>
      <c r="D114" s="34"/>
      <c r="E114" s="34"/>
      <c r="F114" s="34"/>
      <c r="G114" s="34"/>
      <c r="H114" s="34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6"/>
      <c r="AI114" s="36"/>
      <c r="AJ114" s="36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  <c r="BE114" s="35"/>
      <c r="BF114" s="35"/>
      <c r="BG114" s="35"/>
      <c r="BH114" s="35"/>
      <c r="BI114" s="35"/>
      <c r="BJ114" s="37"/>
      <c r="BK114" s="35"/>
      <c r="BL114" s="35"/>
      <c r="BM114" s="35"/>
      <c r="BN114" s="86">
        <f t="shared" si="1"/>
        <v>0</v>
      </c>
    </row>
    <row r="115" hidden="1" customHeight="1" spans="1:68">
      <c r="A115" s="82" t="s">
        <v>770</v>
      </c>
      <c r="B115" s="33" t="s">
        <v>42</v>
      </c>
      <c r="C115" s="34"/>
      <c r="D115" s="34"/>
      <c r="E115" s="34"/>
      <c r="F115" s="34"/>
      <c r="G115" s="34"/>
      <c r="H115" s="34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6"/>
      <c r="AI115" s="36"/>
      <c r="AJ115" s="36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  <c r="AZ115" s="35"/>
      <c r="BA115" s="35"/>
      <c r="BB115" s="35"/>
      <c r="BC115" s="35"/>
      <c r="BD115" s="35"/>
      <c r="BE115" s="35"/>
      <c r="BF115" s="35"/>
      <c r="BG115" s="35"/>
      <c r="BH115" s="35"/>
      <c r="BI115" s="35"/>
      <c r="BJ115" s="37"/>
      <c r="BK115" s="35"/>
      <c r="BL115" s="35"/>
      <c r="BM115" s="35"/>
      <c r="BN115" s="86">
        <f t="shared" si="1"/>
        <v>0</v>
      </c>
    </row>
    <row r="116" hidden="1" customHeight="1" spans="1:68">
      <c r="A116" s="82" t="s">
        <v>771</v>
      </c>
      <c r="B116" s="33" t="s">
        <v>735</v>
      </c>
      <c r="C116" s="34"/>
      <c r="D116" s="34"/>
      <c r="E116" s="34"/>
      <c r="F116" s="34"/>
      <c r="G116" s="34"/>
      <c r="H116" s="34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6"/>
      <c r="AI116" s="36"/>
      <c r="AJ116" s="36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35"/>
      <c r="BA116" s="35"/>
      <c r="BB116" s="35"/>
      <c r="BC116" s="35"/>
      <c r="BD116" s="35"/>
      <c r="BE116" s="35"/>
      <c r="BF116" s="35"/>
      <c r="BG116" s="35"/>
      <c r="BH116" s="35"/>
      <c r="BI116" s="35"/>
      <c r="BJ116" s="35"/>
      <c r="BK116" s="35"/>
      <c r="BL116" s="35"/>
      <c r="BM116" s="35"/>
      <c r="BN116" s="86">
        <f t="shared" si="1"/>
        <v>0</v>
      </c>
      <c r="BP116" s="88"/>
    </row>
    <row r="117" hidden="1" customHeight="1" spans="1:68">
      <c r="A117" s="82" t="s">
        <v>772</v>
      </c>
      <c r="B117" s="33" t="s">
        <v>737</v>
      </c>
      <c r="C117" s="34"/>
      <c r="D117" s="34"/>
      <c r="E117" s="34"/>
      <c r="F117" s="34"/>
      <c r="G117" s="34"/>
      <c r="H117" s="34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6"/>
      <c r="AI117" s="36"/>
      <c r="AJ117" s="36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  <c r="AZ117" s="35"/>
      <c r="BA117" s="35"/>
      <c r="BB117" s="35"/>
      <c r="BC117" s="35"/>
      <c r="BD117" s="35"/>
      <c r="BE117" s="35"/>
      <c r="BF117" s="35"/>
      <c r="BG117" s="35"/>
      <c r="BH117" s="35"/>
      <c r="BI117" s="35"/>
      <c r="BJ117" s="35"/>
      <c r="BK117" s="35"/>
      <c r="BL117" s="35"/>
      <c r="BM117" s="35"/>
      <c r="BN117" s="86">
        <f t="shared" si="1"/>
        <v>0</v>
      </c>
      <c r="BP117" s="88"/>
    </row>
    <row r="118" hidden="1" customHeight="1" spans="1:68">
      <c r="A118" s="82" t="s">
        <v>773</v>
      </c>
      <c r="B118" s="33" t="s">
        <v>734</v>
      </c>
      <c r="C118" s="34"/>
      <c r="D118" s="34"/>
      <c r="E118" s="34"/>
      <c r="F118" s="34"/>
      <c r="G118" s="34"/>
      <c r="H118" s="34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6"/>
      <c r="AI118" s="36"/>
      <c r="AJ118" s="36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  <c r="AZ118" s="35"/>
      <c r="BA118" s="35"/>
      <c r="BB118" s="35"/>
      <c r="BC118" s="35"/>
      <c r="BD118" s="35"/>
      <c r="BE118" s="35"/>
      <c r="BF118" s="35"/>
      <c r="BG118" s="35"/>
      <c r="BH118" s="35"/>
      <c r="BI118" s="35"/>
      <c r="BJ118" s="35"/>
      <c r="BK118" s="35"/>
      <c r="BL118" s="35"/>
      <c r="BM118" s="35"/>
      <c r="BN118" s="86">
        <f t="shared" si="1"/>
        <v>0</v>
      </c>
      <c r="BP118" s="88"/>
    </row>
    <row r="119" hidden="1" customHeight="1" spans="1:68">
      <c r="A119" s="82" t="s">
        <v>774</v>
      </c>
      <c r="B119" s="33" t="s">
        <v>733</v>
      </c>
      <c r="C119" s="34"/>
      <c r="D119" s="34"/>
      <c r="E119" s="34"/>
      <c r="F119" s="34"/>
      <c r="G119" s="34"/>
      <c r="H119" s="34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6"/>
      <c r="AI119" s="36"/>
      <c r="AJ119" s="36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  <c r="AZ119" s="35"/>
      <c r="BA119" s="35"/>
      <c r="BB119" s="35"/>
      <c r="BC119" s="35"/>
      <c r="BD119" s="35"/>
      <c r="BE119" s="35"/>
      <c r="BF119" s="35"/>
      <c r="BG119" s="35"/>
      <c r="BH119" s="35"/>
      <c r="BI119" s="35"/>
      <c r="BJ119" s="35"/>
      <c r="BK119" s="35"/>
      <c r="BL119" s="35"/>
      <c r="BM119" s="35"/>
      <c r="BN119" s="86">
        <f t="shared" si="1"/>
        <v>0</v>
      </c>
      <c r="BP119" s="88"/>
    </row>
    <row r="120" hidden="1" customHeight="1" spans="1:68">
      <c r="A120" s="82" t="s">
        <v>775</v>
      </c>
      <c r="B120" s="33" t="s">
        <v>738</v>
      </c>
      <c r="C120" s="34"/>
      <c r="D120" s="34"/>
      <c r="E120" s="34"/>
      <c r="F120" s="34"/>
      <c r="G120" s="34"/>
      <c r="H120" s="34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6"/>
      <c r="AI120" s="36"/>
      <c r="AJ120" s="36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  <c r="AZ120" s="35"/>
      <c r="BA120" s="35"/>
      <c r="BB120" s="35"/>
      <c r="BC120" s="35"/>
      <c r="BD120" s="35"/>
      <c r="BE120" s="35"/>
      <c r="BF120" s="35"/>
      <c r="BG120" s="35"/>
      <c r="BH120" s="35"/>
      <c r="BI120" s="35"/>
      <c r="BJ120" s="35"/>
      <c r="BK120" s="35"/>
      <c r="BL120" s="35"/>
      <c r="BM120" s="35"/>
      <c r="BN120" s="110">
        <f t="shared" si="1"/>
        <v>0</v>
      </c>
      <c r="BP120" s="88"/>
    </row>
    <row r="121" customHeight="1" spans="1:68">
      <c r="C121" s="39"/>
      <c r="D121" s="40"/>
      <c r="E121" s="40"/>
      <c r="F121" s="40"/>
      <c r="G121" s="40"/>
      <c r="H121" s="40"/>
      <c r="I121" s="3"/>
      <c r="J121" s="3"/>
      <c r="V121" s="3"/>
      <c r="BN121" s="111"/>
    </row>
    <row r="122" s="3" customFormat="1" customHeight="1" spans="1:68">
      <c r="A122" s="1"/>
      <c r="B122" s="1"/>
      <c r="C122" s="40"/>
      <c r="D122" s="40"/>
      <c r="E122" s="40"/>
      <c r="F122" s="40"/>
      <c r="G122" s="40"/>
      <c r="H122" s="40"/>
      <c r="AH122" s="41"/>
      <c r="AI122" s="41"/>
      <c r="AJ122" s="41"/>
      <c r="BN122" s="111"/>
      <c r="BO122"/>
      <c r="BP122"/>
    </row>
  </sheetData>
  <mergeCells count="1">
    <mergeCell ref="A1:BN1"/>
  </mergeCells>
  <pageMargins left="0.7" right="0.7" top="0.75" bottom="0.75" header="0.3" footer="0.3"/>
  <pageSetup paperSize="9" scale="65" orientation="portrait"/>
  <headerFooter/>
  <rowBreaks count="1" manualBreakCount="1">
    <brk id="113" max="40" man="1"/>
  </row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120"/>
  <sheetViews>
    <sheetView zoomScale="164" zoomScaleNormal="164" workbookViewId="0">
      <pane xSplit="2" ySplit="2" topLeftCell="BK108" activePane="bottomRight" state="frozen"/>
      <selection/>
      <selection pane="topRight"/>
      <selection pane="bottomLeft"/>
      <selection pane="bottomRight" activeCell="BN93" sqref="BN93"/>
    </sheetView>
  </sheetViews>
  <sheetFormatPr defaultColWidth="9" defaultRowHeight="20" customHeight="1"/>
  <cols>
    <col min="1" max="1" width="14.3333333333333" style="1" customWidth="1"/>
    <col min="2" max="2" width="23.1666666666667" style="1" customWidth="1"/>
    <col min="3" max="8" width="7.5" style="1" customWidth="1"/>
    <col min="9" max="10" width="8.33333333333333" customWidth="1"/>
    <col min="11" max="11" width="8.33333333333333" style="3" customWidth="1"/>
    <col min="12" max="12" width="7.5" style="3" customWidth="1"/>
    <col min="13" max="14" width="7" style="3" customWidth="1"/>
    <col min="15" max="15" width="7" style="3" hidden="1" customWidth="1"/>
    <col min="16" max="16" width="7.83333333333333" style="3" hidden="1" customWidth="1"/>
    <col min="17" max="17" width="7.5" style="3" hidden="1" customWidth="1"/>
    <col min="18" max="18" width="7.16666666666667" style="3" hidden="1" customWidth="1"/>
    <col min="19" max="19" width="7.33333333333333" style="3" hidden="1" customWidth="1"/>
    <col min="20" max="20" width="7.83333333333333" style="3" hidden="1" customWidth="1"/>
    <col min="21" max="21" width="8.16666666666667" style="3" hidden="1" customWidth="1"/>
    <col min="22" max="22" width="7.66666666666667" style="91" hidden="1" customWidth="1"/>
    <col min="23" max="23" width="5.66666666666667" style="3" hidden="1" customWidth="1"/>
    <col min="24" max="24" width="7.66666666666667" style="3" hidden="1" customWidth="1"/>
    <col min="25" max="25" width="5.66666666666667" style="3" hidden="1" customWidth="1"/>
    <col min="26" max="26" width="6.66666666666667" style="3" hidden="1" customWidth="1"/>
    <col min="27" max="28" width="5.66666666666667" style="3" hidden="1" customWidth="1"/>
    <col min="29" max="30" width="7.33333333333333" style="3" hidden="1" customWidth="1"/>
    <col min="31" max="33" width="8.33333333333333" style="3" hidden="1" customWidth="1"/>
    <col min="34" max="36" width="7.66666666666667" style="41" hidden="1" customWidth="1"/>
    <col min="37" max="37" width="7.16666666666667" style="3" hidden="1" customWidth="1"/>
    <col min="38" max="38" width="6.83333333333333" style="3" hidden="1" customWidth="1"/>
    <col min="39" max="39" width="7.33333333333333" style="3" hidden="1" customWidth="1"/>
    <col min="40" max="40" width="7.66666666666667" style="3" hidden="1" customWidth="1"/>
    <col min="41" max="41" width="6.83333333333333" style="3" hidden="1" customWidth="1"/>
    <col min="42" max="42" width="8.5" style="3" hidden="1" customWidth="1"/>
    <col min="43" max="43" width="7.33333333333333" style="3" hidden="1" customWidth="1"/>
    <col min="44" max="44" width="8" style="3" hidden="1" customWidth="1"/>
    <col min="45" max="45" width="7.5" style="3" hidden="1" customWidth="1"/>
    <col min="46" max="50" width="5.66666666666667" style="3" hidden="1" customWidth="1"/>
    <col min="51" max="51" width="7.5" style="3" hidden="1" customWidth="1"/>
    <col min="52" max="52" width="5.66666666666667" style="3" hidden="1" customWidth="1"/>
    <col min="53" max="53" width="6.5" style="3" hidden="1" customWidth="1"/>
    <col min="54" max="58" width="5.66666666666667" style="3" hidden="1" customWidth="1"/>
    <col min="59" max="59" width="7" style="3" customWidth="1"/>
    <col min="60" max="60" width="7.83333333333333" style="3" customWidth="1"/>
    <col min="61" max="61" width="6.33333333333333" style="3" customWidth="1"/>
    <col min="62" max="62" width="7.33333333333333" style="3" customWidth="1"/>
    <col min="63" max="63" width="7.16666666666667" style="3" customWidth="1"/>
    <col min="64" max="64" width="7.33333333333333" style="3" customWidth="1"/>
    <col min="65" max="65" width="7.16666666666667" style="3" customWidth="1"/>
    <col min="66" max="66" width="8" style="3" customWidth="1"/>
    <col min="68" max="68" width="17.1666666666667" customWidth="1"/>
  </cols>
  <sheetData>
    <row r="1" customHeight="1" spans="1:68">
      <c r="A1" s="4" t="s">
        <v>776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</row>
    <row r="2" customHeight="1" spans="1:68">
      <c r="A2" s="47" t="s">
        <v>596</v>
      </c>
      <c r="B2" s="48" t="s">
        <v>597</v>
      </c>
      <c r="C2" s="49">
        <v>45018</v>
      </c>
      <c r="D2" s="49">
        <v>45019</v>
      </c>
      <c r="E2" s="49">
        <v>45022</v>
      </c>
      <c r="F2" s="49">
        <v>45026</v>
      </c>
      <c r="G2" s="49">
        <v>45029</v>
      </c>
      <c r="H2" s="49">
        <v>45034</v>
      </c>
      <c r="I2" s="50">
        <v>45032</v>
      </c>
      <c r="J2" s="50">
        <v>45036</v>
      </c>
      <c r="K2" s="50">
        <v>45037</v>
      </c>
      <c r="L2" s="50">
        <v>45042</v>
      </c>
      <c r="M2" s="50">
        <v>45043</v>
      </c>
      <c r="N2" s="50">
        <v>44999</v>
      </c>
      <c r="O2" s="50"/>
      <c r="P2" s="50"/>
      <c r="Q2" s="50"/>
      <c r="R2" s="89"/>
      <c r="S2" s="89"/>
      <c r="T2" s="89"/>
      <c r="U2" s="89"/>
      <c r="V2" s="84"/>
      <c r="W2" s="85"/>
      <c r="X2" s="85"/>
      <c r="Y2" s="85"/>
      <c r="Z2" s="85"/>
      <c r="AA2" s="85"/>
      <c r="AB2" s="85"/>
      <c r="AC2" s="85"/>
      <c r="AD2" s="51"/>
      <c r="AE2" s="51"/>
      <c r="AF2" s="51"/>
      <c r="AG2" s="51"/>
      <c r="AH2" s="52"/>
      <c r="AI2" s="52"/>
      <c r="AJ2" s="52"/>
      <c r="AK2" s="51"/>
      <c r="AL2" s="51"/>
      <c r="AM2" s="51"/>
      <c r="AN2" s="51"/>
      <c r="AO2" s="51"/>
      <c r="AP2" s="51"/>
      <c r="AQ2" s="51"/>
      <c r="AR2" s="51"/>
      <c r="AS2" s="51"/>
      <c r="AT2" s="51"/>
      <c r="AU2" s="51"/>
      <c r="AV2" s="51"/>
      <c r="AW2" s="51"/>
      <c r="AX2" s="51"/>
      <c r="AY2" s="51"/>
      <c r="AZ2" s="51"/>
      <c r="BA2" s="51"/>
      <c r="BB2" s="51"/>
      <c r="BC2" s="51"/>
      <c r="BD2" s="51"/>
      <c r="BE2" s="51"/>
      <c r="BF2" s="51"/>
      <c r="BG2" s="101"/>
      <c r="BH2" s="101"/>
      <c r="BI2" s="101"/>
      <c r="BJ2" s="101"/>
      <c r="BK2" s="101"/>
      <c r="BL2" s="101"/>
      <c r="BM2" s="101"/>
      <c r="BN2" s="53" t="s">
        <v>598</v>
      </c>
      <c r="BO2" s="25"/>
      <c r="BP2" s="25"/>
    </row>
    <row r="3" s="44" customFormat="1" hidden="1" customHeight="1" spans="1:68">
      <c r="A3" s="54" t="s">
        <v>192</v>
      </c>
      <c r="B3" s="55" t="s">
        <v>600</v>
      </c>
      <c r="C3" s="56"/>
      <c r="D3" s="56"/>
      <c r="E3" s="56"/>
      <c r="F3" s="56"/>
      <c r="G3" s="56"/>
      <c r="H3" s="56"/>
      <c r="I3" s="57"/>
      <c r="J3" s="57"/>
      <c r="K3" s="57"/>
      <c r="L3" s="57"/>
      <c r="M3" s="57"/>
      <c r="N3" s="57"/>
      <c r="O3" s="57"/>
      <c r="P3" s="57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9"/>
      <c r="AI3" s="59"/>
      <c r="AJ3" s="59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58"/>
      <c r="BL3" s="58"/>
      <c r="BM3" s="58"/>
      <c r="BN3" s="86">
        <f>BM3+BL3+BK3+BJ3+BI3+BH3+BG3+BF3+BE3+BD3+BC3+BB3+BA3+AZ3+AY3+AX3+AW3+AV3+AU3+AT3+AS3+AR3+AQ3+AP3+AO3+AN3+AM3+AL3+AK3+AJ3+AI3+AH3+AG3+AF3+AE3+AD3+AC3+AB3+AA3+Z3+Y3+X3+W3+V3+U3+T3+S3+R3+Q3+P3+O3+N3+M3+L3+K3+J3+I3+H3+G3+F3+E3+D3+C3</f>
        <v>0</v>
      </c>
    </row>
    <row r="4" s="44" customFormat="1" hidden="1" customHeight="1" spans="1:68">
      <c r="A4" s="54" t="s">
        <v>134</v>
      </c>
      <c r="B4" s="55" t="s">
        <v>601</v>
      </c>
      <c r="C4" s="56"/>
      <c r="D4" s="56"/>
      <c r="E4" s="56"/>
      <c r="F4" s="56"/>
      <c r="G4" s="56"/>
      <c r="H4" s="56"/>
      <c r="I4" s="57"/>
      <c r="J4" s="57"/>
      <c r="K4" s="57"/>
      <c r="L4" s="57"/>
      <c r="M4" s="57"/>
      <c r="N4" s="57"/>
      <c r="O4" s="57"/>
      <c r="P4" s="57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9"/>
      <c r="AI4" s="59"/>
      <c r="AJ4" s="59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8"/>
      <c r="BK4" s="58"/>
      <c r="BL4" s="58"/>
      <c r="BM4" s="58"/>
      <c r="BN4" s="86">
        <f t="shared" ref="BN4:BN67" si="0">BM4+BL4+BK4+BJ4+BI4+BH4+BG4+BF4+BE4+BD4+BC4+BB4+BA4+AZ4+AY4+AX4+AW4+AV4+AU4+AT4+AS4+AR4+AQ4+AP4+AO4+AN4+AM4+AL4+AK4+AJ4+AI4+AH4+AG4+AF4+AE4+AD4+AC4+AB4+AA4+Z4+Y4+X4+W4+V4+U4+T4+S4+R4+Q4+P4+O4+N4+M4+L4+K4+J4+I4+H4+G4+F4+E4+D4+C4</f>
        <v>0</v>
      </c>
    </row>
    <row r="5" s="44" customFormat="1" hidden="1" customHeight="1" spans="1:68">
      <c r="A5" s="54" t="s">
        <v>602</v>
      </c>
      <c r="B5" s="55" t="s">
        <v>603</v>
      </c>
      <c r="C5" s="56"/>
      <c r="D5" s="56"/>
      <c r="E5" s="56"/>
      <c r="F5" s="56"/>
      <c r="G5" s="56"/>
      <c r="H5" s="56"/>
      <c r="I5" s="57"/>
      <c r="J5" s="57"/>
      <c r="K5" s="57"/>
      <c r="L5" s="57"/>
      <c r="M5" s="57"/>
      <c r="N5" s="57"/>
      <c r="O5" s="57"/>
      <c r="P5" s="57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9"/>
      <c r="AI5" s="59"/>
      <c r="AJ5" s="59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8"/>
      <c r="BF5" s="58"/>
      <c r="BG5" s="58"/>
      <c r="BH5" s="58"/>
      <c r="BI5" s="58"/>
      <c r="BJ5" s="58"/>
      <c r="BK5" s="58"/>
      <c r="BL5" s="58"/>
      <c r="BM5" s="58"/>
      <c r="BN5" s="86">
        <f t="shared" si="0"/>
        <v>0</v>
      </c>
    </row>
    <row r="6" s="44" customFormat="1" hidden="1" customHeight="1" spans="1:68">
      <c r="A6" s="54" t="s">
        <v>604</v>
      </c>
      <c r="B6" s="55" t="s">
        <v>605</v>
      </c>
      <c r="C6" s="56"/>
      <c r="D6" s="56"/>
      <c r="E6" s="56"/>
      <c r="F6" s="56"/>
      <c r="G6" s="56"/>
      <c r="H6" s="56"/>
      <c r="I6" s="57"/>
      <c r="J6" s="57"/>
      <c r="K6" s="57"/>
      <c r="L6" s="57"/>
      <c r="M6" s="57"/>
      <c r="N6" s="57"/>
      <c r="O6" s="57"/>
      <c r="P6" s="57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9"/>
      <c r="AI6" s="59"/>
      <c r="AJ6" s="59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58"/>
      <c r="BL6" s="58"/>
      <c r="BM6" s="58"/>
      <c r="BN6" s="86">
        <f t="shared" si="0"/>
        <v>0</v>
      </c>
    </row>
    <row r="7" s="44" customFormat="1" hidden="1" customHeight="1" spans="1:68">
      <c r="A7" s="54" t="s">
        <v>67</v>
      </c>
      <c r="B7" s="55" t="s">
        <v>606</v>
      </c>
      <c r="C7" s="56"/>
      <c r="D7" s="56"/>
      <c r="E7" s="56"/>
      <c r="F7" s="56"/>
      <c r="G7" s="56"/>
      <c r="H7" s="56"/>
      <c r="I7" s="57"/>
      <c r="J7" s="57"/>
      <c r="K7" s="57"/>
      <c r="L7" s="57"/>
      <c r="M7" s="57"/>
      <c r="N7" s="57"/>
      <c r="O7" s="57"/>
      <c r="P7" s="57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9"/>
      <c r="AI7" s="59"/>
      <c r="AJ7" s="59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58"/>
      <c r="BJ7" s="58"/>
      <c r="BK7" s="58"/>
      <c r="BL7" s="58"/>
      <c r="BM7" s="58"/>
      <c r="BN7" s="86">
        <f t="shared" si="0"/>
        <v>0</v>
      </c>
    </row>
    <row r="8" s="44" customFormat="1" hidden="1" customHeight="1" spans="1:68">
      <c r="A8" s="54" t="s">
        <v>53</v>
      </c>
      <c r="B8" s="55" t="s">
        <v>512</v>
      </c>
      <c r="C8" s="56"/>
      <c r="D8" s="56"/>
      <c r="E8" s="56"/>
      <c r="F8" s="56"/>
      <c r="G8" s="56"/>
      <c r="H8" s="56"/>
      <c r="I8" s="57"/>
      <c r="J8" s="57"/>
      <c r="K8" s="57"/>
      <c r="L8" s="57"/>
      <c r="M8" s="57"/>
      <c r="N8" s="57"/>
      <c r="O8" s="57"/>
      <c r="P8" s="57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9"/>
      <c r="AI8" s="59"/>
      <c r="AJ8" s="59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58"/>
      <c r="BF8" s="58"/>
      <c r="BG8" s="58"/>
      <c r="BH8" s="58"/>
      <c r="BI8" s="58"/>
      <c r="BJ8" s="58"/>
      <c r="BK8" s="58"/>
      <c r="BL8" s="58"/>
      <c r="BM8" s="58"/>
      <c r="BN8" s="86">
        <f t="shared" si="0"/>
        <v>0</v>
      </c>
    </row>
    <row r="9" s="44" customFormat="1" hidden="1" customHeight="1" spans="1:68">
      <c r="A9" s="54" t="s">
        <v>16</v>
      </c>
      <c r="B9" s="55" t="s">
        <v>608</v>
      </c>
      <c r="C9" s="56"/>
      <c r="D9" s="56"/>
      <c r="E9" s="56"/>
      <c r="F9" s="56"/>
      <c r="G9" s="56"/>
      <c r="H9" s="56"/>
      <c r="I9" s="57"/>
      <c r="J9" s="57"/>
      <c r="K9" s="57"/>
      <c r="L9" s="57"/>
      <c r="M9" s="57"/>
      <c r="N9" s="57"/>
      <c r="O9" s="57"/>
      <c r="P9" s="57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9"/>
      <c r="AI9" s="59"/>
      <c r="AJ9" s="59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58"/>
      <c r="BI9" s="58"/>
      <c r="BJ9" s="58"/>
      <c r="BK9" s="58"/>
      <c r="BL9" s="58"/>
      <c r="BM9" s="58"/>
      <c r="BN9" s="86">
        <f t="shared" si="0"/>
        <v>0</v>
      </c>
    </row>
    <row r="10" s="44" customFormat="1" customHeight="1" spans="1:68">
      <c r="A10" s="54" t="s">
        <v>59</v>
      </c>
      <c r="B10" s="55" t="s">
        <v>609</v>
      </c>
      <c r="C10" s="56" t="s">
        <v>611</v>
      </c>
      <c r="D10" s="56"/>
      <c r="E10" s="56"/>
      <c r="F10" s="56"/>
      <c r="G10" s="56"/>
      <c r="H10" s="56"/>
      <c r="I10" s="57"/>
      <c r="J10" s="57"/>
      <c r="K10" s="57"/>
      <c r="L10" s="57"/>
      <c r="M10" s="57"/>
      <c r="N10" s="57" t="s">
        <v>610</v>
      </c>
      <c r="O10" s="57"/>
      <c r="P10" s="57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9"/>
      <c r="AI10" s="59"/>
      <c r="AJ10" s="59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103">
        <f t="shared" si="0"/>
        <v>2400</v>
      </c>
    </row>
    <row r="11" s="44" customFormat="1" hidden="1" customHeight="1" spans="1:68">
      <c r="A11" s="54" t="s">
        <v>612</v>
      </c>
      <c r="B11" s="55" t="s">
        <v>613</v>
      </c>
      <c r="C11" s="56"/>
      <c r="D11" s="56"/>
      <c r="E11" s="56"/>
      <c r="F11" s="56"/>
      <c r="G11" s="56"/>
      <c r="H11" s="56"/>
      <c r="I11" s="57"/>
      <c r="J11" s="57"/>
      <c r="K11" s="57"/>
      <c r="L11" s="57"/>
      <c r="M11" s="57"/>
      <c r="N11" s="57"/>
      <c r="O11" s="57"/>
      <c r="P11" s="57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9"/>
      <c r="AI11" s="59"/>
      <c r="AJ11" s="59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86">
        <f t="shared" si="0"/>
        <v>0</v>
      </c>
    </row>
    <row r="12" s="44" customFormat="1" hidden="1" customHeight="1" spans="1:68">
      <c r="A12" s="54" t="s">
        <v>68</v>
      </c>
      <c r="B12" s="55" t="s">
        <v>614</v>
      </c>
      <c r="C12" s="56"/>
      <c r="D12" s="56"/>
      <c r="E12" s="56"/>
      <c r="F12" s="56"/>
      <c r="G12" s="56"/>
      <c r="H12" s="56"/>
      <c r="I12" s="57"/>
      <c r="J12" s="57"/>
      <c r="K12" s="57"/>
      <c r="L12" s="57"/>
      <c r="M12" s="57"/>
      <c r="N12" s="57"/>
      <c r="O12" s="57"/>
      <c r="P12" s="57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9"/>
      <c r="AI12" s="59"/>
      <c r="AJ12" s="59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86">
        <f t="shared" si="0"/>
        <v>0</v>
      </c>
    </row>
    <row r="13" s="44" customFormat="1" hidden="1" customHeight="1" spans="1:68">
      <c r="A13" s="54" t="s">
        <v>616</v>
      </c>
      <c r="B13" s="55" t="s">
        <v>617</v>
      </c>
      <c r="C13" s="56"/>
      <c r="D13" s="56"/>
      <c r="E13" s="56"/>
      <c r="F13" s="56"/>
      <c r="G13" s="56"/>
      <c r="H13" s="56"/>
      <c r="I13" s="57"/>
      <c r="J13" s="57"/>
      <c r="K13" s="57"/>
      <c r="L13" s="57"/>
      <c r="M13" s="57"/>
      <c r="N13" s="57"/>
      <c r="O13" s="57"/>
      <c r="P13" s="57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9"/>
      <c r="AI13" s="59"/>
      <c r="AJ13" s="59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86">
        <f t="shared" si="0"/>
        <v>0</v>
      </c>
    </row>
    <row r="14" s="45" customFormat="1" customHeight="1" spans="1:68">
      <c r="A14" s="54" t="s">
        <v>190</v>
      </c>
      <c r="B14" s="55" t="s">
        <v>759</v>
      </c>
      <c r="C14" s="56"/>
      <c r="D14" s="56"/>
      <c r="E14" s="56" t="s">
        <v>777</v>
      </c>
      <c r="F14" s="56"/>
      <c r="G14" s="56"/>
      <c r="H14" s="56"/>
      <c r="I14" s="57"/>
      <c r="J14" s="57"/>
      <c r="K14" s="57"/>
      <c r="L14" s="57"/>
      <c r="M14" s="57"/>
      <c r="N14" s="57"/>
      <c r="O14" s="57"/>
      <c r="P14" s="57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9"/>
      <c r="AI14" s="59"/>
      <c r="AJ14" s="59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103">
        <f t="shared" si="0"/>
        <v>195</v>
      </c>
    </row>
    <row r="15" s="46" customFormat="1" hidden="1" customHeight="1" spans="1:68">
      <c r="A15" s="61" t="s">
        <v>224</v>
      </c>
      <c r="B15" s="62" t="s">
        <v>620</v>
      </c>
      <c r="C15" s="62"/>
      <c r="D15" s="62"/>
      <c r="E15" s="62"/>
      <c r="F15" s="62"/>
      <c r="G15" s="62"/>
      <c r="H15" s="62"/>
      <c r="I15" s="63"/>
      <c r="J15" s="63"/>
      <c r="K15" s="63"/>
      <c r="L15" s="63"/>
      <c r="M15" s="63"/>
      <c r="N15" s="63"/>
      <c r="O15" s="63"/>
      <c r="P15" s="63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5"/>
      <c r="AI15" s="65"/>
      <c r="AJ15" s="65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4"/>
      <c r="BF15" s="64"/>
      <c r="BG15" s="64"/>
      <c r="BH15" s="64"/>
      <c r="BI15" s="64"/>
      <c r="BJ15" s="64"/>
      <c r="BK15" s="64"/>
      <c r="BL15" s="64"/>
      <c r="BM15" s="64"/>
      <c r="BN15" s="86">
        <f t="shared" si="0"/>
        <v>0</v>
      </c>
    </row>
    <row r="16" s="46" customFormat="1" customHeight="1" spans="1:68">
      <c r="A16" s="61" t="s">
        <v>204</v>
      </c>
      <c r="B16" s="77" t="s">
        <v>621</v>
      </c>
      <c r="C16" s="77"/>
      <c r="D16" s="77"/>
      <c r="E16" s="77"/>
      <c r="F16" s="77"/>
      <c r="G16" s="77" t="s">
        <v>622</v>
      </c>
      <c r="H16" s="77"/>
      <c r="I16" s="78"/>
      <c r="J16" s="78"/>
      <c r="K16" s="78"/>
      <c r="L16" s="78"/>
      <c r="M16" s="78"/>
      <c r="N16" s="78"/>
      <c r="O16" s="78"/>
      <c r="P16" s="78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80"/>
      <c r="AI16" s="80"/>
      <c r="AJ16" s="80"/>
      <c r="AK16" s="79"/>
      <c r="AL16" s="79"/>
      <c r="AM16" s="79"/>
      <c r="AN16" s="79"/>
      <c r="AO16" s="79"/>
      <c r="AP16" s="79"/>
      <c r="AQ16" s="79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79"/>
      <c r="BF16" s="79"/>
      <c r="BG16" s="79"/>
      <c r="BH16" s="79"/>
      <c r="BI16" s="79"/>
      <c r="BJ16" s="79"/>
      <c r="BK16" s="79"/>
      <c r="BL16" s="79"/>
      <c r="BM16" s="79"/>
      <c r="BN16" s="103">
        <f t="shared" si="0"/>
        <v>500</v>
      </c>
    </row>
    <row r="17" s="46" customFormat="1" hidden="1" customHeight="1" spans="1:66">
      <c r="A17" s="61" t="s">
        <v>623</v>
      </c>
      <c r="B17" s="77" t="s">
        <v>624</v>
      </c>
      <c r="C17" s="77"/>
      <c r="D17" s="77"/>
      <c r="E17" s="77"/>
      <c r="F17" s="77"/>
      <c r="G17" s="77"/>
      <c r="H17" s="77"/>
      <c r="I17" s="78"/>
      <c r="J17" s="78"/>
      <c r="K17" s="78"/>
      <c r="L17" s="78"/>
      <c r="M17" s="78"/>
      <c r="N17" s="78"/>
      <c r="O17" s="78"/>
      <c r="P17" s="78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80"/>
      <c r="AI17" s="80"/>
      <c r="AJ17" s="80"/>
      <c r="AK17" s="79"/>
      <c r="AL17" s="79"/>
      <c r="AM17" s="79"/>
      <c r="AN17" s="79"/>
      <c r="AO17" s="79"/>
      <c r="AP17" s="79"/>
      <c r="AQ17" s="79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79"/>
      <c r="BF17" s="79"/>
      <c r="BG17" s="79"/>
      <c r="BH17" s="79"/>
      <c r="BI17" s="79"/>
      <c r="BJ17" s="79"/>
      <c r="BK17" s="79"/>
      <c r="BL17" s="79"/>
      <c r="BM17" s="79"/>
      <c r="BN17" s="86">
        <f t="shared" si="0"/>
        <v>0</v>
      </c>
    </row>
    <row r="18" s="46" customFormat="1" customHeight="1" spans="1:66">
      <c r="A18" s="61" t="s">
        <v>161</v>
      </c>
      <c r="B18" s="77" t="s">
        <v>625</v>
      </c>
      <c r="C18" s="77"/>
      <c r="D18" s="77"/>
      <c r="E18" s="77"/>
      <c r="F18" s="77"/>
      <c r="G18" s="77"/>
      <c r="H18" s="77"/>
      <c r="I18" s="78" t="s">
        <v>622</v>
      </c>
      <c r="J18" s="78"/>
      <c r="K18" s="78"/>
      <c r="L18" s="78"/>
      <c r="M18" s="78" t="s">
        <v>752</v>
      </c>
      <c r="N18" s="78"/>
      <c r="O18" s="78"/>
      <c r="P18" s="78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80"/>
      <c r="AI18" s="80"/>
      <c r="AJ18" s="80"/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79"/>
      <c r="BF18" s="79"/>
      <c r="BG18" s="79"/>
      <c r="BH18" s="79"/>
      <c r="BI18" s="79"/>
      <c r="BJ18" s="79"/>
      <c r="BK18" s="79"/>
      <c r="BL18" s="79"/>
      <c r="BM18" s="79"/>
      <c r="BN18" s="86">
        <f t="shared" si="0"/>
        <v>700</v>
      </c>
    </row>
    <row r="19" s="3" customFormat="1" hidden="1" customHeight="1" spans="1:66">
      <c r="A19" s="66" t="s">
        <v>626</v>
      </c>
      <c r="B19" s="14" t="s">
        <v>627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5"/>
      <c r="AI19" s="15"/>
      <c r="AJ19" s="15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86">
        <f t="shared" si="0"/>
        <v>0</v>
      </c>
    </row>
    <row r="20" s="3" customFormat="1" customHeight="1" spans="1:66">
      <c r="A20" s="42" t="s">
        <v>114</v>
      </c>
      <c r="B20" s="18"/>
      <c r="C20" s="18"/>
      <c r="D20" s="18"/>
      <c r="E20" s="18"/>
      <c r="F20" s="18"/>
      <c r="G20" s="18"/>
      <c r="H20" s="18"/>
      <c r="I20" s="18">
        <v>25</v>
      </c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9"/>
      <c r="AI20" s="19"/>
      <c r="AJ20" s="19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03">
        <f t="shared" si="0"/>
        <v>25</v>
      </c>
    </row>
    <row r="21" s="3" customFormat="1" hidden="1" customHeight="1" spans="1:66">
      <c r="A21" s="42" t="s">
        <v>106</v>
      </c>
      <c r="B21" s="18" t="s">
        <v>107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9"/>
      <c r="AI21" s="19"/>
      <c r="AJ21" s="19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86">
        <f t="shared" si="0"/>
        <v>0</v>
      </c>
    </row>
    <row r="22" s="3" customFormat="1" hidden="1" customHeight="1" spans="1:66">
      <c r="A22" s="42" t="s">
        <v>629</v>
      </c>
      <c r="B22" s="18" t="s">
        <v>630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9"/>
      <c r="AI22" s="19"/>
      <c r="AJ22" s="19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20"/>
      <c r="BK22" s="18"/>
      <c r="BL22" s="18"/>
      <c r="BM22" s="18"/>
      <c r="BN22" s="86">
        <f t="shared" si="0"/>
        <v>0</v>
      </c>
    </row>
    <row r="23" s="3" customFormat="1" hidden="1" customHeight="1" spans="1:66">
      <c r="A23" s="42" t="s">
        <v>18</v>
      </c>
      <c r="B23" s="18" t="s">
        <v>631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9"/>
      <c r="AI23" s="19"/>
      <c r="AJ23" s="19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20"/>
      <c r="BK23" s="18"/>
      <c r="BL23" s="18"/>
      <c r="BM23" s="18"/>
      <c r="BN23" s="86">
        <f t="shared" si="0"/>
        <v>0</v>
      </c>
    </row>
    <row r="24" customHeight="1" spans="1:66">
      <c r="A24" s="16" t="s">
        <v>33</v>
      </c>
      <c r="B24" s="17" t="s">
        <v>632</v>
      </c>
      <c r="C24" s="18"/>
      <c r="D24" s="18"/>
      <c r="E24" s="18">
        <v>850</v>
      </c>
      <c r="F24" s="18"/>
      <c r="G24" s="18"/>
      <c r="H24" s="18"/>
      <c r="I24" s="18"/>
      <c r="J24" s="18">
        <v>675</v>
      </c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9"/>
      <c r="AI24" s="19"/>
      <c r="AJ24" s="19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20"/>
      <c r="BK24" s="18"/>
      <c r="BL24" s="18"/>
      <c r="BM24" s="18"/>
      <c r="BN24" s="103">
        <f t="shared" si="0"/>
        <v>1525</v>
      </c>
    </row>
    <row r="25" hidden="1" customHeight="1" spans="1:66">
      <c r="A25" s="16" t="s">
        <v>69</v>
      </c>
      <c r="B25" s="17" t="s">
        <v>633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9"/>
      <c r="AI25" s="19"/>
      <c r="AJ25" s="19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20"/>
      <c r="BK25" s="18"/>
      <c r="BL25" s="18"/>
      <c r="BM25" s="18"/>
      <c r="BN25" s="86">
        <f t="shared" si="0"/>
        <v>0</v>
      </c>
    </row>
    <row r="26" hidden="1" customHeight="1" spans="1:66">
      <c r="A26" s="16" t="s">
        <v>634</v>
      </c>
      <c r="B26" s="17" t="s">
        <v>635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9"/>
      <c r="AI26" s="19"/>
      <c r="AJ26" s="19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20"/>
      <c r="BK26" s="18"/>
      <c r="BL26" s="18"/>
      <c r="BM26" s="18"/>
      <c r="BN26" s="86">
        <f t="shared" si="0"/>
        <v>0</v>
      </c>
    </row>
    <row r="27" customHeight="1" spans="1:66">
      <c r="A27" s="16" t="s">
        <v>155</v>
      </c>
      <c r="B27" s="17" t="s">
        <v>636</v>
      </c>
      <c r="C27" s="18"/>
      <c r="D27" s="18"/>
      <c r="E27" s="18"/>
      <c r="F27" s="18"/>
      <c r="G27" s="18">
        <v>500</v>
      </c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9"/>
      <c r="AI27" s="19"/>
      <c r="AJ27" s="19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20"/>
      <c r="BK27" s="18"/>
      <c r="BL27" s="18"/>
      <c r="BM27" s="18"/>
      <c r="BN27" s="103">
        <f t="shared" si="0"/>
        <v>500</v>
      </c>
    </row>
    <row r="28" hidden="1" customHeight="1" spans="1:66">
      <c r="A28" s="16" t="s">
        <v>193</v>
      </c>
      <c r="B28" s="17" t="s">
        <v>637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9"/>
      <c r="AI28" s="19"/>
      <c r="AJ28" s="19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20"/>
      <c r="BK28" s="18"/>
      <c r="BL28" s="18"/>
      <c r="BM28" s="18"/>
      <c r="BN28" s="86">
        <f t="shared" si="0"/>
        <v>0</v>
      </c>
    </row>
    <row r="29" customHeight="1" spans="1:66">
      <c r="A29" s="16" t="s">
        <v>35</v>
      </c>
      <c r="B29" s="17" t="s">
        <v>638</v>
      </c>
      <c r="C29" s="18"/>
      <c r="D29" s="18"/>
      <c r="E29" s="18">
        <v>1000</v>
      </c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9"/>
      <c r="AI29" s="19"/>
      <c r="AJ29" s="19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20"/>
      <c r="BK29" s="18"/>
      <c r="BL29" s="18"/>
      <c r="BM29" s="18"/>
      <c r="BN29" s="103">
        <f t="shared" si="0"/>
        <v>1000</v>
      </c>
    </row>
    <row r="30" hidden="1" customHeight="1" spans="1:66">
      <c r="A30" s="16" t="s">
        <v>234</v>
      </c>
      <c r="B30" s="17" t="s">
        <v>639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9"/>
      <c r="AI30" s="19"/>
      <c r="AJ30" s="19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20"/>
      <c r="BK30" s="18"/>
      <c r="BL30" s="18"/>
      <c r="BM30" s="18"/>
      <c r="BN30" s="86">
        <f t="shared" si="0"/>
        <v>0</v>
      </c>
    </row>
    <row r="31" hidden="1" customHeight="1" spans="1:66">
      <c r="A31" s="16" t="s">
        <v>175</v>
      </c>
      <c r="B31" s="17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9"/>
      <c r="AI31" s="19"/>
      <c r="AJ31" s="19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20"/>
      <c r="BK31" s="18"/>
      <c r="BL31" s="18"/>
      <c r="BM31" s="18"/>
      <c r="BN31" s="86">
        <f t="shared" si="0"/>
        <v>0</v>
      </c>
    </row>
    <row r="32" hidden="1" customHeight="1" spans="1:66">
      <c r="A32" s="16" t="s">
        <v>165</v>
      </c>
      <c r="B32" s="17" t="s">
        <v>640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9"/>
      <c r="AI32" s="19"/>
      <c r="AJ32" s="19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20"/>
      <c r="BK32" s="18"/>
      <c r="BL32" s="18"/>
      <c r="BM32" s="18"/>
      <c r="BN32" s="86">
        <f t="shared" si="0"/>
        <v>0</v>
      </c>
    </row>
    <row r="33" customHeight="1" spans="1:67">
      <c r="A33" s="16" t="s">
        <v>78</v>
      </c>
      <c r="B33" s="17" t="s">
        <v>641</v>
      </c>
      <c r="C33" s="18"/>
      <c r="D33" s="18"/>
      <c r="E33" s="18">
        <v>50</v>
      </c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9"/>
      <c r="AI33" s="19"/>
      <c r="AJ33" s="19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20"/>
      <c r="BK33" s="18"/>
      <c r="BL33" s="18"/>
      <c r="BM33" s="18"/>
      <c r="BN33" s="103">
        <f t="shared" si="0"/>
        <v>50</v>
      </c>
    </row>
    <row r="34" hidden="1" customHeight="1" spans="1:67">
      <c r="A34" s="16" t="s">
        <v>74</v>
      </c>
      <c r="B34" s="17" t="s">
        <v>642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9"/>
      <c r="AI34" s="19"/>
      <c r="AJ34" s="19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20"/>
      <c r="BK34" s="18"/>
      <c r="BL34" s="18"/>
      <c r="BM34" s="18"/>
      <c r="BN34" s="86">
        <f t="shared" si="0"/>
        <v>0</v>
      </c>
    </row>
    <row r="35" hidden="1" customHeight="1" spans="1:67">
      <c r="A35" s="16" t="s">
        <v>643</v>
      </c>
      <c r="B35" s="17" t="s">
        <v>644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9"/>
      <c r="AI35" s="19"/>
      <c r="AJ35" s="19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20"/>
      <c r="BK35" s="18"/>
      <c r="BL35" s="18"/>
      <c r="BM35" s="18"/>
      <c r="BN35" s="86">
        <f t="shared" si="0"/>
        <v>0</v>
      </c>
    </row>
    <row r="36" customHeight="1" spans="1:67">
      <c r="A36" s="16" t="s">
        <v>138</v>
      </c>
      <c r="B36" s="17" t="s">
        <v>645</v>
      </c>
      <c r="C36" s="18"/>
      <c r="D36" s="18"/>
      <c r="E36" s="18"/>
      <c r="F36" s="18"/>
      <c r="G36" s="18"/>
      <c r="H36" s="18"/>
      <c r="I36" s="18">
        <v>300</v>
      </c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9"/>
      <c r="AI36" s="19"/>
      <c r="AJ36" s="19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20"/>
      <c r="BK36" s="18"/>
      <c r="BL36" s="18"/>
      <c r="BM36" s="18"/>
      <c r="BN36" s="103">
        <f t="shared" si="0"/>
        <v>300</v>
      </c>
    </row>
    <row r="37" customHeight="1" spans="1:67">
      <c r="A37" s="16" t="s">
        <v>141</v>
      </c>
      <c r="B37" s="17" t="s">
        <v>646</v>
      </c>
      <c r="C37" s="18"/>
      <c r="D37" s="18">
        <v>275</v>
      </c>
      <c r="E37" s="18"/>
      <c r="F37" s="18"/>
      <c r="G37" s="18"/>
      <c r="H37" s="18"/>
      <c r="I37" s="18">
        <v>200</v>
      </c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9"/>
      <c r="AI37" s="19"/>
      <c r="AJ37" s="19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20"/>
      <c r="BK37" s="18"/>
      <c r="BL37" s="18"/>
      <c r="BM37" s="18"/>
      <c r="BN37" s="87">
        <f t="shared" si="0"/>
        <v>475</v>
      </c>
      <c r="BO37">
        <v>100</v>
      </c>
    </row>
    <row r="38" customHeight="1" spans="1:67">
      <c r="A38" s="16" t="s">
        <v>109</v>
      </c>
      <c r="B38" s="17" t="s">
        <v>110</v>
      </c>
      <c r="C38" s="18"/>
      <c r="D38" s="18"/>
      <c r="E38" s="18"/>
      <c r="F38" s="18"/>
      <c r="G38" s="18"/>
      <c r="H38" s="18">
        <v>475</v>
      </c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9"/>
      <c r="AI38" s="19"/>
      <c r="AJ38" s="19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03">
        <f t="shared" si="0"/>
        <v>475</v>
      </c>
    </row>
    <row r="39" hidden="1" customHeight="1" spans="1:67">
      <c r="A39" s="16" t="s">
        <v>103</v>
      </c>
      <c r="B39" s="17" t="s">
        <v>647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9"/>
      <c r="AI39" s="19"/>
      <c r="AJ39" s="19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86">
        <f t="shared" si="0"/>
        <v>0</v>
      </c>
    </row>
    <row r="40" hidden="1" customHeight="1" spans="1:67">
      <c r="A40" s="16" t="s">
        <v>177</v>
      </c>
      <c r="B40" s="17" t="s">
        <v>648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9"/>
      <c r="AI40" s="19"/>
      <c r="AJ40" s="19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86">
        <f t="shared" si="0"/>
        <v>0</v>
      </c>
    </row>
    <row r="41" customHeight="1" spans="1:67">
      <c r="A41" s="16" t="s">
        <v>37</v>
      </c>
      <c r="B41" s="17" t="s">
        <v>649</v>
      </c>
      <c r="C41" s="18"/>
      <c r="D41" s="18"/>
      <c r="E41" s="18"/>
      <c r="F41" s="18"/>
      <c r="G41" s="18">
        <v>500</v>
      </c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9"/>
      <c r="AI41" s="19"/>
      <c r="AJ41" s="19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03">
        <f t="shared" si="0"/>
        <v>500</v>
      </c>
    </row>
    <row r="42" customHeight="1" spans="1:67">
      <c r="A42" s="16" t="s">
        <v>173</v>
      </c>
      <c r="B42" s="17" t="s">
        <v>650</v>
      </c>
      <c r="C42" s="18"/>
      <c r="D42" s="18"/>
      <c r="E42" s="18"/>
      <c r="F42" s="18"/>
      <c r="G42" s="18"/>
      <c r="H42" s="18"/>
      <c r="I42" s="18">
        <v>5000</v>
      </c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9"/>
      <c r="AI42" s="19"/>
      <c r="AJ42" s="19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03">
        <f t="shared" si="0"/>
        <v>5000</v>
      </c>
    </row>
    <row r="43" hidden="1" customHeight="1" spans="1:67">
      <c r="A43" s="16" t="s">
        <v>651</v>
      </c>
      <c r="B43" s="21" t="s">
        <v>652</v>
      </c>
      <c r="C43" s="22"/>
      <c r="D43" s="22"/>
      <c r="E43" s="22"/>
      <c r="F43" s="22"/>
      <c r="G43" s="22"/>
      <c r="H43" s="22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9"/>
      <c r="AI43" s="19"/>
      <c r="AJ43" s="19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86">
        <f t="shared" si="0"/>
        <v>0</v>
      </c>
    </row>
    <row r="44" hidden="1" customHeight="1" spans="1:67">
      <c r="A44" s="16" t="s">
        <v>144</v>
      </c>
      <c r="B44" s="21" t="s">
        <v>653</v>
      </c>
      <c r="C44" s="22"/>
      <c r="D44" s="22"/>
      <c r="E44" s="22"/>
      <c r="F44" s="22"/>
      <c r="G44" s="22"/>
      <c r="H44" s="22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9"/>
      <c r="AI44" s="19"/>
      <c r="AJ44" s="19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86">
        <f t="shared" si="0"/>
        <v>0</v>
      </c>
    </row>
    <row r="45" hidden="1" customHeight="1" spans="1:67">
      <c r="A45" s="16" t="s">
        <v>187</v>
      </c>
      <c r="B45" s="17" t="s">
        <v>654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9"/>
      <c r="AI45" s="19"/>
      <c r="AJ45" s="19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86">
        <f t="shared" si="0"/>
        <v>0</v>
      </c>
    </row>
    <row r="46" customHeight="1" spans="1:67">
      <c r="A46" s="16" t="s">
        <v>14</v>
      </c>
      <c r="B46" s="17" t="s">
        <v>655</v>
      </c>
      <c r="C46" s="18"/>
      <c r="D46" s="18"/>
      <c r="E46" s="18"/>
      <c r="F46" s="18"/>
      <c r="G46" s="18"/>
      <c r="H46" s="18"/>
      <c r="I46" s="18"/>
      <c r="J46" s="18"/>
      <c r="K46" s="18"/>
      <c r="L46" s="18">
        <v>100</v>
      </c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9"/>
      <c r="AI46" s="19"/>
      <c r="AJ46" s="19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03">
        <f t="shared" si="0"/>
        <v>100</v>
      </c>
    </row>
    <row r="47" customHeight="1" spans="1:67">
      <c r="A47" s="16" t="s">
        <v>51</v>
      </c>
      <c r="B47" s="17" t="s">
        <v>656</v>
      </c>
      <c r="C47" s="18"/>
      <c r="D47" s="18"/>
      <c r="E47" s="18"/>
      <c r="F47" s="18">
        <v>950</v>
      </c>
      <c r="G47" s="18"/>
      <c r="H47" s="18"/>
      <c r="I47" s="18">
        <v>4000</v>
      </c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9"/>
      <c r="AI47" s="19"/>
      <c r="AJ47" s="19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03">
        <f t="shared" si="0"/>
        <v>4950</v>
      </c>
    </row>
    <row r="48" hidden="1" customHeight="1" spans="1:67">
      <c r="A48" s="16" t="s">
        <v>76</v>
      </c>
      <c r="B48" s="17" t="s">
        <v>657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9"/>
      <c r="AI48" s="19"/>
      <c r="AJ48" s="19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86">
        <f t="shared" si="0"/>
        <v>0</v>
      </c>
    </row>
    <row r="49" hidden="1" customHeight="1" spans="1:66">
      <c r="A49" s="16" t="s">
        <v>218</v>
      </c>
      <c r="B49" s="17" t="s">
        <v>658</v>
      </c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9"/>
      <c r="AI49" s="19"/>
      <c r="AJ49" s="19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86">
        <f t="shared" si="0"/>
        <v>0</v>
      </c>
    </row>
    <row r="50" hidden="1" customHeight="1" spans="1:66">
      <c r="A50" s="16" t="s">
        <v>135</v>
      </c>
      <c r="B50" s="17" t="s">
        <v>659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9"/>
      <c r="AI50" s="19"/>
      <c r="AJ50" s="19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86">
        <f t="shared" si="0"/>
        <v>0</v>
      </c>
    </row>
    <row r="51" customHeight="1" spans="1:66">
      <c r="A51" s="16" t="s">
        <v>22</v>
      </c>
      <c r="B51" s="17" t="s">
        <v>652</v>
      </c>
      <c r="C51" s="18"/>
      <c r="D51" s="18">
        <v>1000</v>
      </c>
      <c r="E51" s="18"/>
      <c r="F51" s="18"/>
      <c r="G51" s="18">
        <v>2000</v>
      </c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9"/>
      <c r="AI51" s="19"/>
      <c r="AJ51" s="19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03">
        <f t="shared" si="0"/>
        <v>3000</v>
      </c>
    </row>
    <row r="52" hidden="1" customHeight="1" spans="1:66">
      <c r="A52" s="16" t="s">
        <v>660</v>
      </c>
      <c r="B52" s="17" t="s">
        <v>655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9"/>
      <c r="AI52" s="19"/>
      <c r="AJ52" s="19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86">
        <f t="shared" si="0"/>
        <v>0</v>
      </c>
    </row>
    <row r="53" hidden="1" customHeight="1" spans="1:66">
      <c r="A53" s="16" t="s">
        <v>661</v>
      </c>
      <c r="B53" s="17" t="s">
        <v>653</v>
      </c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9"/>
      <c r="AI53" s="19"/>
      <c r="AJ53" s="19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86">
        <f t="shared" si="0"/>
        <v>0</v>
      </c>
    </row>
    <row r="54" hidden="1" customHeight="1" spans="1:66">
      <c r="A54" s="16" t="s">
        <v>662</v>
      </c>
      <c r="B54" s="17" t="s">
        <v>663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9"/>
      <c r="AI54" s="19"/>
      <c r="AJ54" s="19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86">
        <f t="shared" si="0"/>
        <v>0</v>
      </c>
    </row>
    <row r="55" hidden="1" customHeight="1" spans="1:66">
      <c r="A55" s="16" t="s">
        <v>666</v>
      </c>
      <c r="B55" s="17" t="s">
        <v>667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9"/>
      <c r="AI55" s="19"/>
      <c r="AJ55" s="19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86">
        <f t="shared" si="0"/>
        <v>0</v>
      </c>
    </row>
    <row r="56" hidden="1" customHeight="1" spans="1:66">
      <c r="A56" s="16" t="s">
        <v>668</v>
      </c>
      <c r="B56" s="17" t="s">
        <v>669</v>
      </c>
      <c r="C56" s="18">
        <v>250</v>
      </c>
      <c r="D56" s="18"/>
      <c r="E56" s="18">
        <v>-250</v>
      </c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9"/>
      <c r="AI56" s="19"/>
      <c r="AJ56" s="19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86">
        <f t="shared" si="0"/>
        <v>0</v>
      </c>
    </row>
    <row r="57" customHeight="1" spans="1:66">
      <c r="A57" s="16" t="s">
        <v>670</v>
      </c>
      <c r="B57" s="17" t="s">
        <v>671</v>
      </c>
      <c r="C57" s="18"/>
      <c r="D57" s="18"/>
      <c r="E57" s="18">
        <v>-200</v>
      </c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9"/>
      <c r="AI57" s="19"/>
      <c r="AJ57" s="19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03">
        <f t="shared" si="0"/>
        <v>-200</v>
      </c>
    </row>
    <row r="58" customHeight="1" spans="1:66">
      <c r="A58" s="16" t="s">
        <v>672</v>
      </c>
      <c r="B58" s="17" t="s">
        <v>671</v>
      </c>
      <c r="C58" s="18">
        <v>500</v>
      </c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9"/>
      <c r="AI58" s="19"/>
      <c r="AJ58" s="19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03">
        <f t="shared" si="0"/>
        <v>500</v>
      </c>
    </row>
    <row r="59" hidden="1" customHeight="1" spans="1:66">
      <c r="A59" s="16" t="s">
        <v>673</v>
      </c>
      <c r="B59" s="17" t="s">
        <v>674</v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9"/>
      <c r="AI59" s="19"/>
      <c r="AJ59" s="19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86">
        <f t="shared" si="0"/>
        <v>0</v>
      </c>
    </row>
    <row r="60" hidden="1" customHeight="1" spans="1:66">
      <c r="A60" s="16" t="s">
        <v>675</v>
      </c>
      <c r="B60" s="17" t="s">
        <v>676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9"/>
      <c r="AI60" s="19"/>
      <c r="AJ60" s="19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86">
        <f t="shared" si="0"/>
        <v>0</v>
      </c>
    </row>
    <row r="61" customHeight="1" spans="1:66">
      <c r="A61" s="16" t="s">
        <v>677</v>
      </c>
      <c r="B61" s="17" t="s">
        <v>678</v>
      </c>
      <c r="C61" s="18"/>
      <c r="D61" s="18"/>
      <c r="E61" s="18">
        <v>-150</v>
      </c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9"/>
      <c r="AI61" s="19"/>
      <c r="AJ61" s="19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03">
        <f t="shared" si="0"/>
        <v>-150</v>
      </c>
    </row>
    <row r="62" customHeight="1" spans="1:66">
      <c r="A62" s="16" t="s">
        <v>679</v>
      </c>
      <c r="B62" s="17" t="s">
        <v>680</v>
      </c>
      <c r="C62" s="18">
        <v>1100</v>
      </c>
      <c r="D62" s="18"/>
      <c r="E62" s="18"/>
      <c r="F62" s="18">
        <v>800</v>
      </c>
      <c r="G62" s="18"/>
      <c r="H62" s="18"/>
      <c r="I62" s="18"/>
      <c r="J62" s="18"/>
      <c r="K62" s="18">
        <v>-100</v>
      </c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9"/>
      <c r="AI62" s="19"/>
      <c r="AJ62" s="19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03">
        <f t="shared" si="0"/>
        <v>1800</v>
      </c>
    </row>
    <row r="63" hidden="1" customHeight="1" spans="1:66">
      <c r="A63" s="16" t="s">
        <v>681</v>
      </c>
      <c r="B63" s="17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9"/>
      <c r="AI63" s="19"/>
      <c r="AJ63" s="19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86">
        <f t="shared" si="0"/>
        <v>0</v>
      </c>
    </row>
    <row r="64" hidden="1" customHeight="1" spans="1:66">
      <c r="A64" s="16" t="s">
        <v>604</v>
      </c>
      <c r="B64" s="17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9"/>
      <c r="AI64" s="19"/>
      <c r="AJ64" s="19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86">
        <f t="shared" si="0"/>
        <v>0</v>
      </c>
    </row>
    <row r="65" hidden="1" customHeight="1" spans="1:66">
      <c r="A65" s="16" t="s">
        <v>682</v>
      </c>
      <c r="B65" s="17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9"/>
      <c r="AI65" s="19"/>
      <c r="AJ65" s="19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86">
        <f t="shared" si="0"/>
        <v>0</v>
      </c>
    </row>
    <row r="66" customHeight="1" spans="1:66">
      <c r="A66" s="16" t="s">
        <v>683</v>
      </c>
      <c r="B66" s="17" t="s">
        <v>684</v>
      </c>
      <c r="C66" s="18"/>
      <c r="D66" s="18"/>
      <c r="E66" s="18">
        <v>-150</v>
      </c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9"/>
      <c r="AI66" s="19"/>
      <c r="AJ66" s="19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03">
        <f t="shared" si="0"/>
        <v>-150</v>
      </c>
    </row>
    <row r="67" hidden="1" customHeight="1" spans="1:66">
      <c r="A67" s="16" t="s">
        <v>685</v>
      </c>
      <c r="B67" s="17" t="s">
        <v>686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9"/>
      <c r="AI67" s="19"/>
      <c r="AJ67" s="19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86">
        <f t="shared" si="0"/>
        <v>0</v>
      </c>
    </row>
    <row r="68" hidden="1" customHeight="1" spans="1:66">
      <c r="A68" s="16" t="s">
        <v>687</v>
      </c>
      <c r="B68" s="17" t="s">
        <v>688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9"/>
      <c r="AI68" s="19"/>
      <c r="AJ68" s="19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86">
        <f t="shared" ref="BN68:BN109" si="1">BM68+BL68+BK68+BJ68+BI68+BH68+BG68+BF68+BE68+BD68+BC68+BB68+BA68+AZ68+AY68+AX68+AW68+AV68+AU68+AT68+AS68+AR68+AQ68+AP68+AO68+AN68+AM68+AL68+AK68+AJ68+AI68+AH68+AG68+AF68+AE68+AD68+AC68+AB68+AA68+Z68+Y68+X68+W68+V68+U68+T68+S68+R68+Q68+P68+O68+N68+M68+L68+K68+J68+I68+H68+G68+F68+E68+D68+C68</f>
        <v>0</v>
      </c>
    </row>
    <row r="69" customHeight="1" spans="1:66">
      <c r="A69" s="16" t="s">
        <v>689</v>
      </c>
      <c r="B69" s="17" t="s">
        <v>690</v>
      </c>
      <c r="C69" s="18"/>
      <c r="D69" s="18"/>
      <c r="E69" s="18">
        <v>-50</v>
      </c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9"/>
      <c r="AI69" s="19"/>
      <c r="AJ69" s="19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03">
        <f t="shared" si="1"/>
        <v>-50</v>
      </c>
    </row>
    <row r="70" hidden="1" customHeight="1" spans="1:66">
      <c r="A70" s="16" t="s">
        <v>691</v>
      </c>
      <c r="B70" s="17" t="s">
        <v>692</v>
      </c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9"/>
      <c r="AI70" s="19"/>
      <c r="AJ70" s="19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86">
        <f t="shared" si="1"/>
        <v>0</v>
      </c>
    </row>
    <row r="71" hidden="1" customHeight="1" spans="1:66">
      <c r="A71" s="16" t="s">
        <v>693</v>
      </c>
      <c r="B71" s="17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9"/>
      <c r="AI71" s="19"/>
      <c r="AJ71" s="19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86">
        <f t="shared" si="1"/>
        <v>0</v>
      </c>
    </row>
    <row r="72" customHeight="1" spans="1:66">
      <c r="A72" s="16" t="s">
        <v>694</v>
      </c>
      <c r="B72" s="17" t="s">
        <v>695</v>
      </c>
      <c r="C72" s="18"/>
      <c r="D72" s="18"/>
      <c r="E72" s="18">
        <v>-25</v>
      </c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9"/>
      <c r="AI72" s="19"/>
      <c r="AJ72" s="19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03">
        <f t="shared" si="1"/>
        <v>-25</v>
      </c>
    </row>
    <row r="73" hidden="1" customHeight="1" spans="1:66">
      <c r="A73" s="16" t="s">
        <v>778</v>
      </c>
      <c r="B73" s="17" t="s">
        <v>779</v>
      </c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9"/>
      <c r="AI73" s="19"/>
      <c r="AJ73" s="19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86">
        <f t="shared" si="1"/>
        <v>0</v>
      </c>
    </row>
    <row r="74" hidden="1" customHeight="1" spans="1:66">
      <c r="A74" s="16" t="s">
        <v>699</v>
      </c>
      <c r="B74" s="21" t="s">
        <v>700</v>
      </c>
      <c r="C74" s="22"/>
      <c r="D74" s="22"/>
      <c r="E74" s="22"/>
      <c r="F74" s="22"/>
      <c r="G74" s="22"/>
      <c r="H74" s="22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9"/>
      <c r="AI74" s="19"/>
      <c r="AJ74" s="19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86">
        <f t="shared" si="1"/>
        <v>0</v>
      </c>
    </row>
    <row r="75" hidden="1" customHeight="1" spans="1:66">
      <c r="A75" s="16" t="s">
        <v>701</v>
      </c>
      <c r="B75" s="17" t="s">
        <v>702</v>
      </c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9"/>
      <c r="AI75" s="19"/>
      <c r="AJ75" s="19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86">
        <f t="shared" si="1"/>
        <v>0</v>
      </c>
    </row>
    <row r="76" hidden="1" customHeight="1" spans="1:66">
      <c r="A76" s="16" t="s">
        <v>701</v>
      </c>
      <c r="B76" s="21" t="s">
        <v>780</v>
      </c>
      <c r="C76" s="22"/>
      <c r="D76" s="22"/>
      <c r="E76" s="22"/>
      <c r="F76" s="22"/>
      <c r="G76" s="22"/>
      <c r="H76" s="22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9"/>
      <c r="AI76" s="19"/>
      <c r="AJ76" s="19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86">
        <f t="shared" si="1"/>
        <v>0</v>
      </c>
    </row>
    <row r="77" hidden="1" customHeight="1" spans="1:66">
      <c r="A77" s="16" t="s">
        <v>704</v>
      </c>
      <c r="B77" s="21" t="s">
        <v>705</v>
      </c>
      <c r="C77" s="22"/>
      <c r="D77" s="22"/>
      <c r="E77" s="22"/>
      <c r="F77" s="22"/>
      <c r="G77" s="22"/>
      <c r="H77" s="22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9"/>
      <c r="AI77" s="19"/>
      <c r="AJ77" s="19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86">
        <f t="shared" si="1"/>
        <v>0</v>
      </c>
    </row>
    <row r="78" hidden="1" customHeight="1" spans="1:66">
      <c r="A78" s="16" t="s">
        <v>706</v>
      </c>
      <c r="B78" s="21" t="s">
        <v>707</v>
      </c>
      <c r="C78" s="22"/>
      <c r="D78" s="22"/>
      <c r="E78" s="22"/>
      <c r="F78" s="22"/>
      <c r="G78" s="22"/>
      <c r="H78" s="22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9"/>
      <c r="AI78" s="19"/>
      <c r="AJ78" s="19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86">
        <f t="shared" si="1"/>
        <v>0</v>
      </c>
    </row>
    <row r="79" customHeight="1" spans="1:66">
      <c r="A79" s="16" t="s">
        <v>123</v>
      </c>
      <c r="B79" s="21" t="s">
        <v>708</v>
      </c>
      <c r="C79" s="22">
        <v>9200</v>
      </c>
      <c r="D79" s="22"/>
      <c r="E79" s="22"/>
      <c r="F79" s="22"/>
      <c r="G79" s="22"/>
      <c r="H79" s="22"/>
      <c r="I79" s="18"/>
      <c r="J79" s="18"/>
      <c r="K79" s="18"/>
      <c r="L79" s="18"/>
      <c r="M79" s="18">
        <v>6900</v>
      </c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9"/>
      <c r="AI79" s="19"/>
      <c r="AJ79" s="19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03">
        <f t="shared" si="1"/>
        <v>16100</v>
      </c>
    </row>
    <row r="80" customHeight="1" spans="1:66">
      <c r="A80" s="16" t="s">
        <v>117</v>
      </c>
      <c r="B80" s="21" t="s">
        <v>709</v>
      </c>
      <c r="C80" s="22">
        <v>6000</v>
      </c>
      <c r="D80" s="22"/>
      <c r="E80" s="22"/>
      <c r="F80" s="22"/>
      <c r="G80" s="22"/>
      <c r="H80" s="22"/>
      <c r="I80" s="18"/>
      <c r="J80" s="18"/>
      <c r="K80" s="18"/>
      <c r="L80" s="18"/>
      <c r="M80" s="18">
        <v>6000</v>
      </c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9"/>
      <c r="AI80" s="19"/>
      <c r="AJ80" s="19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03">
        <f t="shared" si="1"/>
        <v>12000</v>
      </c>
    </row>
    <row r="81" customHeight="1" spans="1:67">
      <c r="A81" s="16" t="s">
        <v>120</v>
      </c>
      <c r="B81" s="21" t="s">
        <v>710</v>
      </c>
      <c r="C81" s="22"/>
      <c r="D81" s="22"/>
      <c r="E81" s="22"/>
      <c r="F81" s="22"/>
      <c r="G81" s="22"/>
      <c r="H81" s="22">
        <v>10200</v>
      </c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9"/>
      <c r="AI81" s="19"/>
      <c r="AJ81" s="19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03">
        <f t="shared" si="1"/>
        <v>10200</v>
      </c>
    </row>
    <row r="82" customHeight="1" spans="1:67">
      <c r="A82" s="16" t="s">
        <v>65</v>
      </c>
      <c r="B82" s="21" t="s">
        <v>713</v>
      </c>
      <c r="C82" s="22">
        <v>11400</v>
      </c>
      <c r="D82" s="22"/>
      <c r="E82" s="22"/>
      <c r="F82" s="22"/>
      <c r="G82" s="22"/>
      <c r="H82" s="22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9"/>
      <c r="AI82" s="19"/>
      <c r="AJ82" s="19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03">
        <f t="shared" si="1"/>
        <v>11400</v>
      </c>
    </row>
    <row r="83" hidden="1" customHeight="1" spans="1:67">
      <c r="A83" s="16" t="s">
        <v>781</v>
      </c>
      <c r="B83" s="21" t="s">
        <v>714</v>
      </c>
      <c r="C83" s="22"/>
      <c r="D83" s="22"/>
      <c r="E83" s="22"/>
      <c r="F83" s="22"/>
      <c r="G83" s="22"/>
      <c r="H83" s="22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9"/>
      <c r="AI83" s="19"/>
      <c r="AJ83" s="19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86">
        <f t="shared" si="1"/>
        <v>0</v>
      </c>
    </row>
    <row r="84" hidden="1" customHeight="1" spans="1:67">
      <c r="A84" s="16" t="s">
        <v>126</v>
      </c>
      <c r="B84" s="21" t="s">
        <v>715</v>
      </c>
      <c r="C84" s="22"/>
      <c r="D84" s="22"/>
      <c r="E84" s="22"/>
      <c r="F84" s="22"/>
      <c r="G84" s="22"/>
      <c r="H84" s="22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9"/>
      <c r="AI84" s="19"/>
      <c r="AJ84" s="19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86">
        <f t="shared" si="1"/>
        <v>0</v>
      </c>
    </row>
    <row r="85" hidden="1" customHeight="1" spans="1:67">
      <c r="A85" s="16" t="s">
        <v>181</v>
      </c>
      <c r="B85" s="21" t="s">
        <v>716</v>
      </c>
      <c r="C85" s="22"/>
      <c r="D85" s="22"/>
      <c r="E85" s="22"/>
      <c r="F85" s="22"/>
      <c r="G85" s="22"/>
      <c r="H85" s="22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9"/>
      <c r="AI85" s="19"/>
      <c r="AJ85" s="19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86">
        <f t="shared" si="1"/>
        <v>0</v>
      </c>
    </row>
    <row r="86" customHeight="1" spans="1:67">
      <c r="A86" s="16" t="s">
        <v>169</v>
      </c>
      <c r="B86" s="21" t="s">
        <v>717</v>
      </c>
      <c r="C86" s="22"/>
      <c r="D86" s="22">
        <v>10000</v>
      </c>
      <c r="E86" s="22"/>
      <c r="F86" s="22"/>
      <c r="G86" s="22"/>
      <c r="H86" s="22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9"/>
      <c r="AI86" s="19"/>
      <c r="AJ86" s="19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03">
        <f t="shared" si="1"/>
        <v>10000</v>
      </c>
    </row>
    <row r="87" customHeight="1" spans="1:67">
      <c r="A87" s="16" t="s">
        <v>222</v>
      </c>
      <c r="B87" s="21" t="s">
        <v>718</v>
      </c>
      <c r="C87" s="22"/>
      <c r="D87" s="22"/>
      <c r="E87" s="22"/>
      <c r="F87" s="22"/>
      <c r="G87" s="22"/>
      <c r="H87" s="22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9"/>
      <c r="AI87" s="19"/>
      <c r="AJ87" s="19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86">
        <f t="shared" si="1"/>
        <v>0</v>
      </c>
    </row>
    <row r="88" customHeight="1" spans="1:67">
      <c r="A88" s="16" t="s">
        <v>719</v>
      </c>
      <c r="B88" s="17" t="s">
        <v>720</v>
      </c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9"/>
      <c r="AI88" s="19"/>
      <c r="AJ88" s="19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86">
        <f t="shared" si="1"/>
        <v>0</v>
      </c>
    </row>
    <row r="89" customHeight="1" spans="1:67">
      <c r="A89" s="16" t="s">
        <v>206</v>
      </c>
      <c r="B89" s="17" t="s">
        <v>721</v>
      </c>
      <c r="C89" s="18"/>
      <c r="D89" s="18"/>
      <c r="E89" s="18"/>
      <c r="F89" s="18"/>
      <c r="G89" s="18"/>
      <c r="H89" s="18"/>
      <c r="I89" s="18"/>
      <c r="J89" s="18"/>
      <c r="K89" s="18">
        <v>9000</v>
      </c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9"/>
      <c r="AI89" s="19"/>
      <c r="AJ89" s="19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03">
        <f t="shared" si="1"/>
        <v>9000</v>
      </c>
    </row>
    <row r="90" customHeight="1" spans="1:67">
      <c r="A90" s="16" t="s">
        <v>202</v>
      </c>
      <c r="B90" s="17" t="s">
        <v>722</v>
      </c>
      <c r="C90" s="18"/>
      <c r="D90" s="18"/>
      <c r="E90" s="18"/>
      <c r="F90" s="18"/>
      <c r="G90" s="18">
        <v>13000</v>
      </c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9"/>
      <c r="AI90" s="19"/>
      <c r="AJ90" s="19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03">
        <f t="shared" si="1"/>
        <v>13000</v>
      </c>
    </row>
    <row r="91" customHeight="1" spans="1:67">
      <c r="A91" s="16" t="s">
        <v>167</v>
      </c>
      <c r="B91" s="17" t="s">
        <v>723</v>
      </c>
      <c r="C91" s="18"/>
      <c r="D91" s="18"/>
      <c r="E91" s="18"/>
      <c r="F91" s="18"/>
      <c r="G91" s="18">
        <v>5000</v>
      </c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9"/>
      <c r="AI91" s="19"/>
      <c r="AJ91" s="19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03">
        <f t="shared" si="1"/>
        <v>5000</v>
      </c>
    </row>
    <row r="92" customHeight="1" spans="1:67">
      <c r="A92" s="16" t="s">
        <v>208</v>
      </c>
      <c r="B92" s="17" t="s">
        <v>724</v>
      </c>
      <c r="C92" s="18"/>
      <c r="D92" s="18"/>
      <c r="E92" s="18"/>
      <c r="F92" s="18">
        <v>5000</v>
      </c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9"/>
      <c r="AI92" s="19"/>
      <c r="AJ92" s="19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03">
        <f t="shared" si="1"/>
        <v>5000</v>
      </c>
    </row>
    <row r="93" customHeight="1" spans="1:67">
      <c r="A93" s="16" t="s">
        <v>157</v>
      </c>
      <c r="B93" s="17" t="s">
        <v>725</v>
      </c>
      <c r="C93" s="18"/>
      <c r="D93" s="18">
        <v>5000</v>
      </c>
      <c r="E93" s="18"/>
      <c r="F93" s="18"/>
      <c r="G93" s="18">
        <v>10000</v>
      </c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9"/>
      <c r="AI93" s="19"/>
      <c r="AJ93" s="19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03">
        <f t="shared" si="1"/>
        <v>15000</v>
      </c>
      <c r="BO93" s="3"/>
    </row>
    <row r="94" customHeight="1" spans="1:67">
      <c r="A94" s="16" t="s">
        <v>80</v>
      </c>
      <c r="B94" s="17" t="s">
        <v>728</v>
      </c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9"/>
      <c r="AI94" s="19"/>
      <c r="AJ94" s="19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86">
        <f t="shared" si="1"/>
        <v>0</v>
      </c>
    </row>
    <row r="95" customHeight="1" spans="1:67">
      <c r="A95" s="16" t="s">
        <v>171</v>
      </c>
      <c r="B95" s="17" t="s">
        <v>729</v>
      </c>
      <c r="C95" s="18"/>
      <c r="D95" s="18"/>
      <c r="E95" s="18"/>
      <c r="F95" s="18"/>
      <c r="G95" s="18">
        <v>500</v>
      </c>
      <c r="H95" s="18"/>
      <c r="I95" s="18"/>
      <c r="J95" s="18"/>
      <c r="K95" s="18"/>
      <c r="L95" s="18"/>
      <c r="M95" s="18">
        <v>500</v>
      </c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9"/>
      <c r="AI95" s="19"/>
      <c r="AJ95" s="19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03">
        <f t="shared" si="1"/>
        <v>1000</v>
      </c>
    </row>
    <row r="96" customHeight="1" spans="1:67">
      <c r="A96" s="16" t="s">
        <v>210</v>
      </c>
      <c r="B96" s="17"/>
      <c r="C96" s="18"/>
      <c r="D96" s="18"/>
      <c r="E96" s="18"/>
      <c r="F96" s="18"/>
      <c r="G96" s="18"/>
      <c r="H96" s="18">
        <v>6000</v>
      </c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9"/>
      <c r="AI96" s="19"/>
      <c r="AJ96" s="19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03">
        <f t="shared" si="1"/>
        <v>6000</v>
      </c>
    </row>
    <row r="97" customHeight="1" spans="1:67">
      <c r="A97" s="16" t="s">
        <v>49</v>
      </c>
      <c r="B97" s="17" t="s">
        <v>730</v>
      </c>
      <c r="C97" s="18"/>
      <c r="D97" s="18">
        <v>24000</v>
      </c>
      <c r="E97" s="18"/>
      <c r="F97" s="18"/>
      <c r="G97" s="18"/>
      <c r="H97" s="18"/>
      <c r="I97" s="18">
        <v>24000</v>
      </c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9"/>
      <c r="AI97" s="19"/>
      <c r="AJ97" s="19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03">
        <f t="shared" si="1"/>
        <v>48000</v>
      </c>
      <c r="BO97" s="3"/>
    </row>
    <row r="98" customHeight="1" spans="1:67">
      <c r="A98" s="16" t="s">
        <v>112</v>
      </c>
      <c r="B98" s="17" t="s">
        <v>731</v>
      </c>
      <c r="C98" s="19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9"/>
      <c r="AI98" s="19"/>
      <c r="AJ98" s="19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23"/>
      <c r="BF98" s="23"/>
      <c r="BG98" s="18"/>
      <c r="BH98" s="18"/>
      <c r="BI98" s="18"/>
      <c r="BJ98" s="18"/>
      <c r="BK98" s="19"/>
      <c r="BL98" s="18"/>
      <c r="BM98" s="18"/>
      <c r="BN98" s="86">
        <f t="shared" si="1"/>
        <v>0</v>
      </c>
    </row>
    <row r="99" customHeight="1" spans="1:67">
      <c r="A99" s="16" t="s">
        <v>184</v>
      </c>
      <c r="B99" s="76" t="s">
        <v>732</v>
      </c>
      <c r="C99" s="19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9"/>
      <c r="AI99" s="19"/>
      <c r="AJ99" s="19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23"/>
      <c r="BF99" s="23"/>
      <c r="BG99" s="18"/>
      <c r="BH99" s="18"/>
      <c r="BI99" s="18"/>
      <c r="BJ99" s="18"/>
      <c r="BK99" s="19"/>
      <c r="BL99" s="18"/>
      <c r="BM99" s="18"/>
      <c r="BN99" s="86">
        <f t="shared" si="1"/>
        <v>0</v>
      </c>
    </row>
    <row r="100" customHeight="1" spans="1:67">
      <c r="A100" s="16" t="s">
        <v>39</v>
      </c>
      <c r="B100" s="76" t="s">
        <v>40</v>
      </c>
      <c r="C100" s="19">
        <v>5400</v>
      </c>
      <c r="D100" s="18"/>
      <c r="E100" s="18"/>
      <c r="F100" s="18">
        <v>16200</v>
      </c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9"/>
      <c r="AI100" s="19"/>
      <c r="AJ100" s="19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23"/>
      <c r="BF100" s="23"/>
      <c r="BG100" s="18"/>
      <c r="BH100" s="18"/>
      <c r="BI100" s="18"/>
      <c r="BJ100" s="18"/>
      <c r="BK100" s="19"/>
      <c r="BL100" s="18"/>
      <c r="BM100" s="18"/>
      <c r="BN100" s="103">
        <f t="shared" si="1"/>
        <v>21600</v>
      </c>
    </row>
    <row r="101" customHeight="1" spans="1:67">
      <c r="A101" s="16" t="s">
        <v>41</v>
      </c>
      <c r="B101" s="76" t="s">
        <v>42</v>
      </c>
      <c r="C101" s="19">
        <v>5400</v>
      </c>
      <c r="D101" s="18"/>
      <c r="E101" s="18"/>
      <c r="F101" s="18">
        <v>16200</v>
      </c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9"/>
      <c r="AI101" s="19"/>
      <c r="AJ101" s="19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23"/>
      <c r="BF101" s="23"/>
      <c r="BG101" s="18"/>
      <c r="BH101" s="18"/>
      <c r="BI101" s="18"/>
      <c r="BJ101" s="18"/>
      <c r="BK101" s="19"/>
      <c r="BL101" s="18"/>
      <c r="BM101" s="18"/>
      <c r="BN101" s="103">
        <f t="shared" si="1"/>
        <v>21600</v>
      </c>
    </row>
    <row r="102" customHeight="1" spans="1:67">
      <c r="A102" s="16" t="s">
        <v>70</v>
      </c>
      <c r="B102" s="76" t="s">
        <v>733</v>
      </c>
      <c r="C102" s="19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9"/>
      <c r="AI102" s="19"/>
      <c r="AJ102" s="19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23"/>
      <c r="BF102" s="23"/>
      <c r="BG102" s="18"/>
      <c r="BH102" s="18"/>
      <c r="BI102" s="18"/>
      <c r="BJ102" s="18"/>
      <c r="BK102" s="19"/>
      <c r="BL102" s="18"/>
      <c r="BM102" s="18"/>
      <c r="BN102" s="86">
        <f t="shared" si="1"/>
        <v>0</v>
      </c>
    </row>
    <row r="103" customHeight="1" spans="1:67">
      <c r="A103" s="16" t="s">
        <v>56</v>
      </c>
      <c r="B103" s="76" t="s">
        <v>734</v>
      </c>
      <c r="C103" s="19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9"/>
      <c r="AI103" s="19"/>
      <c r="AJ103" s="19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23"/>
      <c r="BF103" s="23"/>
      <c r="BG103" s="18"/>
      <c r="BH103" s="18"/>
      <c r="BI103" s="18"/>
      <c r="BJ103" s="18"/>
      <c r="BK103" s="19"/>
      <c r="BL103" s="18"/>
      <c r="BM103" s="18"/>
      <c r="BN103" s="86">
        <f t="shared" si="1"/>
        <v>0</v>
      </c>
    </row>
    <row r="104" customHeight="1" spans="1:67">
      <c r="A104" s="16" t="s">
        <v>43</v>
      </c>
      <c r="B104" s="76" t="s">
        <v>735</v>
      </c>
      <c r="C104" s="19"/>
      <c r="D104" s="18"/>
      <c r="E104" s="18"/>
      <c r="F104" s="18"/>
      <c r="G104" s="18"/>
      <c r="H104" s="18"/>
      <c r="I104" s="18"/>
      <c r="J104" s="18"/>
      <c r="K104" s="18"/>
      <c r="L104" s="18"/>
      <c r="M104" s="18">
        <v>4320</v>
      </c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9"/>
      <c r="AI104" s="19"/>
      <c r="AJ104" s="19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23"/>
      <c r="BF104" s="23"/>
      <c r="BG104" s="18"/>
      <c r="BH104" s="18"/>
      <c r="BI104" s="18"/>
      <c r="BJ104" s="18"/>
      <c r="BK104" s="19"/>
      <c r="BL104" s="18"/>
      <c r="BM104" s="18"/>
      <c r="BN104" s="103">
        <f t="shared" si="1"/>
        <v>4320</v>
      </c>
    </row>
    <row r="105" customHeight="1" spans="1:67">
      <c r="A105" s="16" t="s">
        <v>45</v>
      </c>
      <c r="B105" s="100" t="s">
        <v>736</v>
      </c>
      <c r="C105" s="19"/>
      <c r="D105" s="18"/>
      <c r="E105" s="18"/>
      <c r="F105" s="18"/>
      <c r="G105" s="18"/>
      <c r="H105" s="18"/>
      <c r="I105" s="18"/>
      <c r="J105" s="18"/>
      <c r="K105" s="18"/>
      <c r="L105" s="18"/>
      <c r="M105" s="18">
        <v>4480</v>
      </c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9"/>
      <c r="AI105" s="19"/>
      <c r="AJ105" s="19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23"/>
      <c r="BF105" s="23"/>
      <c r="BG105" s="18"/>
      <c r="BH105" s="18"/>
      <c r="BI105" s="18"/>
      <c r="BJ105" s="18"/>
      <c r="BK105" s="19"/>
      <c r="BL105" s="18"/>
      <c r="BM105" s="18"/>
      <c r="BN105" s="103">
        <f t="shared" si="1"/>
        <v>4480</v>
      </c>
    </row>
    <row r="106" customHeight="1" spans="1:67">
      <c r="A106" s="16" t="s">
        <v>47</v>
      </c>
      <c r="B106" s="102" t="s">
        <v>737</v>
      </c>
      <c r="C106" s="19"/>
      <c r="D106" s="18"/>
      <c r="E106" s="18"/>
      <c r="F106" s="18"/>
      <c r="G106" s="18"/>
      <c r="H106" s="18"/>
      <c r="I106" s="18"/>
      <c r="J106" s="18"/>
      <c r="K106" s="18"/>
      <c r="L106" s="18"/>
      <c r="M106" s="18">
        <v>5858</v>
      </c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9"/>
      <c r="AI106" s="19"/>
      <c r="AJ106" s="19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23"/>
      <c r="BF106" s="23"/>
      <c r="BG106" s="18"/>
      <c r="BH106" s="18"/>
      <c r="BI106" s="18"/>
      <c r="BJ106" s="18"/>
      <c r="BK106" s="19"/>
      <c r="BL106" s="18"/>
      <c r="BM106" s="18"/>
      <c r="BN106" s="103">
        <f t="shared" si="1"/>
        <v>5858</v>
      </c>
    </row>
    <row r="107" customHeight="1" spans="1:67">
      <c r="A107" s="16" t="s">
        <v>71</v>
      </c>
      <c r="B107" s="100" t="s">
        <v>738</v>
      </c>
      <c r="C107" s="19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9"/>
      <c r="AI107" s="19"/>
      <c r="AJ107" s="19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23"/>
      <c r="BF107" s="23"/>
      <c r="BG107" s="18"/>
      <c r="BH107" s="18"/>
      <c r="BI107" s="18"/>
      <c r="BJ107" s="18"/>
      <c r="BK107" s="19"/>
      <c r="BL107" s="18"/>
      <c r="BM107" s="18"/>
      <c r="BN107" s="86">
        <f t="shared" si="1"/>
        <v>0</v>
      </c>
    </row>
    <row r="108" customHeight="1" spans="1:67">
      <c r="A108" s="16" t="s">
        <v>257</v>
      </c>
      <c r="B108" s="76" t="s">
        <v>739</v>
      </c>
      <c r="C108" s="19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9"/>
      <c r="AI108" s="19"/>
      <c r="AJ108" s="19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23"/>
      <c r="BF108" s="23"/>
      <c r="BG108" s="18"/>
      <c r="BH108" s="18"/>
      <c r="BI108" s="18"/>
      <c r="BJ108" s="18"/>
      <c r="BK108" s="19"/>
      <c r="BL108" s="18"/>
      <c r="BM108" s="18"/>
      <c r="BN108" s="86">
        <f t="shared" si="1"/>
        <v>0</v>
      </c>
    </row>
    <row r="109" customHeight="1" spans="1:67">
      <c r="A109" s="16" t="s">
        <v>741</v>
      </c>
      <c r="B109" s="76" t="s">
        <v>742</v>
      </c>
      <c r="C109" s="19">
        <v>28800</v>
      </c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9"/>
      <c r="AI109" s="19"/>
      <c r="AJ109" s="19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23"/>
      <c r="BF109" s="23"/>
      <c r="BG109" s="18"/>
      <c r="BH109" s="18"/>
      <c r="BI109" s="18"/>
      <c r="BJ109" s="18"/>
      <c r="BK109" s="19"/>
      <c r="BL109" s="18"/>
      <c r="BM109" s="18"/>
      <c r="BN109" s="103">
        <f t="shared" si="1"/>
        <v>28800</v>
      </c>
    </row>
    <row r="110" hidden="1" customHeight="1" spans="1:67">
      <c r="A110" s="16" t="s">
        <v>129</v>
      </c>
      <c r="B110" s="76" t="s">
        <v>726</v>
      </c>
      <c r="C110" s="19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9"/>
      <c r="AI110" s="19"/>
      <c r="AJ110" s="19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23"/>
      <c r="BF110" s="23"/>
      <c r="BG110" s="18"/>
      <c r="BH110" s="18"/>
      <c r="BI110" s="18"/>
      <c r="BJ110" s="18"/>
      <c r="BK110" s="19"/>
      <c r="BL110" s="18"/>
      <c r="BM110" s="18"/>
      <c r="BN110" s="86">
        <f t="shared" ref="BN110:BN118" si="2">BM110+BL110+BK110+BJ110+BI110+BH110+BG110+BF110+BE110+BD110+BC110+BB110+BA110+AZ110+AY110+AX110+AW110+AV110+AU110+AT110+AS110+AR110+AQ110+AP110+AO110+AN110+AM110+AL110+AK110+AJ110+AI110+AH110+AG110+AF110+AE110+AD110+AC110+AB110+AA110+Z110+Y110+X110+W110+V110+U110+T110+S110+R110+Q110+P110+O110+N110+M110+L110+K110+J110+I110+H110+G110+F110+E110+D110+C110</f>
        <v>0</v>
      </c>
    </row>
    <row r="111" hidden="1" customHeight="1" spans="1:67">
      <c r="A111" s="16" t="s">
        <v>132</v>
      </c>
      <c r="B111" s="76" t="s">
        <v>727</v>
      </c>
      <c r="C111" s="19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9"/>
      <c r="AI111" s="19"/>
      <c r="AJ111" s="19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23"/>
      <c r="BF111" s="23"/>
      <c r="BG111" s="18"/>
      <c r="BH111" s="18"/>
      <c r="BI111" s="18"/>
      <c r="BJ111" s="18"/>
      <c r="BK111" s="19"/>
      <c r="BL111" s="18"/>
      <c r="BM111" s="18"/>
      <c r="BN111" s="86">
        <f t="shared" si="2"/>
        <v>0</v>
      </c>
    </row>
    <row r="112" hidden="1" customHeight="1" spans="1:67">
      <c r="A112" s="82" t="s">
        <v>769</v>
      </c>
      <c r="B112" s="33" t="s">
        <v>40</v>
      </c>
      <c r="C112" s="34"/>
      <c r="D112" s="34"/>
      <c r="E112" s="34"/>
      <c r="F112" s="34"/>
      <c r="G112" s="34"/>
      <c r="H112" s="34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6"/>
      <c r="AI112" s="36"/>
      <c r="AJ112" s="36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  <c r="AZ112" s="35"/>
      <c r="BA112" s="35"/>
      <c r="BB112" s="35"/>
      <c r="BC112" s="35"/>
      <c r="BD112" s="35"/>
      <c r="BE112" s="35"/>
      <c r="BF112" s="35"/>
      <c r="BG112" s="35"/>
      <c r="BH112" s="35"/>
      <c r="BI112" s="35"/>
      <c r="BJ112" s="37"/>
      <c r="BK112" s="35"/>
      <c r="BL112" s="35"/>
      <c r="BM112" s="35"/>
      <c r="BN112" s="86">
        <f t="shared" si="2"/>
        <v>0</v>
      </c>
    </row>
    <row r="113" hidden="1" customHeight="1" spans="1:68">
      <c r="A113" s="82" t="s">
        <v>770</v>
      </c>
      <c r="B113" s="33" t="s">
        <v>42</v>
      </c>
      <c r="C113" s="34"/>
      <c r="D113" s="34"/>
      <c r="E113" s="34"/>
      <c r="F113" s="34"/>
      <c r="G113" s="34"/>
      <c r="H113" s="34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6"/>
      <c r="AI113" s="36"/>
      <c r="AJ113" s="36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35"/>
      <c r="BA113" s="35"/>
      <c r="BB113" s="35"/>
      <c r="BC113" s="35"/>
      <c r="BD113" s="35"/>
      <c r="BE113" s="35"/>
      <c r="BF113" s="35"/>
      <c r="BG113" s="35"/>
      <c r="BH113" s="35"/>
      <c r="BI113" s="35"/>
      <c r="BJ113" s="37"/>
      <c r="BK113" s="35"/>
      <c r="BL113" s="35"/>
      <c r="BM113" s="35"/>
      <c r="BN113" s="86">
        <f t="shared" si="2"/>
        <v>0</v>
      </c>
    </row>
    <row r="114" hidden="1" customHeight="1" spans="1:68">
      <c r="A114" s="82" t="s">
        <v>771</v>
      </c>
      <c r="B114" s="33" t="s">
        <v>735</v>
      </c>
      <c r="C114" s="34"/>
      <c r="D114" s="34"/>
      <c r="E114" s="34"/>
      <c r="F114" s="34"/>
      <c r="G114" s="34"/>
      <c r="H114" s="34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6"/>
      <c r="AI114" s="36"/>
      <c r="AJ114" s="36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  <c r="BE114" s="35"/>
      <c r="BF114" s="35"/>
      <c r="BG114" s="35"/>
      <c r="BH114" s="35"/>
      <c r="BI114" s="35"/>
      <c r="BJ114" s="35"/>
      <c r="BK114" s="35"/>
      <c r="BL114" s="35"/>
      <c r="BM114" s="35"/>
      <c r="BN114" s="86">
        <f t="shared" si="2"/>
        <v>0</v>
      </c>
      <c r="BP114" s="88"/>
    </row>
    <row r="115" hidden="1" customHeight="1" spans="1:68">
      <c r="A115" s="82" t="s">
        <v>772</v>
      </c>
      <c r="B115" s="33" t="s">
        <v>737</v>
      </c>
      <c r="C115" s="34"/>
      <c r="D115" s="34"/>
      <c r="E115" s="34"/>
      <c r="F115" s="34"/>
      <c r="G115" s="34"/>
      <c r="H115" s="34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6"/>
      <c r="AI115" s="36"/>
      <c r="AJ115" s="36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  <c r="AZ115" s="35"/>
      <c r="BA115" s="35"/>
      <c r="BB115" s="35"/>
      <c r="BC115" s="35"/>
      <c r="BD115" s="35"/>
      <c r="BE115" s="35"/>
      <c r="BF115" s="35"/>
      <c r="BG115" s="35"/>
      <c r="BH115" s="35"/>
      <c r="BI115" s="35"/>
      <c r="BJ115" s="35"/>
      <c r="BK115" s="35"/>
      <c r="BL115" s="35"/>
      <c r="BM115" s="35"/>
      <c r="BN115" s="86">
        <f t="shared" si="2"/>
        <v>0</v>
      </c>
      <c r="BP115" s="88"/>
    </row>
    <row r="116" hidden="1" customHeight="1" spans="1:68">
      <c r="A116" s="82" t="s">
        <v>773</v>
      </c>
      <c r="B116" s="33" t="s">
        <v>734</v>
      </c>
      <c r="C116" s="34"/>
      <c r="D116" s="34"/>
      <c r="E116" s="34"/>
      <c r="F116" s="34"/>
      <c r="G116" s="34"/>
      <c r="H116" s="34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6"/>
      <c r="AI116" s="36"/>
      <c r="AJ116" s="36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35"/>
      <c r="BA116" s="35"/>
      <c r="BB116" s="35"/>
      <c r="BC116" s="35"/>
      <c r="BD116" s="35"/>
      <c r="BE116" s="35"/>
      <c r="BF116" s="35"/>
      <c r="BG116" s="35"/>
      <c r="BH116" s="35"/>
      <c r="BI116" s="35"/>
      <c r="BJ116" s="35"/>
      <c r="BK116" s="35"/>
      <c r="BL116" s="35"/>
      <c r="BM116" s="35"/>
      <c r="BN116" s="86">
        <f t="shared" si="2"/>
        <v>0</v>
      </c>
      <c r="BP116" s="88"/>
    </row>
    <row r="117" hidden="1" customHeight="1" spans="1:68">
      <c r="A117" s="82" t="s">
        <v>774</v>
      </c>
      <c r="B117" s="33" t="s">
        <v>733</v>
      </c>
      <c r="C117" s="34"/>
      <c r="D117" s="34"/>
      <c r="E117" s="34"/>
      <c r="F117" s="34"/>
      <c r="G117" s="34"/>
      <c r="H117" s="34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6"/>
      <c r="AI117" s="36"/>
      <c r="AJ117" s="36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  <c r="AZ117" s="35"/>
      <c r="BA117" s="35"/>
      <c r="BB117" s="35"/>
      <c r="BC117" s="35"/>
      <c r="BD117" s="35"/>
      <c r="BE117" s="35"/>
      <c r="BF117" s="35"/>
      <c r="BG117" s="35"/>
      <c r="BH117" s="35"/>
      <c r="BI117" s="35"/>
      <c r="BJ117" s="35"/>
      <c r="BK117" s="35"/>
      <c r="BL117" s="35"/>
      <c r="BM117" s="35"/>
      <c r="BN117" s="86">
        <f t="shared" si="2"/>
        <v>0</v>
      </c>
      <c r="BP117" s="88"/>
    </row>
    <row r="118" hidden="1" customHeight="1" spans="1:68">
      <c r="A118" s="82" t="s">
        <v>775</v>
      </c>
      <c r="B118" s="33" t="s">
        <v>738</v>
      </c>
      <c r="C118" s="34"/>
      <c r="D118" s="34"/>
      <c r="E118" s="34"/>
      <c r="F118" s="34"/>
      <c r="G118" s="34"/>
      <c r="H118" s="34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6"/>
      <c r="AI118" s="36"/>
      <c r="AJ118" s="36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  <c r="AZ118" s="35"/>
      <c r="BA118" s="35"/>
      <c r="BB118" s="35"/>
      <c r="BC118" s="35"/>
      <c r="BD118" s="35"/>
      <c r="BE118" s="35"/>
      <c r="BF118" s="35"/>
      <c r="BG118" s="35"/>
      <c r="BH118" s="35"/>
      <c r="BI118" s="35"/>
      <c r="BJ118" s="35"/>
      <c r="BK118" s="35"/>
      <c r="BL118" s="35"/>
      <c r="BM118" s="35"/>
      <c r="BN118" s="86">
        <f t="shared" si="2"/>
        <v>0</v>
      </c>
      <c r="BP118" s="88"/>
    </row>
    <row r="119" customHeight="1" spans="1:68">
      <c r="C119" s="39"/>
      <c r="D119" s="40"/>
      <c r="E119" s="40"/>
      <c r="F119" s="40"/>
      <c r="G119" s="40"/>
      <c r="H119" s="40"/>
      <c r="I119" s="3"/>
      <c r="J119" s="3"/>
      <c r="V119" s="3"/>
      <c r="BN119" s="14"/>
    </row>
    <row r="120" s="3" customFormat="1" customHeight="1" spans="1:68">
      <c r="A120" s="1"/>
      <c r="B120" s="1"/>
      <c r="C120" s="40"/>
      <c r="D120" s="40"/>
      <c r="E120" s="40"/>
      <c r="F120" s="40"/>
      <c r="G120" s="40"/>
      <c r="H120" s="40"/>
      <c r="AH120" s="41"/>
      <c r="AI120" s="41"/>
      <c r="AJ120" s="41"/>
      <c r="BO120"/>
      <c r="BP120"/>
    </row>
  </sheetData>
  <mergeCells count="1">
    <mergeCell ref="A1:BN1"/>
  </mergeCells>
  <pageMargins left="0.7" right="0.7" top="0.75" bottom="0.75" header="0.3" footer="0.3"/>
  <pageSetup paperSize="9" scale="65" orientation="portrait"/>
  <headerFooter/>
  <rowBreaks count="1" manualBreakCount="1">
    <brk id="111" max="40" man="1"/>
  </row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117"/>
  <sheetViews>
    <sheetView zoomScale="164" zoomScaleNormal="164" workbookViewId="0">
      <pane xSplit="2" ySplit="2" topLeftCell="K8" activePane="bottomRight" state="frozen"/>
      <selection/>
      <selection pane="topRight"/>
      <selection pane="bottomLeft"/>
      <selection pane="bottomRight" activeCell="BN108" sqref="BN108"/>
    </sheetView>
  </sheetViews>
  <sheetFormatPr defaultColWidth="9" defaultRowHeight="20" customHeight="1"/>
  <cols>
    <col min="1" max="1" width="14.3333333333333" style="1" customWidth="1"/>
    <col min="2" max="2" width="23.1666666666667" style="1" customWidth="1"/>
    <col min="3" max="8" width="7.5" style="1" customWidth="1"/>
    <col min="9" max="10" width="8.33333333333333" customWidth="1"/>
    <col min="11" max="11" width="8.33333333333333" style="3" customWidth="1"/>
    <col min="12" max="12" width="7.5" style="3" customWidth="1"/>
    <col min="13" max="14" width="7" style="3" customWidth="1"/>
    <col min="15" max="15" width="7" style="3" hidden="1" customWidth="1"/>
    <col min="16" max="16" width="7.83333333333333" style="3" hidden="1" customWidth="1"/>
    <col min="17" max="17" width="7.5" style="3" hidden="1" customWidth="1"/>
    <col min="18" max="18" width="7.16666666666667" style="3" hidden="1" customWidth="1"/>
    <col min="19" max="19" width="7.33333333333333" style="3" hidden="1" customWidth="1"/>
    <col min="20" max="20" width="7.83333333333333" style="3" hidden="1" customWidth="1"/>
    <col min="21" max="21" width="8.16666666666667" style="3" hidden="1" customWidth="1"/>
    <col min="22" max="22" width="7.66666666666667" style="91" hidden="1" customWidth="1"/>
    <col min="23" max="23" width="5.66666666666667" style="3" hidden="1" customWidth="1"/>
    <col min="24" max="24" width="7.66666666666667" style="3" hidden="1" customWidth="1"/>
    <col min="25" max="25" width="5.66666666666667" style="3" hidden="1" customWidth="1"/>
    <col min="26" max="26" width="6.66666666666667" style="3" hidden="1" customWidth="1"/>
    <col min="27" max="28" width="5.66666666666667" style="3" hidden="1" customWidth="1"/>
    <col min="29" max="30" width="7.33333333333333" style="3" hidden="1" customWidth="1"/>
    <col min="31" max="33" width="8.33333333333333" style="3" hidden="1" customWidth="1"/>
    <col min="34" max="36" width="7.66666666666667" style="41" hidden="1" customWidth="1"/>
    <col min="37" max="37" width="7.16666666666667" style="3" hidden="1" customWidth="1"/>
    <col min="38" max="38" width="6.83333333333333" style="3" hidden="1" customWidth="1"/>
    <col min="39" max="39" width="7.33333333333333" style="3" hidden="1" customWidth="1"/>
    <col min="40" max="40" width="7.66666666666667" style="3" hidden="1" customWidth="1"/>
    <col min="41" max="41" width="6.83333333333333" style="3" hidden="1" customWidth="1"/>
    <col min="42" max="42" width="8.5" style="3" hidden="1" customWidth="1"/>
    <col min="43" max="43" width="7.33333333333333" style="3" hidden="1" customWidth="1"/>
    <col min="44" max="44" width="8" style="3" hidden="1" customWidth="1"/>
    <col min="45" max="45" width="7.5" style="3" hidden="1" customWidth="1"/>
    <col min="46" max="50" width="5.66666666666667" style="3" hidden="1" customWidth="1"/>
    <col min="51" max="51" width="7.5" style="3" hidden="1" customWidth="1"/>
    <col min="52" max="52" width="5.66666666666667" style="3" hidden="1" customWidth="1"/>
    <col min="53" max="53" width="6.5" style="3" hidden="1" customWidth="1"/>
    <col min="54" max="58" width="5.66666666666667" style="3" hidden="1" customWidth="1"/>
    <col min="59" max="59" width="7" style="3" customWidth="1"/>
    <col min="60" max="60" width="7.83333333333333" style="3" customWidth="1"/>
    <col min="61" max="61" width="6.33333333333333" style="3" customWidth="1"/>
    <col min="62" max="62" width="7.33333333333333" style="3" customWidth="1"/>
    <col min="63" max="63" width="7.16666666666667" style="3" customWidth="1"/>
    <col min="64" max="64" width="7.33333333333333" style="3" customWidth="1"/>
    <col min="65" max="65" width="7.16666666666667" style="3" customWidth="1"/>
    <col min="66" max="66" width="8" style="3" customWidth="1"/>
    <col min="68" max="68" width="17.1666666666667" customWidth="1"/>
  </cols>
  <sheetData>
    <row r="1" customHeight="1" spans="1:68">
      <c r="A1" s="4" t="s">
        <v>782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</row>
    <row r="2" customHeight="1" spans="1:68">
      <c r="A2" s="47" t="s">
        <v>596</v>
      </c>
      <c r="B2" s="48" t="s">
        <v>597</v>
      </c>
      <c r="C2" s="49">
        <v>44987</v>
      </c>
      <c r="D2" s="49">
        <v>44988</v>
      </c>
      <c r="E2" s="49">
        <v>44991</v>
      </c>
      <c r="F2" s="49">
        <v>44992</v>
      </c>
      <c r="G2" s="49">
        <v>44993</v>
      </c>
      <c r="H2" s="49">
        <v>44994</v>
      </c>
      <c r="I2" s="50">
        <v>44995</v>
      </c>
      <c r="J2" s="50">
        <v>44996</v>
      </c>
      <c r="K2" s="50">
        <v>44998</v>
      </c>
      <c r="L2" s="50">
        <v>44999</v>
      </c>
      <c r="M2" s="50">
        <v>45000</v>
      </c>
      <c r="N2" s="50">
        <v>45002</v>
      </c>
      <c r="O2" s="50"/>
      <c r="P2" s="50"/>
      <c r="Q2" s="50"/>
      <c r="R2" s="89"/>
      <c r="S2" s="89"/>
      <c r="T2" s="89"/>
      <c r="U2" s="89"/>
      <c r="V2" s="84"/>
      <c r="W2" s="85"/>
      <c r="X2" s="85"/>
      <c r="Y2" s="85"/>
      <c r="Z2" s="85"/>
      <c r="AA2" s="85"/>
      <c r="AB2" s="85"/>
      <c r="AC2" s="85"/>
      <c r="AD2" s="51"/>
      <c r="AE2" s="51"/>
      <c r="AF2" s="51"/>
      <c r="AG2" s="51"/>
      <c r="AH2" s="52"/>
      <c r="AI2" s="52"/>
      <c r="AJ2" s="52"/>
      <c r="AK2" s="51"/>
      <c r="AL2" s="51"/>
      <c r="AM2" s="51"/>
      <c r="AN2" s="51"/>
      <c r="AO2" s="51"/>
      <c r="AP2" s="51"/>
      <c r="AQ2" s="51"/>
      <c r="AR2" s="51"/>
      <c r="AS2" s="51"/>
      <c r="AT2" s="51"/>
      <c r="AU2" s="51"/>
      <c r="AV2" s="51"/>
      <c r="AW2" s="51"/>
      <c r="AX2" s="51"/>
      <c r="AY2" s="51"/>
      <c r="AZ2" s="51"/>
      <c r="BA2" s="51"/>
      <c r="BB2" s="51"/>
      <c r="BC2" s="51"/>
      <c r="BD2" s="51"/>
      <c r="BE2" s="51"/>
      <c r="BF2" s="51"/>
      <c r="BG2" s="101">
        <v>45005</v>
      </c>
      <c r="BH2" s="101">
        <v>45007</v>
      </c>
      <c r="BI2" s="101">
        <v>45008</v>
      </c>
      <c r="BJ2" s="101">
        <v>45009</v>
      </c>
      <c r="BK2" s="101">
        <v>45012</v>
      </c>
      <c r="BL2" s="101">
        <v>45013</v>
      </c>
      <c r="BM2" s="101">
        <v>45015</v>
      </c>
      <c r="BN2" s="53" t="s">
        <v>598</v>
      </c>
      <c r="BO2" s="25"/>
      <c r="BP2" s="25"/>
    </row>
    <row r="3" s="44" customFormat="1" hidden="1" customHeight="1" spans="1:68">
      <c r="A3" s="54" t="s">
        <v>192</v>
      </c>
      <c r="B3" s="55" t="s">
        <v>600</v>
      </c>
      <c r="C3" s="56"/>
      <c r="D3" s="56"/>
      <c r="E3" s="56"/>
      <c r="F3" s="56"/>
      <c r="G3" s="56"/>
      <c r="H3" s="56"/>
      <c r="I3" s="57"/>
      <c r="J3" s="57"/>
      <c r="K3" s="57"/>
      <c r="L3" s="57"/>
      <c r="M3" s="57"/>
      <c r="N3" s="57"/>
      <c r="O3" s="57"/>
      <c r="P3" s="57"/>
      <c r="Q3" s="58"/>
      <c r="R3" s="58"/>
      <c r="S3" s="58"/>
      <c r="T3" s="58"/>
      <c r="U3" s="58"/>
      <c r="V3" s="92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9"/>
      <c r="AI3" s="59"/>
      <c r="AJ3" s="59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58"/>
      <c r="BL3" s="58"/>
      <c r="BM3" s="58"/>
      <c r="BN3" s="86">
        <f>BM3+BL3+BK3+BJ3+BI3+BH3+BG3+BF3+BE3+BD3+BC3+BB3+BA3+AZ3+AY3+AX3+AW3+AV3+AU3+AT3+AS3+AR3+AQ3+AP3+AO3+AN3+AM3+AL3+AK3+AJ3+AI3+AH3+AG3+AF3+AE3+AD3+AC3+AB3+AA3+Z3+Y3+X3+W3+V3+U3+T3+S3+R3+Q3+P3+O3+N3+M3+L3+K3+J3+I3+H3+G3+F3+E3+D3+C3</f>
        <v>0</v>
      </c>
    </row>
    <row r="4" s="44" customFormat="1" hidden="1" customHeight="1" spans="1:68">
      <c r="A4" s="54" t="s">
        <v>134</v>
      </c>
      <c r="B4" s="55" t="s">
        <v>601</v>
      </c>
      <c r="C4" s="56"/>
      <c r="D4" s="56"/>
      <c r="E4" s="56"/>
      <c r="F4" s="56"/>
      <c r="G4" s="56"/>
      <c r="H4" s="56"/>
      <c r="I4" s="57"/>
      <c r="J4" s="57"/>
      <c r="K4" s="57"/>
      <c r="L4" s="57"/>
      <c r="M4" s="57"/>
      <c r="N4" s="57"/>
      <c r="O4" s="57"/>
      <c r="P4" s="57"/>
      <c r="Q4" s="58"/>
      <c r="R4" s="58"/>
      <c r="S4" s="58"/>
      <c r="T4" s="58"/>
      <c r="U4" s="58"/>
      <c r="V4" s="92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9"/>
      <c r="AI4" s="59"/>
      <c r="AJ4" s="59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8"/>
      <c r="BK4" s="58"/>
      <c r="BL4" s="58"/>
      <c r="BM4" s="58"/>
      <c r="BN4" s="86">
        <f t="shared" ref="BN4:BN67" si="0">BM4+BL4+BK4+BJ4+BI4+BH4+BG4+BF4+BE4+BD4+BC4+BB4+BA4+AZ4+AY4+AX4+AW4+AV4+AU4+AT4+AS4+AR4+AQ4+AP4+AO4+AN4+AM4+AL4+AK4+AJ4+AI4+AH4+AG4+AF4+AE4+AD4+AC4+AB4+AA4+Z4+Y4+X4+W4+V4+U4+T4+S4+R4+Q4+P4+O4+N4+M4+L4+K4+J4+I4+H4+G4+F4+E4+D4+C4</f>
        <v>0</v>
      </c>
    </row>
    <row r="5" s="44" customFormat="1" hidden="1" customHeight="1" spans="1:68">
      <c r="A5" s="54" t="s">
        <v>602</v>
      </c>
      <c r="B5" s="55" t="s">
        <v>603</v>
      </c>
      <c r="C5" s="56"/>
      <c r="D5" s="56"/>
      <c r="E5" s="56"/>
      <c r="F5" s="56"/>
      <c r="G5" s="56"/>
      <c r="H5" s="56"/>
      <c r="I5" s="57"/>
      <c r="J5" s="57"/>
      <c r="K5" s="57"/>
      <c r="L5" s="57"/>
      <c r="M5" s="57"/>
      <c r="N5" s="57"/>
      <c r="O5" s="57"/>
      <c r="P5" s="57"/>
      <c r="Q5" s="58"/>
      <c r="R5" s="58"/>
      <c r="S5" s="58"/>
      <c r="T5" s="58"/>
      <c r="U5" s="58"/>
      <c r="V5" s="92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9"/>
      <c r="AI5" s="59"/>
      <c r="AJ5" s="59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8"/>
      <c r="BF5" s="58"/>
      <c r="BG5" s="58"/>
      <c r="BH5" s="58"/>
      <c r="BI5" s="58"/>
      <c r="BJ5" s="58"/>
      <c r="BK5" s="58"/>
      <c r="BL5" s="58"/>
      <c r="BM5" s="58"/>
      <c r="BN5" s="86">
        <f t="shared" si="0"/>
        <v>0</v>
      </c>
    </row>
    <row r="6" s="44" customFormat="1" hidden="1" customHeight="1" spans="1:68">
      <c r="A6" s="54" t="s">
        <v>604</v>
      </c>
      <c r="B6" s="55" t="s">
        <v>605</v>
      </c>
      <c r="C6" s="56"/>
      <c r="D6" s="56"/>
      <c r="E6" s="56"/>
      <c r="F6" s="56"/>
      <c r="G6" s="56"/>
      <c r="H6" s="56"/>
      <c r="I6" s="57"/>
      <c r="J6" s="57"/>
      <c r="K6" s="57"/>
      <c r="L6" s="57"/>
      <c r="M6" s="57"/>
      <c r="N6" s="57"/>
      <c r="O6" s="57"/>
      <c r="P6" s="57"/>
      <c r="Q6" s="58"/>
      <c r="R6" s="58"/>
      <c r="S6" s="58"/>
      <c r="T6" s="58"/>
      <c r="U6" s="58"/>
      <c r="V6" s="92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9"/>
      <c r="AI6" s="59"/>
      <c r="AJ6" s="59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58"/>
      <c r="BL6" s="58"/>
      <c r="BM6" s="58"/>
      <c r="BN6" s="86">
        <f t="shared" si="0"/>
        <v>0</v>
      </c>
    </row>
    <row r="7" s="44" customFormat="1" hidden="1" customHeight="1" spans="1:68">
      <c r="A7" s="54" t="s">
        <v>67</v>
      </c>
      <c r="B7" s="55" t="s">
        <v>606</v>
      </c>
      <c r="C7" s="56"/>
      <c r="D7" s="56"/>
      <c r="E7" s="56"/>
      <c r="F7" s="56"/>
      <c r="G7" s="56"/>
      <c r="H7" s="56"/>
      <c r="I7" s="57"/>
      <c r="J7" s="57"/>
      <c r="K7" s="57"/>
      <c r="L7" s="57"/>
      <c r="M7" s="57"/>
      <c r="N7" s="57"/>
      <c r="O7" s="57"/>
      <c r="P7" s="57"/>
      <c r="Q7" s="58"/>
      <c r="R7" s="58"/>
      <c r="S7" s="58"/>
      <c r="T7" s="58"/>
      <c r="U7" s="58"/>
      <c r="V7" s="92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9"/>
      <c r="AI7" s="59"/>
      <c r="AJ7" s="59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58"/>
      <c r="BJ7" s="58"/>
      <c r="BK7" s="58"/>
      <c r="BL7" s="58"/>
      <c r="BM7" s="58"/>
      <c r="BN7" s="86">
        <f t="shared" si="0"/>
        <v>0</v>
      </c>
    </row>
    <row r="8" s="44" customFormat="1" customHeight="1" spans="1:68">
      <c r="A8" s="54" t="s">
        <v>53</v>
      </c>
      <c r="B8" s="55" t="s">
        <v>512</v>
      </c>
      <c r="C8" s="56"/>
      <c r="D8" s="56"/>
      <c r="E8" s="56"/>
      <c r="F8" s="56"/>
      <c r="G8" s="56"/>
      <c r="H8" s="56"/>
      <c r="I8" s="57" t="s">
        <v>607</v>
      </c>
      <c r="J8" s="57"/>
      <c r="K8" s="57"/>
      <c r="L8" s="57"/>
      <c r="M8" s="57"/>
      <c r="N8" s="57"/>
      <c r="O8" s="57"/>
      <c r="P8" s="57"/>
      <c r="Q8" s="58"/>
      <c r="R8" s="58"/>
      <c r="S8" s="58"/>
      <c r="T8" s="58"/>
      <c r="U8" s="58"/>
      <c r="V8" s="92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9"/>
      <c r="AI8" s="59"/>
      <c r="AJ8" s="59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58"/>
      <c r="BF8" s="58"/>
      <c r="BG8" s="58"/>
      <c r="BH8" s="58"/>
      <c r="BI8" s="58"/>
      <c r="BJ8" s="58"/>
      <c r="BK8" s="58" t="s">
        <v>751</v>
      </c>
      <c r="BL8" s="58"/>
      <c r="BM8" s="58"/>
      <c r="BN8" s="90">
        <f t="shared" si="0"/>
        <v>3000</v>
      </c>
    </row>
    <row r="9" s="44" customFormat="1" hidden="1" customHeight="1" spans="1:68">
      <c r="A9" s="54" t="s">
        <v>16</v>
      </c>
      <c r="B9" s="55" t="s">
        <v>608</v>
      </c>
      <c r="C9" s="56"/>
      <c r="D9" s="56"/>
      <c r="E9" s="56"/>
      <c r="F9" s="56"/>
      <c r="G9" s="56"/>
      <c r="H9" s="56"/>
      <c r="I9" s="57"/>
      <c r="J9" s="57"/>
      <c r="K9" s="57"/>
      <c r="L9" s="57"/>
      <c r="M9" s="57"/>
      <c r="N9" s="57"/>
      <c r="O9" s="57"/>
      <c r="P9" s="57"/>
      <c r="Q9" s="58"/>
      <c r="R9" s="58"/>
      <c r="S9" s="58"/>
      <c r="T9" s="58"/>
      <c r="U9" s="58"/>
      <c r="V9" s="92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9"/>
      <c r="AI9" s="59"/>
      <c r="AJ9" s="59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58"/>
      <c r="BI9" s="58"/>
      <c r="BJ9" s="58"/>
      <c r="BK9" s="58"/>
      <c r="BL9" s="58"/>
      <c r="BM9" s="58"/>
      <c r="BN9" s="86">
        <f t="shared" si="0"/>
        <v>0</v>
      </c>
    </row>
    <row r="10" s="44" customFormat="1" customHeight="1" spans="1:68">
      <c r="A10" s="54" t="s">
        <v>59</v>
      </c>
      <c r="B10" s="55" t="s">
        <v>609</v>
      </c>
      <c r="C10" s="56"/>
      <c r="D10" s="56"/>
      <c r="E10" s="56"/>
      <c r="F10" s="56"/>
      <c r="G10" s="56"/>
      <c r="H10" s="56"/>
      <c r="I10" s="57"/>
      <c r="J10" s="57"/>
      <c r="K10" s="57"/>
      <c r="L10" s="57" t="s">
        <v>610</v>
      </c>
      <c r="M10" s="57"/>
      <c r="N10" s="57"/>
      <c r="O10" s="57"/>
      <c r="P10" s="57"/>
      <c r="Q10" s="58"/>
      <c r="R10" s="58"/>
      <c r="S10" s="58"/>
      <c r="T10" s="58"/>
      <c r="U10" s="58"/>
      <c r="V10" s="92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9"/>
      <c r="AI10" s="59"/>
      <c r="AJ10" s="59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86">
        <f t="shared" si="0"/>
        <v>800</v>
      </c>
    </row>
    <row r="11" s="44" customFormat="1" hidden="1" customHeight="1" spans="1:68">
      <c r="A11" s="54" t="s">
        <v>612</v>
      </c>
      <c r="B11" s="55" t="s">
        <v>613</v>
      </c>
      <c r="C11" s="56"/>
      <c r="D11" s="56"/>
      <c r="E11" s="56"/>
      <c r="F11" s="56"/>
      <c r="G11" s="56"/>
      <c r="H11" s="56"/>
      <c r="I11" s="57"/>
      <c r="J11" s="57"/>
      <c r="K11" s="57"/>
      <c r="L11" s="57"/>
      <c r="M11" s="57"/>
      <c r="N11" s="57"/>
      <c r="O11" s="57"/>
      <c r="P11" s="57"/>
      <c r="Q11" s="58"/>
      <c r="R11" s="58"/>
      <c r="S11" s="58"/>
      <c r="T11" s="58"/>
      <c r="U11" s="58"/>
      <c r="V11" s="92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9"/>
      <c r="AI11" s="59"/>
      <c r="AJ11" s="59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86">
        <f t="shared" si="0"/>
        <v>0</v>
      </c>
    </row>
    <row r="12" s="44" customFormat="1" hidden="1" customHeight="1" spans="1:68">
      <c r="A12" s="54" t="s">
        <v>68</v>
      </c>
      <c r="B12" s="55" t="s">
        <v>614</v>
      </c>
      <c r="C12" s="56"/>
      <c r="D12" s="56"/>
      <c r="E12" s="56"/>
      <c r="F12" s="56"/>
      <c r="G12" s="56"/>
      <c r="H12" s="56"/>
      <c r="I12" s="57"/>
      <c r="J12" s="57"/>
      <c r="K12" s="57"/>
      <c r="L12" s="57"/>
      <c r="M12" s="57"/>
      <c r="N12" s="57"/>
      <c r="O12" s="57"/>
      <c r="P12" s="57"/>
      <c r="Q12" s="58"/>
      <c r="R12" s="58"/>
      <c r="S12" s="58"/>
      <c r="T12" s="58"/>
      <c r="U12" s="58"/>
      <c r="V12" s="92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9"/>
      <c r="AI12" s="59"/>
      <c r="AJ12" s="59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86">
        <f t="shared" si="0"/>
        <v>0</v>
      </c>
    </row>
    <row r="13" s="44" customFormat="1" hidden="1" customHeight="1" spans="1:68">
      <c r="A13" s="54" t="s">
        <v>616</v>
      </c>
      <c r="B13" s="55" t="s">
        <v>617</v>
      </c>
      <c r="C13" s="56"/>
      <c r="D13" s="56"/>
      <c r="E13" s="56"/>
      <c r="F13" s="56"/>
      <c r="G13" s="56"/>
      <c r="H13" s="56"/>
      <c r="I13" s="57"/>
      <c r="J13" s="57"/>
      <c r="K13" s="57"/>
      <c r="L13" s="57"/>
      <c r="M13" s="57"/>
      <c r="N13" s="57"/>
      <c r="O13" s="57"/>
      <c r="P13" s="57"/>
      <c r="Q13" s="58"/>
      <c r="R13" s="58"/>
      <c r="S13" s="58"/>
      <c r="T13" s="58"/>
      <c r="U13" s="58"/>
      <c r="V13" s="92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9"/>
      <c r="AI13" s="59"/>
      <c r="AJ13" s="59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86">
        <f t="shared" si="0"/>
        <v>0</v>
      </c>
    </row>
    <row r="14" s="45" customFormat="1" hidden="1" customHeight="1" spans="1:68">
      <c r="A14" s="54" t="s">
        <v>190</v>
      </c>
      <c r="B14" s="55" t="s">
        <v>759</v>
      </c>
      <c r="C14" s="56"/>
      <c r="D14" s="56"/>
      <c r="E14" s="56"/>
      <c r="F14" s="56"/>
      <c r="G14" s="56"/>
      <c r="H14" s="56"/>
      <c r="I14" s="57"/>
      <c r="J14" s="57"/>
      <c r="K14" s="57"/>
      <c r="L14" s="57"/>
      <c r="M14" s="57"/>
      <c r="N14" s="57"/>
      <c r="O14" s="57"/>
      <c r="P14" s="57"/>
      <c r="Q14" s="58"/>
      <c r="R14" s="58"/>
      <c r="S14" s="58"/>
      <c r="T14" s="58"/>
      <c r="U14" s="58"/>
      <c r="V14" s="92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9"/>
      <c r="AI14" s="59"/>
      <c r="AJ14" s="59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86">
        <f t="shared" si="0"/>
        <v>0</v>
      </c>
    </row>
    <row r="15" s="46" customFormat="1" hidden="1" customHeight="1" spans="1:68">
      <c r="A15" s="61" t="s">
        <v>224</v>
      </c>
      <c r="B15" s="62" t="s">
        <v>620</v>
      </c>
      <c r="C15" s="62"/>
      <c r="D15" s="62"/>
      <c r="E15" s="62"/>
      <c r="F15" s="62"/>
      <c r="G15" s="62"/>
      <c r="H15" s="62"/>
      <c r="I15" s="63"/>
      <c r="J15" s="63"/>
      <c r="K15" s="63"/>
      <c r="L15" s="63"/>
      <c r="M15" s="63"/>
      <c r="N15" s="63"/>
      <c r="O15" s="63"/>
      <c r="P15" s="63"/>
      <c r="Q15" s="64"/>
      <c r="R15" s="64"/>
      <c r="S15" s="64"/>
      <c r="T15" s="64"/>
      <c r="U15" s="64"/>
      <c r="V15" s="93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5"/>
      <c r="AI15" s="65"/>
      <c r="AJ15" s="65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4"/>
      <c r="BF15" s="64"/>
      <c r="BG15" s="64"/>
      <c r="BH15" s="64"/>
      <c r="BI15" s="64"/>
      <c r="BJ15" s="64"/>
      <c r="BK15" s="64"/>
      <c r="BL15" s="64"/>
      <c r="BM15" s="64"/>
      <c r="BN15" s="86">
        <f t="shared" si="0"/>
        <v>0</v>
      </c>
    </row>
    <row r="16" s="46" customFormat="1" hidden="1" customHeight="1" spans="1:68">
      <c r="A16" s="61" t="s">
        <v>204</v>
      </c>
      <c r="B16" s="77" t="s">
        <v>621</v>
      </c>
      <c r="C16" s="77"/>
      <c r="D16" s="77"/>
      <c r="E16" s="77"/>
      <c r="F16" s="77"/>
      <c r="G16" s="77"/>
      <c r="H16" s="77"/>
      <c r="I16" s="78"/>
      <c r="J16" s="78"/>
      <c r="K16" s="78"/>
      <c r="L16" s="78"/>
      <c r="M16" s="78"/>
      <c r="N16" s="78"/>
      <c r="O16" s="78"/>
      <c r="P16" s="78"/>
      <c r="Q16" s="79"/>
      <c r="R16" s="79"/>
      <c r="S16" s="79"/>
      <c r="T16" s="79"/>
      <c r="U16" s="79"/>
      <c r="V16" s="94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80"/>
      <c r="AI16" s="80"/>
      <c r="AJ16" s="80"/>
      <c r="AK16" s="79"/>
      <c r="AL16" s="79"/>
      <c r="AM16" s="79"/>
      <c r="AN16" s="79"/>
      <c r="AO16" s="79"/>
      <c r="AP16" s="79"/>
      <c r="AQ16" s="79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79"/>
      <c r="BF16" s="79"/>
      <c r="BG16" s="79"/>
      <c r="BH16" s="79"/>
      <c r="BI16" s="79"/>
      <c r="BJ16" s="79"/>
      <c r="BK16" s="79"/>
      <c r="BL16" s="79"/>
      <c r="BM16" s="79"/>
      <c r="BN16" s="86">
        <f t="shared" si="0"/>
        <v>0</v>
      </c>
    </row>
    <row r="17" s="46" customFormat="1" hidden="1" customHeight="1" spans="1:66">
      <c r="A17" s="61" t="s">
        <v>623</v>
      </c>
      <c r="B17" s="77" t="s">
        <v>624</v>
      </c>
      <c r="C17" s="77"/>
      <c r="D17" s="77"/>
      <c r="E17" s="77"/>
      <c r="F17" s="77"/>
      <c r="G17" s="77"/>
      <c r="H17" s="77"/>
      <c r="I17" s="78"/>
      <c r="J17" s="78"/>
      <c r="K17" s="78"/>
      <c r="L17" s="78"/>
      <c r="M17" s="78"/>
      <c r="N17" s="78"/>
      <c r="O17" s="78"/>
      <c r="P17" s="78"/>
      <c r="Q17" s="79"/>
      <c r="R17" s="79"/>
      <c r="S17" s="79"/>
      <c r="T17" s="79"/>
      <c r="U17" s="79"/>
      <c r="V17" s="94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80"/>
      <c r="AI17" s="80"/>
      <c r="AJ17" s="80"/>
      <c r="AK17" s="79"/>
      <c r="AL17" s="79"/>
      <c r="AM17" s="79"/>
      <c r="AN17" s="79"/>
      <c r="AO17" s="79"/>
      <c r="AP17" s="79"/>
      <c r="AQ17" s="79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79"/>
      <c r="BF17" s="79"/>
      <c r="BG17" s="79"/>
      <c r="BH17" s="79"/>
      <c r="BI17" s="79"/>
      <c r="BJ17" s="79"/>
      <c r="BK17" s="79"/>
      <c r="BL17" s="79"/>
      <c r="BM17" s="79"/>
      <c r="BN17" s="86">
        <f t="shared" si="0"/>
        <v>0</v>
      </c>
    </row>
    <row r="18" s="46" customFormat="1" customHeight="1" spans="1:66">
      <c r="A18" s="61" t="s">
        <v>161</v>
      </c>
      <c r="B18" s="77" t="s">
        <v>625</v>
      </c>
      <c r="C18" s="77" t="s">
        <v>607</v>
      </c>
      <c r="D18" s="77" t="s">
        <v>783</v>
      </c>
      <c r="E18" s="77"/>
      <c r="F18" s="77"/>
      <c r="G18" s="77"/>
      <c r="H18" s="77"/>
      <c r="I18" s="78"/>
      <c r="J18" s="78"/>
      <c r="K18" s="78"/>
      <c r="L18" s="78"/>
      <c r="M18" s="78"/>
      <c r="N18" s="78"/>
      <c r="O18" s="78"/>
      <c r="P18" s="78"/>
      <c r="Q18" s="79"/>
      <c r="R18" s="79"/>
      <c r="S18" s="79"/>
      <c r="T18" s="79"/>
      <c r="U18" s="79"/>
      <c r="V18" s="94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80"/>
      <c r="AI18" s="80"/>
      <c r="AJ18" s="80"/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79"/>
      <c r="BF18" s="79"/>
      <c r="BG18" s="79" t="s">
        <v>607</v>
      </c>
      <c r="BH18" s="79"/>
      <c r="BI18" s="79"/>
      <c r="BJ18" s="79"/>
      <c r="BK18" s="79"/>
      <c r="BL18" s="79"/>
      <c r="BM18" s="79"/>
      <c r="BN18" s="90">
        <f t="shared" si="0"/>
        <v>1500</v>
      </c>
    </row>
    <row r="19" s="3" customFormat="1" hidden="1" customHeight="1" spans="1:66">
      <c r="A19" s="66" t="s">
        <v>626</v>
      </c>
      <c r="B19" s="14" t="s">
        <v>627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95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5"/>
      <c r="AI19" s="15"/>
      <c r="AJ19" s="15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86">
        <f t="shared" si="0"/>
        <v>0</v>
      </c>
    </row>
    <row r="20" s="3" customFormat="1" hidden="1" customHeight="1" spans="1:66">
      <c r="A20" s="42" t="s">
        <v>114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96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9"/>
      <c r="AI20" s="19"/>
      <c r="AJ20" s="19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86">
        <f t="shared" si="0"/>
        <v>0</v>
      </c>
    </row>
    <row r="21" s="3" customFormat="1" hidden="1" customHeight="1" spans="1:66">
      <c r="A21" s="42" t="s">
        <v>106</v>
      </c>
      <c r="B21" s="18" t="s">
        <v>107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96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9"/>
      <c r="AI21" s="19"/>
      <c r="AJ21" s="19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86">
        <f t="shared" si="0"/>
        <v>0</v>
      </c>
    </row>
    <row r="22" s="3" customFormat="1" hidden="1" customHeight="1" spans="1:66">
      <c r="A22" s="42" t="s">
        <v>629</v>
      </c>
      <c r="B22" s="18" t="s">
        <v>630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96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9"/>
      <c r="AI22" s="19"/>
      <c r="AJ22" s="19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20"/>
      <c r="BK22" s="18"/>
      <c r="BL22" s="18"/>
      <c r="BM22" s="18"/>
      <c r="BN22" s="86">
        <f t="shared" si="0"/>
        <v>0</v>
      </c>
    </row>
    <row r="23" s="3" customFormat="1" hidden="1" customHeight="1" spans="1:66">
      <c r="A23" s="42" t="s">
        <v>18</v>
      </c>
      <c r="B23" s="18" t="s">
        <v>631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96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9"/>
      <c r="AI23" s="19"/>
      <c r="AJ23" s="19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20"/>
      <c r="BK23" s="18"/>
      <c r="BL23" s="18"/>
      <c r="BM23" s="18"/>
      <c r="BN23" s="86">
        <f t="shared" si="0"/>
        <v>0</v>
      </c>
    </row>
    <row r="24" customHeight="1" spans="1:66">
      <c r="A24" s="16" t="s">
        <v>33</v>
      </c>
      <c r="B24" s="17" t="s">
        <v>632</v>
      </c>
      <c r="C24" s="18"/>
      <c r="D24" s="18">
        <v>1000</v>
      </c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96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9"/>
      <c r="AI24" s="19"/>
      <c r="AJ24" s="19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20"/>
      <c r="BK24" s="18"/>
      <c r="BL24" s="18"/>
      <c r="BM24" s="18"/>
      <c r="BN24" s="90">
        <f t="shared" si="0"/>
        <v>1000</v>
      </c>
    </row>
    <row r="25" hidden="1" customHeight="1" spans="1:66">
      <c r="A25" s="16" t="s">
        <v>69</v>
      </c>
      <c r="B25" s="17" t="s">
        <v>633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96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9"/>
      <c r="AI25" s="19"/>
      <c r="AJ25" s="19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20"/>
      <c r="BK25" s="18"/>
      <c r="BL25" s="18"/>
      <c r="BM25" s="18"/>
      <c r="BN25" s="86">
        <f t="shared" si="0"/>
        <v>0</v>
      </c>
    </row>
    <row r="26" hidden="1" customHeight="1" spans="1:66">
      <c r="A26" s="16" t="s">
        <v>634</v>
      </c>
      <c r="B26" s="17" t="s">
        <v>635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96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9"/>
      <c r="AI26" s="19"/>
      <c r="AJ26" s="19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20"/>
      <c r="BK26" s="18"/>
      <c r="BL26" s="18"/>
      <c r="BM26" s="18"/>
      <c r="BN26" s="86">
        <f t="shared" si="0"/>
        <v>0</v>
      </c>
    </row>
    <row r="27" customHeight="1" spans="1:66">
      <c r="A27" s="16" t="s">
        <v>155</v>
      </c>
      <c r="B27" s="17" t="s">
        <v>636</v>
      </c>
      <c r="C27" s="18"/>
      <c r="D27" s="18"/>
      <c r="E27" s="18"/>
      <c r="F27" s="18"/>
      <c r="G27" s="18"/>
      <c r="H27" s="18"/>
      <c r="I27" s="18"/>
      <c r="J27" s="18">
        <v>500</v>
      </c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96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9"/>
      <c r="AI27" s="19"/>
      <c r="AJ27" s="19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20"/>
      <c r="BK27" s="18"/>
      <c r="BL27" s="18"/>
      <c r="BM27" s="18"/>
      <c r="BN27" s="90">
        <f t="shared" si="0"/>
        <v>500</v>
      </c>
    </row>
    <row r="28" hidden="1" customHeight="1" spans="1:66">
      <c r="A28" s="16" t="s">
        <v>193</v>
      </c>
      <c r="B28" s="17" t="s">
        <v>637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96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9"/>
      <c r="AI28" s="19"/>
      <c r="AJ28" s="19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20"/>
      <c r="BK28" s="18"/>
      <c r="BL28" s="18"/>
      <c r="BM28" s="18"/>
      <c r="BN28" s="86">
        <f t="shared" si="0"/>
        <v>0</v>
      </c>
    </row>
    <row r="29" customHeight="1" spans="1:66">
      <c r="A29" s="16" t="s">
        <v>35</v>
      </c>
      <c r="B29" s="17" t="s">
        <v>638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>
        <v>1000</v>
      </c>
      <c r="N29" s="18"/>
      <c r="O29" s="18"/>
      <c r="P29" s="18"/>
      <c r="Q29" s="18"/>
      <c r="R29" s="18"/>
      <c r="S29" s="18"/>
      <c r="T29" s="18"/>
      <c r="U29" s="18"/>
      <c r="V29" s="96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9"/>
      <c r="AI29" s="19"/>
      <c r="AJ29" s="19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20"/>
      <c r="BK29" s="18"/>
      <c r="BL29" s="18"/>
      <c r="BM29" s="18"/>
      <c r="BN29" s="90">
        <f t="shared" si="0"/>
        <v>1000</v>
      </c>
    </row>
    <row r="30" hidden="1" customHeight="1" spans="1:66">
      <c r="A30" s="16" t="s">
        <v>234</v>
      </c>
      <c r="B30" s="17" t="s">
        <v>639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96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9"/>
      <c r="AI30" s="19"/>
      <c r="AJ30" s="19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20"/>
      <c r="BK30" s="18"/>
      <c r="BL30" s="18"/>
      <c r="BM30" s="18"/>
      <c r="BN30" s="86">
        <f t="shared" si="0"/>
        <v>0</v>
      </c>
    </row>
    <row r="31" hidden="1" customHeight="1" spans="1:66">
      <c r="A31" s="16" t="s">
        <v>175</v>
      </c>
      <c r="B31" s="17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96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9"/>
      <c r="AI31" s="19"/>
      <c r="AJ31" s="19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20"/>
      <c r="BK31" s="18"/>
      <c r="BL31" s="18"/>
      <c r="BM31" s="18"/>
      <c r="BN31" s="86">
        <f t="shared" si="0"/>
        <v>0</v>
      </c>
    </row>
    <row r="32" customHeight="1" spans="1:66">
      <c r="A32" s="16" t="s">
        <v>165</v>
      </c>
      <c r="B32" s="17" t="s">
        <v>640</v>
      </c>
      <c r="C32" s="18"/>
      <c r="D32" s="18"/>
      <c r="E32" s="18"/>
      <c r="F32" s="18">
        <v>1000</v>
      </c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96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9"/>
      <c r="AI32" s="19"/>
      <c r="AJ32" s="19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20"/>
      <c r="BK32" s="18"/>
      <c r="BL32" s="18"/>
      <c r="BM32" s="18"/>
      <c r="BN32" s="90">
        <f t="shared" si="0"/>
        <v>1000</v>
      </c>
    </row>
    <row r="33" customHeight="1" spans="1:66">
      <c r="A33" s="16" t="s">
        <v>74</v>
      </c>
      <c r="B33" s="17" t="s">
        <v>642</v>
      </c>
      <c r="C33" s="18">
        <v>50</v>
      </c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96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9"/>
      <c r="AI33" s="19"/>
      <c r="AJ33" s="19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20"/>
      <c r="BK33" s="18"/>
      <c r="BL33" s="18"/>
      <c r="BM33" s="18"/>
      <c r="BN33" s="90">
        <f t="shared" si="0"/>
        <v>50</v>
      </c>
    </row>
    <row r="34" customHeight="1" spans="1:66">
      <c r="A34" s="16" t="s">
        <v>643</v>
      </c>
      <c r="B34" s="17" t="s">
        <v>644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>
        <v>5</v>
      </c>
      <c r="N34" s="18"/>
      <c r="O34" s="18"/>
      <c r="P34" s="18"/>
      <c r="Q34" s="18"/>
      <c r="R34" s="18"/>
      <c r="S34" s="18"/>
      <c r="T34" s="18"/>
      <c r="U34" s="18"/>
      <c r="V34" s="96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9"/>
      <c r="AI34" s="19"/>
      <c r="AJ34" s="19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20"/>
      <c r="BK34" s="18"/>
      <c r="BL34" s="18"/>
      <c r="BM34" s="18"/>
      <c r="BN34" s="90">
        <f t="shared" si="0"/>
        <v>5</v>
      </c>
    </row>
    <row r="35" hidden="1" customHeight="1" spans="1:66">
      <c r="A35" s="16" t="s">
        <v>138</v>
      </c>
      <c r="B35" s="17" t="s">
        <v>645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96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9"/>
      <c r="AI35" s="19"/>
      <c r="AJ35" s="19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20"/>
      <c r="BK35" s="18"/>
      <c r="BL35" s="18"/>
      <c r="BM35" s="18"/>
      <c r="BN35" s="86">
        <f t="shared" si="0"/>
        <v>0</v>
      </c>
    </row>
    <row r="36" customHeight="1" spans="1:66">
      <c r="A36" s="16" t="s">
        <v>141</v>
      </c>
      <c r="B36" s="17" t="s">
        <v>646</v>
      </c>
      <c r="C36" s="18"/>
      <c r="D36" s="18"/>
      <c r="E36" s="18"/>
      <c r="F36" s="18"/>
      <c r="G36" s="18"/>
      <c r="H36" s="18"/>
      <c r="I36" s="18"/>
      <c r="J36" s="18">
        <v>114</v>
      </c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96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9"/>
      <c r="AI36" s="19"/>
      <c r="AJ36" s="19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20"/>
      <c r="BK36" s="18"/>
      <c r="BL36" s="18"/>
      <c r="BM36" s="18"/>
      <c r="BN36" s="90">
        <f t="shared" si="0"/>
        <v>114</v>
      </c>
    </row>
    <row r="37" hidden="1" customHeight="1" spans="1:66">
      <c r="A37" s="16" t="s">
        <v>109</v>
      </c>
      <c r="B37" s="17" t="s">
        <v>110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96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9"/>
      <c r="AI37" s="19"/>
      <c r="AJ37" s="19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86">
        <f t="shared" si="0"/>
        <v>0</v>
      </c>
    </row>
    <row r="38" hidden="1" customHeight="1" spans="1:66">
      <c r="A38" s="16" t="s">
        <v>103</v>
      </c>
      <c r="B38" s="17" t="s">
        <v>647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96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9"/>
      <c r="AI38" s="19"/>
      <c r="AJ38" s="19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86">
        <f t="shared" si="0"/>
        <v>0</v>
      </c>
    </row>
    <row r="39" hidden="1" customHeight="1" spans="1:66">
      <c r="A39" s="16" t="s">
        <v>177</v>
      </c>
      <c r="B39" s="17" t="s">
        <v>648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96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9"/>
      <c r="AI39" s="19"/>
      <c r="AJ39" s="19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86">
        <f t="shared" si="0"/>
        <v>0</v>
      </c>
    </row>
    <row r="40" customHeight="1" spans="1:66">
      <c r="A40" s="16" t="s">
        <v>37</v>
      </c>
      <c r="B40" s="17" t="s">
        <v>649</v>
      </c>
      <c r="C40" s="18"/>
      <c r="D40" s="18"/>
      <c r="E40" s="18"/>
      <c r="F40" s="18"/>
      <c r="G40" s="18"/>
      <c r="H40" s="18">
        <v>200</v>
      </c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96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9"/>
      <c r="AI40" s="19"/>
      <c r="AJ40" s="19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90">
        <f t="shared" si="0"/>
        <v>200</v>
      </c>
    </row>
    <row r="41" customHeight="1" spans="1:66">
      <c r="A41" s="16" t="s">
        <v>173</v>
      </c>
      <c r="B41" s="17" t="s">
        <v>650</v>
      </c>
      <c r="C41" s="18"/>
      <c r="D41" s="18"/>
      <c r="E41" s="18">
        <v>1950</v>
      </c>
      <c r="F41" s="18"/>
      <c r="G41" s="18"/>
      <c r="H41" s="18"/>
      <c r="I41" s="18"/>
      <c r="J41" s="18">
        <v>500</v>
      </c>
      <c r="K41" s="18">
        <v>4500</v>
      </c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96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9"/>
      <c r="AI41" s="19"/>
      <c r="AJ41" s="19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>
        <v>5000</v>
      </c>
      <c r="BL41" s="18"/>
      <c r="BM41" s="18"/>
      <c r="BN41" s="90">
        <f t="shared" si="0"/>
        <v>11950</v>
      </c>
    </row>
    <row r="42" hidden="1" customHeight="1" spans="1:66">
      <c r="A42" s="16" t="s">
        <v>651</v>
      </c>
      <c r="B42" s="21" t="s">
        <v>652</v>
      </c>
      <c r="C42" s="22"/>
      <c r="D42" s="22"/>
      <c r="E42" s="22"/>
      <c r="F42" s="22"/>
      <c r="G42" s="22"/>
      <c r="H42" s="22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96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9"/>
      <c r="AI42" s="19"/>
      <c r="AJ42" s="19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86">
        <f t="shared" si="0"/>
        <v>0</v>
      </c>
    </row>
    <row r="43" hidden="1" customHeight="1" spans="1:66">
      <c r="A43" s="16" t="s">
        <v>144</v>
      </c>
      <c r="B43" s="21" t="s">
        <v>653</v>
      </c>
      <c r="C43" s="22"/>
      <c r="D43" s="22"/>
      <c r="E43" s="22"/>
      <c r="F43" s="22"/>
      <c r="G43" s="22"/>
      <c r="H43" s="22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96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9"/>
      <c r="AI43" s="19"/>
      <c r="AJ43" s="19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86">
        <f t="shared" si="0"/>
        <v>0</v>
      </c>
    </row>
    <row r="44" hidden="1" customHeight="1" spans="1:66">
      <c r="A44" s="16" t="s">
        <v>187</v>
      </c>
      <c r="B44" s="17" t="s">
        <v>654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96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9"/>
      <c r="AI44" s="19"/>
      <c r="AJ44" s="19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86">
        <f t="shared" si="0"/>
        <v>0</v>
      </c>
    </row>
    <row r="45" hidden="1" customHeight="1" spans="1:66">
      <c r="A45" s="16" t="s">
        <v>14</v>
      </c>
      <c r="B45" s="17" t="s">
        <v>655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96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9"/>
      <c r="AI45" s="19"/>
      <c r="AJ45" s="19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86">
        <f t="shared" si="0"/>
        <v>0</v>
      </c>
    </row>
    <row r="46" customHeight="1" spans="1:66">
      <c r="A46" s="16" t="s">
        <v>51</v>
      </c>
      <c r="B46" s="17" t="s">
        <v>656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96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9"/>
      <c r="AI46" s="19"/>
      <c r="AJ46" s="19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>
        <v>6000</v>
      </c>
      <c r="BJ46" s="18"/>
      <c r="BK46" s="18"/>
      <c r="BL46" s="18"/>
      <c r="BM46" s="18"/>
      <c r="BN46" s="90">
        <f t="shared" si="0"/>
        <v>6000</v>
      </c>
    </row>
    <row r="47" customHeight="1" spans="1:66">
      <c r="A47" s="16" t="s">
        <v>76</v>
      </c>
      <c r="B47" s="17" t="s">
        <v>657</v>
      </c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96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9"/>
      <c r="AI47" s="19"/>
      <c r="AJ47" s="19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>
        <v>100</v>
      </c>
      <c r="BJ47" s="18"/>
      <c r="BK47" s="18"/>
      <c r="BL47" s="18"/>
      <c r="BM47" s="18"/>
      <c r="BN47" s="90">
        <f t="shared" si="0"/>
        <v>100</v>
      </c>
    </row>
    <row r="48" hidden="1" customHeight="1" spans="1:66">
      <c r="A48" s="16" t="s">
        <v>218</v>
      </c>
      <c r="B48" s="17" t="s">
        <v>658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96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9"/>
      <c r="AI48" s="19"/>
      <c r="AJ48" s="19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86">
        <f t="shared" si="0"/>
        <v>0</v>
      </c>
    </row>
    <row r="49" customHeight="1" spans="1:66">
      <c r="A49" s="16" t="s">
        <v>135</v>
      </c>
      <c r="B49" s="17" t="s">
        <v>659</v>
      </c>
      <c r="C49" s="18">
        <v>1000</v>
      </c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96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9"/>
      <c r="AI49" s="19"/>
      <c r="AJ49" s="19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90">
        <f t="shared" si="0"/>
        <v>1000</v>
      </c>
    </row>
    <row r="50" customHeight="1" spans="1:66">
      <c r="A50" s="16" t="s">
        <v>22</v>
      </c>
      <c r="B50" s="17" t="s">
        <v>652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96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9"/>
      <c r="AI50" s="19"/>
      <c r="AJ50" s="19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>
        <v>2000</v>
      </c>
      <c r="BH50" s="18"/>
      <c r="BI50" s="18"/>
      <c r="BJ50" s="18"/>
      <c r="BK50" s="18"/>
      <c r="BL50" s="18"/>
      <c r="BM50" s="18"/>
      <c r="BN50" s="90">
        <f t="shared" si="0"/>
        <v>2000</v>
      </c>
    </row>
    <row r="51" hidden="1" customHeight="1" spans="1:66">
      <c r="A51" s="16" t="s">
        <v>660</v>
      </c>
      <c r="B51" s="17" t="s">
        <v>655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96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9"/>
      <c r="AI51" s="19"/>
      <c r="AJ51" s="19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86">
        <f t="shared" si="0"/>
        <v>0</v>
      </c>
    </row>
    <row r="52" hidden="1" customHeight="1" spans="1:66">
      <c r="A52" s="16" t="s">
        <v>661</v>
      </c>
      <c r="B52" s="17" t="s">
        <v>653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96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9"/>
      <c r="AI52" s="19"/>
      <c r="AJ52" s="19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86">
        <f t="shared" si="0"/>
        <v>0</v>
      </c>
    </row>
    <row r="53" hidden="1" customHeight="1" spans="1:66">
      <c r="A53" s="16" t="s">
        <v>662</v>
      </c>
      <c r="B53" s="17" t="s">
        <v>663</v>
      </c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96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9"/>
      <c r="AI53" s="19"/>
      <c r="AJ53" s="19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86">
        <f t="shared" si="0"/>
        <v>0</v>
      </c>
    </row>
    <row r="54" hidden="1" customHeight="1" spans="1:66">
      <c r="A54" s="16" t="s">
        <v>666</v>
      </c>
      <c r="B54" s="17" t="s">
        <v>667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96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9"/>
      <c r="AI54" s="19"/>
      <c r="AJ54" s="19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86">
        <f t="shared" si="0"/>
        <v>0</v>
      </c>
    </row>
    <row r="55" hidden="1" customHeight="1" spans="1:66">
      <c r="A55" s="16" t="s">
        <v>668</v>
      </c>
      <c r="B55" s="17" t="s">
        <v>669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96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9"/>
      <c r="AI55" s="19"/>
      <c r="AJ55" s="19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86">
        <f t="shared" si="0"/>
        <v>0</v>
      </c>
    </row>
    <row r="56" hidden="1" customHeight="1" spans="1:66">
      <c r="A56" s="16" t="s">
        <v>670</v>
      </c>
      <c r="B56" s="17" t="s">
        <v>671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96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9"/>
      <c r="AI56" s="19"/>
      <c r="AJ56" s="19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86">
        <f t="shared" si="0"/>
        <v>0</v>
      </c>
    </row>
    <row r="57" customHeight="1" spans="1:66">
      <c r="A57" s="16" t="s">
        <v>672</v>
      </c>
      <c r="B57" s="17" t="s">
        <v>671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96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9"/>
      <c r="AI57" s="19"/>
      <c r="AJ57" s="19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>
        <v>300</v>
      </c>
      <c r="BN57" s="90">
        <f t="shared" si="0"/>
        <v>300</v>
      </c>
    </row>
    <row r="58" hidden="1" customHeight="1" spans="1:66">
      <c r="A58" s="16" t="s">
        <v>673</v>
      </c>
      <c r="B58" s="17" t="s">
        <v>674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96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9"/>
      <c r="AI58" s="19"/>
      <c r="AJ58" s="19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86">
        <f t="shared" si="0"/>
        <v>0</v>
      </c>
    </row>
    <row r="59" hidden="1" customHeight="1" spans="1:66">
      <c r="A59" s="16" t="s">
        <v>675</v>
      </c>
      <c r="B59" s="17" t="s">
        <v>676</v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96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9"/>
      <c r="AI59" s="19"/>
      <c r="AJ59" s="19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86">
        <f t="shared" si="0"/>
        <v>0</v>
      </c>
    </row>
    <row r="60" customHeight="1" spans="1:66">
      <c r="A60" s="16" t="s">
        <v>677</v>
      </c>
      <c r="B60" s="17" t="s">
        <v>678</v>
      </c>
      <c r="C60" s="18">
        <v>385</v>
      </c>
      <c r="D60" s="18"/>
      <c r="E60" s="18"/>
      <c r="F60" s="18"/>
      <c r="G60" s="18"/>
      <c r="H60" s="18"/>
      <c r="I60" s="18"/>
      <c r="J60" s="18"/>
      <c r="K60" s="18">
        <v>550</v>
      </c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96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9"/>
      <c r="AI60" s="19"/>
      <c r="AJ60" s="19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>
        <v>250</v>
      </c>
      <c r="BK60" s="18"/>
      <c r="BL60" s="18"/>
      <c r="BM60" s="18"/>
      <c r="BN60" s="90">
        <f t="shared" si="0"/>
        <v>1185</v>
      </c>
    </row>
    <row r="61" hidden="1" customHeight="1" spans="1:66">
      <c r="A61" s="16" t="s">
        <v>679</v>
      </c>
      <c r="B61" s="17" t="s">
        <v>680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96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9"/>
      <c r="AI61" s="19"/>
      <c r="AJ61" s="19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86">
        <f t="shared" si="0"/>
        <v>0</v>
      </c>
    </row>
    <row r="62" hidden="1" customHeight="1" spans="1:66">
      <c r="A62" s="16" t="s">
        <v>681</v>
      </c>
      <c r="B62" s="17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96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9"/>
      <c r="AI62" s="19"/>
      <c r="AJ62" s="19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86">
        <f t="shared" si="0"/>
        <v>0</v>
      </c>
    </row>
    <row r="63" hidden="1" customHeight="1" spans="1:66">
      <c r="A63" s="16" t="s">
        <v>604</v>
      </c>
      <c r="B63" s="17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96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9"/>
      <c r="AI63" s="19"/>
      <c r="AJ63" s="19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86">
        <f t="shared" si="0"/>
        <v>0</v>
      </c>
    </row>
    <row r="64" hidden="1" customHeight="1" spans="1:66">
      <c r="A64" s="16" t="s">
        <v>682</v>
      </c>
      <c r="B64" s="17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96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9"/>
      <c r="AI64" s="19"/>
      <c r="AJ64" s="19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86">
        <f t="shared" si="0"/>
        <v>0</v>
      </c>
    </row>
    <row r="65" hidden="1" customHeight="1" spans="1:66">
      <c r="A65" s="16" t="s">
        <v>683</v>
      </c>
      <c r="B65" s="17" t="s">
        <v>684</v>
      </c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96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9"/>
      <c r="AI65" s="19"/>
      <c r="AJ65" s="19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86">
        <f t="shared" si="0"/>
        <v>0</v>
      </c>
    </row>
    <row r="66" hidden="1" customHeight="1" spans="1:66">
      <c r="A66" s="16" t="s">
        <v>685</v>
      </c>
      <c r="B66" s="17" t="s">
        <v>686</v>
      </c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96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9"/>
      <c r="AI66" s="19"/>
      <c r="AJ66" s="19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86">
        <f t="shared" si="0"/>
        <v>0</v>
      </c>
    </row>
    <row r="67" hidden="1" customHeight="1" spans="1:66">
      <c r="A67" s="16" t="s">
        <v>687</v>
      </c>
      <c r="B67" s="17" t="s">
        <v>688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96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9"/>
      <c r="AI67" s="19"/>
      <c r="AJ67" s="19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86">
        <f t="shared" si="0"/>
        <v>0</v>
      </c>
    </row>
    <row r="68" hidden="1" customHeight="1" spans="1:66">
      <c r="A68" s="16" t="s">
        <v>689</v>
      </c>
      <c r="B68" s="17" t="s">
        <v>690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96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9"/>
      <c r="AI68" s="19"/>
      <c r="AJ68" s="19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86">
        <f t="shared" ref="BN68:BN108" si="1">BM68+BL68+BK68+BJ68+BI68+BH68+BG68+BF68+BE68+BD68+BC68+BB68+BA68+AZ68+AY68+AX68+AW68+AV68+AU68+AT68+AS68+AR68+AQ68+AP68+AO68+AN68+AM68+AL68+AK68+AJ68+AI68+AH68+AG68+AF68+AE68+AD68+AC68+AB68+AA68+Z68+Y68+X68+W68+V68+U68+T68+S68+R68+Q68+P68+O68+N68+M68+L68+K68+J68+I68+H68+G68+F68+E68+D68+C68</f>
        <v>0</v>
      </c>
    </row>
    <row r="69" hidden="1" customHeight="1" spans="1:66">
      <c r="A69" s="16" t="s">
        <v>691</v>
      </c>
      <c r="B69" s="17" t="s">
        <v>692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96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9"/>
      <c r="AI69" s="19"/>
      <c r="AJ69" s="19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86">
        <f t="shared" si="1"/>
        <v>0</v>
      </c>
    </row>
    <row r="70" hidden="1" customHeight="1" spans="1:66">
      <c r="A70" s="16" t="s">
        <v>693</v>
      </c>
      <c r="B70" s="17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96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9"/>
      <c r="AI70" s="19"/>
      <c r="AJ70" s="19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86">
        <f t="shared" si="1"/>
        <v>0</v>
      </c>
    </row>
    <row r="71" hidden="1" customHeight="1" spans="1:66">
      <c r="A71" s="16" t="s">
        <v>694</v>
      </c>
      <c r="B71" s="17" t="s">
        <v>695</v>
      </c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96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9"/>
      <c r="AI71" s="19"/>
      <c r="AJ71" s="19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86">
        <f t="shared" si="1"/>
        <v>0</v>
      </c>
    </row>
    <row r="72" hidden="1" customHeight="1" spans="1:66">
      <c r="A72" s="16" t="s">
        <v>778</v>
      </c>
      <c r="B72" s="17" t="s">
        <v>779</v>
      </c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96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9"/>
      <c r="AI72" s="19"/>
      <c r="AJ72" s="19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86">
        <f t="shared" si="1"/>
        <v>0</v>
      </c>
    </row>
    <row r="73" hidden="1" customHeight="1" spans="1:66">
      <c r="A73" s="16" t="s">
        <v>699</v>
      </c>
      <c r="B73" s="21" t="s">
        <v>700</v>
      </c>
      <c r="C73" s="22"/>
      <c r="D73" s="22"/>
      <c r="E73" s="22"/>
      <c r="F73" s="22"/>
      <c r="G73" s="22"/>
      <c r="H73" s="22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96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9"/>
      <c r="AI73" s="19"/>
      <c r="AJ73" s="19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86">
        <f t="shared" si="1"/>
        <v>0</v>
      </c>
    </row>
    <row r="74" hidden="1" customHeight="1" spans="1:66">
      <c r="A74" s="16" t="s">
        <v>701</v>
      </c>
      <c r="B74" s="17" t="s">
        <v>702</v>
      </c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96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9"/>
      <c r="AI74" s="19"/>
      <c r="AJ74" s="19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86">
        <f t="shared" si="1"/>
        <v>0</v>
      </c>
    </row>
    <row r="75" hidden="1" customHeight="1" spans="1:66">
      <c r="A75" s="16" t="s">
        <v>701</v>
      </c>
      <c r="B75" s="21" t="s">
        <v>780</v>
      </c>
      <c r="C75" s="22"/>
      <c r="D75" s="22"/>
      <c r="E75" s="22"/>
      <c r="F75" s="22"/>
      <c r="G75" s="22"/>
      <c r="H75" s="22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96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9"/>
      <c r="AI75" s="19"/>
      <c r="AJ75" s="19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86">
        <f t="shared" si="1"/>
        <v>0</v>
      </c>
    </row>
    <row r="76" customHeight="1" spans="1:66">
      <c r="A76" s="16" t="s">
        <v>704</v>
      </c>
      <c r="B76" s="21" t="s">
        <v>705</v>
      </c>
      <c r="C76" s="22"/>
      <c r="D76" s="22"/>
      <c r="E76" s="22"/>
      <c r="F76" s="22"/>
      <c r="G76" s="22"/>
      <c r="H76" s="22"/>
      <c r="I76" s="18"/>
      <c r="J76" s="18"/>
      <c r="K76" s="18"/>
      <c r="L76" s="18"/>
      <c r="M76" s="18">
        <v>20</v>
      </c>
      <c r="N76" s="18"/>
      <c r="O76" s="18"/>
      <c r="P76" s="18"/>
      <c r="Q76" s="18"/>
      <c r="R76" s="18"/>
      <c r="S76" s="18"/>
      <c r="T76" s="18"/>
      <c r="U76" s="18"/>
      <c r="V76" s="96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9"/>
      <c r="AI76" s="19"/>
      <c r="AJ76" s="19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90">
        <f t="shared" si="1"/>
        <v>20</v>
      </c>
    </row>
    <row r="77" customHeight="1" spans="1:66">
      <c r="A77" s="16" t="s">
        <v>784</v>
      </c>
      <c r="B77" s="17" t="s">
        <v>730</v>
      </c>
      <c r="C77" s="18"/>
      <c r="D77" s="18"/>
      <c r="E77" s="18"/>
      <c r="F77" s="18"/>
      <c r="G77" s="18"/>
      <c r="H77" s="18">
        <v>24000</v>
      </c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96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9"/>
      <c r="AI77" s="19"/>
      <c r="AJ77" s="19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86">
        <f t="shared" si="1"/>
        <v>24000</v>
      </c>
    </row>
    <row r="78" hidden="1" customHeight="1" spans="1:66">
      <c r="A78" s="16" t="s">
        <v>706</v>
      </c>
      <c r="B78" s="21" t="s">
        <v>707</v>
      </c>
      <c r="C78" s="22"/>
      <c r="D78" s="22"/>
      <c r="E78" s="22"/>
      <c r="F78" s="22"/>
      <c r="G78" s="22"/>
      <c r="H78" s="22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96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9"/>
      <c r="AI78" s="19"/>
      <c r="AJ78" s="19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86">
        <f t="shared" si="1"/>
        <v>0</v>
      </c>
    </row>
    <row r="79" customHeight="1" spans="1:66">
      <c r="A79" s="16" t="s">
        <v>123</v>
      </c>
      <c r="B79" s="21" t="s">
        <v>708</v>
      </c>
      <c r="C79" s="22"/>
      <c r="D79" s="22">
        <v>8400</v>
      </c>
      <c r="E79" s="22"/>
      <c r="F79" s="22"/>
      <c r="G79" s="22"/>
      <c r="H79" s="22"/>
      <c r="I79" s="18"/>
      <c r="J79" s="18"/>
      <c r="K79" s="18"/>
      <c r="L79" s="18"/>
      <c r="M79" s="18">
        <v>11500</v>
      </c>
      <c r="N79" s="18"/>
      <c r="O79" s="18"/>
      <c r="P79" s="18"/>
      <c r="Q79" s="18"/>
      <c r="R79" s="18"/>
      <c r="S79" s="18"/>
      <c r="T79" s="18"/>
      <c r="U79" s="18"/>
      <c r="V79" s="96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9"/>
      <c r="AI79" s="19"/>
      <c r="AJ79" s="19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>
        <v>2300</v>
      </c>
      <c r="BM79" s="18"/>
      <c r="BN79" s="86">
        <f t="shared" si="1"/>
        <v>22200</v>
      </c>
    </row>
    <row r="80" customHeight="1" spans="1:66">
      <c r="A80" s="16" t="s">
        <v>117</v>
      </c>
      <c r="B80" s="21" t="s">
        <v>709</v>
      </c>
      <c r="C80" s="22"/>
      <c r="D80" s="22">
        <v>21000</v>
      </c>
      <c r="E80" s="22"/>
      <c r="F80" s="22"/>
      <c r="G80" s="22"/>
      <c r="H80" s="22"/>
      <c r="I80" s="18"/>
      <c r="J80" s="18"/>
      <c r="K80" s="18"/>
      <c r="L80" s="18"/>
      <c r="M80" s="18">
        <v>12000</v>
      </c>
      <c r="N80" s="18"/>
      <c r="O80" s="18"/>
      <c r="P80" s="18"/>
      <c r="Q80" s="18"/>
      <c r="R80" s="18"/>
      <c r="S80" s="18"/>
      <c r="T80" s="18"/>
      <c r="U80" s="18"/>
      <c r="V80" s="96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9"/>
      <c r="AI80" s="19"/>
      <c r="AJ80" s="19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>
        <v>6000</v>
      </c>
      <c r="BM80" s="18"/>
      <c r="BN80" s="90">
        <f t="shared" si="1"/>
        <v>39000</v>
      </c>
    </row>
    <row r="81" customHeight="1" spans="1:67">
      <c r="A81" s="16" t="s">
        <v>120</v>
      </c>
      <c r="B81" s="21" t="s">
        <v>710</v>
      </c>
      <c r="C81" s="22"/>
      <c r="D81" s="22">
        <v>10200</v>
      </c>
      <c r="E81" s="22"/>
      <c r="F81" s="22"/>
      <c r="G81" s="22"/>
      <c r="H81" s="22"/>
      <c r="I81" s="18"/>
      <c r="J81" s="18"/>
      <c r="K81" s="18"/>
      <c r="L81" s="18"/>
      <c r="M81" s="18">
        <v>10200</v>
      </c>
      <c r="N81" s="18"/>
      <c r="O81" s="18"/>
      <c r="P81" s="18"/>
      <c r="Q81" s="18"/>
      <c r="R81" s="18"/>
      <c r="S81" s="18"/>
      <c r="T81" s="18"/>
      <c r="U81" s="18"/>
      <c r="V81" s="96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9"/>
      <c r="AI81" s="19"/>
      <c r="AJ81" s="19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>
        <v>10200</v>
      </c>
      <c r="BM81" s="18"/>
      <c r="BN81" s="90">
        <f t="shared" si="1"/>
        <v>30600</v>
      </c>
    </row>
    <row r="82" customHeight="1" spans="1:67">
      <c r="A82" s="16" t="s">
        <v>65</v>
      </c>
      <c r="B82" s="21" t="s">
        <v>713</v>
      </c>
      <c r="C82" s="22"/>
      <c r="D82" s="22"/>
      <c r="E82" s="22"/>
      <c r="F82" s="22"/>
      <c r="G82" s="22"/>
      <c r="H82" s="22">
        <v>7000</v>
      </c>
      <c r="I82" s="18"/>
      <c r="J82" s="18"/>
      <c r="K82" s="18"/>
      <c r="L82" s="18"/>
      <c r="M82" s="18"/>
      <c r="N82" s="18">
        <v>600</v>
      </c>
      <c r="O82" s="18"/>
      <c r="P82" s="18"/>
      <c r="Q82" s="18"/>
      <c r="R82" s="18"/>
      <c r="S82" s="18"/>
      <c r="T82" s="18"/>
      <c r="U82" s="18"/>
      <c r="V82" s="96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9"/>
      <c r="AI82" s="19"/>
      <c r="AJ82" s="19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>
        <v>8400</v>
      </c>
      <c r="BI82" s="18"/>
      <c r="BJ82" s="18"/>
      <c r="BK82" s="18"/>
      <c r="BL82" s="18"/>
      <c r="BM82" s="18"/>
      <c r="BN82" s="90">
        <f t="shared" si="1"/>
        <v>16000</v>
      </c>
    </row>
    <row r="83" hidden="1" customHeight="1" spans="1:67">
      <c r="A83" s="16" t="s">
        <v>781</v>
      </c>
      <c r="B83" s="21" t="s">
        <v>714</v>
      </c>
      <c r="C83" s="22"/>
      <c r="D83" s="22"/>
      <c r="E83" s="22"/>
      <c r="F83" s="22"/>
      <c r="G83" s="22"/>
      <c r="H83" s="22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96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9"/>
      <c r="AI83" s="19"/>
      <c r="AJ83" s="19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86">
        <f t="shared" si="1"/>
        <v>0</v>
      </c>
    </row>
    <row r="84" customHeight="1" spans="1:67">
      <c r="A84" s="16" t="s">
        <v>126</v>
      </c>
      <c r="B84" s="21" t="s">
        <v>715</v>
      </c>
      <c r="C84" s="22"/>
      <c r="D84" s="22"/>
      <c r="E84" s="22"/>
      <c r="F84" s="22"/>
      <c r="G84" s="22"/>
      <c r="H84" s="22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96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9"/>
      <c r="AI84" s="19"/>
      <c r="AJ84" s="19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>
        <v>10000</v>
      </c>
      <c r="BK84" s="18"/>
      <c r="BL84" s="18"/>
      <c r="BM84" s="18"/>
      <c r="BN84" s="90">
        <f t="shared" si="1"/>
        <v>10000</v>
      </c>
    </row>
    <row r="85" hidden="1" customHeight="1" spans="1:67">
      <c r="A85" s="16" t="s">
        <v>181</v>
      </c>
      <c r="B85" s="21" t="s">
        <v>716</v>
      </c>
      <c r="C85" s="22"/>
      <c r="D85" s="22"/>
      <c r="E85" s="22"/>
      <c r="F85" s="22"/>
      <c r="G85" s="22"/>
      <c r="H85" s="22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96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9"/>
      <c r="AI85" s="19"/>
      <c r="AJ85" s="19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86">
        <f t="shared" si="1"/>
        <v>0</v>
      </c>
    </row>
    <row r="86" hidden="1" customHeight="1" spans="1:67">
      <c r="A86" s="16" t="s">
        <v>222</v>
      </c>
      <c r="B86" s="21" t="s">
        <v>718</v>
      </c>
      <c r="C86" s="22"/>
      <c r="D86" s="22"/>
      <c r="E86" s="22"/>
      <c r="F86" s="22"/>
      <c r="G86" s="22"/>
      <c r="H86" s="22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96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9"/>
      <c r="AI86" s="19"/>
      <c r="AJ86" s="19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86">
        <f t="shared" si="1"/>
        <v>0</v>
      </c>
    </row>
    <row r="87" hidden="1" customHeight="1" spans="1:67">
      <c r="A87" s="16" t="s">
        <v>785</v>
      </c>
      <c r="B87" s="17" t="s">
        <v>786</v>
      </c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96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9"/>
      <c r="AI87" s="19"/>
      <c r="AJ87" s="19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86">
        <f t="shared" si="1"/>
        <v>0</v>
      </c>
    </row>
    <row r="88" hidden="1" customHeight="1" spans="1:67">
      <c r="A88" s="16" t="s">
        <v>719</v>
      </c>
      <c r="B88" s="17" t="s">
        <v>720</v>
      </c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96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9"/>
      <c r="AI88" s="19"/>
      <c r="AJ88" s="19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86">
        <f t="shared" si="1"/>
        <v>0</v>
      </c>
    </row>
    <row r="89" customHeight="1" spans="1:67">
      <c r="A89" s="16" t="s">
        <v>206</v>
      </c>
      <c r="B89" s="17" t="s">
        <v>721</v>
      </c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96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9"/>
      <c r="AI89" s="19"/>
      <c r="AJ89" s="19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>
        <v>5000</v>
      </c>
      <c r="BK89" s="18"/>
      <c r="BL89" s="18"/>
      <c r="BM89" s="18"/>
      <c r="BN89" s="90">
        <f t="shared" si="1"/>
        <v>5000</v>
      </c>
    </row>
    <row r="90" hidden="1" customHeight="1" spans="1:67">
      <c r="A90" s="16" t="s">
        <v>202</v>
      </c>
      <c r="B90" s="17" t="s">
        <v>722</v>
      </c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96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9"/>
      <c r="AI90" s="19"/>
      <c r="AJ90" s="19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86">
        <f t="shared" si="1"/>
        <v>0</v>
      </c>
    </row>
    <row r="91" customHeight="1" spans="1:67">
      <c r="A91" s="16" t="s">
        <v>208</v>
      </c>
      <c r="B91" s="17" t="s">
        <v>724</v>
      </c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96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9"/>
      <c r="AI91" s="19"/>
      <c r="AJ91" s="19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>
        <v>5000</v>
      </c>
      <c r="BH91" s="18"/>
      <c r="BI91" s="18"/>
      <c r="BJ91" s="18"/>
      <c r="BK91" s="18"/>
      <c r="BL91" s="18"/>
      <c r="BM91" s="18"/>
      <c r="BN91" s="90">
        <f t="shared" si="1"/>
        <v>5000</v>
      </c>
    </row>
    <row r="92" customHeight="1" spans="1:67">
      <c r="A92" s="16" t="s">
        <v>157</v>
      </c>
      <c r="B92" s="17" t="s">
        <v>725</v>
      </c>
      <c r="C92" s="18">
        <v>12000</v>
      </c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96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9"/>
      <c r="AI92" s="19"/>
      <c r="AJ92" s="19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>
        <v>4000</v>
      </c>
      <c r="BH92" s="18"/>
      <c r="BI92" s="18"/>
      <c r="BJ92" s="18"/>
      <c r="BK92" s="18"/>
      <c r="BL92" s="18"/>
      <c r="BM92" s="18"/>
      <c r="BN92" s="90">
        <f t="shared" si="1"/>
        <v>16000</v>
      </c>
    </row>
    <row r="93" customHeight="1" spans="1:67">
      <c r="A93" s="16" t="s">
        <v>80</v>
      </c>
      <c r="B93" s="17" t="s">
        <v>728</v>
      </c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>
        <v>10000</v>
      </c>
      <c r="N93" s="18"/>
      <c r="O93" s="18"/>
      <c r="P93" s="18"/>
      <c r="Q93" s="18"/>
      <c r="R93" s="18"/>
      <c r="S93" s="18"/>
      <c r="T93" s="18"/>
      <c r="U93" s="18"/>
      <c r="V93" s="96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9"/>
      <c r="AI93" s="19"/>
      <c r="AJ93" s="19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90">
        <f t="shared" si="1"/>
        <v>10000</v>
      </c>
    </row>
    <row r="94" hidden="1" customHeight="1" spans="1:67">
      <c r="A94" s="16" t="s">
        <v>210</v>
      </c>
      <c r="B94" s="17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96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9"/>
      <c r="AI94" s="19"/>
      <c r="AJ94" s="19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86">
        <f t="shared" si="1"/>
        <v>0</v>
      </c>
    </row>
    <row r="95" customHeight="1" spans="1:67">
      <c r="A95" s="16" t="s">
        <v>49</v>
      </c>
      <c r="B95" s="17" t="s">
        <v>730</v>
      </c>
      <c r="C95" s="18"/>
      <c r="D95" s="18"/>
      <c r="E95" s="18"/>
      <c r="F95" s="18"/>
      <c r="G95" s="18"/>
      <c r="H95" s="18"/>
      <c r="I95" s="18"/>
      <c r="J95" s="18"/>
      <c r="K95" s="18">
        <v>-8000</v>
      </c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96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9"/>
      <c r="AI95" s="19"/>
      <c r="AJ95" s="19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>
        <v>8000</v>
      </c>
      <c r="BK95" s="18"/>
      <c r="BL95" s="18"/>
      <c r="BM95" s="18"/>
      <c r="BN95" s="86">
        <f t="shared" si="1"/>
        <v>0</v>
      </c>
      <c r="BO95" s="3"/>
    </row>
    <row r="96" hidden="1" customHeight="1" spans="1:67">
      <c r="A96" s="16" t="s">
        <v>112</v>
      </c>
      <c r="B96" s="17" t="s">
        <v>731</v>
      </c>
      <c r="C96" s="19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96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9"/>
      <c r="AI96" s="19"/>
      <c r="AJ96" s="19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23"/>
      <c r="BF96" s="23"/>
      <c r="BG96" s="18"/>
      <c r="BH96" s="18"/>
      <c r="BI96" s="18"/>
      <c r="BJ96" s="18"/>
      <c r="BK96" s="19"/>
      <c r="BL96" s="18"/>
      <c r="BM96" s="18"/>
      <c r="BN96" s="86">
        <f t="shared" si="1"/>
        <v>0</v>
      </c>
    </row>
    <row r="97" hidden="1" customHeight="1" spans="1:68">
      <c r="A97" s="16" t="s">
        <v>184</v>
      </c>
      <c r="B97" s="76" t="s">
        <v>732</v>
      </c>
      <c r="C97" s="19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96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9"/>
      <c r="AI97" s="19"/>
      <c r="AJ97" s="19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23"/>
      <c r="BF97" s="23"/>
      <c r="BG97" s="18"/>
      <c r="BH97" s="18"/>
      <c r="BI97" s="18"/>
      <c r="BJ97" s="18"/>
      <c r="BK97" s="19"/>
      <c r="BL97" s="18"/>
      <c r="BM97" s="18"/>
      <c r="BN97" s="86">
        <f t="shared" si="1"/>
        <v>0</v>
      </c>
    </row>
    <row r="98" customHeight="1" spans="1:68">
      <c r="A98" s="16" t="s">
        <v>39</v>
      </c>
      <c r="B98" s="76" t="s">
        <v>40</v>
      </c>
      <c r="C98" s="19"/>
      <c r="D98" s="18"/>
      <c r="E98" s="18"/>
      <c r="F98" s="18"/>
      <c r="G98" s="18"/>
      <c r="H98" s="18"/>
      <c r="I98" s="18"/>
      <c r="J98" s="18"/>
      <c r="K98" s="18"/>
      <c r="L98" s="18">
        <v>16200</v>
      </c>
      <c r="M98" s="18"/>
      <c r="N98" s="18"/>
      <c r="O98" s="18"/>
      <c r="P98" s="18"/>
      <c r="Q98" s="18"/>
      <c r="R98" s="18"/>
      <c r="S98" s="18"/>
      <c r="T98" s="18"/>
      <c r="U98" s="18"/>
      <c r="V98" s="96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9"/>
      <c r="AI98" s="19"/>
      <c r="AJ98" s="19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23"/>
      <c r="BF98" s="23"/>
      <c r="BG98" s="18"/>
      <c r="BH98" s="18"/>
      <c r="BI98" s="18"/>
      <c r="BJ98" s="18"/>
      <c r="BK98" s="19"/>
      <c r="BL98" s="18"/>
      <c r="BM98" s="18"/>
      <c r="BN98" s="90">
        <f t="shared" si="1"/>
        <v>16200</v>
      </c>
    </row>
    <row r="99" customHeight="1" spans="1:68">
      <c r="A99" s="16" t="s">
        <v>41</v>
      </c>
      <c r="B99" s="76" t="s">
        <v>42</v>
      </c>
      <c r="C99" s="19"/>
      <c r="D99" s="18"/>
      <c r="E99" s="18"/>
      <c r="F99" s="18"/>
      <c r="G99" s="18"/>
      <c r="H99" s="18"/>
      <c r="I99" s="18"/>
      <c r="J99" s="18"/>
      <c r="K99" s="18"/>
      <c r="L99" s="18">
        <v>16200</v>
      </c>
      <c r="M99" s="18"/>
      <c r="N99" s="18"/>
      <c r="O99" s="18"/>
      <c r="P99" s="18"/>
      <c r="Q99" s="18"/>
      <c r="R99" s="18"/>
      <c r="S99" s="18"/>
      <c r="T99" s="18"/>
      <c r="U99" s="18"/>
      <c r="V99" s="96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9"/>
      <c r="AI99" s="19"/>
      <c r="AJ99" s="19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23"/>
      <c r="BF99" s="23"/>
      <c r="BG99" s="18"/>
      <c r="BH99" s="18"/>
      <c r="BI99" s="18"/>
      <c r="BJ99" s="18"/>
      <c r="BK99" s="19"/>
      <c r="BL99" s="18"/>
      <c r="BM99" s="18"/>
      <c r="BN99" s="90">
        <f t="shared" si="1"/>
        <v>16200</v>
      </c>
    </row>
    <row r="100" customHeight="1" spans="1:68">
      <c r="A100" s="16" t="s">
        <v>70</v>
      </c>
      <c r="B100" s="76" t="s">
        <v>733</v>
      </c>
      <c r="C100" s="19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96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9"/>
      <c r="AI100" s="19"/>
      <c r="AJ100" s="19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23"/>
      <c r="BF100" s="23"/>
      <c r="BG100" s="18"/>
      <c r="BH100" s="18"/>
      <c r="BI100" s="18"/>
      <c r="BJ100" s="18"/>
      <c r="BK100" s="19">
        <v>12000</v>
      </c>
      <c r="BL100" s="18"/>
      <c r="BM100" s="18"/>
      <c r="BN100" s="90">
        <f t="shared" si="1"/>
        <v>12000</v>
      </c>
    </row>
    <row r="101" customHeight="1" spans="1:68">
      <c r="A101" s="16" t="s">
        <v>56</v>
      </c>
      <c r="B101" s="76" t="s">
        <v>734</v>
      </c>
      <c r="C101" s="19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96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9"/>
      <c r="AI101" s="19"/>
      <c r="AJ101" s="19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23"/>
      <c r="BF101" s="23"/>
      <c r="BG101" s="18"/>
      <c r="BH101" s="18"/>
      <c r="BI101" s="18"/>
      <c r="BJ101" s="18"/>
      <c r="BK101" s="19">
        <v>9000</v>
      </c>
      <c r="BL101" s="18"/>
      <c r="BM101" s="18"/>
      <c r="BN101" s="90">
        <f t="shared" si="1"/>
        <v>9000</v>
      </c>
    </row>
    <row r="102" customHeight="1" spans="1:68">
      <c r="A102" s="16" t="s">
        <v>43</v>
      </c>
      <c r="B102" s="76" t="s">
        <v>735</v>
      </c>
      <c r="C102" s="19"/>
      <c r="D102" s="18"/>
      <c r="E102" s="18"/>
      <c r="F102" s="18"/>
      <c r="G102" s="18">
        <v>12240</v>
      </c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96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9"/>
      <c r="AI102" s="19"/>
      <c r="AJ102" s="19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23"/>
      <c r="BF102" s="23"/>
      <c r="BG102" s="18"/>
      <c r="BH102" s="18"/>
      <c r="BI102" s="18"/>
      <c r="BJ102" s="18"/>
      <c r="BK102" s="19"/>
      <c r="BL102" s="18"/>
      <c r="BM102" s="18"/>
      <c r="BN102" s="90">
        <f t="shared" si="1"/>
        <v>12240</v>
      </c>
    </row>
    <row r="103" customHeight="1" spans="1:68">
      <c r="A103" s="16" t="s">
        <v>45</v>
      </c>
      <c r="B103" s="100" t="s">
        <v>736</v>
      </c>
      <c r="C103" s="19"/>
      <c r="D103" s="18"/>
      <c r="E103" s="18"/>
      <c r="F103" s="18"/>
      <c r="G103" s="18">
        <v>2080</v>
      </c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96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9"/>
      <c r="AI103" s="19"/>
      <c r="AJ103" s="19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23"/>
      <c r="BF103" s="23"/>
      <c r="BG103" s="18"/>
      <c r="BH103" s="18"/>
      <c r="BI103" s="18">
        <v>11360</v>
      </c>
      <c r="BJ103" s="18"/>
      <c r="BK103" s="19">
        <v>10080</v>
      </c>
      <c r="BL103" s="18"/>
      <c r="BM103" s="18"/>
      <c r="BN103" s="90">
        <f t="shared" si="1"/>
        <v>23520</v>
      </c>
    </row>
    <row r="104" customHeight="1" spans="1:68">
      <c r="A104" s="16" t="s">
        <v>47</v>
      </c>
      <c r="B104" s="102" t="s">
        <v>737</v>
      </c>
      <c r="C104" s="19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96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9"/>
      <c r="AI104" s="19"/>
      <c r="AJ104" s="19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23"/>
      <c r="BF104" s="23"/>
      <c r="BG104" s="18"/>
      <c r="BH104" s="18"/>
      <c r="BI104" s="18">
        <v>2000</v>
      </c>
      <c r="BJ104" s="18"/>
      <c r="BK104" s="19">
        <v>10000</v>
      </c>
      <c r="BL104" s="18"/>
      <c r="BM104" s="18">
        <v>2000</v>
      </c>
      <c r="BN104" s="90">
        <f t="shared" si="1"/>
        <v>14000</v>
      </c>
    </row>
    <row r="105" customHeight="1" spans="1:68">
      <c r="A105" s="16" t="s">
        <v>71</v>
      </c>
      <c r="B105" s="100" t="s">
        <v>738</v>
      </c>
      <c r="C105" s="19"/>
      <c r="D105" s="18"/>
      <c r="E105" s="18"/>
      <c r="F105" s="18"/>
      <c r="G105" s="18"/>
      <c r="H105" s="18"/>
      <c r="I105" s="18"/>
      <c r="J105" s="18"/>
      <c r="K105" s="18">
        <v>4000</v>
      </c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96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9"/>
      <c r="AI105" s="19"/>
      <c r="AJ105" s="19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23"/>
      <c r="BF105" s="23"/>
      <c r="BG105" s="18"/>
      <c r="BH105" s="18"/>
      <c r="BI105" s="18">
        <v>20000</v>
      </c>
      <c r="BJ105" s="18"/>
      <c r="BK105" s="19">
        <v>20000</v>
      </c>
      <c r="BL105" s="18"/>
      <c r="BM105" s="18"/>
      <c r="BN105" s="90">
        <f t="shared" si="1"/>
        <v>44000</v>
      </c>
    </row>
    <row r="106" customHeight="1" spans="1:68">
      <c r="A106" s="16" t="s">
        <v>257</v>
      </c>
      <c r="B106" s="76" t="s">
        <v>739</v>
      </c>
      <c r="C106" s="19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96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9"/>
      <c r="AI106" s="19"/>
      <c r="AJ106" s="19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23"/>
      <c r="BF106" s="23"/>
      <c r="BG106" s="18"/>
      <c r="BH106" s="18"/>
      <c r="BI106" s="18"/>
      <c r="BJ106" s="18"/>
      <c r="BK106" s="19"/>
      <c r="BL106" s="18">
        <v>23760</v>
      </c>
      <c r="BM106" s="18"/>
      <c r="BN106" s="90">
        <f t="shared" si="1"/>
        <v>23760</v>
      </c>
    </row>
    <row r="107" customHeight="1" spans="1:68">
      <c r="A107" s="16" t="s">
        <v>129</v>
      </c>
      <c r="B107" s="76" t="s">
        <v>726</v>
      </c>
      <c r="C107" s="19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96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9"/>
      <c r="AI107" s="19"/>
      <c r="AJ107" s="19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23"/>
      <c r="BF107" s="23"/>
      <c r="BG107" s="18"/>
      <c r="BH107" s="18"/>
      <c r="BI107" s="18"/>
      <c r="BJ107" s="18">
        <v>3000</v>
      </c>
      <c r="BK107" s="19"/>
      <c r="BL107" s="18"/>
      <c r="BM107" s="18"/>
      <c r="BN107" s="90">
        <f t="shared" si="1"/>
        <v>3000</v>
      </c>
    </row>
    <row r="108" customHeight="1" spans="1:68">
      <c r="A108" s="16" t="s">
        <v>132</v>
      </c>
      <c r="B108" s="76" t="s">
        <v>727</v>
      </c>
      <c r="C108" s="19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96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9"/>
      <c r="AI108" s="19"/>
      <c r="AJ108" s="19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23"/>
      <c r="BF108" s="23"/>
      <c r="BG108" s="18"/>
      <c r="BH108" s="18"/>
      <c r="BI108" s="18"/>
      <c r="BJ108" s="18">
        <v>3000</v>
      </c>
      <c r="BK108" s="19"/>
      <c r="BL108" s="18"/>
      <c r="BM108" s="18"/>
      <c r="BN108" s="90">
        <f t="shared" si="1"/>
        <v>3000</v>
      </c>
    </row>
    <row r="109" hidden="1" customHeight="1" spans="1:68">
      <c r="A109" s="82" t="s">
        <v>769</v>
      </c>
      <c r="B109" s="33" t="s">
        <v>40</v>
      </c>
      <c r="C109" s="34"/>
      <c r="D109" s="34"/>
      <c r="E109" s="34"/>
      <c r="F109" s="34"/>
      <c r="G109" s="34"/>
      <c r="H109" s="34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98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6"/>
      <c r="AI109" s="36"/>
      <c r="AJ109" s="36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  <c r="AZ109" s="35"/>
      <c r="BA109" s="35"/>
      <c r="BB109" s="35"/>
      <c r="BC109" s="35"/>
      <c r="BD109" s="35"/>
      <c r="BE109" s="35"/>
      <c r="BF109" s="35"/>
      <c r="BG109" s="35"/>
      <c r="BH109" s="35"/>
      <c r="BI109" s="35"/>
      <c r="BJ109" s="37"/>
      <c r="BK109" s="35"/>
      <c r="BL109" s="35"/>
      <c r="BM109" s="35"/>
      <c r="BN109" s="86">
        <f t="shared" ref="BN109:BN115" si="2">BM109+BL109+BK109+BJ109+BI109+BH109+BG109+BF109+BE109+BD109+BC109+BB109+BA109+AZ109+AY109+AX109+AW109+AV109+AU109+AT109+AS109+AR109+AQ109+AP109+AO109+AN109+AM109+AL109+AK109+AJ109+AI109+AH109+AG109+AF109+AE109+AD109+AC109+AB109+AA109+Z109+Y109+X109+W109+V109+U109+T109+S109+R109+Q109+P109+O109+N109+M109+L109+K109+J109+I109+H109+G109+F109+E109+D109+C109</f>
        <v>0</v>
      </c>
    </row>
    <row r="110" hidden="1" customHeight="1" spans="1:68">
      <c r="A110" s="82" t="s">
        <v>770</v>
      </c>
      <c r="B110" s="33" t="s">
        <v>42</v>
      </c>
      <c r="C110" s="34"/>
      <c r="D110" s="34"/>
      <c r="E110" s="34"/>
      <c r="F110" s="34"/>
      <c r="G110" s="34"/>
      <c r="H110" s="34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98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6"/>
      <c r="AI110" s="36"/>
      <c r="AJ110" s="36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  <c r="AZ110" s="35"/>
      <c r="BA110" s="35"/>
      <c r="BB110" s="35"/>
      <c r="BC110" s="35"/>
      <c r="BD110" s="35"/>
      <c r="BE110" s="35"/>
      <c r="BF110" s="35"/>
      <c r="BG110" s="35"/>
      <c r="BH110" s="35"/>
      <c r="BI110" s="35"/>
      <c r="BJ110" s="37"/>
      <c r="BK110" s="35"/>
      <c r="BL110" s="35"/>
      <c r="BM110" s="35"/>
      <c r="BN110" s="86">
        <f t="shared" si="2"/>
        <v>0</v>
      </c>
    </row>
    <row r="111" hidden="1" customHeight="1" spans="1:68">
      <c r="A111" s="82" t="s">
        <v>771</v>
      </c>
      <c r="B111" s="33" t="s">
        <v>735</v>
      </c>
      <c r="C111" s="34"/>
      <c r="D111" s="34"/>
      <c r="E111" s="34"/>
      <c r="F111" s="34"/>
      <c r="G111" s="34"/>
      <c r="H111" s="34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98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6"/>
      <c r="AI111" s="36"/>
      <c r="AJ111" s="36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  <c r="AZ111" s="35"/>
      <c r="BA111" s="35"/>
      <c r="BB111" s="35"/>
      <c r="BC111" s="35"/>
      <c r="BD111" s="35"/>
      <c r="BE111" s="35"/>
      <c r="BF111" s="35"/>
      <c r="BG111" s="35"/>
      <c r="BH111" s="35"/>
      <c r="BI111" s="35"/>
      <c r="BJ111" s="35"/>
      <c r="BK111" s="35"/>
      <c r="BL111" s="35"/>
      <c r="BM111" s="35"/>
      <c r="BN111" s="86">
        <f t="shared" si="2"/>
        <v>0</v>
      </c>
      <c r="BP111" s="88"/>
    </row>
    <row r="112" hidden="1" customHeight="1" spans="1:68">
      <c r="A112" s="82" t="s">
        <v>772</v>
      </c>
      <c r="B112" s="33" t="s">
        <v>737</v>
      </c>
      <c r="C112" s="34"/>
      <c r="D112" s="34"/>
      <c r="E112" s="34"/>
      <c r="F112" s="34"/>
      <c r="G112" s="34"/>
      <c r="H112" s="34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98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6"/>
      <c r="AI112" s="36"/>
      <c r="AJ112" s="36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  <c r="AZ112" s="35"/>
      <c r="BA112" s="35"/>
      <c r="BB112" s="35"/>
      <c r="BC112" s="35"/>
      <c r="BD112" s="35"/>
      <c r="BE112" s="35"/>
      <c r="BF112" s="35"/>
      <c r="BG112" s="35"/>
      <c r="BH112" s="35"/>
      <c r="BI112" s="35"/>
      <c r="BJ112" s="35"/>
      <c r="BK112" s="35"/>
      <c r="BL112" s="35"/>
      <c r="BM112" s="35"/>
      <c r="BN112" s="86">
        <f t="shared" si="2"/>
        <v>0</v>
      </c>
      <c r="BP112" s="88"/>
    </row>
    <row r="113" hidden="1" customHeight="1" spans="1:68">
      <c r="A113" s="82" t="s">
        <v>773</v>
      </c>
      <c r="B113" s="33" t="s">
        <v>734</v>
      </c>
      <c r="C113" s="34"/>
      <c r="D113" s="34"/>
      <c r="E113" s="34"/>
      <c r="F113" s="34"/>
      <c r="G113" s="34"/>
      <c r="H113" s="34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98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6"/>
      <c r="AI113" s="36"/>
      <c r="AJ113" s="36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35"/>
      <c r="BA113" s="35"/>
      <c r="BB113" s="35"/>
      <c r="BC113" s="35"/>
      <c r="BD113" s="35"/>
      <c r="BE113" s="35"/>
      <c r="BF113" s="35"/>
      <c r="BG113" s="35"/>
      <c r="BH113" s="35"/>
      <c r="BI113" s="35"/>
      <c r="BJ113" s="35"/>
      <c r="BK113" s="35"/>
      <c r="BL113" s="35"/>
      <c r="BM113" s="35"/>
      <c r="BN113" s="86">
        <f t="shared" si="2"/>
        <v>0</v>
      </c>
      <c r="BP113" s="88"/>
    </row>
    <row r="114" hidden="1" customHeight="1" spans="1:68">
      <c r="A114" s="82" t="s">
        <v>774</v>
      </c>
      <c r="B114" s="33" t="s">
        <v>733</v>
      </c>
      <c r="C114" s="34"/>
      <c r="D114" s="34"/>
      <c r="E114" s="34"/>
      <c r="F114" s="34"/>
      <c r="G114" s="34"/>
      <c r="H114" s="34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98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6"/>
      <c r="AI114" s="36"/>
      <c r="AJ114" s="36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  <c r="BE114" s="35"/>
      <c r="BF114" s="35"/>
      <c r="BG114" s="35"/>
      <c r="BH114" s="35"/>
      <c r="BI114" s="35"/>
      <c r="BJ114" s="35"/>
      <c r="BK114" s="35"/>
      <c r="BL114" s="35"/>
      <c r="BM114" s="35"/>
      <c r="BN114" s="86">
        <f t="shared" si="2"/>
        <v>0</v>
      </c>
      <c r="BP114" s="88"/>
    </row>
    <row r="115" hidden="1" customHeight="1" spans="1:68">
      <c r="A115" s="82" t="s">
        <v>775</v>
      </c>
      <c r="B115" s="33" t="s">
        <v>738</v>
      </c>
      <c r="C115" s="34"/>
      <c r="D115" s="34"/>
      <c r="E115" s="34"/>
      <c r="F115" s="34"/>
      <c r="G115" s="34"/>
      <c r="H115" s="34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98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6"/>
      <c r="AI115" s="36"/>
      <c r="AJ115" s="36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  <c r="AZ115" s="35"/>
      <c r="BA115" s="35"/>
      <c r="BB115" s="35"/>
      <c r="BC115" s="35"/>
      <c r="BD115" s="35"/>
      <c r="BE115" s="35"/>
      <c r="BF115" s="35"/>
      <c r="BG115" s="35"/>
      <c r="BH115" s="35"/>
      <c r="BI115" s="35"/>
      <c r="BJ115" s="35"/>
      <c r="BK115" s="35"/>
      <c r="BL115" s="35"/>
      <c r="BM115" s="35"/>
      <c r="BN115" s="86">
        <f t="shared" si="2"/>
        <v>0</v>
      </c>
      <c r="BP115" s="88"/>
    </row>
    <row r="116" customHeight="1" spans="1:68">
      <c r="C116" s="39"/>
      <c r="D116" s="40"/>
      <c r="E116" s="40"/>
      <c r="F116" s="40"/>
      <c r="G116" s="40"/>
      <c r="H116" s="40"/>
      <c r="I116" s="3"/>
      <c r="J116" s="3"/>
      <c r="BN116" s="14"/>
    </row>
    <row r="117" s="3" customFormat="1" customHeight="1" spans="1:68">
      <c r="A117" s="1"/>
      <c r="B117" s="1"/>
      <c r="C117" s="40"/>
      <c r="D117" s="40"/>
      <c r="E117" s="40"/>
      <c r="F117" s="40"/>
      <c r="G117" s="40"/>
      <c r="H117" s="40"/>
      <c r="V117" s="91"/>
      <c r="AH117" s="41"/>
      <c r="AI117" s="41"/>
      <c r="AJ117" s="41"/>
      <c r="BO117"/>
      <c r="BP117"/>
    </row>
  </sheetData>
  <mergeCells count="1">
    <mergeCell ref="A1:BN1"/>
  </mergeCells>
  <pageMargins left="0.7" right="0.7" top="0.75" bottom="0.75" header="0.3" footer="0.3"/>
  <pageSetup paperSize="9" scale="65" orientation="portrait"/>
  <headerFooter/>
  <rowBreaks count="1" manualBreakCount="1">
    <brk id="108" max="40" man="1"/>
  </rowBreak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107"/>
  <sheetViews>
    <sheetView zoomScale="164" zoomScaleNormal="164" workbookViewId="0">
      <pane xSplit="2" ySplit="2" topLeftCell="BL90" activePane="bottomRight" state="frozen"/>
      <selection/>
      <selection pane="topRight"/>
      <selection pane="bottomLeft"/>
      <selection pane="bottomRight" activeCell="BN65" sqref="BN65"/>
    </sheetView>
  </sheetViews>
  <sheetFormatPr defaultColWidth="9" defaultRowHeight="20" customHeight="1"/>
  <cols>
    <col min="1" max="1" width="14.3333333333333" style="1" customWidth="1"/>
    <col min="2" max="2" width="23.1666666666667" style="1" customWidth="1"/>
    <col min="3" max="8" width="7.5" style="1" customWidth="1"/>
    <col min="9" max="10" width="8.33333333333333" customWidth="1"/>
    <col min="11" max="11" width="8.33333333333333" style="3" customWidth="1"/>
    <col min="12" max="12" width="7.5" style="3" customWidth="1"/>
    <col min="13" max="14" width="7" style="3" customWidth="1"/>
    <col min="15" max="15" width="7" style="3" hidden="1" customWidth="1"/>
    <col min="16" max="16" width="7.83333333333333" style="3" hidden="1" customWidth="1"/>
    <col min="17" max="17" width="7.5" style="3" hidden="1" customWidth="1"/>
    <col min="18" max="18" width="7.16666666666667" style="3" hidden="1" customWidth="1"/>
    <col min="19" max="19" width="7.33333333333333" style="3" hidden="1" customWidth="1"/>
    <col min="20" max="20" width="7.83333333333333" style="3" hidden="1" customWidth="1"/>
    <col min="21" max="21" width="8.16666666666667" style="3" hidden="1" customWidth="1"/>
    <col min="22" max="22" width="7.66666666666667" style="91" hidden="1" customWidth="1"/>
    <col min="23" max="23" width="5.66666666666667" style="3" hidden="1" customWidth="1"/>
    <col min="24" max="24" width="7.66666666666667" style="3" hidden="1" customWidth="1"/>
    <col min="25" max="25" width="5.66666666666667" style="3" hidden="1" customWidth="1"/>
    <col min="26" max="26" width="6.66666666666667" style="3" hidden="1" customWidth="1"/>
    <col min="27" max="28" width="5.66666666666667" style="3" hidden="1" customWidth="1"/>
    <col min="29" max="30" width="7.33333333333333" style="3" hidden="1" customWidth="1"/>
    <col min="31" max="33" width="8.33333333333333" style="3" hidden="1" customWidth="1"/>
    <col min="34" max="36" width="7.66666666666667" style="41" hidden="1" customWidth="1"/>
    <col min="37" max="37" width="7.16666666666667" style="3" hidden="1" customWidth="1"/>
    <col min="38" max="38" width="6.83333333333333" style="3" hidden="1" customWidth="1"/>
    <col min="39" max="39" width="7.33333333333333" style="3" hidden="1" customWidth="1"/>
    <col min="40" max="40" width="7.66666666666667" style="3" hidden="1" customWidth="1"/>
    <col min="41" max="41" width="6.83333333333333" style="3" hidden="1" customWidth="1"/>
    <col min="42" max="42" width="8.5" style="3" hidden="1" customWidth="1"/>
    <col min="43" max="43" width="7.33333333333333" style="3" hidden="1" customWidth="1"/>
    <col min="44" max="44" width="8" style="3" hidden="1" customWidth="1"/>
    <col min="45" max="45" width="7.5" style="3" hidden="1" customWidth="1"/>
    <col min="46" max="50" width="5.66666666666667" style="3" hidden="1" customWidth="1"/>
    <col min="51" max="51" width="7.5" style="3" hidden="1" customWidth="1"/>
    <col min="52" max="52" width="5.66666666666667" style="3" hidden="1" customWidth="1"/>
    <col min="53" max="53" width="6.5" style="3" hidden="1" customWidth="1"/>
    <col min="54" max="58" width="5.66666666666667" style="3" hidden="1" customWidth="1"/>
    <col min="59" max="61" width="5.66666666666667" style="3" customWidth="1"/>
    <col min="62" max="62" width="6.16666666666667" style="3" customWidth="1"/>
    <col min="63" max="65" width="5.66666666666667" style="3" customWidth="1"/>
    <col min="66" max="66" width="8" style="3" customWidth="1"/>
    <col min="68" max="68" width="17.1666666666667" customWidth="1"/>
  </cols>
  <sheetData>
    <row r="1" customHeight="1" spans="1:68">
      <c r="A1" s="4" t="s">
        <v>787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</row>
    <row r="2" customHeight="1" spans="1:68">
      <c r="A2" s="47" t="s">
        <v>596</v>
      </c>
      <c r="B2" s="48" t="s">
        <v>597</v>
      </c>
      <c r="C2" s="49">
        <v>44963</v>
      </c>
      <c r="D2" s="49">
        <v>44967</v>
      </c>
      <c r="E2" s="49">
        <v>44969</v>
      </c>
      <c r="F2" s="49">
        <v>44970</v>
      </c>
      <c r="G2" s="49">
        <v>44972</v>
      </c>
      <c r="H2" s="49">
        <v>44973</v>
      </c>
      <c r="I2" s="50">
        <v>44975</v>
      </c>
      <c r="J2" s="50">
        <v>44977</v>
      </c>
      <c r="K2" s="50">
        <v>44978</v>
      </c>
      <c r="L2" s="50">
        <v>44979</v>
      </c>
      <c r="M2" s="50">
        <v>44984</v>
      </c>
      <c r="N2" s="50">
        <v>44985</v>
      </c>
      <c r="O2" s="50"/>
      <c r="P2" s="50"/>
      <c r="Q2" s="50"/>
      <c r="R2" s="89"/>
      <c r="S2" s="89"/>
      <c r="T2" s="89"/>
      <c r="U2" s="89"/>
      <c r="V2" s="84"/>
      <c r="W2" s="85"/>
      <c r="X2" s="85"/>
      <c r="Y2" s="85"/>
      <c r="Z2" s="85"/>
      <c r="AA2" s="85"/>
      <c r="AB2" s="85"/>
      <c r="AC2" s="85"/>
      <c r="AD2" s="51"/>
      <c r="AE2" s="51"/>
      <c r="AF2" s="51"/>
      <c r="AG2" s="51"/>
      <c r="AH2" s="52"/>
      <c r="AI2" s="52"/>
      <c r="AJ2" s="52"/>
      <c r="AK2" s="51"/>
      <c r="AL2" s="51"/>
      <c r="AM2" s="51"/>
      <c r="AN2" s="51"/>
      <c r="AO2" s="51"/>
      <c r="AP2" s="51"/>
      <c r="AQ2" s="51"/>
      <c r="AR2" s="51"/>
      <c r="AS2" s="51"/>
      <c r="AT2" s="51"/>
      <c r="AU2" s="51"/>
      <c r="AV2" s="51"/>
      <c r="AW2" s="51"/>
      <c r="AX2" s="51"/>
      <c r="AY2" s="51"/>
      <c r="AZ2" s="51"/>
      <c r="BA2" s="51"/>
      <c r="BB2" s="51"/>
      <c r="BC2" s="51"/>
      <c r="BD2" s="51"/>
      <c r="BE2" s="51"/>
      <c r="BF2" s="51"/>
      <c r="BG2" s="51"/>
      <c r="BH2" s="51"/>
      <c r="BI2" s="51"/>
      <c r="BJ2" s="51"/>
      <c r="BK2" s="51"/>
      <c r="BL2" s="51"/>
      <c r="BM2" s="51"/>
      <c r="BN2" s="53" t="s">
        <v>598</v>
      </c>
      <c r="BO2" s="25"/>
      <c r="BP2" s="25"/>
    </row>
    <row r="3" s="44" customFormat="1" hidden="1" customHeight="1" spans="1:68">
      <c r="A3" s="54" t="s">
        <v>192</v>
      </c>
      <c r="B3" s="55" t="s">
        <v>600</v>
      </c>
      <c r="C3" s="56"/>
      <c r="D3" s="56"/>
      <c r="E3" s="56"/>
      <c r="F3" s="56"/>
      <c r="G3" s="56"/>
      <c r="H3" s="56"/>
      <c r="I3" s="57"/>
      <c r="J3" s="57"/>
      <c r="K3" s="57"/>
      <c r="L3" s="57"/>
      <c r="M3" s="57"/>
      <c r="N3" s="57"/>
      <c r="O3" s="57"/>
      <c r="P3" s="57"/>
      <c r="Q3" s="58"/>
      <c r="R3" s="58"/>
      <c r="S3" s="58"/>
      <c r="T3" s="58"/>
      <c r="U3" s="58"/>
      <c r="V3" s="92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9"/>
      <c r="AI3" s="59"/>
      <c r="AJ3" s="59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58"/>
      <c r="BL3" s="58"/>
      <c r="BM3" s="58"/>
      <c r="BN3" s="86">
        <f>BM3+BL3+BK3+BJ3+BI3+BH3+BG3+BF3+BE3+BD3+BC3+BB3+BA3+AZ3+AY3+AX3+AW3+AV3+AU3+AT3+AS3+AR3+AQ3+AP3+AO3+AN3+AM3+AL3+AK3+AJ3+AI3+AH3+AG3+AF3+AE3+AD3+AC3+AB3+AA3+Z3+Y3+X3+W3+V3+U3+T3+S3+R3+Q3+P3+O3+N3+M3+L3+K3+J3+I3+H3+G3+F3+E3+D3+C3</f>
        <v>0</v>
      </c>
    </row>
    <row r="4" s="44" customFormat="1" hidden="1" customHeight="1" spans="1:68">
      <c r="A4" s="54" t="s">
        <v>134</v>
      </c>
      <c r="B4" s="55" t="s">
        <v>601</v>
      </c>
      <c r="C4" s="56"/>
      <c r="D4" s="56"/>
      <c r="E4" s="56"/>
      <c r="F4" s="56"/>
      <c r="G4" s="56"/>
      <c r="H4" s="56"/>
      <c r="I4" s="57"/>
      <c r="J4" s="57"/>
      <c r="K4" s="57"/>
      <c r="L4" s="57"/>
      <c r="M4" s="57"/>
      <c r="N4" s="57"/>
      <c r="O4" s="57"/>
      <c r="P4" s="57"/>
      <c r="Q4" s="58"/>
      <c r="R4" s="58"/>
      <c r="S4" s="58"/>
      <c r="T4" s="58"/>
      <c r="U4" s="58"/>
      <c r="V4" s="92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9"/>
      <c r="AI4" s="59"/>
      <c r="AJ4" s="59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8"/>
      <c r="BK4" s="58"/>
      <c r="BL4" s="58"/>
      <c r="BM4" s="58"/>
      <c r="BN4" s="86">
        <f t="shared" ref="BN4:BN67" si="0">BM4+BL4+BK4+BJ4+BI4+BH4+BG4+BF4+BE4+BD4+BC4+BB4+BA4+AZ4+AY4+AX4+AW4+AV4+AU4+AT4+AS4+AR4+AQ4+AP4+AO4+AN4+AM4+AL4+AK4+AJ4+AI4+AH4+AG4+AF4+AE4+AD4+AC4+AB4+AA4+Z4+Y4+X4+W4+V4+U4+T4+S4+R4+Q4+P4+O4+N4+M4+L4+K4+J4+I4+H4+G4+F4+E4+D4+C4</f>
        <v>0</v>
      </c>
    </row>
    <row r="5" s="44" customFormat="1" customHeight="1" spans="1:68">
      <c r="A5" s="54" t="s">
        <v>602</v>
      </c>
      <c r="B5" s="55" t="s">
        <v>603</v>
      </c>
      <c r="C5" s="56"/>
      <c r="D5" s="56"/>
      <c r="E5" s="56"/>
      <c r="F5" s="56"/>
      <c r="G5" s="56"/>
      <c r="H5" s="56" t="s">
        <v>788</v>
      </c>
      <c r="I5" s="57"/>
      <c r="J5" s="57"/>
      <c r="K5" s="57"/>
      <c r="L5" s="57"/>
      <c r="M5" s="57"/>
      <c r="N5" s="57"/>
      <c r="O5" s="57"/>
      <c r="P5" s="57"/>
      <c r="Q5" s="58"/>
      <c r="R5" s="58"/>
      <c r="S5" s="58"/>
      <c r="T5" s="58"/>
      <c r="U5" s="58"/>
      <c r="V5" s="92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9"/>
      <c r="AI5" s="59"/>
      <c r="AJ5" s="59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8"/>
      <c r="BF5" s="58"/>
      <c r="BG5" s="58"/>
      <c r="BH5" s="58"/>
      <c r="BI5" s="58"/>
      <c r="BJ5" s="58"/>
      <c r="BK5" s="58"/>
      <c r="BL5" s="58"/>
      <c r="BM5" s="58"/>
      <c r="BN5" s="86">
        <f t="shared" si="0"/>
        <v>25</v>
      </c>
    </row>
    <row r="6" s="44" customFormat="1" hidden="1" customHeight="1" spans="1:68">
      <c r="A6" s="54" t="s">
        <v>604</v>
      </c>
      <c r="B6" s="55" t="s">
        <v>605</v>
      </c>
      <c r="C6" s="56"/>
      <c r="D6" s="56"/>
      <c r="E6" s="56"/>
      <c r="F6" s="56"/>
      <c r="G6" s="56"/>
      <c r="H6" s="56"/>
      <c r="I6" s="57"/>
      <c r="J6" s="57"/>
      <c r="K6" s="57"/>
      <c r="L6" s="57"/>
      <c r="M6" s="57"/>
      <c r="N6" s="57"/>
      <c r="O6" s="57"/>
      <c r="P6" s="57"/>
      <c r="Q6" s="58"/>
      <c r="R6" s="58"/>
      <c r="S6" s="58"/>
      <c r="T6" s="58"/>
      <c r="U6" s="58"/>
      <c r="V6" s="92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9"/>
      <c r="AI6" s="59"/>
      <c r="AJ6" s="59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58"/>
      <c r="BL6" s="58"/>
      <c r="BM6" s="58"/>
      <c r="BN6" s="86">
        <f t="shared" si="0"/>
        <v>0</v>
      </c>
    </row>
    <row r="7" s="44" customFormat="1" hidden="1" customHeight="1" spans="1:68">
      <c r="A7" s="54" t="s">
        <v>67</v>
      </c>
      <c r="B7" s="55" t="s">
        <v>606</v>
      </c>
      <c r="C7" s="56"/>
      <c r="D7" s="56"/>
      <c r="E7" s="56"/>
      <c r="F7" s="56"/>
      <c r="G7" s="56"/>
      <c r="H7" s="56"/>
      <c r="I7" s="57"/>
      <c r="J7" s="57"/>
      <c r="K7" s="57"/>
      <c r="L7" s="57"/>
      <c r="M7" s="57"/>
      <c r="N7" s="57"/>
      <c r="O7" s="57"/>
      <c r="P7" s="57"/>
      <c r="Q7" s="58"/>
      <c r="R7" s="58"/>
      <c r="S7" s="58"/>
      <c r="T7" s="58"/>
      <c r="U7" s="58"/>
      <c r="V7" s="92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9"/>
      <c r="AI7" s="59"/>
      <c r="AJ7" s="59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58"/>
      <c r="BJ7" s="58"/>
      <c r="BK7" s="58"/>
      <c r="BL7" s="58"/>
      <c r="BM7" s="58"/>
      <c r="BN7" s="86">
        <f t="shared" si="0"/>
        <v>0</v>
      </c>
    </row>
    <row r="8" s="44" customFormat="1" customHeight="1" spans="1:68">
      <c r="A8" s="54" t="s">
        <v>16</v>
      </c>
      <c r="B8" s="55" t="s">
        <v>608</v>
      </c>
      <c r="C8" s="56"/>
      <c r="D8" s="56"/>
      <c r="E8" s="56"/>
      <c r="F8" s="56"/>
      <c r="G8" s="56"/>
      <c r="H8" s="56" t="s">
        <v>788</v>
      </c>
      <c r="I8" s="57"/>
      <c r="J8" s="57"/>
      <c r="K8" s="57"/>
      <c r="L8" s="57"/>
      <c r="M8" s="57"/>
      <c r="N8" s="57"/>
      <c r="O8" s="57"/>
      <c r="P8" s="57"/>
      <c r="Q8" s="58"/>
      <c r="R8" s="58"/>
      <c r="S8" s="58"/>
      <c r="T8" s="58"/>
      <c r="U8" s="58"/>
      <c r="V8" s="92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9"/>
      <c r="AI8" s="59"/>
      <c r="AJ8" s="59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58"/>
      <c r="BF8" s="58"/>
      <c r="BG8" s="58"/>
      <c r="BH8" s="58"/>
      <c r="BI8" s="58"/>
      <c r="BJ8" s="58"/>
      <c r="BK8" s="58"/>
      <c r="BL8" s="58"/>
      <c r="BM8" s="58"/>
      <c r="BN8" s="97">
        <f t="shared" si="0"/>
        <v>25</v>
      </c>
    </row>
    <row r="9" s="44" customFormat="1" hidden="1" customHeight="1" spans="1:68">
      <c r="A9" s="54" t="s">
        <v>59</v>
      </c>
      <c r="B9" s="55" t="s">
        <v>609</v>
      </c>
      <c r="C9" s="56"/>
      <c r="D9" s="56"/>
      <c r="E9" s="56"/>
      <c r="F9" s="56"/>
      <c r="G9" s="56"/>
      <c r="H9" s="56"/>
      <c r="I9" s="57"/>
      <c r="J9" s="57"/>
      <c r="K9" s="57"/>
      <c r="L9" s="57"/>
      <c r="M9" s="57"/>
      <c r="N9" s="57"/>
      <c r="O9" s="57"/>
      <c r="P9" s="57"/>
      <c r="Q9" s="58"/>
      <c r="R9" s="58"/>
      <c r="S9" s="58"/>
      <c r="T9" s="58"/>
      <c r="U9" s="58"/>
      <c r="V9" s="92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9"/>
      <c r="AI9" s="59"/>
      <c r="AJ9" s="59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58"/>
      <c r="BI9" s="58"/>
      <c r="BJ9" s="58"/>
      <c r="BK9" s="58"/>
      <c r="BL9" s="58"/>
      <c r="BM9" s="58"/>
      <c r="BN9" s="86">
        <f t="shared" si="0"/>
        <v>0</v>
      </c>
    </row>
    <row r="10" s="44" customFormat="1" hidden="1" customHeight="1" spans="1:68">
      <c r="A10" s="54" t="s">
        <v>612</v>
      </c>
      <c r="B10" s="55" t="s">
        <v>613</v>
      </c>
      <c r="C10" s="56"/>
      <c r="D10" s="56"/>
      <c r="E10" s="56"/>
      <c r="F10" s="56"/>
      <c r="G10" s="56"/>
      <c r="H10" s="56"/>
      <c r="I10" s="57"/>
      <c r="J10" s="57"/>
      <c r="K10" s="57"/>
      <c r="L10" s="57"/>
      <c r="M10" s="57"/>
      <c r="N10" s="57"/>
      <c r="O10" s="57"/>
      <c r="P10" s="57"/>
      <c r="Q10" s="58"/>
      <c r="R10" s="58"/>
      <c r="S10" s="58"/>
      <c r="T10" s="58"/>
      <c r="U10" s="58"/>
      <c r="V10" s="92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9"/>
      <c r="AI10" s="59"/>
      <c r="AJ10" s="59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86">
        <f t="shared" si="0"/>
        <v>0</v>
      </c>
    </row>
    <row r="11" s="44" customFormat="1" hidden="1" customHeight="1" spans="1:68">
      <c r="A11" s="54" t="s">
        <v>68</v>
      </c>
      <c r="B11" s="55" t="s">
        <v>614</v>
      </c>
      <c r="C11" s="56"/>
      <c r="D11" s="56"/>
      <c r="E11" s="56"/>
      <c r="F11" s="56"/>
      <c r="G11" s="56"/>
      <c r="H11" s="56"/>
      <c r="I11" s="57"/>
      <c r="J11" s="57"/>
      <c r="K11" s="57"/>
      <c r="L11" s="57"/>
      <c r="M11" s="57"/>
      <c r="N11" s="57"/>
      <c r="O11" s="57"/>
      <c r="P11" s="57"/>
      <c r="Q11" s="58"/>
      <c r="R11" s="58"/>
      <c r="S11" s="58"/>
      <c r="T11" s="58"/>
      <c r="U11" s="58"/>
      <c r="V11" s="92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9"/>
      <c r="AI11" s="59"/>
      <c r="AJ11" s="59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86">
        <f t="shared" si="0"/>
        <v>0</v>
      </c>
    </row>
    <row r="12" s="44" customFormat="1" hidden="1" customHeight="1" spans="1:68">
      <c r="A12" s="54" t="s">
        <v>616</v>
      </c>
      <c r="B12" s="55" t="s">
        <v>617</v>
      </c>
      <c r="C12" s="56"/>
      <c r="D12" s="56"/>
      <c r="E12" s="56"/>
      <c r="F12" s="56"/>
      <c r="G12" s="56"/>
      <c r="H12" s="56"/>
      <c r="I12" s="57"/>
      <c r="J12" s="57"/>
      <c r="K12" s="57"/>
      <c r="L12" s="57"/>
      <c r="M12" s="57"/>
      <c r="N12" s="57"/>
      <c r="O12" s="57"/>
      <c r="P12" s="57"/>
      <c r="Q12" s="58"/>
      <c r="R12" s="58"/>
      <c r="S12" s="58"/>
      <c r="T12" s="58"/>
      <c r="U12" s="58"/>
      <c r="V12" s="92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9"/>
      <c r="AI12" s="59"/>
      <c r="AJ12" s="59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86">
        <f t="shared" si="0"/>
        <v>0</v>
      </c>
    </row>
    <row r="13" s="45" customFormat="1" hidden="1" customHeight="1" spans="1:68">
      <c r="A13" s="54" t="s">
        <v>190</v>
      </c>
      <c r="B13" s="55" t="s">
        <v>759</v>
      </c>
      <c r="C13" s="56"/>
      <c r="D13" s="56"/>
      <c r="E13" s="56"/>
      <c r="F13" s="56"/>
      <c r="G13" s="56"/>
      <c r="H13" s="56"/>
      <c r="I13" s="57"/>
      <c r="J13" s="57"/>
      <c r="K13" s="57"/>
      <c r="L13" s="57"/>
      <c r="M13" s="57"/>
      <c r="N13" s="57"/>
      <c r="O13" s="57"/>
      <c r="P13" s="57"/>
      <c r="Q13" s="58"/>
      <c r="R13" s="58"/>
      <c r="S13" s="58"/>
      <c r="T13" s="58"/>
      <c r="U13" s="58"/>
      <c r="V13" s="92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9"/>
      <c r="AI13" s="59"/>
      <c r="AJ13" s="59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86">
        <f t="shared" si="0"/>
        <v>0</v>
      </c>
    </row>
    <row r="14" s="46" customFormat="1" hidden="1" customHeight="1" spans="1:68">
      <c r="A14" s="61" t="s">
        <v>224</v>
      </c>
      <c r="B14" s="62" t="s">
        <v>620</v>
      </c>
      <c r="C14" s="62"/>
      <c r="D14" s="62"/>
      <c r="E14" s="62"/>
      <c r="F14" s="62"/>
      <c r="G14" s="62"/>
      <c r="H14" s="62"/>
      <c r="I14" s="63"/>
      <c r="J14" s="63"/>
      <c r="K14" s="63"/>
      <c r="L14" s="63"/>
      <c r="M14" s="63"/>
      <c r="N14" s="63"/>
      <c r="O14" s="63"/>
      <c r="P14" s="63"/>
      <c r="Q14" s="64"/>
      <c r="R14" s="64"/>
      <c r="S14" s="64"/>
      <c r="T14" s="64"/>
      <c r="U14" s="64"/>
      <c r="V14" s="93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5"/>
      <c r="AI14" s="65"/>
      <c r="AJ14" s="65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4"/>
      <c r="BF14" s="64"/>
      <c r="BG14" s="64"/>
      <c r="BH14" s="64"/>
      <c r="BI14" s="64"/>
      <c r="BJ14" s="64"/>
      <c r="BK14" s="64"/>
      <c r="BL14" s="64"/>
      <c r="BM14" s="64"/>
      <c r="BN14" s="86">
        <f t="shared" si="0"/>
        <v>0</v>
      </c>
    </row>
    <row r="15" s="46" customFormat="1" customHeight="1" spans="1:68">
      <c r="A15" s="61" t="s">
        <v>204</v>
      </c>
      <c r="B15" s="77" t="s">
        <v>621</v>
      </c>
      <c r="C15" s="77"/>
      <c r="D15" s="77" t="s">
        <v>607</v>
      </c>
      <c r="E15" s="77"/>
      <c r="F15" s="77"/>
      <c r="G15" s="77"/>
      <c r="H15" s="77"/>
      <c r="I15" s="78"/>
      <c r="J15" s="78"/>
      <c r="K15" s="78"/>
      <c r="L15" s="78"/>
      <c r="M15" s="78"/>
      <c r="N15" s="78"/>
      <c r="O15" s="78"/>
      <c r="P15" s="78"/>
      <c r="Q15" s="79"/>
      <c r="R15" s="79"/>
      <c r="S15" s="79"/>
      <c r="T15" s="79"/>
      <c r="U15" s="79"/>
      <c r="V15" s="94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80"/>
      <c r="AI15" s="80"/>
      <c r="AJ15" s="80"/>
      <c r="AK15" s="79"/>
      <c r="AL15" s="79"/>
      <c r="AM15" s="79"/>
      <c r="AN15" s="79"/>
      <c r="AO15" s="79"/>
      <c r="AP15" s="79"/>
      <c r="AQ15" s="79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79"/>
      <c r="BF15" s="79"/>
      <c r="BG15" s="79"/>
      <c r="BH15" s="79"/>
      <c r="BI15" s="79"/>
      <c r="BJ15" s="79"/>
      <c r="BK15" s="79"/>
      <c r="BL15" s="79"/>
      <c r="BM15" s="79"/>
      <c r="BN15" s="97">
        <f t="shared" si="0"/>
        <v>1000</v>
      </c>
    </row>
    <row r="16" s="46" customFormat="1" hidden="1" customHeight="1" spans="1:68">
      <c r="A16" s="61" t="s">
        <v>623</v>
      </c>
      <c r="B16" s="77" t="s">
        <v>624</v>
      </c>
      <c r="C16" s="77"/>
      <c r="D16" s="77"/>
      <c r="E16" s="77"/>
      <c r="F16" s="77"/>
      <c r="G16" s="77"/>
      <c r="H16" s="77"/>
      <c r="I16" s="78"/>
      <c r="J16" s="78"/>
      <c r="K16" s="78"/>
      <c r="L16" s="78"/>
      <c r="M16" s="78"/>
      <c r="N16" s="78"/>
      <c r="O16" s="78"/>
      <c r="P16" s="78"/>
      <c r="Q16" s="79"/>
      <c r="R16" s="79"/>
      <c r="S16" s="79"/>
      <c r="T16" s="79"/>
      <c r="U16" s="79"/>
      <c r="V16" s="94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80"/>
      <c r="AI16" s="80"/>
      <c r="AJ16" s="80"/>
      <c r="AK16" s="79"/>
      <c r="AL16" s="79"/>
      <c r="AM16" s="79"/>
      <c r="AN16" s="79"/>
      <c r="AO16" s="79"/>
      <c r="AP16" s="79"/>
      <c r="AQ16" s="79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79"/>
      <c r="BF16" s="79"/>
      <c r="BG16" s="79"/>
      <c r="BH16" s="79"/>
      <c r="BI16" s="79"/>
      <c r="BJ16" s="79"/>
      <c r="BK16" s="79"/>
      <c r="BL16" s="79"/>
      <c r="BM16" s="79"/>
      <c r="BN16" s="86">
        <f t="shared" si="0"/>
        <v>0</v>
      </c>
    </row>
    <row r="17" s="46" customFormat="1" hidden="1" customHeight="1" spans="1:66">
      <c r="A17" s="61" t="s">
        <v>161</v>
      </c>
      <c r="B17" s="77"/>
      <c r="C17" s="77"/>
      <c r="D17" s="77"/>
      <c r="E17" s="77"/>
      <c r="F17" s="77"/>
      <c r="G17" s="77"/>
      <c r="H17" s="77"/>
      <c r="I17" s="78"/>
      <c r="J17" s="78"/>
      <c r="K17" s="78"/>
      <c r="L17" s="78"/>
      <c r="M17" s="78"/>
      <c r="N17" s="78"/>
      <c r="O17" s="78"/>
      <c r="P17" s="78"/>
      <c r="Q17" s="79"/>
      <c r="R17" s="79"/>
      <c r="S17" s="79"/>
      <c r="T17" s="79"/>
      <c r="U17" s="79"/>
      <c r="V17" s="94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80"/>
      <c r="AI17" s="80"/>
      <c r="AJ17" s="80"/>
      <c r="AK17" s="79"/>
      <c r="AL17" s="79"/>
      <c r="AM17" s="79"/>
      <c r="AN17" s="79"/>
      <c r="AO17" s="79"/>
      <c r="AP17" s="79"/>
      <c r="AQ17" s="79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79"/>
      <c r="BF17" s="79"/>
      <c r="BG17" s="79"/>
      <c r="BH17" s="79"/>
      <c r="BI17" s="79"/>
      <c r="BJ17" s="79"/>
      <c r="BK17" s="79"/>
      <c r="BL17" s="79"/>
      <c r="BM17" s="79"/>
      <c r="BN17" s="86">
        <f t="shared" si="0"/>
        <v>0</v>
      </c>
    </row>
    <row r="18" s="3" customFormat="1" hidden="1" customHeight="1" spans="1:66">
      <c r="A18" s="66" t="s">
        <v>626</v>
      </c>
      <c r="B18" s="14" t="s">
        <v>627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95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5"/>
      <c r="AI18" s="15"/>
      <c r="AJ18" s="15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86">
        <f t="shared" si="0"/>
        <v>0</v>
      </c>
    </row>
    <row r="19" s="3" customFormat="1" hidden="1" customHeight="1" spans="1:66">
      <c r="A19" s="42" t="s">
        <v>114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96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9"/>
      <c r="AI19" s="19"/>
      <c r="AJ19" s="19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86">
        <f t="shared" si="0"/>
        <v>0</v>
      </c>
    </row>
    <row r="20" s="3" customFormat="1" hidden="1" customHeight="1" spans="1:66">
      <c r="A20" s="42" t="s">
        <v>106</v>
      </c>
      <c r="B20" s="18" t="s">
        <v>107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96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9"/>
      <c r="AI20" s="19"/>
      <c r="AJ20" s="19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86">
        <f t="shared" si="0"/>
        <v>0</v>
      </c>
    </row>
    <row r="21" s="3" customFormat="1" hidden="1" customHeight="1" spans="1:66">
      <c r="A21" s="42" t="s">
        <v>629</v>
      </c>
      <c r="B21" s="18" t="s">
        <v>630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96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9"/>
      <c r="AI21" s="19"/>
      <c r="AJ21" s="19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20"/>
      <c r="BK21" s="18"/>
      <c r="BL21" s="18"/>
      <c r="BM21" s="18"/>
      <c r="BN21" s="86">
        <f t="shared" si="0"/>
        <v>0</v>
      </c>
    </row>
    <row r="22" s="3" customFormat="1" hidden="1" customHeight="1" spans="1:66">
      <c r="A22" s="42" t="s">
        <v>18</v>
      </c>
      <c r="B22" s="18" t="s">
        <v>631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96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9"/>
      <c r="AI22" s="19"/>
      <c r="AJ22" s="19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20"/>
      <c r="BK22" s="18"/>
      <c r="BL22" s="18"/>
      <c r="BM22" s="18"/>
      <c r="BN22" s="86">
        <f t="shared" si="0"/>
        <v>0</v>
      </c>
    </row>
    <row r="23" customHeight="1" spans="1:66">
      <c r="A23" s="16" t="s">
        <v>33</v>
      </c>
      <c r="B23" s="17" t="s">
        <v>632</v>
      </c>
      <c r="C23" s="18"/>
      <c r="D23" s="18">
        <v>1000</v>
      </c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96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9"/>
      <c r="AI23" s="19"/>
      <c r="AJ23" s="19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20"/>
      <c r="BK23" s="18"/>
      <c r="BL23" s="18"/>
      <c r="BM23" s="18"/>
      <c r="BN23" s="97">
        <f t="shared" si="0"/>
        <v>1000</v>
      </c>
    </row>
    <row r="24" hidden="1" customHeight="1" spans="1:66">
      <c r="A24" s="16" t="s">
        <v>69</v>
      </c>
      <c r="B24" s="17" t="s">
        <v>633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96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9"/>
      <c r="AI24" s="19"/>
      <c r="AJ24" s="19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20"/>
      <c r="BK24" s="18"/>
      <c r="BL24" s="18"/>
      <c r="BM24" s="18"/>
      <c r="BN24" s="86">
        <f t="shared" si="0"/>
        <v>0</v>
      </c>
    </row>
    <row r="25" hidden="1" customHeight="1" spans="1:66">
      <c r="A25" s="16" t="s">
        <v>634</v>
      </c>
      <c r="B25" s="17" t="s">
        <v>635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96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9"/>
      <c r="AI25" s="19"/>
      <c r="AJ25" s="19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20"/>
      <c r="BK25" s="18"/>
      <c r="BL25" s="18"/>
      <c r="BM25" s="18"/>
      <c r="BN25" s="86">
        <f t="shared" si="0"/>
        <v>0</v>
      </c>
    </row>
    <row r="26" customHeight="1" spans="1:66">
      <c r="A26" s="16" t="s">
        <v>155</v>
      </c>
      <c r="B26" s="17" t="s">
        <v>636</v>
      </c>
      <c r="C26" s="18"/>
      <c r="D26" s="18"/>
      <c r="E26" s="18"/>
      <c r="F26" s="18"/>
      <c r="G26" s="18"/>
      <c r="H26" s="18"/>
      <c r="I26" s="18"/>
      <c r="J26" s="18"/>
      <c r="K26" s="18">
        <v>500</v>
      </c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96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9"/>
      <c r="AI26" s="19"/>
      <c r="AJ26" s="19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20"/>
      <c r="BK26" s="18"/>
      <c r="BL26" s="18"/>
      <c r="BM26" s="18"/>
      <c r="BN26" s="97">
        <f t="shared" si="0"/>
        <v>500</v>
      </c>
    </row>
    <row r="27" customHeight="1" spans="1:66">
      <c r="A27" s="16" t="s">
        <v>193</v>
      </c>
      <c r="B27" s="17" t="s">
        <v>637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96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9"/>
      <c r="AI27" s="19"/>
      <c r="AJ27" s="19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20"/>
      <c r="BK27" s="18"/>
      <c r="BL27" s="18"/>
      <c r="BM27" s="18"/>
      <c r="BN27" s="86">
        <f t="shared" si="0"/>
        <v>0</v>
      </c>
    </row>
    <row r="28" customHeight="1" spans="1:66">
      <c r="A28" s="16" t="s">
        <v>35</v>
      </c>
      <c r="B28" s="17" t="s">
        <v>638</v>
      </c>
      <c r="C28" s="18"/>
      <c r="D28" s="18">
        <v>1000</v>
      </c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96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9"/>
      <c r="AI28" s="19"/>
      <c r="AJ28" s="19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20"/>
      <c r="BK28" s="18"/>
      <c r="BL28" s="18"/>
      <c r="BM28" s="18"/>
      <c r="BN28" s="97">
        <f t="shared" si="0"/>
        <v>1000</v>
      </c>
    </row>
    <row r="29" hidden="1" customHeight="1" spans="1:66">
      <c r="A29" s="16" t="s">
        <v>234</v>
      </c>
      <c r="B29" s="17" t="s">
        <v>639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96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9"/>
      <c r="AI29" s="19"/>
      <c r="AJ29" s="19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20"/>
      <c r="BK29" s="18"/>
      <c r="BL29" s="18"/>
      <c r="BM29" s="18"/>
      <c r="BN29" s="86">
        <f t="shared" si="0"/>
        <v>0</v>
      </c>
    </row>
    <row r="30" hidden="1" customHeight="1" spans="1:66">
      <c r="A30" s="16" t="s">
        <v>175</v>
      </c>
      <c r="B30" s="17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96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9"/>
      <c r="AI30" s="19"/>
      <c r="AJ30" s="19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20"/>
      <c r="BK30" s="18"/>
      <c r="BL30" s="18"/>
      <c r="BM30" s="18"/>
      <c r="BN30" s="86">
        <f t="shared" si="0"/>
        <v>0</v>
      </c>
    </row>
    <row r="31" hidden="1" customHeight="1" spans="1:66">
      <c r="A31" s="16" t="s">
        <v>165</v>
      </c>
      <c r="B31" s="17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96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9"/>
      <c r="AI31" s="19"/>
      <c r="AJ31" s="19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20"/>
      <c r="BK31" s="18"/>
      <c r="BL31" s="18"/>
      <c r="BM31" s="18"/>
      <c r="BN31" s="86">
        <f t="shared" si="0"/>
        <v>0</v>
      </c>
    </row>
    <row r="32" customHeight="1" spans="1:66">
      <c r="A32" s="16" t="s">
        <v>138</v>
      </c>
      <c r="B32" s="17" t="s">
        <v>645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>
        <v>500</v>
      </c>
      <c r="N32" s="18"/>
      <c r="O32" s="18"/>
      <c r="P32" s="18"/>
      <c r="Q32" s="18"/>
      <c r="R32" s="18"/>
      <c r="S32" s="18"/>
      <c r="T32" s="18"/>
      <c r="U32" s="18"/>
      <c r="V32" s="96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9"/>
      <c r="AI32" s="19"/>
      <c r="AJ32" s="19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20"/>
      <c r="BK32" s="18"/>
      <c r="BL32" s="18"/>
      <c r="BM32" s="18"/>
      <c r="BN32" s="97">
        <f t="shared" si="0"/>
        <v>500</v>
      </c>
    </row>
    <row r="33" customHeight="1" spans="1:66">
      <c r="A33" s="16" t="s">
        <v>141</v>
      </c>
      <c r="B33" s="17" t="s">
        <v>646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>
        <v>213</v>
      </c>
      <c r="N33" s="18"/>
      <c r="O33" s="18"/>
      <c r="P33" s="18"/>
      <c r="Q33" s="18"/>
      <c r="R33" s="18"/>
      <c r="S33" s="18"/>
      <c r="T33" s="18"/>
      <c r="U33" s="18"/>
      <c r="V33" s="96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9"/>
      <c r="AI33" s="19"/>
      <c r="AJ33" s="19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20"/>
      <c r="BK33" s="18"/>
      <c r="BL33" s="18"/>
      <c r="BM33" s="18"/>
      <c r="BN33" s="97">
        <f t="shared" si="0"/>
        <v>213</v>
      </c>
    </row>
    <row r="34" hidden="1" customHeight="1" spans="1:66">
      <c r="A34" s="16" t="s">
        <v>109</v>
      </c>
      <c r="B34" s="17" t="s">
        <v>110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96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9"/>
      <c r="AI34" s="19"/>
      <c r="AJ34" s="19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86">
        <f t="shared" si="0"/>
        <v>0</v>
      </c>
    </row>
    <row r="35" hidden="1" customHeight="1" spans="1:66">
      <c r="A35" s="16" t="s">
        <v>103</v>
      </c>
      <c r="B35" s="17" t="s">
        <v>647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96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9"/>
      <c r="AI35" s="19"/>
      <c r="AJ35" s="19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86">
        <f t="shared" si="0"/>
        <v>0</v>
      </c>
    </row>
    <row r="36" hidden="1" customHeight="1" spans="1:66">
      <c r="A36" s="16" t="s">
        <v>177</v>
      </c>
      <c r="B36" s="17" t="s">
        <v>648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96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9"/>
      <c r="AI36" s="19"/>
      <c r="AJ36" s="19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86">
        <f t="shared" si="0"/>
        <v>0</v>
      </c>
    </row>
    <row r="37" hidden="1" customHeight="1" spans="1:66">
      <c r="A37" s="16" t="s">
        <v>37</v>
      </c>
      <c r="B37" s="17" t="s">
        <v>649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96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9"/>
      <c r="AI37" s="19"/>
      <c r="AJ37" s="19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86">
        <f t="shared" si="0"/>
        <v>0</v>
      </c>
    </row>
    <row r="38" customHeight="1" spans="1:66">
      <c r="A38" s="16" t="s">
        <v>173</v>
      </c>
      <c r="B38" s="17" t="s">
        <v>650</v>
      </c>
      <c r="C38" s="18"/>
      <c r="D38" s="18"/>
      <c r="E38" s="18"/>
      <c r="F38" s="18"/>
      <c r="G38" s="18"/>
      <c r="H38" s="18"/>
      <c r="I38" s="18"/>
      <c r="J38" s="18"/>
      <c r="K38" s="18">
        <v>1000</v>
      </c>
      <c r="L38" s="18"/>
      <c r="M38" s="18"/>
      <c r="N38" s="18">
        <v>2000</v>
      </c>
      <c r="O38" s="18"/>
      <c r="P38" s="18"/>
      <c r="Q38" s="18"/>
      <c r="R38" s="18"/>
      <c r="S38" s="18"/>
      <c r="T38" s="18"/>
      <c r="U38" s="18"/>
      <c r="V38" s="96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9"/>
      <c r="AI38" s="19"/>
      <c r="AJ38" s="19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90">
        <f t="shared" si="0"/>
        <v>3000</v>
      </c>
    </row>
    <row r="39" hidden="1" customHeight="1" spans="1:66">
      <c r="A39" s="16" t="s">
        <v>651</v>
      </c>
      <c r="B39" s="21" t="s">
        <v>652</v>
      </c>
      <c r="C39" s="22"/>
      <c r="D39" s="22"/>
      <c r="E39" s="22"/>
      <c r="F39" s="22"/>
      <c r="G39" s="22"/>
      <c r="H39" s="22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96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9"/>
      <c r="AI39" s="19"/>
      <c r="AJ39" s="19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86">
        <f t="shared" si="0"/>
        <v>0</v>
      </c>
    </row>
    <row r="40" customHeight="1" spans="1:66">
      <c r="A40" s="16" t="s">
        <v>144</v>
      </c>
      <c r="B40" s="21" t="s">
        <v>653</v>
      </c>
      <c r="C40" s="22"/>
      <c r="D40" s="22"/>
      <c r="E40" s="22"/>
      <c r="F40" s="22"/>
      <c r="G40" s="22"/>
      <c r="H40" s="22">
        <v>1000</v>
      </c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96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9"/>
      <c r="AI40" s="19"/>
      <c r="AJ40" s="19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99">
        <f t="shared" si="0"/>
        <v>1000</v>
      </c>
    </row>
    <row r="41" hidden="1" customHeight="1" spans="1:66">
      <c r="A41" s="16" t="s">
        <v>187</v>
      </c>
      <c r="B41" s="17" t="s">
        <v>654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96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9"/>
      <c r="AI41" s="19"/>
      <c r="AJ41" s="19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86">
        <f t="shared" si="0"/>
        <v>0</v>
      </c>
    </row>
    <row r="42" customHeight="1" spans="1:66">
      <c r="A42" s="16" t="s">
        <v>14</v>
      </c>
      <c r="B42" s="17" t="s">
        <v>655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>
        <v>75</v>
      </c>
      <c r="O42" s="18"/>
      <c r="P42" s="18"/>
      <c r="Q42" s="18"/>
      <c r="R42" s="18"/>
      <c r="S42" s="18"/>
      <c r="T42" s="18"/>
      <c r="U42" s="18"/>
      <c r="V42" s="96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9"/>
      <c r="AI42" s="19"/>
      <c r="AJ42" s="19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99">
        <f t="shared" si="0"/>
        <v>75</v>
      </c>
    </row>
    <row r="43" hidden="1" customHeight="1" spans="1:66">
      <c r="A43" s="16" t="s">
        <v>51</v>
      </c>
      <c r="B43" s="17" t="s">
        <v>656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96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9"/>
      <c r="AI43" s="19"/>
      <c r="AJ43" s="19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86">
        <f t="shared" si="0"/>
        <v>0</v>
      </c>
    </row>
    <row r="44" hidden="1" customHeight="1" spans="1:66">
      <c r="A44" s="16" t="s">
        <v>218</v>
      </c>
      <c r="B44" s="17" t="s">
        <v>658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96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9"/>
      <c r="AI44" s="19"/>
      <c r="AJ44" s="19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86">
        <f t="shared" si="0"/>
        <v>0</v>
      </c>
    </row>
    <row r="45" hidden="1" customHeight="1" spans="1:66">
      <c r="A45" s="16" t="s">
        <v>135</v>
      </c>
      <c r="B45" s="17" t="s">
        <v>659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96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9"/>
      <c r="AI45" s="19"/>
      <c r="AJ45" s="19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86">
        <f t="shared" si="0"/>
        <v>0</v>
      </c>
    </row>
    <row r="46" hidden="1" customHeight="1" spans="1:66">
      <c r="A46" s="16" t="s">
        <v>22</v>
      </c>
      <c r="B46" s="17" t="s">
        <v>652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96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9"/>
      <c r="AI46" s="19"/>
      <c r="AJ46" s="19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86">
        <f t="shared" si="0"/>
        <v>0</v>
      </c>
    </row>
    <row r="47" hidden="1" customHeight="1" spans="1:66">
      <c r="A47" s="16" t="s">
        <v>660</v>
      </c>
      <c r="B47" s="17" t="s">
        <v>655</v>
      </c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96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9"/>
      <c r="AI47" s="19"/>
      <c r="AJ47" s="19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86">
        <f t="shared" si="0"/>
        <v>0</v>
      </c>
    </row>
    <row r="48" hidden="1" customHeight="1" spans="1:66">
      <c r="A48" s="16" t="s">
        <v>661</v>
      </c>
      <c r="B48" s="17" t="s">
        <v>653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96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9"/>
      <c r="AI48" s="19"/>
      <c r="AJ48" s="19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86">
        <f t="shared" si="0"/>
        <v>0</v>
      </c>
    </row>
    <row r="49" hidden="1" customHeight="1" spans="1:66">
      <c r="A49" s="16" t="s">
        <v>662</v>
      </c>
      <c r="B49" s="17" t="s">
        <v>663</v>
      </c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96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9"/>
      <c r="AI49" s="19"/>
      <c r="AJ49" s="19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86">
        <f t="shared" si="0"/>
        <v>0</v>
      </c>
    </row>
    <row r="50" hidden="1" customHeight="1" spans="1:66">
      <c r="A50" s="16" t="s">
        <v>666</v>
      </c>
      <c r="B50" s="17" t="s">
        <v>667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96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9"/>
      <c r="AI50" s="19"/>
      <c r="AJ50" s="19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86">
        <f t="shared" si="0"/>
        <v>0</v>
      </c>
    </row>
    <row r="51" customHeight="1" spans="1:66">
      <c r="A51" s="16" t="s">
        <v>668</v>
      </c>
      <c r="B51" s="17" t="s">
        <v>669</v>
      </c>
      <c r="C51" s="18"/>
      <c r="D51" s="18">
        <v>-1000</v>
      </c>
      <c r="E51" s="18"/>
      <c r="F51" s="18"/>
      <c r="G51" s="18"/>
      <c r="H51" s="18"/>
      <c r="I51" s="18"/>
      <c r="J51" s="18">
        <v>500</v>
      </c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96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9"/>
      <c r="AI51" s="19"/>
      <c r="AJ51" s="19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99">
        <f t="shared" si="0"/>
        <v>-500</v>
      </c>
    </row>
    <row r="52" customHeight="1" spans="1:66">
      <c r="A52" s="16" t="s">
        <v>670</v>
      </c>
      <c r="B52" s="17" t="s">
        <v>671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96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9"/>
      <c r="AI52" s="19"/>
      <c r="AJ52" s="19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86">
        <f t="shared" si="0"/>
        <v>0</v>
      </c>
    </row>
    <row r="53" customHeight="1" spans="1:66">
      <c r="A53" s="16" t="s">
        <v>672</v>
      </c>
      <c r="B53" s="17" t="s">
        <v>671</v>
      </c>
      <c r="C53" s="18">
        <v>500</v>
      </c>
      <c r="D53" s="18"/>
      <c r="E53" s="18"/>
      <c r="F53" s="18"/>
      <c r="G53" s="18">
        <v>500</v>
      </c>
      <c r="H53" s="18"/>
      <c r="I53" s="18"/>
      <c r="J53" s="18"/>
      <c r="K53" s="18"/>
      <c r="L53" s="18">
        <v>300</v>
      </c>
      <c r="M53" s="18"/>
      <c r="N53" s="18"/>
      <c r="O53" s="18"/>
      <c r="P53" s="18"/>
      <c r="Q53" s="18"/>
      <c r="R53" s="18"/>
      <c r="S53" s="18"/>
      <c r="T53" s="18"/>
      <c r="U53" s="18"/>
      <c r="V53" s="96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9"/>
      <c r="AI53" s="19"/>
      <c r="AJ53" s="19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90">
        <f t="shared" si="0"/>
        <v>1300</v>
      </c>
    </row>
    <row r="54" customHeight="1" spans="1:66">
      <c r="A54" s="16" t="s">
        <v>673</v>
      </c>
      <c r="B54" s="17" t="s">
        <v>674</v>
      </c>
      <c r="C54" s="18"/>
      <c r="D54" s="18"/>
      <c r="E54" s="18"/>
      <c r="F54" s="18"/>
      <c r="G54" s="18"/>
      <c r="H54" s="18"/>
      <c r="I54" s="18"/>
      <c r="J54" s="18"/>
      <c r="K54" s="18"/>
      <c r="L54" s="18">
        <v>100</v>
      </c>
      <c r="M54" s="18"/>
      <c r="N54" s="18"/>
      <c r="O54" s="18"/>
      <c r="P54" s="18"/>
      <c r="Q54" s="18"/>
      <c r="R54" s="18"/>
      <c r="S54" s="18"/>
      <c r="T54" s="18"/>
      <c r="U54" s="18"/>
      <c r="V54" s="96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9"/>
      <c r="AI54" s="19"/>
      <c r="AJ54" s="19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90">
        <f t="shared" si="0"/>
        <v>100</v>
      </c>
    </row>
    <row r="55" customHeight="1" spans="1:66">
      <c r="A55" s="16" t="s">
        <v>675</v>
      </c>
      <c r="B55" s="17" t="s">
        <v>676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96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9"/>
      <c r="AI55" s="19"/>
      <c r="AJ55" s="19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86">
        <f t="shared" si="0"/>
        <v>0</v>
      </c>
    </row>
    <row r="56" customHeight="1" spans="1:66">
      <c r="A56" s="16" t="s">
        <v>677</v>
      </c>
      <c r="B56" s="17" t="s">
        <v>678</v>
      </c>
      <c r="C56" s="18"/>
      <c r="D56" s="18"/>
      <c r="E56" s="18"/>
      <c r="F56" s="18"/>
      <c r="G56" s="18">
        <v>214</v>
      </c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96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9"/>
      <c r="AI56" s="19"/>
      <c r="AJ56" s="19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90">
        <f t="shared" si="0"/>
        <v>214</v>
      </c>
    </row>
    <row r="57" customHeight="1" spans="1:66">
      <c r="A57" s="16" t="s">
        <v>679</v>
      </c>
      <c r="B57" s="17" t="s">
        <v>680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96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9"/>
      <c r="AI57" s="19"/>
      <c r="AJ57" s="19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90">
        <f t="shared" si="0"/>
        <v>0</v>
      </c>
    </row>
    <row r="58" customHeight="1" spans="1:66">
      <c r="A58" s="16" t="s">
        <v>681</v>
      </c>
      <c r="B58" s="17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96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9"/>
      <c r="AI58" s="19"/>
      <c r="AJ58" s="19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90">
        <f t="shared" si="0"/>
        <v>0</v>
      </c>
    </row>
    <row r="59" customHeight="1" spans="1:66">
      <c r="A59" s="16" t="s">
        <v>604</v>
      </c>
      <c r="B59" s="17"/>
      <c r="C59" s="18"/>
      <c r="D59" s="18"/>
      <c r="E59" s="18"/>
      <c r="F59" s="18"/>
      <c r="G59" s="18"/>
      <c r="H59" s="18"/>
      <c r="I59" s="18"/>
      <c r="J59" s="18"/>
      <c r="K59" s="18"/>
      <c r="L59" s="18">
        <v>150</v>
      </c>
      <c r="M59" s="18"/>
      <c r="N59" s="18"/>
      <c r="O59" s="18"/>
      <c r="P59" s="18"/>
      <c r="Q59" s="18"/>
      <c r="R59" s="18"/>
      <c r="S59" s="18"/>
      <c r="T59" s="18"/>
      <c r="U59" s="18"/>
      <c r="V59" s="96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9"/>
      <c r="AI59" s="19"/>
      <c r="AJ59" s="19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90">
        <f t="shared" si="0"/>
        <v>150</v>
      </c>
    </row>
    <row r="60" customHeight="1" spans="1:66">
      <c r="A60" s="16" t="s">
        <v>682</v>
      </c>
      <c r="B60" s="17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96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9"/>
      <c r="AI60" s="19"/>
      <c r="AJ60" s="19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90">
        <f t="shared" si="0"/>
        <v>0</v>
      </c>
    </row>
    <row r="61" customHeight="1" spans="1:66">
      <c r="A61" s="16" t="s">
        <v>683</v>
      </c>
      <c r="B61" s="17" t="s">
        <v>684</v>
      </c>
      <c r="C61" s="18"/>
      <c r="D61" s="18"/>
      <c r="E61" s="18"/>
      <c r="F61" s="18">
        <v>250</v>
      </c>
      <c r="G61" s="18"/>
      <c r="H61" s="18"/>
      <c r="I61" s="18"/>
      <c r="J61" s="18"/>
      <c r="K61" s="18"/>
      <c r="L61" s="18">
        <v>100</v>
      </c>
      <c r="M61" s="18"/>
      <c r="N61" s="18"/>
      <c r="O61" s="18"/>
      <c r="P61" s="18"/>
      <c r="Q61" s="18"/>
      <c r="R61" s="18"/>
      <c r="S61" s="18"/>
      <c r="T61" s="18"/>
      <c r="U61" s="18"/>
      <c r="V61" s="96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9"/>
      <c r="AI61" s="19"/>
      <c r="AJ61" s="19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90">
        <f t="shared" si="0"/>
        <v>350</v>
      </c>
    </row>
    <row r="62" customHeight="1" spans="1:66">
      <c r="A62" s="16" t="s">
        <v>685</v>
      </c>
      <c r="B62" s="17" t="s">
        <v>686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96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9"/>
      <c r="AI62" s="19"/>
      <c r="AJ62" s="19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86">
        <f t="shared" si="0"/>
        <v>0</v>
      </c>
    </row>
    <row r="63" customHeight="1" spans="1:66">
      <c r="A63" s="16" t="s">
        <v>687</v>
      </c>
      <c r="B63" s="17" t="s">
        <v>688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96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9"/>
      <c r="AI63" s="19"/>
      <c r="AJ63" s="19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86">
        <f t="shared" si="0"/>
        <v>0</v>
      </c>
    </row>
    <row r="64" customHeight="1" spans="1:66">
      <c r="A64" s="16" t="s">
        <v>689</v>
      </c>
      <c r="B64" s="17" t="s">
        <v>690</v>
      </c>
      <c r="C64" s="18"/>
      <c r="D64" s="18"/>
      <c r="E64" s="18"/>
      <c r="F64" s="18"/>
      <c r="G64" s="18"/>
      <c r="H64" s="18"/>
      <c r="I64" s="18"/>
      <c r="J64" s="18"/>
      <c r="K64" s="18"/>
      <c r="L64" s="18">
        <v>50</v>
      </c>
      <c r="M64" s="18"/>
      <c r="N64" s="18"/>
      <c r="O64" s="18"/>
      <c r="P64" s="18"/>
      <c r="Q64" s="18"/>
      <c r="R64" s="18"/>
      <c r="S64" s="18"/>
      <c r="T64" s="18"/>
      <c r="U64" s="18"/>
      <c r="V64" s="96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9"/>
      <c r="AI64" s="19"/>
      <c r="AJ64" s="19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97">
        <f t="shared" si="0"/>
        <v>50</v>
      </c>
    </row>
    <row r="65" customHeight="1" spans="1:66">
      <c r="A65" s="16" t="s">
        <v>691</v>
      </c>
      <c r="B65" s="17" t="s">
        <v>692</v>
      </c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96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9"/>
      <c r="AI65" s="19"/>
      <c r="AJ65" s="19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90">
        <f t="shared" si="0"/>
        <v>0</v>
      </c>
    </row>
    <row r="66" customHeight="1" spans="1:66">
      <c r="A66" s="16" t="s">
        <v>693</v>
      </c>
      <c r="B66" s="17"/>
      <c r="C66" s="18">
        <v>200</v>
      </c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96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9"/>
      <c r="AI66" s="19"/>
      <c r="AJ66" s="19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90">
        <f t="shared" si="0"/>
        <v>200</v>
      </c>
    </row>
    <row r="67" customHeight="1" spans="1:66">
      <c r="A67" s="16" t="s">
        <v>694</v>
      </c>
      <c r="B67" s="17" t="s">
        <v>695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96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9"/>
      <c r="AI67" s="19"/>
      <c r="AJ67" s="19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86">
        <f t="shared" si="0"/>
        <v>0</v>
      </c>
    </row>
    <row r="68" customHeight="1" spans="1:66">
      <c r="A68" s="16" t="s">
        <v>778</v>
      </c>
      <c r="B68" s="17" t="s">
        <v>779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96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9"/>
      <c r="AI68" s="19"/>
      <c r="AJ68" s="19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86">
        <f t="shared" ref="BN68:BN105" si="1">BM68+BL68+BK68+BJ68+BI68+BH68+BG68+BF68+BE68+BD68+BC68+BB68+BA68+AZ68+AY68+AX68+AW68+AV68+AU68+AT68+AS68+AR68+AQ68+AP68+AO68+AN68+AM68+AL68+AK68+AJ68+AI68+AH68+AG68+AF68+AE68+AD68+AC68+AB68+AA68+Z68+Y68+X68+W68+V68+U68+T68+S68+R68+Q68+P68+O68+N68+M68+L68+K68+J68+I68+H68+G68+F68+E68+D68+C68</f>
        <v>0</v>
      </c>
    </row>
    <row r="69" customHeight="1" spans="1:66">
      <c r="A69" s="16" t="s">
        <v>699</v>
      </c>
      <c r="B69" s="21" t="s">
        <v>700</v>
      </c>
      <c r="C69" s="22"/>
      <c r="D69" s="22">
        <v>20</v>
      </c>
      <c r="E69" s="22"/>
      <c r="F69" s="22"/>
      <c r="G69" s="22"/>
      <c r="H69" s="22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96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9"/>
      <c r="AI69" s="19"/>
      <c r="AJ69" s="19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99">
        <f t="shared" si="1"/>
        <v>20</v>
      </c>
    </row>
    <row r="70" hidden="1" customHeight="1" spans="1:66">
      <c r="A70" s="16" t="s">
        <v>701</v>
      </c>
      <c r="B70" s="17" t="s">
        <v>702</v>
      </c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96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9"/>
      <c r="AI70" s="19"/>
      <c r="AJ70" s="19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86">
        <f t="shared" si="1"/>
        <v>0</v>
      </c>
    </row>
    <row r="71" hidden="1" customHeight="1" spans="1:66">
      <c r="A71" s="16" t="s">
        <v>701</v>
      </c>
      <c r="B71" s="21" t="s">
        <v>780</v>
      </c>
      <c r="C71" s="22"/>
      <c r="D71" s="22"/>
      <c r="E71" s="22"/>
      <c r="F71" s="22"/>
      <c r="G71" s="22"/>
      <c r="H71" s="22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96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9"/>
      <c r="AI71" s="19"/>
      <c r="AJ71" s="19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86">
        <f t="shared" si="1"/>
        <v>0</v>
      </c>
    </row>
    <row r="72" hidden="1" customHeight="1" spans="1:66">
      <c r="A72" s="16" t="s">
        <v>784</v>
      </c>
      <c r="B72" s="17" t="s">
        <v>730</v>
      </c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96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9"/>
      <c r="AI72" s="19"/>
      <c r="AJ72" s="19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86">
        <f t="shared" si="1"/>
        <v>0</v>
      </c>
    </row>
    <row r="73" hidden="1" customHeight="1" spans="1:66">
      <c r="A73" s="16" t="s">
        <v>706</v>
      </c>
      <c r="B73" s="21" t="s">
        <v>707</v>
      </c>
      <c r="C73" s="22"/>
      <c r="D73" s="22"/>
      <c r="E73" s="22"/>
      <c r="F73" s="22"/>
      <c r="G73" s="22"/>
      <c r="H73" s="22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96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9"/>
      <c r="AI73" s="19"/>
      <c r="AJ73" s="19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86">
        <f t="shared" si="1"/>
        <v>0</v>
      </c>
    </row>
    <row r="74" customHeight="1" spans="1:66">
      <c r="A74" s="16" t="s">
        <v>123</v>
      </c>
      <c r="B74" s="21" t="s">
        <v>708</v>
      </c>
      <c r="C74" s="22"/>
      <c r="D74" s="22"/>
      <c r="E74" s="22">
        <v>29900</v>
      </c>
      <c r="F74" s="22"/>
      <c r="G74" s="22"/>
      <c r="H74" s="22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96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9"/>
      <c r="AI74" s="19"/>
      <c r="AJ74" s="19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99">
        <f t="shared" si="1"/>
        <v>29900</v>
      </c>
    </row>
    <row r="75" customHeight="1" spans="1:66">
      <c r="A75" s="16" t="s">
        <v>117</v>
      </c>
      <c r="B75" s="21" t="s">
        <v>709</v>
      </c>
      <c r="C75" s="22"/>
      <c r="D75" s="22"/>
      <c r="E75" s="22">
        <v>24000</v>
      </c>
      <c r="F75" s="22"/>
      <c r="G75" s="22"/>
      <c r="H75" s="22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96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9"/>
      <c r="AI75" s="19"/>
      <c r="AJ75" s="19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99">
        <f t="shared" si="1"/>
        <v>24000</v>
      </c>
    </row>
    <row r="76" customHeight="1" spans="1:66">
      <c r="A76" s="16" t="s">
        <v>120</v>
      </c>
      <c r="B76" s="21" t="s">
        <v>710</v>
      </c>
      <c r="C76" s="22"/>
      <c r="D76" s="22"/>
      <c r="E76" s="22">
        <v>21600</v>
      </c>
      <c r="F76" s="22"/>
      <c r="G76" s="22"/>
      <c r="H76" s="22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96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9"/>
      <c r="AI76" s="19"/>
      <c r="AJ76" s="19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99">
        <f t="shared" si="1"/>
        <v>21600</v>
      </c>
    </row>
    <row r="77" hidden="1" customHeight="1" spans="1:66">
      <c r="A77" s="16" t="s">
        <v>65</v>
      </c>
      <c r="B77" s="21" t="s">
        <v>713</v>
      </c>
      <c r="C77" s="22"/>
      <c r="D77" s="22"/>
      <c r="E77" s="22"/>
      <c r="F77" s="22"/>
      <c r="G77" s="22"/>
      <c r="H77" s="22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96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9"/>
      <c r="AI77" s="19"/>
      <c r="AJ77" s="19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86">
        <f t="shared" si="1"/>
        <v>0</v>
      </c>
    </row>
    <row r="78" hidden="1" customHeight="1" spans="1:66">
      <c r="A78" s="16" t="s">
        <v>781</v>
      </c>
      <c r="B78" s="21" t="s">
        <v>714</v>
      </c>
      <c r="C78" s="22"/>
      <c r="D78" s="22"/>
      <c r="E78" s="22"/>
      <c r="F78" s="22"/>
      <c r="G78" s="22"/>
      <c r="H78" s="22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96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9"/>
      <c r="AI78" s="19"/>
      <c r="AJ78" s="19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86">
        <f t="shared" si="1"/>
        <v>0</v>
      </c>
    </row>
    <row r="79" customHeight="1" spans="1:66">
      <c r="A79" s="16" t="s">
        <v>126</v>
      </c>
      <c r="B79" s="21" t="s">
        <v>789</v>
      </c>
      <c r="C79" s="22"/>
      <c r="D79" s="22"/>
      <c r="E79" s="22"/>
      <c r="F79" s="22"/>
      <c r="G79" s="22"/>
      <c r="H79" s="22"/>
      <c r="I79" s="18"/>
      <c r="J79" s="18"/>
      <c r="K79" s="18"/>
      <c r="L79" s="18">
        <v>6000</v>
      </c>
      <c r="M79" s="18"/>
      <c r="N79" s="18"/>
      <c r="O79" s="18"/>
      <c r="P79" s="18"/>
      <c r="Q79" s="18"/>
      <c r="R79" s="18"/>
      <c r="S79" s="18"/>
      <c r="T79" s="18"/>
      <c r="U79" s="18"/>
      <c r="V79" s="96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9"/>
      <c r="AI79" s="19"/>
      <c r="AJ79" s="19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99">
        <f t="shared" si="1"/>
        <v>6000</v>
      </c>
    </row>
    <row r="80" hidden="1" customHeight="1" spans="1:66">
      <c r="A80" s="16" t="s">
        <v>181</v>
      </c>
      <c r="B80" s="21" t="s">
        <v>716</v>
      </c>
      <c r="C80" s="22"/>
      <c r="D80" s="22"/>
      <c r="E80" s="22"/>
      <c r="F80" s="22"/>
      <c r="G80" s="22"/>
      <c r="H80" s="22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96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9"/>
      <c r="AI80" s="19"/>
      <c r="AJ80" s="19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86">
        <f t="shared" si="1"/>
        <v>0</v>
      </c>
    </row>
    <row r="81" hidden="1" customHeight="1" spans="1:67">
      <c r="A81" s="16" t="s">
        <v>222</v>
      </c>
      <c r="B81" s="21" t="s">
        <v>718</v>
      </c>
      <c r="C81" s="22"/>
      <c r="D81" s="22"/>
      <c r="E81" s="22"/>
      <c r="F81" s="22"/>
      <c r="G81" s="22"/>
      <c r="H81" s="22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96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9"/>
      <c r="AI81" s="19"/>
      <c r="AJ81" s="19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86">
        <f t="shared" si="1"/>
        <v>0</v>
      </c>
    </row>
    <row r="82" hidden="1" customHeight="1" spans="1:67">
      <c r="A82" s="16" t="s">
        <v>785</v>
      </c>
      <c r="B82" s="17" t="s">
        <v>786</v>
      </c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96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9"/>
      <c r="AI82" s="19"/>
      <c r="AJ82" s="19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86">
        <f t="shared" si="1"/>
        <v>0</v>
      </c>
    </row>
    <row r="83" hidden="1" customHeight="1" spans="1:67">
      <c r="A83" s="16" t="s">
        <v>719</v>
      </c>
      <c r="B83" s="17" t="s">
        <v>720</v>
      </c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96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9"/>
      <c r="AI83" s="19"/>
      <c r="AJ83" s="19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86" t="s">
        <v>790</v>
      </c>
    </row>
    <row r="84" customHeight="1" spans="1:67">
      <c r="A84" s="16" t="s">
        <v>206</v>
      </c>
      <c r="B84" s="17" t="s">
        <v>721</v>
      </c>
      <c r="C84" s="18"/>
      <c r="D84" s="18"/>
      <c r="E84" s="18"/>
      <c r="F84" s="18"/>
      <c r="G84" s="18">
        <v>15000</v>
      </c>
      <c r="H84" s="18"/>
      <c r="I84" s="18"/>
      <c r="J84" s="18"/>
      <c r="K84" s="18"/>
      <c r="L84" s="18" t="s">
        <v>791</v>
      </c>
      <c r="M84" s="18"/>
      <c r="N84" s="18"/>
      <c r="O84" s="18"/>
      <c r="P84" s="18"/>
      <c r="Q84" s="18"/>
      <c r="R84" s="18"/>
      <c r="S84" s="18"/>
      <c r="T84" s="18"/>
      <c r="U84" s="18"/>
      <c r="V84" s="96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9"/>
      <c r="AI84" s="19"/>
      <c r="AJ84" s="19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99" t="s">
        <v>792</v>
      </c>
    </row>
    <row r="85" customHeight="1" spans="1:67">
      <c r="A85" s="16" t="s">
        <v>202</v>
      </c>
      <c r="B85" s="17" t="s">
        <v>722</v>
      </c>
      <c r="C85" s="18"/>
      <c r="D85" s="18"/>
      <c r="E85" s="18"/>
      <c r="F85" s="18"/>
      <c r="G85" s="18"/>
      <c r="H85" s="18"/>
      <c r="I85" s="18"/>
      <c r="J85" s="18"/>
      <c r="K85" s="18"/>
      <c r="L85" s="18">
        <v>10000</v>
      </c>
      <c r="M85" s="18"/>
      <c r="N85" s="18"/>
      <c r="O85" s="18"/>
      <c r="P85" s="18"/>
      <c r="Q85" s="18"/>
      <c r="R85" s="18"/>
      <c r="S85" s="18"/>
      <c r="T85" s="18"/>
      <c r="U85" s="18"/>
      <c r="V85" s="96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9"/>
      <c r="AI85" s="19"/>
      <c r="AJ85" s="19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99">
        <f t="shared" si="1"/>
        <v>10000</v>
      </c>
    </row>
    <row r="86" customHeight="1" spans="1:67">
      <c r="A86" s="16" t="s">
        <v>208</v>
      </c>
      <c r="B86" s="17"/>
      <c r="C86" s="18"/>
      <c r="D86" s="18"/>
      <c r="E86" s="18"/>
      <c r="F86" s="18"/>
      <c r="G86" s="18"/>
      <c r="H86" s="18"/>
      <c r="I86" s="18"/>
      <c r="J86" s="18"/>
      <c r="K86" s="18"/>
      <c r="L86" s="18">
        <v>6000</v>
      </c>
      <c r="M86" s="18"/>
      <c r="N86" s="18"/>
      <c r="O86" s="18"/>
      <c r="P86" s="18"/>
      <c r="Q86" s="18"/>
      <c r="R86" s="18"/>
      <c r="S86" s="18"/>
      <c r="T86" s="18"/>
      <c r="U86" s="18"/>
      <c r="V86" s="96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9"/>
      <c r="AI86" s="19"/>
      <c r="AJ86" s="19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99">
        <f t="shared" si="1"/>
        <v>6000</v>
      </c>
    </row>
    <row r="87" customHeight="1" spans="1:67">
      <c r="A87" s="16" t="s">
        <v>157</v>
      </c>
      <c r="B87" s="17" t="s">
        <v>725</v>
      </c>
      <c r="C87" s="18"/>
      <c r="D87" s="18"/>
      <c r="E87" s="18"/>
      <c r="F87" s="18"/>
      <c r="G87" s="18"/>
      <c r="H87" s="18"/>
      <c r="I87" s="18">
        <v>10000</v>
      </c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96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9"/>
      <c r="AI87" s="19"/>
      <c r="AJ87" s="19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99">
        <f t="shared" si="1"/>
        <v>10000</v>
      </c>
    </row>
    <row r="88" customHeight="1" spans="1:67">
      <c r="A88" s="16" t="s">
        <v>210</v>
      </c>
      <c r="B88" s="17"/>
      <c r="C88" s="18"/>
      <c r="D88" s="18"/>
      <c r="E88" s="18"/>
      <c r="F88" s="18"/>
      <c r="G88" s="18"/>
      <c r="H88" s="18"/>
      <c r="I88" s="18"/>
      <c r="J88" s="18"/>
      <c r="K88" s="18"/>
      <c r="L88" s="18">
        <v>8000</v>
      </c>
      <c r="M88" s="18"/>
      <c r="N88" s="18"/>
      <c r="O88" s="18"/>
      <c r="P88" s="18"/>
      <c r="Q88" s="18"/>
      <c r="R88" s="18"/>
      <c r="S88" s="18"/>
      <c r="T88" s="18"/>
      <c r="U88" s="18"/>
      <c r="V88" s="96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9"/>
      <c r="AI88" s="19"/>
      <c r="AJ88" s="19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99">
        <f t="shared" si="1"/>
        <v>8000</v>
      </c>
    </row>
    <row r="89" customHeight="1" spans="1:67">
      <c r="A89" s="16" t="s">
        <v>49</v>
      </c>
      <c r="B89" s="17" t="s">
        <v>730</v>
      </c>
      <c r="C89" s="18"/>
      <c r="D89" s="18"/>
      <c r="E89" s="18"/>
      <c r="F89" s="18"/>
      <c r="G89" s="18">
        <v>48000</v>
      </c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96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9"/>
      <c r="AI89" s="19"/>
      <c r="AJ89" s="19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99">
        <f t="shared" si="1"/>
        <v>48000</v>
      </c>
      <c r="BO89" s="3"/>
    </row>
    <row r="90" customHeight="1" spans="1:67">
      <c r="A90" s="16" t="s">
        <v>112</v>
      </c>
      <c r="B90" s="17" t="s">
        <v>731</v>
      </c>
      <c r="C90" s="19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96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9"/>
      <c r="AI90" s="19"/>
      <c r="AJ90" s="19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23"/>
      <c r="BF90" s="23"/>
      <c r="BG90" s="18"/>
      <c r="BH90" s="18"/>
      <c r="BI90" s="18"/>
      <c r="BJ90" s="18"/>
      <c r="BK90" s="19"/>
      <c r="BL90" s="18"/>
      <c r="BM90" s="18"/>
      <c r="BN90" s="86">
        <f t="shared" si="1"/>
        <v>0</v>
      </c>
    </row>
    <row r="91" customHeight="1" spans="1:67">
      <c r="A91" s="16" t="s">
        <v>184</v>
      </c>
      <c r="B91" s="76" t="s">
        <v>732</v>
      </c>
      <c r="C91" s="19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96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9"/>
      <c r="AI91" s="19"/>
      <c r="AJ91" s="19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23"/>
      <c r="BF91" s="23"/>
      <c r="BG91" s="18"/>
      <c r="BH91" s="18"/>
      <c r="BI91" s="18"/>
      <c r="BJ91" s="18"/>
      <c r="BK91" s="19"/>
      <c r="BL91" s="18"/>
      <c r="BM91" s="18"/>
      <c r="BN91" s="86">
        <f t="shared" si="1"/>
        <v>0</v>
      </c>
    </row>
    <row r="92" customHeight="1" spans="1:67">
      <c r="A92" s="16" t="s">
        <v>45</v>
      </c>
      <c r="B92" s="100" t="s">
        <v>736</v>
      </c>
      <c r="C92" s="19"/>
      <c r="D92" s="18"/>
      <c r="E92" s="18"/>
      <c r="F92" s="18"/>
      <c r="G92" s="18"/>
      <c r="H92" s="18"/>
      <c r="I92" s="18"/>
      <c r="J92" s="18"/>
      <c r="K92" s="18"/>
      <c r="L92" s="18">
        <v>2880</v>
      </c>
      <c r="M92" s="18"/>
      <c r="N92" s="18"/>
      <c r="O92" s="18"/>
      <c r="P92" s="18"/>
      <c r="Q92" s="18"/>
      <c r="R92" s="18"/>
      <c r="S92" s="18"/>
      <c r="T92" s="18"/>
      <c r="U92" s="18"/>
      <c r="V92" s="96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9"/>
      <c r="AI92" s="19"/>
      <c r="AJ92" s="19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23"/>
      <c r="BF92" s="23"/>
      <c r="BG92" s="18"/>
      <c r="BH92" s="18"/>
      <c r="BI92" s="18"/>
      <c r="BJ92" s="18"/>
      <c r="BK92" s="19"/>
      <c r="BL92" s="18"/>
      <c r="BM92" s="18"/>
      <c r="BN92" s="99">
        <f t="shared" si="1"/>
        <v>2880</v>
      </c>
    </row>
    <row r="93" customHeight="1" spans="1:67">
      <c r="A93" s="16" t="s">
        <v>71</v>
      </c>
      <c r="B93" s="100" t="s">
        <v>738</v>
      </c>
      <c r="C93" s="19"/>
      <c r="D93" s="18"/>
      <c r="E93" s="18"/>
      <c r="F93" s="18"/>
      <c r="G93" s="18"/>
      <c r="H93" s="18"/>
      <c r="I93" s="18"/>
      <c r="J93" s="18"/>
      <c r="K93" s="18"/>
      <c r="L93" s="18">
        <v>9600</v>
      </c>
      <c r="M93" s="18"/>
      <c r="N93" s="18"/>
      <c r="O93" s="18"/>
      <c r="P93" s="18"/>
      <c r="Q93" s="18"/>
      <c r="R93" s="18"/>
      <c r="S93" s="18"/>
      <c r="T93" s="18"/>
      <c r="U93" s="18"/>
      <c r="V93" s="96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9"/>
      <c r="AI93" s="19"/>
      <c r="AJ93" s="19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23"/>
      <c r="BF93" s="23"/>
      <c r="BG93" s="18"/>
      <c r="BH93" s="18"/>
      <c r="BI93" s="18"/>
      <c r="BJ93" s="18"/>
      <c r="BK93" s="19"/>
      <c r="BL93" s="18"/>
      <c r="BM93" s="18"/>
      <c r="BN93" s="99">
        <f t="shared" si="1"/>
        <v>9600</v>
      </c>
    </row>
    <row r="94" customHeight="1" spans="1:67">
      <c r="A94" s="16" t="s">
        <v>167</v>
      </c>
      <c r="B94" s="76" t="s">
        <v>723</v>
      </c>
      <c r="C94" s="19"/>
      <c r="D94" s="18"/>
      <c r="E94" s="18"/>
      <c r="F94" s="18"/>
      <c r="G94" s="18"/>
      <c r="H94" s="18"/>
      <c r="I94" s="18"/>
      <c r="J94" s="18"/>
      <c r="K94" s="18"/>
      <c r="L94" s="18">
        <v>11500</v>
      </c>
      <c r="M94" s="18"/>
      <c r="N94" s="18"/>
      <c r="O94" s="18"/>
      <c r="P94" s="18"/>
      <c r="Q94" s="18"/>
      <c r="R94" s="18"/>
      <c r="S94" s="18"/>
      <c r="T94" s="18"/>
      <c r="U94" s="18"/>
      <c r="V94" s="96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9"/>
      <c r="AI94" s="19"/>
      <c r="AJ94" s="19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23"/>
      <c r="BF94" s="23"/>
      <c r="BG94" s="18"/>
      <c r="BH94" s="18"/>
      <c r="BI94" s="18"/>
      <c r="BJ94" s="18"/>
      <c r="BK94" s="19"/>
      <c r="BL94" s="18"/>
      <c r="BM94" s="18"/>
      <c r="BN94" s="99">
        <f t="shared" si="1"/>
        <v>11500</v>
      </c>
    </row>
    <row r="95" customHeight="1" spans="1:67">
      <c r="A95" s="16" t="s">
        <v>129</v>
      </c>
      <c r="B95" s="76" t="s">
        <v>726</v>
      </c>
      <c r="C95" s="19"/>
      <c r="D95" s="18"/>
      <c r="E95" s="18"/>
      <c r="F95" s="18"/>
      <c r="G95" s="18"/>
      <c r="H95" s="18"/>
      <c r="I95" s="18"/>
      <c r="J95" s="18"/>
      <c r="K95" s="18"/>
      <c r="L95" s="18">
        <v>3000</v>
      </c>
      <c r="M95" s="18"/>
      <c r="N95" s="18"/>
      <c r="O95" s="18"/>
      <c r="P95" s="18"/>
      <c r="Q95" s="18"/>
      <c r="R95" s="18"/>
      <c r="S95" s="18"/>
      <c r="T95" s="18"/>
      <c r="U95" s="18"/>
      <c r="V95" s="96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9"/>
      <c r="AI95" s="19"/>
      <c r="AJ95" s="19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23"/>
      <c r="BF95" s="23"/>
      <c r="BG95" s="18"/>
      <c r="BH95" s="18"/>
      <c r="BI95" s="18"/>
      <c r="BJ95" s="18"/>
      <c r="BK95" s="19"/>
      <c r="BL95" s="18"/>
      <c r="BM95" s="18"/>
      <c r="BN95" s="99">
        <f t="shared" si="1"/>
        <v>3000</v>
      </c>
    </row>
    <row r="96" customHeight="1" spans="1:67">
      <c r="A96" s="16" t="s">
        <v>132</v>
      </c>
      <c r="B96" s="76" t="s">
        <v>727</v>
      </c>
      <c r="C96" s="19"/>
      <c r="D96" s="18"/>
      <c r="E96" s="18"/>
      <c r="F96" s="18"/>
      <c r="G96" s="18"/>
      <c r="H96" s="18"/>
      <c r="I96" s="18"/>
      <c r="J96" s="18"/>
      <c r="K96" s="18"/>
      <c r="L96" s="18">
        <v>3000</v>
      </c>
      <c r="M96" s="18"/>
      <c r="N96" s="18"/>
      <c r="O96" s="18"/>
      <c r="P96" s="18"/>
      <c r="Q96" s="18"/>
      <c r="R96" s="18"/>
      <c r="S96" s="18"/>
      <c r="T96" s="18"/>
      <c r="U96" s="18"/>
      <c r="V96" s="96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9"/>
      <c r="AI96" s="19"/>
      <c r="AJ96" s="19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23"/>
      <c r="BF96" s="23"/>
      <c r="BG96" s="18"/>
      <c r="BH96" s="18"/>
      <c r="BI96" s="18"/>
      <c r="BJ96" s="18"/>
      <c r="BK96" s="19"/>
      <c r="BL96" s="18"/>
      <c r="BM96" s="18"/>
      <c r="BN96" s="99">
        <f t="shared" si="1"/>
        <v>3000</v>
      </c>
    </row>
    <row r="97" customHeight="1" spans="1:68">
      <c r="A97" s="16" t="s">
        <v>169</v>
      </c>
      <c r="B97" s="17" t="s">
        <v>717</v>
      </c>
      <c r="C97" s="18"/>
      <c r="D97" s="18"/>
      <c r="E97" s="18"/>
      <c r="F97" s="18"/>
      <c r="G97" s="18"/>
      <c r="H97" s="18"/>
      <c r="I97" s="18"/>
      <c r="J97" s="18"/>
      <c r="K97" s="18"/>
      <c r="L97" s="18">
        <v>6000</v>
      </c>
      <c r="M97" s="18"/>
      <c r="N97" s="18"/>
      <c r="O97" s="18"/>
      <c r="P97" s="18"/>
      <c r="Q97" s="18"/>
      <c r="R97" s="18"/>
      <c r="S97" s="18"/>
      <c r="T97" s="18"/>
      <c r="U97" s="18"/>
      <c r="V97" s="96"/>
      <c r="W97" s="18"/>
      <c r="X97" s="18"/>
      <c r="Y97" s="18"/>
      <c r="Z97" s="18"/>
      <c r="AA97" s="18"/>
      <c r="AB97" s="18"/>
      <c r="AC97" s="18"/>
      <c r="AD97" s="18"/>
      <c r="AE97" s="24"/>
      <c r="AF97" s="24"/>
      <c r="AG97" s="24"/>
      <c r="AH97" s="19"/>
      <c r="AI97" s="19"/>
      <c r="AJ97" s="19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9"/>
      <c r="BL97" s="18"/>
      <c r="BM97" s="18"/>
      <c r="BN97" s="99">
        <f t="shared" si="1"/>
        <v>6000</v>
      </c>
    </row>
    <row r="98" customHeight="1" spans="1:68">
      <c r="A98" s="16" t="s">
        <v>171</v>
      </c>
      <c r="B98" s="17" t="s">
        <v>729</v>
      </c>
      <c r="C98" s="18"/>
      <c r="D98" s="18"/>
      <c r="E98" s="18">
        <v>4000</v>
      </c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96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9"/>
      <c r="AI98" s="19"/>
      <c r="AJ98" s="19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99">
        <f t="shared" si="1"/>
        <v>4000</v>
      </c>
    </row>
    <row r="99" hidden="1" customHeight="1" spans="1:68">
      <c r="A99" s="82" t="s">
        <v>769</v>
      </c>
      <c r="B99" s="33" t="s">
        <v>40</v>
      </c>
      <c r="C99" s="34"/>
      <c r="D99" s="34"/>
      <c r="E99" s="34"/>
      <c r="F99" s="34"/>
      <c r="G99" s="34"/>
      <c r="H99" s="34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98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6"/>
      <c r="AI99" s="36"/>
      <c r="AJ99" s="36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  <c r="BC99" s="35"/>
      <c r="BD99" s="35"/>
      <c r="BE99" s="35"/>
      <c r="BF99" s="35"/>
      <c r="BG99" s="35"/>
      <c r="BH99" s="35"/>
      <c r="BI99" s="35"/>
      <c r="BJ99" s="37"/>
      <c r="BK99" s="35"/>
      <c r="BL99" s="35"/>
      <c r="BM99" s="35"/>
      <c r="BN99" s="86">
        <f t="shared" si="1"/>
        <v>0</v>
      </c>
    </row>
    <row r="100" hidden="1" customHeight="1" spans="1:68">
      <c r="A100" s="82" t="s">
        <v>770</v>
      </c>
      <c r="B100" s="33" t="s">
        <v>42</v>
      </c>
      <c r="C100" s="34"/>
      <c r="D100" s="34"/>
      <c r="E100" s="34"/>
      <c r="F100" s="34"/>
      <c r="G100" s="34"/>
      <c r="H100" s="34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98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6"/>
      <c r="AI100" s="36"/>
      <c r="AJ100" s="36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35"/>
      <c r="BB100" s="35"/>
      <c r="BC100" s="35"/>
      <c r="BD100" s="35"/>
      <c r="BE100" s="35"/>
      <c r="BF100" s="35"/>
      <c r="BG100" s="35"/>
      <c r="BH100" s="35"/>
      <c r="BI100" s="35"/>
      <c r="BJ100" s="37"/>
      <c r="BK100" s="35"/>
      <c r="BL100" s="35"/>
      <c r="BM100" s="35"/>
      <c r="BN100" s="86">
        <f t="shared" si="1"/>
        <v>0</v>
      </c>
    </row>
    <row r="101" hidden="1" customHeight="1" spans="1:68">
      <c r="A101" s="82" t="s">
        <v>771</v>
      </c>
      <c r="B101" s="33" t="s">
        <v>735</v>
      </c>
      <c r="C101" s="34"/>
      <c r="D101" s="34"/>
      <c r="E101" s="34"/>
      <c r="F101" s="34"/>
      <c r="G101" s="34"/>
      <c r="H101" s="34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98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6"/>
      <c r="AI101" s="36"/>
      <c r="AJ101" s="36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  <c r="BC101" s="35"/>
      <c r="BD101" s="35"/>
      <c r="BE101" s="35"/>
      <c r="BF101" s="35"/>
      <c r="BG101" s="35"/>
      <c r="BH101" s="35"/>
      <c r="BI101" s="35"/>
      <c r="BJ101" s="35"/>
      <c r="BK101" s="35"/>
      <c r="BL101" s="35"/>
      <c r="BM101" s="35"/>
      <c r="BN101" s="86">
        <f t="shared" si="1"/>
        <v>0</v>
      </c>
      <c r="BP101" s="88"/>
    </row>
    <row r="102" hidden="1" customHeight="1" spans="1:68">
      <c r="A102" s="82" t="s">
        <v>772</v>
      </c>
      <c r="B102" s="33" t="s">
        <v>737</v>
      </c>
      <c r="C102" s="34"/>
      <c r="D102" s="34"/>
      <c r="E102" s="34"/>
      <c r="F102" s="34"/>
      <c r="G102" s="34"/>
      <c r="H102" s="34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98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6"/>
      <c r="AI102" s="36"/>
      <c r="AJ102" s="36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  <c r="BC102" s="35"/>
      <c r="BD102" s="35"/>
      <c r="BE102" s="35"/>
      <c r="BF102" s="35"/>
      <c r="BG102" s="35"/>
      <c r="BH102" s="35"/>
      <c r="BI102" s="35"/>
      <c r="BJ102" s="35"/>
      <c r="BK102" s="35"/>
      <c r="BL102" s="35"/>
      <c r="BM102" s="35"/>
      <c r="BN102" s="86">
        <f t="shared" si="1"/>
        <v>0</v>
      </c>
      <c r="BP102" s="88"/>
    </row>
    <row r="103" hidden="1" customHeight="1" spans="1:68">
      <c r="A103" s="82" t="s">
        <v>773</v>
      </c>
      <c r="B103" s="33" t="s">
        <v>734</v>
      </c>
      <c r="C103" s="34"/>
      <c r="D103" s="34"/>
      <c r="E103" s="34"/>
      <c r="F103" s="34"/>
      <c r="G103" s="34"/>
      <c r="H103" s="34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98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6"/>
      <c r="AI103" s="36"/>
      <c r="AJ103" s="36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  <c r="BC103" s="35"/>
      <c r="BD103" s="35"/>
      <c r="BE103" s="35"/>
      <c r="BF103" s="35"/>
      <c r="BG103" s="35"/>
      <c r="BH103" s="35"/>
      <c r="BI103" s="35"/>
      <c r="BJ103" s="35"/>
      <c r="BK103" s="35"/>
      <c r="BL103" s="35"/>
      <c r="BM103" s="35"/>
      <c r="BN103" s="86">
        <f t="shared" si="1"/>
        <v>0</v>
      </c>
      <c r="BP103" s="88"/>
    </row>
    <row r="104" hidden="1" customHeight="1" spans="1:68">
      <c r="A104" s="82" t="s">
        <v>774</v>
      </c>
      <c r="B104" s="33" t="s">
        <v>733</v>
      </c>
      <c r="C104" s="34"/>
      <c r="D104" s="34"/>
      <c r="E104" s="34"/>
      <c r="F104" s="34"/>
      <c r="G104" s="34"/>
      <c r="H104" s="34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98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6"/>
      <c r="AI104" s="36"/>
      <c r="AJ104" s="36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  <c r="BA104" s="35"/>
      <c r="BB104" s="35"/>
      <c r="BC104" s="35"/>
      <c r="BD104" s="35"/>
      <c r="BE104" s="35"/>
      <c r="BF104" s="35"/>
      <c r="BG104" s="35"/>
      <c r="BH104" s="35"/>
      <c r="BI104" s="35"/>
      <c r="BJ104" s="35"/>
      <c r="BK104" s="35"/>
      <c r="BL104" s="35"/>
      <c r="BM104" s="35"/>
      <c r="BN104" s="86">
        <f t="shared" si="1"/>
        <v>0</v>
      </c>
      <c r="BP104" s="88"/>
    </row>
    <row r="105" hidden="1" customHeight="1" spans="1:68">
      <c r="A105" s="82" t="s">
        <v>775</v>
      </c>
      <c r="B105" s="33" t="s">
        <v>738</v>
      </c>
      <c r="C105" s="34"/>
      <c r="D105" s="34"/>
      <c r="E105" s="34"/>
      <c r="F105" s="34"/>
      <c r="G105" s="34"/>
      <c r="H105" s="34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98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6"/>
      <c r="AI105" s="36"/>
      <c r="AJ105" s="36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  <c r="AZ105" s="35"/>
      <c r="BA105" s="35"/>
      <c r="BB105" s="35"/>
      <c r="BC105" s="35"/>
      <c r="BD105" s="35"/>
      <c r="BE105" s="35"/>
      <c r="BF105" s="35"/>
      <c r="BG105" s="35"/>
      <c r="BH105" s="35"/>
      <c r="BI105" s="35"/>
      <c r="BJ105" s="35"/>
      <c r="BK105" s="35"/>
      <c r="BL105" s="35"/>
      <c r="BM105" s="35"/>
      <c r="BN105" s="86">
        <f t="shared" si="1"/>
        <v>0</v>
      </c>
      <c r="BP105" s="88"/>
    </row>
    <row r="106" customHeight="1" spans="1:68">
      <c r="C106" s="39"/>
      <c r="D106" s="40"/>
      <c r="E106" s="40"/>
      <c r="F106" s="40"/>
      <c r="G106" s="40"/>
      <c r="H106" s="40"/>
      <c r="I106" s="3"/>
      <c r="J106" s="3"/>
      <c r="BN106" s="14"/>
    </row>
    <row r="107" s="3" customFormat="1" customHeight="1" spans="1:68">
      <c r="A107" s="1"/>
      <c r="B107" s="1"/>
      <c r="C107" s="40"/>
      <c r="D107" s="40"/>
      <c r="E107" s="40"/>
      <c r="F107" s="40"/>
      <c r="G107" s="40"/>
      <c r="H107" s="40"/>
      <c r="V107" s="91"/>
      <c r="AH107" s="41"/>
      <c r="AI107" s="41"/>
      <c r="AJ107" s="41"/>
      <c r="BO107"/>
      <c r="BP107"/>
    </row>
  </sheetData>
  <mergeCells count="1">
    <mergeCell ref="A1:BN1"/>
  </mergeCells>
  <pageMargins left="0.7" right="0.7" top="0.75" bottom="0.75" header="0.3" footer="0.3"/>
  <pageSetup paperSize="9" scale="65" orientation="portrait"/>
  <headerFooter/>
  <rowBreaks count="1" manualBreakCount="1">
    <brk id="98" max="40" man="1"/>
  </rowBreak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101"/>
  <sheetViews>
    <sheetView zoomScale="164" zoomScaleNormal="164" workbookViewId="0">
      <pane xSplit="2" ySplit="2" topLeftCell="C54" activePane="bottomRight" state="frozen"/>
      <selection/>
      <selection pane="topRight"/>
      <selection pane="bottomLeft"/>
      <selection pane="bottomRight" activeCell="BN80" sqref="BN80"/>
    </sheetView>
  </sheetViews>
  <sheetFormatPr defaultColWidth="9" defaultRowHeight="20" customHeight="1"/>
  <cols>
    <col min="1" max="1" width="14.3333333333333" style="1" customWidth="1"/>
    <col min="2" max="2" width="23.1666666666667" style="1" customWidth="1"/>
    <col min="3" max="7" width="7.5" style="1" customWidth="1"/>
    <col min="8" max="8" width="7.5" style="1" hidden="1" customWidth="1"/>
    <col min="9" max="10" width="8.33333333333333" hidden="1" customWidth="1"/>
    <col min="11" max="11" width="8.33333333333333" style="3" hidden="1" customWidth="1"/>
    <col min="12" max="12" width="7.5" style="3" hidden="1" customWidth="1"/>
    <col min="13" max="15" width="7" style="3" hidden="1" customWidth="1"/>
    <col min="16" max="16" width="7.83333333333333" style="3" hidden="1" customWidth="1"/>
    <col min="17" max="17" width="7.5" style="3" hidden="1" customWidth="1"/>
    <col min="18" max="18" width="7.16666666666667" style="3" hidden="1" customWidth="1"/>
    <col min="19" max="19" width="7.33333333333333" style="3" hidden="1" customWidth="1"/>
    <col min="20" max="20" width="7.83333333333333" style="3" hidden="1" customWidth="1"/>
    <col min="21" max="21" width="8.16666666666667" style="3" hidden="1" customWidth="1"/>
    <col min="22" max="22" width="7.66666666666667" style="91" hidden="1" customWidth="1"/>
    <col min="23" max="23" width="5.66666666666667" style="3" hidden="1" customWidth="1"/>
    <col min="24" max="24" width="7.66666666666667" style="3" hidden="1" customWidth="1"/>
    <col min="25" max="25" width="5.66666666666667" style="3" hidden="1" customWidth="1"/>
    <col min="26" max="26" width="6.66666666666667" style="3" hidden="1" customWidth="1"/>
    <col min="27" max="28" width="5.66666666666667" style="3" hidden="1" customWidth="1"/>
    <col min="29" max="30" width="7.33333333333333" style="3" hidden="1" customWidth="1"/>
    <col min="31" max="33" width="8.33333333333333" style="3" hidden="1" customWidth="1"/>
    <col min="34" max="36" width="7.66666666666667" style="41" hidden="1" customWidth="1"/>
    <col min="37" max="37" width="7.16666666666667" style="3" hidden="1" customWidth="1"/>
    <col min="38" max="38" width="6.83333333333333" style="3" hidden="1" customWidth="1"/>
    <col min="39" max="39" width="7.33333333333333" style="3" hidden="1" customWidth="1"/>
    <col min="40" max="40" width="7.66666666666667" style="3" hidden="1" customWidth="1"/>
    <col min="41" max="41" width="6.83333333333333" style="3" hidden="1" customWidth="1"/>
    <col min="42" max="42" width="8.5" style="3" hidden="1" customWidth="1"/>
    <col min="43" max="43" width="7.33333333333333" style="3" hidden="1" customWidth="1"/>
    <col min="44" max="44" width="8" style="3" hidden="1" customWidth="1"/>
    <col min="45" max="45" width="7.5" style="3" hidden="1" customWidth="1"/>
    <col min="46" max="50" width="5.66666666666667" style="3" hidden="1" customWidth="1"/>
    <col min="51" max="51" width="7.5" style="3" hidden="1" customWidth="1"/>
    <col min="52" max="52" width="5.66666666666667" style="3" hidden="1" customWidth="1"/>
    <col min="53" max="53" width="6.5" style="3" hidden="1" customWidth="1"/>
    <col min="54" max="61" width="5.66666666666667" style="3" hidden="1" customWidth="1"/>
    <col min="62" max="62" width="6.16666666666667" style="3" hidden="1" customWidth="1"/>
    <col min="63" max="65" width="5.66666666666667" style="3" hidden="1" customWidth="1"/>
    <col min="66" max="66" width="8" style="3" customWidth="1"/>
    <col min="68" max="68" width="17.1666666666667" customWidth="1"/>
  </cols>
  <sheetData>
    <row r="1" customHeight="1" spans="1:68">
      <c r="A1" s="4" t="s">
        <v>793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</row>
    <row r="2" customHeight="1" spans="1:68">
      <c r="A2" s="47" t="s">
        <v>596</v>
      </c>
      <c r="B2" s="48" t="s">
        <v>597</v>
      </c>
      <c r="C2" s="49">
        <v>44928</v>
      </c>
      <c r="D2" s="49">
        <v>44929</v>
      </c>
      <c r="E2" s="49">
        <v>44931</v>
      </c>
      <c r="F2" s="49">
        <v>44939</v>
      </c>
      <c r="G2" s="49">
        <v>44940</v>
      </c>
      <c r="H2" s="49"/>
      <c r="I2" s="50"/>
      <c r="J2" s="50"/>
      <c r="K2" s="50"/>
      <c r="L2" s="50"/>
      <c r="M2" s="50"/>
      <c r="N2" s="50"/>
      <c r="O2" s="50"/>
      <c r="P2" s="50"/>
      <c r="Q2" s="50"/>
      <c r="R2" s="89"/>
      <c r="S2" s="89"/>
      <c r="T2" s="89"/>
      <c r="U2" s="89"/>
      <c r="V2" s="84"/>
      <c r="W2" s="85"/>
      <c r="X2" s="85"/>
      <c r="Y2" s="85"/>
      <c r="Z2" s="85"/>
      <c r="AA2" s="85"/>
      <c r="AB2" s="85"/>
      <c r="AC2" s="85"/>
      <c r="AD2" s="51"/>
      <c r="AE2" s="51"/>
      <c r="AF2" s="51"/>
      <c r="AG2" s="51"/>
      <c r="AH2" s="52"/>
      <c r="AI2" s="52"/>
      <c r="AJ2" s="52"/>
      <c r="AK2" s="51"/>
      <c r="AL2" s="51"/>
      <c r="AM2" s="51"/>
      <c r="AN2" s="51"/>
      <c r="AO2" s="51"/>
      <c r="AP2" s="51"/>
      <c r="AQ2" s="51"/>
      <c r="AR2" s="51"/>
      <c r="AS2" s="51"/>
      <c r="AT2" s="51"/>
      <c r="AU2" s="51"/>
      <c r="AV2" s="51"/>
      <c r="AW2" s="51"/>
      <c r="AX2" s="51"/>
      <c r="AY2" s="51"/>
      <c r="AZ2" s="51"/>
      <c r="BA2" s="51"/>
      <c r="BB2" s="51"/>
      <c r="BC2" s="51"/>
      <c r="BD2" s="51"/>
      <c r="BE2" s="51"/>
      <c r="BF2" s="51"/>
      <c r="BG2" s="51"/>
      <c r="BH2" s="51"/>
      <c r="BI2" s="51"/>
      <c r="BJ2" s="51"/>
      <c r="BK2" s="51"/>
      <c r="BL2" s="51"/>
      <c r="BM2" s="51"/>
      <c r="BN2" s="53" t="s">
        <v>598</v>
      </c>
      <c r="BO2" s="25"/>
      <c r="BP2" s="25"/>
    </row>
    <row r="3" s="44" customFormat="1" hidden="1" customHeight="1" spans="1:68">
      <c r="A3" s="54" t="s">
        <v>192</v>
      </c>
      <c r="B3" s="55" t="s">
        <v>600</v>
      </c>
      <c r="C3" s="56"/>
      <c r="D3" s="56"/>
      <c r="E3" s="56"/>
      <c r="F3" s="56"/>
      <c r="G3" s="56"/>
      <c r="H3" s="56"/>
      <c r="I3" s="57"/>
      <c r="J3" s="57"/>
      <c r="K3" s="57"/>
      <c r="L3" s="57"/>
      <c r="M3" s="57"/>
      <c r="N3" s="57"/>
      <c r="O3" s="57"/>
      <c r="P3" s="57"/>
      <c r="Q3" s="58"/>
      <c r="R3" s="58"/>
      <c r="S3" s="58"/>
      <c r="T3" s="58"/>
      <c r="U3" s="58"/>
      <c r="V3" s="92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9"/>
      <c r="AI3" s="59"/>
      <c r="AJ3" s="59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58"/>
      <c r="BL3" s="58"/>
      <c r="BM3" s="58"/>
      <c r="BN3" s="86">
        <f>BM3+BL3+BK3+BJ3+BI3+BH3+BG3+BF3+BE3+BD3+BC3+BB3+BA3+AZ3+AY3+AX3+AW3+AV3+AU3+AT3+AS3+AR3+AQ3+AP3+AO3+AN3+AM3+AL3+AK3+AJ3+AI3+AH3+AG3+AF3+AE3+AD3+AC3+AB3+AA3+Z3+Y3+X3+W3+V3+U3+T3+S3+R3+Q3+P3+O3+N3+M3+L3+K3+J3+I3+H3+G3+F3+E3+D3+C3</f>
        <v>0</v>
      </c>
    </row>
    <row r="4" s="44" customFormat="1" hidden="1" customHeight="1" spans="1:68">
      <c r="A4" s="54" t="s">
        <v>134</v>
      </c>
      <c r="B4" s="55" t="s">
        <v>601</v>
      </c>
      <c r="C4" s="56"/>
      <c r="D4" s="56"/>
      <c r="E4" s="56"/>
      <c r="F4" s="56"/>
      <c r="G4" s="56"/>
      <c r="H4" s="56"/>
      <c r="I4" s="57"/>
      <c r="J4" s="57"/>
      <c r="K4" s="57"/>
      <c r="L4" s="57"/>
      <c r="M4" s="57"/>
      <c r="N4" s="57"/>
      <c r="O4" s="57"/>
      <c r="P4" s="57"/>
      <c r="Q4" s="58"/>
      <c r="R4" s="58"/>
      <c r="S4" s="58"/>
      <c r="T4" s="58"/>
      <c r="U4" s="58"/>
      <c r="V4" s="92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9"/>
      <c r="AI4" s="59"/>
      <c r="AJ4" s="59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8"/>
      <c r="BK4" s="58"/>
      <c r="BL4" s="58"/>
      <c r="BM4" s="58"/>
      <c r="BN4" s="86">
        <f t="shared" ref="BN4:BN70" si="0">BM4+BL4+BK4+BJ4+BI4+BH4+BG4+BF4+BE4+BD4+BC4+BB4+BA4+AZ4+AY4+AX4+AW4+AV4+AU4+AT4+AS4+AR4+AQ4+AP4+AO4+AN4+AM4+AL4+AK4+AJ4+AI4+AH4+AG4+AF4+AE4+AD4+AC4+AB4+AA4+Z4+Y4+X4+W4+V4+U4+T4+S4+R4+Q4+P4+O4+N4+M4+L4+K4+J4+I4+H4+G4+F4+E4+D4+C4</f>
        <v>0</v>
      </c>
    </row>
    <row r="5" s="44" customFormat="1" hidden="1" customHeight="1" spans="1:68">
      <c r="A5" s="54" t="s">
        <v>604</v>
      </c>
      <c r="B5" s="55" t="s">
        <v>605</v>
      </c>
      <c r="C5" s="56"/>
      <c r="D5" s="56"/>
      <c r="E5" s="56"/>
      <c r="F5" s="56"/>
      <c r="G5" s="56"/>
      <c r="H5" s="56"/>
      <c r="I5" s="57"/>
      <c r="J5" s="57"/>
      <c r="K5" s="57"/>
      <c r="L5" s="57"/>
      <c r="M5" s="57"/>
      <c r="N5" s="57"/>
      <c r="O5" s="57"/>
      <c r="P5" s="57"/>
      <c r="Q5" s="58"/>
      <c r="R5" s="58"/>
      <c r="S5" s="58"/>
      <c r="T5" s="58"/>
      <c r="U5" s="58"/>
      <c r="V5" s="92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9"/>
      <c r="AI5" s="59"/>
      <c r="AJ5" s="59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8"/>
      <c r="BF5" s="58"/>
      <c r="BG5" s="58"/>
      <c r="BH5" s="58"/>
      <c r="BI5" s="58"/>
      <c r="BJ5" s="58"/>
      <c r="BK5" s="58"/>
      <c r="BL5" s="58"/>
      <c r="BM5" s="58"/>
      <c r="BN5" s="86">
        <f t="shared" si="0"/>
        <v>0</v>
      </c>
    </row>
    <row r="6" s="44" customFormat="1" customHeight="1" spans="1:68">
      <c r="A6" s="54" t="s">
        <v>67</v>
      </c>
      <c r="B6" s="55" t="s">
        <v>606</v>
      </c>
      <c r="C6" s="56" t="s">
        <v>752</v>
      </c>
      <c r="D6" s="56"/>
      <c r="E6" s="56"/>
      <c r="F6" s="56"/>
      <c r="G6" s="56"/>
      <c r="H6" s="56"/>
      <c r="I6" s="57"/>
      <c r="J6" s="57"/>
      <c r="K6" s="57"/>
      <c r="L6" s="57"/>
      <c r="M6" s="57"/>
      <c r="N6" s="57"/>
      <c r="O6" s="57"/>
      <c r="P6" s="57"/>
      <c r="Q6" s="58"/>
      <c r="R6" s="58"/>
      <c r="S6" s="58"/>
      <c r="T6" s="58"/>
      <c r="U6" s="58"/>
      <c r="V6" s="92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9"/>
      <c r="AI6" s="59"/>
      <c r="AJ6" s="59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58"/>
      <c r="BL6" s="58"/>
      <c r="BM6" s="58"/>
      <c r="BN6" s="86">
        <f t="shared" si="0"/>
        <v>200</v>
      </c>
    </row>
    <row r="7" s="44" customFormat="1" customHeight="1" spans="1:68">
      <c r="A7" s="54" t="s">
        <v>59</v>
      </c>
      <c r="B7" s="55" t="s">
        <v>609</v>
      </c>
      <c r="C7" s="56"/>
      <c r="D7" s="56"/>
      <c r="E7" s="56"/>
      <c r="F7" s="56" t="s">
        <v>760</v>
      </c>
      <c r="G7" s="56"/>
      <c r="H7" s="56"/>
      <c r="I7" s="57"/>
      <c r="J7" s="57"/>
      <c r="K7" s="57"/>
      <c r="L7" s="57"/>
      <c r="M7" s="57"/>
      <c r="N7" s="57"/>
      <c r="O7" s="57"/>
      <c r="P7" s="57"/>
      <c r="Q7" s="58"/>
      <c r="R7" s="58"/>
      <c r="S7" s="58"/>
      <c r="T7" s="58"/>
      <c r="U7" s="58"/>
      <c r="V7" s="92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9"/>
      <c r="AI7" s="59"/>
      <c r="AJ7" s="59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58"/>
      <c r="BJ7" s="58"/>
      <c r="BK7" s="58"/>
      <c r="BL7" s="58"/>
      <c r="BM7" s="58"/>
      <c r="BN7" s="86">
        <f t="shared" si="0"/>
        <v>3200</v>
      </c>
    </row>
    <row r="8" s="44" customFormat="1" hidden="1" customHeight="1" spans="1:68">
      <c r="A8" s="54" t="s">
        <v>612</v>
      </c>
      <c r="B8" s="55" t="s">
        <v>613</v>
      </c>
      <c r="C8" s="56"/>
      <c r="D8" s="56"/>
      <c r="E8" s="56"/>
      <c r="F8" s="56"/>
      <c r="G8" s="56"/>
      <c r="H8" s="56"/>
      <c r="I8" s="57"/>
      <c r="J8" s="57"/>
      <c r="K8" s="57"/>
      <c r="L8" s="57"/>
      <c r="M8" s="57"/>
      <c r="N8" s="57"/>
      <c r="O8" s="57"/>
      <c r="P8" s="57"/>
      <c r="Q8" s="58"/>
      <c r="R8" s="58"/>
      <c r="S8" s="58"/>
      <c r="T8" s="58"/>
      <c r="U8" s="58"/>
      <c r="V8" s="92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9"/>
      <c r="AI8" s="59"/>
      <c r="AJ8" s="59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58"/>
      <c r="BF8" s="58"/>
      <c r="BG8" s="58"/>
      <c r="BH8" s="58"/>
      <c r="BI8" s="58"/>
      <c r="BJ8" s="58"/>
      <c r="BK8" s="58"/>
      <c r="BL8" s="58"/>
      <c r="BM8" s="58"/>
      <c r="BN8" s="86">
        <f t="shared" si="0"/>
        <v>0</v>
      </c>
    </row>
    <row r="9" s="44" customFormat="1" customHeight="1" spans="1:68">
      <c r="A9" s="54" t="s">
        <v>68</v>
      </c>
      <c r="B9" s="55" t="s">
        <v>614</v>
      </c>
      <c r="C9" s="56"/>
      <c r="D9" s="56"/>
      <c r="E9" s="56"/>
      <c r="F9" s="56"/>
      <c r="G9" s="56" t="s">
        <v>752</v>
      </c>
      <c r="H9" s="56"/>
      <c r="I9" s="57"/>
      <c r="J9" s="57"/>
      <c r="K9" s="57"/>
      <c r="L9" s="57"/>
      <c r="M9" s="57"/>
      <c r="N9" s="57"/>
      <c r="O9" s="57"/>
      <c r="P9" s="57"/>
      <c r="Q9" s="58"/>
      <c r="R9" s="58"/>
      <c r="S9" s="58"/>
      <c r="T9" s="58"/>
      <c r="U9" s="58"/>
      <c r="V9" s="92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9"/>
      <c r="AI9" s="59"/>
      <c r="AJ9" s="59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58"/>
      <c r="BI9" s="58"/>
      <c r="BJ9" s="58"/>
      <c r="BK9" s="58"/>
      <c r="BL9" s="58"/>
      <c r="BM9" s="58"/>
      <c r="BN9" s="86">
        <f t="shared" si="0"/>
        <v>200</v>
      </c>
    </row>
    <row r="10" s="44" customFormat="1" hidden="1" customHeight="1" spans="1:68">
      <c r="A10" s="54" t="s">
        <v>616</v>
      </c>
      <c r="B10" s="55" t="s">
        <v>617</v>
      </c>
      <c r="C10" s="56"/>
      <c r="D10" s="56"/>
      <c r="E10" s="56"/>
      <c r="F10" s="56"/>
      <c r="G10" s="56"/>
      <c r="H10" s="56"/>
      <c r="I10" s="57"/>
      <c r="J10" s="57"/>
      <c r="K10" s="57"/>
      <c r="L10" s="57"/>
      <c r="M10" s="57"/>
      <c r="N10" s="57"/>
      <c r="O10" s="57"/>
      <c r="P10" s="57"/>
      <c r="Q10" s="58"/>
      <c r="R10" s="58"/>
      <c r="S10" s="58"/>
      <c r="T10" s="58"/>
      <c r="U10" s="58"/>
      <c r="V10" s="92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9"/>
      <c r="AI10" s="59"/>
      <c r="AJ10" s="59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86">
        <f t="shared" si="0"/>
        <v>0</v>
      </c>
    </row>
    <row r="11" s="45" customFormat="1" customHeight="1" spans="1:68">
      <c r="A11" s="54" t="s">
        <v>190</v>
      </c>
      <c r="B11" s="55" t="s">
        <v>759</v>
      </c>
      <c r="C11" s="56" t="s">
        <v>761</v>
      </c>
      <c r="D11" s="56"/>
      <c r="E11" s="56"/>
      <c r="F11" s="56"/>
      <c r="G11" s="56"/>
      <c r="H11" s="56"/>
      <c r="I11" s="57"/>
      <c r="J11" s="57"/>
      <c r="K11" s="57"/>
      <c r="L11" s="57"/>
      <c r="M11" s="57"/>
      <c r="N11" s="57"/>
      <c r="O11" s="57"/>
      <c r="P11" s="57"/>
      <c r="Q11" s="58"/>
      <c r="R11" s="58"/>
      <c r="S11" s="58"/>
      <c r="T11" s="58"/>
      <c r="U11" s="58"/>
      <c r="V11" s="92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9"/>
      <c r="AI11" s="59"/>
      <c r="AJ11" s="59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86">
        <f t="shared" si="0"/>
        <v>150</v>
      </c>
    </row>
    <row r="12" s="46" customFormat="1" hidden="1" customHeight="1" spans="1:68">
      <c r="A12" s="61" t="s">
        <v>224</v>
      </c>
      <c r="B12" s="62" t="s">
        <v>620</v>
      </c>
      <c r="C12" s="62"/>
      <c r="D12" s="62"/>
      <c r="E12" s="62"/>
      <c r="F12" s="62"/>
      <c r="G12" s="62"/>
      <c r="H12" s="62"/>
      <c r="I12" s="63"/>
      <c r="J12" s="63"/>
      <c r="K12" s="63"/>
      <c r="L12" s="63"/>
      <c r="M12" s="63"/>
      <c r="N12" s="63"/>
      <c r="O12" s="63"/>
      <c r="P12" s="63"/>
      <c r="Q12" s="64"/>
      <c r="R12" s="64"/>
      <c r="S12" s="64"/>
      <c r="T12" s="64"/>
      <c r="U12" s="64"/>
      <c r="V12" s="93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5"/>
      <c r="AI12" s="65"/>
      <c r="AJ12" s="65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4"/>
      <c r="BF12" s="64"/>
      <c r="BG12" s="64"/>
      <c r="BH12" s="64"/>
      <c r="BI12" s="64"/>
      <c r="BJ12" s="64"/>
      <c r="BK12" s="64"/>
      <c r="BL12" s="64"/>
      <c r="BM12" s="64"/>
      <c r="BN12" s="86">
        <f t="shared" si="0"/>
        <v>0</v>
      </c>
    </row>
    <row r="13" s="46" customFormat="1" hidden="1" customHeight="1" spans="1:68">
      <c r="A13" s="61" t="s">
        <v>204</v>
      </c>
      <c r="B13" s="77"/>
      <c r="C13" s="77"/>
      <c r="D13" s="77"/>
      <c r="E13" s="77"/>
      <c r="F13" s="77"/>
      <c r="G13" s="77"/>
      <c r="H13" s="77"/>
      <c r="I13" s="78"/>
      <c r="J13" s="78"/>
      <c r="K13" s="78"/>
      <c r="L13" s="78"/>
      <c r="M13" s="78"/>
      <c r="N13" s="78"/>
      <c r="O13" s="78"/>
      <c r="P13" s="78"/>
      <c r="Q13" s="79"/>
      <c r="R13" s="79"/>
      <c r="S13" s="79"/>
      <c r="T13" s="79"/>
      <c r="U13" s="79"/>
      <c r="V13" s="94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80"/>
      <c r="AI13" s="80"/>
      <c r="AJ13" s="80"/>
      <c r="AK13" s="79"/>
      <c r="AL13" s="79"/>
      <c r="AM13" s="79"/>
      <c r="AN13" s="79"/>
      <c r="AO13" s="79"/>
      <c r="AP13" s="79"/>
      <c r="AQ13" s="79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79"/>
      <c r="BF13" s="79"/>
      <c r="BG13" s="79"/>
      <c r="BH13" s="79"/>
      <c r="BI13" s="79"/>
      <c r="BJ13" s="79"/>
      <c r="BK13" s="79"/>
      <c r="BL13" s="79"/>
      <c r="BM13" s="79"/>
      <c r="BN13" s="86">
        <f t="shared" si="0"/>
        <v>0</v>
      </c>
    </row>
    <row r="14" s="46" customFormat="1" hidden="1" customHeight="1" spans="1:68">
      <c r="A14" s="61" t="s">
        <v>623</v>
      </c>
      <c r="B14" s="77" t="s">
        <v>624</v>
      </c>
      <c r="C14" s="77"/>
      <c r="D14" s="77"/>
      <c r="E14" s="77"/>
      <c r="F14" s="77"/>
      <c r="G14" s="77"/>
      <c r="H14" s="77"/>
      <c r="I14" s="78"/>
      <c r="J14" s="78"/>
      <c r="K14" s="78"/>
      <c r="L14" s="78"/>
      <c r="M14" s="78"/>
      <c r="N14" s="78"/>
      <c r="O14" s="78"/>
      <c r="P14" s="78"/>
      <c r="Q14" s="79"/>
      <c r="R14" s="79"/>
      <c r="S14" s="79"/>
      <c r="T14" s="79"/>
      <c r="U14" s="79"/>
      <c r="V14" s="94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80"/>
      <c r="AI14" s="80"/>
      <c r="AJ14" s="80"/>
      <c r="AK14" s="79"/>
      <c r="AL14" s="79"/>
      <c r="AM14" s="79"/>
      <c r="AN14" s="79"/>
      <c r="AO14" s="79"/>
      <c r="AP14" s="79"/>
      <c r="AQ14" s="79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79"/>
      <c r="BF14" s="79"/>
      <c r="BG14" s="79"/>
      <c r="BH14" s="79"/>
      <c r="BI14" s="79"/>
      <c r="BJ14" s="79"/>
      <c r="BK14" s="79"/>
      <c r="BL14" s="79"/>
      <c r="BM14" s="79"/>
      <c r="BN14" s="86">
        <f t="shared" si="0"/>
        <v>0</v>
      </c>
    </row>
    <row r="15" s="46" customFormat="1" hidden="1" customHeight="1" spans="1:68">
      <c r="A15" s="61" t="s">
        <v>161</v>
      </c>
      <c r="B15" s="77"/>
      <c r="C15" s="77"/>
      <c r="D15" s="77"/>
      <c r="E15" s="77"/>
      <c r="F15" s="77"/>
      <c r="G15" s="77"/>
      <c r="H15" s="77"/>
      <c r="I15" s="78"/>
      <c r="J15" s="78"/>
      <c r="K15" s="78"/>
      <c r="L15" s="78"/>
      <c r="M15" s="78"/>
      <c r="N15" s="78"/>
      <c r="O15" s="78"/>
      <c r="P15" s="78"/>
      <c r="Q15" s="79"/>
      <c r="R15" s="79"/>
      <c r="S15" s="79"/>
      <c r="T15" s="79"/>
      <c r="U15" s="79"/>
      <c r="V15" s="94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80"/>
      <c r="AI15" s="80"/>
      <c r="AJ15" s="80"/>
      <c r="AK15" s="79"/>
      <c r="AL15" s="79"/>
      <c r="AM15" s="79"/>
      <c r="AN15" s="79"/>
      <c r="AO15" s="79"/>
      <c r="AP15" s="79"/>
      <c r="AQ15" s="79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79"/>
      <c r="BF15" s="79"/>
      <c r="BG15" s="79"/>
      <c r="BH15" s="79"/>
      <c r="BI15" s="79"/>
      <c r="BJ15" s="79"/>
      <c r="BK15" s="79"/>
      <c r="BL15" s="79"/>
      <c r="BM15" s="79"/>
      <c r="BN15" s="86">
        <f t="shared" si="0"/>
        <v>0</v>
      </c>
    </row>
    <row r="16" s="3" customFormat="1" hidden="1" customHeight="1" spans="1:68">
      <c r="A16" s="66" t="s">
        <v>626</v>
      </c>
      <c r="B16" s="14" t="s">
        <v>627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95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5"/>
      <c r="AI16" s="15"/>
      <c r="AJ16" s="15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86">
        <f t="shared" si="0"/>
        <v>0</v>
      </c>
    </row>
    <row r="17" s="3" customFormat="1" hidden="1" customHeight="1" spans="1:66">
      <c r="A17" s="42" t="s">
        <v>114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96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9"/>
      <c r="AI17" s="19"/>
      <c r="AJ17" s="19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86">
        <f t="shared" si="0"/>
        <v>0</v>
      </c>
    </row>
    <row r="18" s="3" customFormat="1" hidden="1" customHeight="1" spans="1:66">
      <c r="A18" s="42" t="s">
        <v>106</v>
      </c>
      <c r="B18" s="18" t="s">
        <v>107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96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9"/>
      <c r="AI18" s="19"/>
      <c r="AJ18" s="19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86">
        <f t="shared" si="0"/>
        <v>0</v>
      </c>
    </row>
    <row r="19" s="3" customFormat="1" hidden="1" customHeight="1" spans="1:66">
      <c r="A19" s="42" t="s">
        <v>629</v>
      </c>
      <c r="B19" s="18" t="s">
        <v>630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96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9"/>
      <c r="AI19" s="19"/>
      <c r="AJ19" s="19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20"/>
      <c r="BK19" s="18"/>
      <c r="BL19" s="18"/>
      <c r="BM19" s="18"/>
      <c r="BN19" s="86">
        <f t="shared" si="0"/>
        <v>0</v>
      </c>
    </row>
    <row r="20" s="3" customFormat="1" hidden="1" customHeight="1" spans="1:66">
      <c r="A20" s="42" t="s">
        <v>18</v>
      </c>
      <c r="B20" s="18" t="s">
        <v>631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96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9"/>
      <c r="AI20" s="19"/>
      <c r="AJ20" s="19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20"/>
      <c r="BK20" s="18"/>
      <c r="BL20" s="18"/>
      <c r="BM20" s="18"/>
      <c r="BN20" s="86">
        <f t="shared" si="0"/>
        <v>0</v>
      </c>
    </row>
    <row r="21" hidden="1" customHeight="1" spans="1:66">
      <c r="A21" s="16" t="s">
        <v>33</v>
      </c>
      <c r="B21" s="17" t="s">
        <v>632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96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9"/>
      <c r="AI21" s="19"/>
      <c r="AJ21" s="19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20"/>
      <c r="BK21" s="18"/>
      <c r="BL21" s="18"/>
      <c r="BM21" s="18"/>
      <c r="BN21" s="86">
        <f t="shared" si="0"/>
        <v>0</v>
      </c>
    </row>
    <row r="22" customHeight="1" spans="1:66">
      <c r="A22" s="16" t="s">
        <v>69</v>
      </c>
      <c r="B22" s="17" t="s">
        <v>633</v>
      </c>
      <c r="C22" s="18"/>
      <c r="D22" s="18"/>
      <c r="E22" s="18"/>
      <c r="F22" s="18"/>
      <c r="G22" s="18">
        <v>3000</v>
      </c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96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9"/>
      <c r="AI22" s="19"/>
      <c r="AJ22" s="19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20"/>
      <c r="BK22" s="18"/>
      <c r="BL22" s="18"/>
      <c r="BM22" s="18"/>
      <c r="BN22" s="86">
        <f t="shared" si="0"/>
        <v>3000</v>
      </c>
    </row>
    <row r="23" hidden="1" customHeight="1" spans="1:66">
      <c r="A23" s="16" t="s">
        <v>634</v>
      </c>
      <c r="B23" s="17" t="s">
        <v>635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96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9"/>
      <c r="AI23" s="19"/>
      <c r="AJ23" s="19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20"/>
      <c r="BK23" s="18"/>
      <c r="BL23" s="18"/>
      <c r="BM23" s="18"/>
      <c r="BN23" s="86">
        <f t="shared" si="0"/>
        <v>0</v>
      </c>
    </row>
    <row r="24" hidden="1" customHeight="1" spans="1:66">
      <c r="A24" s="16" t="s">
        <v>155</v>
      </c>
      <c r="B24" s="17" t="s">
        <v>636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96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9"/>
      <c r="AI24" s="19"/>
      <c r="AJ24" s="19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20"/>
      <c r="BK24" s="18"/>
      <c r="BL24" s="18"/>
      <c r="BM24" s="18"/>
      <c r="BN24" s="86">
        <f t="shared" si="0"/>
        <v>0</v>
      </c>
    </row>
    <row r="25" customHeight="1" spans="1:66">
      <c r="A25" s="16" t="s">
        <v>193</v>
      </c>
      <c r="B25" s="17" t="s">
        <v>637</v>
      </c>
      <c r="C25" s="18">
        <v>500</v>
      </c>
      <c r="D25" s="18"/>
      <c r="E25" s="18"/>
      <c r="F25" s="18"/>
      <c r="G25" s="18">
        <v>1000</v>
      </c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96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9"/>
      <c r="AI25" s="19"/>
      <c r="AJ25" s="19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20"/>
      <c r="BK25" s="18"/>
      <c r="BL25" s="18"/>
      <c r="BM25" s="18"/>
      <c r="BN25" s="86">
        <f t="shared" si="0"/>
        <v>1500</v>
      </c>
    </row>
    <row r="26" hidden="1" customHeight="1" spans="1:66">
      <c r="A26" s="16" t="s">
        <v>35</v>
      </c>
      <c r="B26" s="17" t="s">
        <v>638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96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9"/>
      <c r="AI26" s="19"/>
      <c r="AJ26" s="19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20"/>
      <c r="BK26" s="18"/>
      <c r="BL26" s="18"/>
      <c r="BM26" s="18"/>
      <c r="BN26" s="86">
        <f t="shared" si="0"/>
        <v>0</v>
      </c>
    </row>
    <row r="27" hidden="1" customHeight="1" spans="1:66">
      <c r="A27" s="16" t="s">
        <v>234</v>
      </c>
      <c r="B27" s="17" t="s">
        <v>639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96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9"/>
      <c r="AI27" s="19"/>
      <c r="AJ27" s="19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20"/>
      <c r="BK27" s="18"/>
      <c r="BL27" s="18"/>
      <c r="BM27" s="18"/>
      <c r="BN27" s="86">
        <f t="shared" si="0"/>
        <v>0</v>
      </c>
    </row>
    <row r="28" hidden="1" customHeight="1" spans="1:66">
      <c r="A28" s="16" t="s">
        <v>175</v>
      </c>
      <c r="B28" s="17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96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9"/>
      <c r="AI28" s="19"/>
      <c r="AJ28" s="19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20"/>
      <c r="BK28" s="18"/>
      <c r="BL28" s="18"/>
      <c r="BM28" s="18"/>
      <c r="BN28" s="86">
        <f t="shared" si="0"/>
        <v>0</v>
      </c>
    </row>
    <row r="29" hidden="1" customHeight="1" spans="1:66">
      <c r="A29" s="16" t="s">
        <v>165</v>
      </c>
      <c r="B29" s="17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96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9"/>
      <c r="AI29" s="19"/>
      <c r="AJ29" s="19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20"/>
      <c r="BK29" s="18"/>
      <c r="BL29" s="18"/>
      <c r="BM29" s="18"/>
      <c r="BN29" s="86">
        <f t="shared" si="0"/>
        <v>0</v>
      </c>
    </row>
    <row r="30" customHeight="1" spans="1:66">
      <c r="A30" s="16" t="s">
        <v>138</v>
      </c>
      <c r="B30" s="17" t="s">
        <v>645</v>
      </c>
      <c r="C30" s="18"/>
      <c r="D30" s="18">
        <v>725</v>
      </c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96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9"/>
      <c r="AI30" s="19"/>
      <c r="AJ30" s="19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20"/>
      <c r="BK30" s="18"/>
      <c r="BL30" s="18"/>
      <c r="BM30" s="18"/>
      <c r="BN30" s="86">
        <f t="shared" si="0"/>
        <v>725</v>
      </c>
    </row>
    <row r="31" customHeight="1" spans="1:66">
      <c r="A31" s="16" t="s">
        <v>141</v>
      </c>
      <c r="B31" s="17" t="s">
        <v>646</v>
      </c>
      <c r="C31" s="18"/>
      <c r="D31" s="18">
        <v>500</v>
      </c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96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9"/>
      <c r="AI31" s="19"/>
      <c r="AJ31" s="19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20"/>
      <c r="BK31" s="18"/>
      <c r="BL31" s="18"/>
      <c r="BM31" s="18"/>
      <c r="BN31" s="86">
        <f t="shared" si="0"/>
        <v>500</v>
      </c>
    </row>
    <row r="32" hidden="1" customHeight="1" spans="1:66">
      <c r="A32" s="16" t="s">
        <v>109</v>
      </c>
      <c r="B32" s="17" t="s">
        <v>110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96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9"/>
      <c r="AI32" s="19"/>
      <c r="AJ32" s="19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86">
        <f t="shared" si="0"/>
        <v>0</v>
      </c>
    </row>
    <row r="33" hidden="1" customHeight="1" spans="1:66">
      <c r="A33" s="16" t="s">
        <v>103</v>
      </c>
      <c r="B33" s="17" t="s">
        <v>647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96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9"/>
      <c r="AI33" s="19"/>
      <c r="AJ33" s="19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86">
        <f t="shared" si="0"/>
        <v>0</v>
      </c>
    </row>
    <row r="34" hidden="1" customHeight="1" spans="1:66">
      <c r="A34" s="16" t="s">
        <v>177</v>
      </c>
      <c r="B34" s="17" t="s">
        <v>648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96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9"/>
      <c r="AI34" s="19"/>
      <c r="AJ34" s="19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86">
        <f t="shared" si="0"/>
        <v>0</v>
      </c>
    </row>
    <row r="35" customHeight="1" spans="1:66">
      <c r="A35" s="16" t="s">
        <v>37</v>
      </c>
      <c r="B35" s="17" t="s">
        <v>649</v>
      </c>
      <c r="C35" s="18">
        <v>300</v>
      </c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96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9"/>
      <c r="AI35" s="19"/>
      <c r="AJ35" s="19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87">
        <f t="shared" si="0"/>
        <v>300</v>
      </c>
    </row>
    <row r="36" customHeight="1" spans="1:66">
      <c r="A36" s="16" t="s">
        <v>173</v>
      </c>
      <c r="B36" s="17" t="s">
        <v>650</v>
      </c>
      <c r="C36" s="18"/>
      <c r="D36" s="18"/>
      <c r="E36" s="18">
        <v>4000</v>
      </c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96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9"/>
      <c r="AI36" s="19"/>
      <c r="AJ36" s="19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86">
        <f t="shared" si="0"/>
        <v>4000</v>
      </c>
    </row>
    <row r="37" hidden="1" customHeight="1" spans="1:66">
      <c r="A37" s="16" t="s">
        <v>651</v>
      </c>
      <c r="B37" s="21" t="s">
        <v>652</v>
      </c>
      <c r="C37" s="22"/>
      <c r="D37" s="22"/>
      <c r="E37" s="22"/>
      <c r="F37" s="22"/>
      <c r="G37" s="22"/>
      <c r="H37" s="22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96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9"/>
      <c r="AI37" s="19"/>
      <c r="AJ37" s="19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86">
        <f t="shared" si="0"/>
        <v>0</v>
      </c>
    </row>
    <row r="38" hidden="1" customHeight="1" spans="1:66">
      <c r="A38" s="16" t="s">
        <v>144</v>
      </c>
      <c r="B38" s="21" t="s">
        <v>653</v>
      </c>
      <c r="C38" s="22"/>
      <c r="D38" s="22"/>
      <c r="E38" s="22"/>
      <c r="F38" s="22"/>
      <c r="G38" s="22"/>
      <c r="H38" s="22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96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9"/>
      <c r="AI38" s="19"/>
      <c r="AJ38" s="19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86">
        <f t="shared" si="0"/>
        <v>0</v>
      </c>
    </row>
    <row r="39" hidden="1" customHeight="1" spans="1:66">
      <c r="A39" s="16" t="s">
        <v>187</v>
      </c>
      <c r="B39" s="17" t="s">
        <v>654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96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9"/>
      <c r="AI39" s="19"/>
      <c r="AJ39" s="19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86">
        <f t="shared" si="0"/>
        <v>0</v>
      </c>
    </row>
    <row r="40" customHeight="1" spans="1:66">
      <c r="A40" s="16" t="s">
        <v>51</v>
      </c>
      <c r="B40" s="17" t="s">
        <v>656</v>
      </c>
      <c r="C40" s="18"/>
      <c r="D40" s="18"/>
      <c r="E40" s="18"/>
      <c r="F40" s="18"/>
      <c r="G40" s="18">
        <v>10000</v>
      </c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96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9"/>
      <c r="AI40" s="19"/>
      <c r="AJ40" s="19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86">
        <f t="shared" si="0"/>
        <v>10000</v>
      </c>
    </row>
    <row r="41" hidden="1" customHeight="1" spans="1:66">
      <c r="A41" s="16" t="s">
        <v>218</v>
      </c>
      <c r="B41" s="17" t="s">
        <v>658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96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9"/>
      <c r="AI41" s="19"/>
      <c r="AJ41" s="19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86">
        <f t="shared" si="0"/>
        <v>0</v>
      </c>
    </row>
    <row r="42" hidden="1" customHeight="1" spans="1:66">
      <c r="A42" s="16" t="s">
        <v>135</v>
      </c>
      <c r="B42" s="17" t="s">
        <v>659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96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9"/>
      <c r="AI42" s="19"/>
      <c r="AJ42" s="19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86">
        <f t="shared" si="0"/>
        <v>0</v>
      </c>
    </row>
    <row r="43" customHeight="1" spans="1:66">
      <c r="A43" s="16" t="s">
        <v>22</v>
      </c>
      <c r="B43" s="17" t="s">
        <v>652</v>
      </c>
      <c r="C43" s="18"/>
      <c r="D43" s="18"/>
      <c r="E43" s="18"/>
      <c r="F43" s="18"/>
      <c r="G43" s="18">
        <v>3000</v>
      </c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96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9"/>
      <c r="AI43" s="19"/>
      <c r="AJ43" s="19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86">
        <f t="shared" si="0"/>
        <v>3000</v>
      </c>
    </row>
    <row r="44" hidden="1" customHeight="1" spans="1:66">
      <c r="A44" s="16" t="s">
        <v>660</v>
      </c>
      <c r="B44" s="17" t="s">
        <v>655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96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9"/>
      <c r="AI44" s="19"/>
      <c r="AJ44" s="19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86">
        <f t="shared" si="0"/>
        <v>0</v>
      </c>
    </row>
    <row r="45" hidden="1" customHeight="1" spans="1:66">
      <c r="A45" s="16" t="s">
        <v>661</v>
      </c>
      <c r="B45" s="17" t="s">
        <v>653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96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9"/>
      <c r="AI45" s="19"/>
      <c r="AJ45" s="19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86">
        <f t="shared" si="0"/>
        <v>0</v>
      </c>
    </row>
    <row r="46" hidden="1" customHeight="1" spans="1:66">
      <c r="A46" s="16" t="s">
        <v>662</v>
      </c>
      <c r="B46" s="17" t="s">
        <v>663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96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9"/>
      <c r="AI46" s="19"/>
      <c r="AJ46" s="19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86">
        <f t="shared" si="0"/>
        <v>0</v>
      </c>
    </row>
    <row r="47" hidden="1" customHeight="1" spans="1:66">
      <c r="A47" s="16" t="s">
        <v>666</v>
      </c>
      <c r="B47" s="17" t="s">
        <v>667</v>
      </c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96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9"/>
      <c r="AI47" s="19"/>
      <c r="AJ47" s="19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86">
        <f t="shared" si="0"/>
        <v>0</v>
      </c>
    </row>
    <row r="48" customHeight="1" spans="1:66">
      <c r="A48" s="16" t="s">
        <v>668</v>
      </c>
      <c r="B48" s="17" t="s">
        <v>669</v>
      </c>
      <c r="C48" s="18"/>
      <c r="D48" s="18"/>
      <c r="E48" s="18">
        <v>1000</v>
      </c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96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9"/>
      <c r="AI48" s="19"/>
      <c r="AJ48" s="19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86">
        <f t="shared" si="0"/>
        <v>1000</v>
      </c>
    </row>
    <row r="49" hidden="1" customHeight="1" spans="1:66">
      <c r="A49" s="16" t="s">
        <v>670</v>
      </c>
      <c r="B49" s="17" t="s">
        <v>671</v>
      </c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96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9"/>
      <c r="AI49" s="19"/>
      <c r="AJ49" s="19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86">
        <f t="shared" si="0"/>
        <v>0</v>
      </c>
    </row>
    <row r="50" customHeight="1" spans="1:66">
      <c r="A50" s="16" t="s">
        <v>672</v>
      </c>
      <c r="B50" s="17" t="s">
        <v>671</v>
      </c>
      <c r="C50" s="18">
        <v>300</v>
      </c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96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9"/>
      <c r="AI50" s="19"/>
      <c r="AJ50" s="19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86">
        <f t="shared" si="0"/>
        <v>300</v>
      </c>
    </row>
    <row r="51" hidden="1" customHeight="1" spans="1:66">
      <c r="A51" s="16" t="s">
        <v>673</v>
      </c>
      <c r="B51" s="17" t="s">
        <v>674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96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9"/>
      <c r="AI51" s="19"/>
      <c r="AJ51" s="19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86">
        <f t="shared" si="0"/>
        <v>0</v>
      </c>
    </row>
    <row r="52" hidden="1" customHeight="1" spans="1:66">
      <c r="A52" s="16" t="s">
        <v>675</v>
      </c>
      <c r="B52" s="17" t="s">
        <v>676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96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9"/>
      <c r="AI52" s="19"/>
      <c r="AJ52" s="19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86">
        <f t="shared" si="0"/>
        <v>0</v>
      </c>
    </row>
    <row r="53" customHeight="1" spans="1:66">
      <c r="A53" s="16" t="s">
        <v>677</v>
      </c>
      <c r="B53" s="17" t="s">
        <v>678</v>
      </c>
      <c r="C53" s="18">
        <v>200</v>
      </c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96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9"/>
      <c r="AI53" s="19"/>
      <c r="AJ53" s="19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86">
        <f t="shared" si="0"/>
        <v>200</v>
      </c>
    </row>
    <row r="54" customHeight="1" spans="1:66">
      <c r="A54" s="16" t="s">
        <v>679</v>
      </c>
      <c r="B54" s="17" t="s">
        <v>680</v>
      </c>
      <c r="C54" s="18">
        <v>200</v>
      </c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96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9"/>
      <c r="AI54" s="19"/>
      <c r="AJ54" s="19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86">
        <f t="shared" si="0"/>
        <v>200</v>
      </c>
    </row>
    <row r="55" hidden="1" customHeight="1" spans="1:66">
      <c r="A55" s="16" t="s">
        <v>681</v>
      </c>
      <c r="B55" s="17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96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9"/>
      <c r="AI55" s="19"/>
      <c r="AJ55" s="19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86">
        <f t="shared" si="0"/>
        <v>0</v>
      </c>
    </row>
    <row r="56" hidden="1" customHeight="1" spans="1:66">
      <c r="A56" s="16" t="s">
        <v>682</v>
      </c>
      <c r="B56" s="17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96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9"/>
      <c r="AI56" s="19"/>
      <c r="AJ56" s="19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86">
        <f t="shared" si="0"/>
        <v>0</v>
      </c>
    </row>
    <row r="57" hidden="1" customHeight="1" spans="1:66">
      <c r="A57" s="16" t="s">
        <v>683</v>
      </c>
      <c r="B57" s="17" t="s">
        <v>684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96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9"/>
      <c r="AI57" s="19"/>
      <c r="AJ57" s="19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86">
        <f t="shared" si="0"/>
        <v>0</v>
      </c>
    </row>
    <row r="58" hidden="1" customHeight="1" spans="1:66">
      <c r="A58" s="16" t="s">
        <v>685</v>
      </c>
      <c r="B58" s="17" t="s">
        <v>686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96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9"/>
      <c r="AI58" s="19"/>
      <c r="AJ58" s="19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86">
        <f t="shared" si="0"/>
        <v>0</v>
      </c>
    </row>
    <row r="59" hidden="1" customHeight="1" spans="1:66">
      <c r="A59" s="16" t="s">
        <v>687</v>
      </c>
      <c r="B59" s="17" t="s">
        <v>688</v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96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9"/>
      <c r="AI59" s="19"/>
      <c r="AJ59" s="19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86">
        <f t="shared" si="0"/>
        <v>0</v>
      </c>
    </row>
    <row r="60" customHeight="1" spans="1:66">
      <c r="A60" s="16" t="s">
        <v>691</v>
      </c>
      <c r="B60" s="17" t="s">
        <v>692</v>
      </c>
      <c r="C60" s="18"/>
      <c r="D60" s="18"/>
      <c r="E60" s="18"/>
      <c r="F60" s="18"/>
      <c r="G60" s="18">
        <v>215</v>
      </c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96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9"/>
      <c r="AI60" s="19"/>
      <c r="AJ60" s="19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86">
        <f t="shared" si="0"/>
        <v>215</v>
      </c>
    </row>
    <row r="61" hidden="1" customHeight="1" spans="1:66">
      <c r="A61" s="16" t="s">
        <v>693</v>
      </c>
      <c r="B61" s="17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96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9"/>
      <c r="AI61" s="19"/>
      <c r="AJ61" s="19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86">
        <f t="shared" si="0"/>
        <v>0</v>
      </c>
    </row>
    <row r="62" hidden="1" customHeight="1" spans="1:66">
      <c r="A62" s="16" t="s">
        <v>694</v>
      </c>
      <c r="B62" s="17" t="s">
        <v>695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96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9"/>
      <c r="AI62" s="19"/>
      <c r="AJ62" s="19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86">
        <f t="shared" si="0"/>
        <v>0</v>
      </c>
    </row>
    <row r="63" hidden="1" customHeight="1" spans="1:66">
      <c r="A63" s="16" t="s">
        <v>778</v>
      </c>
      <c r="B63" s="17" t="s">
        <v>779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96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9"/>
      <c r="AI63" s="19"/>
      <c r="AJ63" s="19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86">
        <f t="shared" si="0"/>
        <v>0</v>
      </c>
    </row>
    <row r="64" hidden="1" customHeight="1" spans="1:66">
      <c r="A64" s="16" t="s">
        <v>699</v>
      </c>
      <c r="B64" s="21" t="s">
        <v>700</v>
      </c>
      <c r="C64" s="22"/>
      <c r="D64" s="22"/>
      <c r="E64" s="22"/>
      <c r="F64" s="22"/>
      <c r="G64" s="22"/>
      <c r="H64" s="22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96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9"/>
      <c r="AI64" s="19"/>
      <c r="AJ64" s="19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86">
        <f t="shared" si="0"/>
        <v>0</v>
      </c>
    </row>
    <row r="65" hidden="1" customHeight="1" spans="1:66">
      <c r="A65" s="16" t="s">
        <v>701</v>
      </c>
      <c r="B65" s="17" t="s">
        <v>702</v>
      </c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96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9"/>
      <c r="AI65" s="19"/>
      <c r="AJ65" s="19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86">
        <f t="shared" si="0"/>
        <v>0</v>
      </c>
    </row>
    <row r="66" hidden="1" customHeight="1" spans="1:66">
      <c r="A66" s="16" t="s">
        <v>701</v>
      </c>
      <c r="B66" s="21" t="s">
        <v>780</v>
      </c>
      <c r="C66" s="22"/>
      <c r="D66" s="22"/>
      <c r="E66" s="22"/>
      <c r="F66" s="22"/>
      <c r="G66" s="22"/>
      <c r="H66" s="22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96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9"/>
      <c r="AI66" s="19"/>
      <c r="AJ66" s="19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86">
        <f t="shared" si="0"/>
        <v>0</v>
      </c>
    </row>
    <row r="67" customHeight="1" spans="1:66">
      <c r="A67" s="16" t="s">
        <v>784</v>
      </c>
      <c r="B67" s="17" t="s">
        <v>730</v>
      </c>
      <c r="C67" s="18">
        <v>24000</v>
      </c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96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9"/>
      <c r="AI67" s="19"/>
      <c r="AJ67" s="19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86" t="s">
        <v>794</v>
      </c>
    </row>
    <row r="68" customHeight="1" spans="1:66">
      <c r="A68" s="16" t="s">
        <v>706</v>
      </c>
      <c r="B68" s="21" t="s">
        <v>707</v>
      </c>
      <c r="C68" s="22"/>
      <c r="D68" s="22"/>
      <c r="E68" s="22">
        <v>496</v>
      </c>
      <c r="F68" s="22"/>
      <c r="G68" s="22"/>
      <c r="H68" s="22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96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9"/>
      <c r="AI68" s="19"/>
      <c r="AJ68" s="19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86">
        <f t="shared" si="0"/>
        <v>496</v>
      </c>
    </row>
    <row r="69" hidden="1" customHeight="1" spans="1:66">
      <c r="A69" s="16" t="s">
        <v>123</v>
      </c>
      <c r="B69" s="21" t="s">
        <v>708</v>
      </c>
      <c r="C69" s="22"/>
      <c r="D69" s="22"/>
      <c r="E69" s="22"/>
      <c r="F69" s="22"/>
      <c r="G69" s="22"/>
      <c r="H69" s="22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96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9"/>
      <c r="AI69" s="19"/>
      <c r="AJ69" s="19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86">
        <f t="shared" si="0"/>
        <v>0</v>
      </c>
    </row>
    <row r="70" hidden="1" customHeight="1" spans="1:66">
      <c r="A70" s="16" t="s">
        <v>117</v>
      </c>
      <c r="B70" s="21" t="s">
        <v>709</v>
      </c>
      <c r="C70" s="22"/>
      <c r="D70" s="22"/>
      <c r="E70" s="22"/>
      <c r="F70" s="22"/>
      <c r="G70" s="22"/>
      <c r="H70" s="22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96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9"/>
      <c r="AI70" s="19"/>
      <c r="AJ70" s="19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86">
        <f t="shared" si="0"/>
        <v>0</v>
      </c>
    </row>
    <row r="71" hidden="1" customHeight="1" spans="1:66">
      <c r="A71" s="16" t="s">
        <v>120</v>
      </c>
      <c r="B71" s="21" t="s">
        <v>710</v>
      </c>
      <c r="C71" s="22"/>
      <c r="D71" s="22"/>
      <c r="E71" s="22"/>
      <c r="F71" s="22"/>
      <c r="G71" s="22"/>
      <c r="H71" s="22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96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9"/>
      <c r="AI71" s="19"/>
      <c r="AJ71" s="19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86">
        <f t="shared" ref="BN71:BN99" si="1">BM71+BL71+BK71+BJ71+BI71+BH71+BG71+BF71+BE71+BD71+BC71+BB71+BA71+AZ71+AY71+AX71+AW71+AV71+AU71+AT71+AS71+AR71+AQ71+AP71+AO71+AN71+AM71+AL71+AK71+AJ71+AI71+AH71+AG71+AF71+AE71+AD71+AC71+AB71+AA71+Z71+Y71+X71+W71+V71+U71+T71+S71+R71+Q71+P71+O71+N71+M71+L71+K71+J71+I71+H71+G71+F71+E71+D71+C71</f>
        <v>0</v>
      </c>
    </row>
    <row r="72" customHeight="1" spans="1:66">
      <c r="A72" s="16" t="s">
        <v>65</v>
      </c>
      <c r="B72" s="21" t="s">
        <v>713</v>
      </c>
      <c r="C72" s="22"/>
      <c r="D72" s="22"/>
      <c r="E72" s="22"/>
      <c r="F72" s="22"/>
      <c r="G72" s="22"/>
      <c r="H72" s="22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96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9"/>
      <c r="AI72" s="19"/>
      <c r="AJ72" s="19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97" t="s">
        <v>795</v>
      </c>
    </row>
    <row r="73" customHeight="1" spans="1:66">
      <c r="A73" s="16" t="s">
        <v>781</v>
      </c>
      <c r="B73" s="21" t="s">
        <v>714</v>
      </c>
      <c r="C73" s="22"/>
      <c r="D73" s="22"/>
      <c r="E73" s="22"/>
      <c r="F73" s="22"/>
      <c r="G73" s="22"/>
      <c r="H73" s="22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96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9"/>
      <c r="AI73" s="19"/>
      <c r="AJ73" s="19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97" t="s">
        <v>796</v>
      </c>
    </row>
    <row r="74" hidden="1" customHeight="1" spans="1:66">
      <c r="A74" s="16" t="s">
        <v>126</v>
      </c>
      <c r="B74" s="21" t="s">
        <v>789</v>
      </c>
      <c r="C74" s="22"/>
      <c r="D74" s="22"/>
      <c r="E74" s="22"/>
      <c r="F74" s="22"/>
      <c r="G74" s="22"/>
      <c r="H74" s="22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96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9"/>
      <c r="AI74" s="19"/>
      <c r="AJ74" s="19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86">
        <f t="shared" si="1"/>
        <v>0</v>
      </c>
    </row>
    <row r="75" hidden="1" customHeight="1" spans="1:66">
      <c r="A75" s="16" t="s">
        <v>181</v>
      </c>
      <c r="B75" s="21" t="s">
        <v>716</v>
      </c>
      <c r="C75" s="22"/>
      <c r="D75" s="22"/>
      <c r="E75" s="22"/>
      <c r="F75" s="22"/>
      <c r="G75" s="22"/>
      <c r="H75" s="22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96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9"/>
      <c r="AI75" s="19"/>
      <c r="AJ75" s="19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86">
        <f t="shared" si="1"/>
        <v>0</v>
      </c>
    </row>
    <row r="76" hidden="1" customHeight="1" spans="1:66">
      <c r="A76" s="16" t="s">
        <v>222</v>
      </c>
      <c r="B76" s="21" t="s">
        <v>718</v>
      </c>
      <c r="C76" s="22"/>
      <c r="D76" s="22"/>
      <c r="E76" s="22"/>
      <c r="F76" s="22"/>
      <c r="G76" s="22"/>
      <c r="H76" s="22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96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9"/>
      <c r="AI76" s="19"/>
      <c r="AJ76" s="19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86">
        <f t="shared" si="1"/>
        <v>0</v>
      </c>
    </row>
    <row r="77" hidden="1" customHeight="1" spans="1:66">
      <c r="A77" s="16" t="s">
        <v>785</v>
      </c>
      <c r="B77" s="17" t="s">
        <v>786</v>
      </c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96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9"/>
      <c r="AI77" s="19"/>
      <c r="AJ77" s="19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86">
        <f t="shared" si="1"/>
        <v>0</v>
      </c>
    </row>
    <row r="78" hidden="1" customHeight="1" spans="1:66">
      <c r="A78" s="16" t="s">
        <v>719</v>
      </c>
      <c r="B78" s="17" t="s">
        <v>720</v>
      </c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96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9"/>
      <c r="AI78" s="19"/>
      <c r="AJ78" s="19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86">
        <f t="shared" si="1"/>
        <v>0</v>
      </c>
    </row>
    <row r="79" hidden="1" customHeight="1" spans="1:66">
      <c r="A79" s="16" t="s">
        <v>206</v>
      </c>
      <c r="B79" s="17" t="s">
        <v>721</v>
      </c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96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9"/>
      <c r="AI79" s="19"/>
      <c r="AJ79" s="19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86">
        <f t="shared" si="1"/>
        <v>0</v>
      </c>
    </row>
    <row r="80" customHeight="1" spans="1:66">
      <c r="A80" s="16" t="s">
        <v>202</v>
      </c>
      <c r="B80" s="17" t="s">
        <v>722</v>
      </c>
      <c r="C80" s="18">
        <v>10000</v>
      </c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96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9"/>
      <c r="AI80" s="19"/>
      <c r="AJ80" s="19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86">
        <f t="shared" si="1"/>
        <v>10000</v>
      </c>
    </row>
    <row r="81" hidden="1" customHeight="1" spans="1:68">
      <c r="A81" s="16" t="s">
        <v>208</v>
      </c>
      <c r="B81" s="17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96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9"/>
      <c r="AI81" s="19"/>
      <c r="AJ81" s="19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86">
        <f t="shared" si="1"/>
        <v>0</v>
      </c>
    </row>
    <row r="82" hidden="1" customHeight="1" spans="1:68">
      <c r="A82" s="16" t="s">
        <v>157</v>
      </c>
      <c r="B82" s="17" t="s">
        <v>725</v>
      </c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96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9"/>
      <c r="AI82" s="19"/>
      <c r="AJ82" s="19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86">
        <f t="shared" si="1"/>
        <v>0</v>
      </c>
    </row>
    <row r="83" hidden="1" customHeight="1" spans="1:68">
      <c r="A83" s="16" t="s">
        <v>210</v>
      </c>
      <c r="B83" s="17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96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9"/>
      <c r="AI83" s="19"/>
      <c r="AJ83" s="19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86">
        <f t="shared" si="1"/>
        <v>0</v>
      </c>
    </row>
    <row r="84" hidden="1" customHeight="1" spans="1:68">
      <c r="A84" s="16" t="s">
        <v>49</v>
      </c>
      <c r="B84" s="17" t="s">
        <v>730</v>
      </c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96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9"/>
      <c r="AI84" s="19"/>
      <c r="AJ84" s="19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86">
        <f t="shared" si="1"/>
        <v>0</v>
      </c>
      <c r="BO84" s="3"/>
    </row>
    <row r="85" hidden="1" customHeight="1" spans="1:68">
      <c r="A85" s="16" t="s">
        <v>112</v>
      </c>
      <c r="B85" s="17" t="s">
        <v>731</v>
      </c>
      <c r="C85" s="19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96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9"/>
      <c r="AI85" s="19"/>
      <c r="AJ85" s="19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23"/>
      <c r="BF85" s="23"/>
      <c r="BG85" s="18"/>
      <c r="BH85" s="18"/>
      <c r="BI85" s="18"/>
      <c r="BJ85" s="18"/>
      <c r="BK85" s="19"/>
      <c r="BL85" s="18"/>
      <c r="BM85" s="18"/>
      <c r="BN85" s="86">
        <f t="shared" si="1"/>
        <v>0</v>
      </c>
    </row>
    <row r="86" hidden="1" customHeight="1" spans="1:68">
      <c r="A86" s="16" t="s">
        <v>184</v>
      </c>
      <c r="B86" s="76" t="s">
        <v>732</v>
      </c>
      <c r="C86" s="19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96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9"/>
      <c r="AI86" s="19"/>
      <c r="AJ86" s="19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23"/>
      <c r="BF86" s="23"/>
      <c r="BG86" s="18"/>
      <c r="BH86" s="18"/>
      <c r="BI86" s="18"/>
      <c r="BJ86" s="18"/>
      <c r="BK86" s="19"/>
      <c r="BL86" s="18"/>
      <c r="BM86" s="18"/>
      <c r="BN86" s="86">
        <f t="shared" si="1"/>
        <v>0</v>
      </c>
    </row>
    <row r="87" customHeight="1" spans="1:68">
      <c r="A87" s="16" t="s">
        <v>167</v>
      </c>
      <c r="B87" s="76" t="s">
        <v>723</v>
      </c>
      <c r="C87" s="19">
        <v>21500</v>
      </c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96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9"/>
      <c r="AI87" s="19"/>
      <c r="AJ87" s="19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23"/>
      <c r="BF87" s="23"/>
      <c r="BG87" s="18"/>
      <c r="BH87" s="18"/>
      <c r="BI87" s="18"/>
      <c r="BJ87" s="18"/>
      <c r="BK87" s="19"/>
      <c r="BL87" s="18"/>
      <c r="BM87" s="18"/>
      <c r="BN87" s="97">
        <f t="shared" si="1"/>
        <v>21500</v>
      </c>
    </row>
    <row r="88" customHeight="1" spans="1:68">
      <c r="A88" s="16" t="s">
        <v>129</v>
      </c>
      <c r="B88" s="76" t="s">
        <v>726</v>
      </c>
      <c r="C88" s="19">
        <v>3000</v>
      </c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96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9"/>
      <c r="AI88" s="19"/>
      <c r="AJ88" s="19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23"/>
      <c r="BF88" s="23"/>
      <c r="BG88" s="18"/>
      <c r="BH88" s="18"/>
      <c r="BI88" s="18"/>
      <c r="BJ88" s="18"/>
      <c r="BK88" s="19"/>
      <c r="BL88" s="18"/>
      <c r="BM88" s="18"/>
      <c r="BN88" s="86">
        <f t="shared" si="1"/>
        <v>3000</v>
      </c>
    </row>
    <row r="89" customHeight="1" spans="1:68">
      <c r="A89" s="16" t="s">
        <v>132</v>
      </c>
      <c r="B89" s="76" t="s">
        <v>727</v>
      </c>
      <c r="C89" s="19">
        <v>3000</v>
      </c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96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9"/>
      <c r="AI89" s="19"/>
      <c r="AJ89" s="19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23"/>
      <c r="BF89" s="23"/>
      <c r="BG89" s="18"/>
      <c r="BH89" s="18"/>
      <c r="BI89" s="18"/>
      <c r="BJ89" s="18"/>
      <c r="BK89" s="19"/>
      <c r="BL89" s="18"/>
      <c r="BM89" s="18"/>
      <c r="BN89" s="86">
        <f t="shared" si="1"/>
        <v>3000</v>
      </c>
    </row>
    <row r="90" customHeight="1" spans="1:68">
      <c r="A90" s="16" t="s">
        <v>169</v>
      </c>
      <c r="B90" s="17" t="s">
        <v>717</v>
      </c>
      <c r="C90" s="18">
        <v>3000</v>
      </c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96"/>
      <c r="W90" s="18"/>
      <c r="X90" s="18"/>
      <c r="Y90" s="18"/>
      <c r="Z90" s="18"/>
      <c r="AA90" s="18"/>
      <c r="AB90" s="18"/>
      <c r="AC90" s="18"/>
      <c r="AD90" s="18"/>
      <c r="AE90" s="24"/>
      <c r="AF90" s="24"/>
      <c r="AG90" s="24"/>
      <c r="AH90" s="19"/>
      <c r="AI90" s="19"/>
      <c r="AJ90" s="19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9"/>
      <c r="BL90" s="18"/>
      <c r="BM90" s="18"/>
      <c r="BN90" s="86">
        <f t="shared" si="1"/>
        <v>3000</v>
      </c>
    </row>
    <row r="91" customHeight="1" spans="1:68">
      <c r="A91" s="16" t="s">
        <v>171</v>
      </c>
      <c r="B91" s="17" t="s">
        <v>729</v>
      </c>
      <c r="C91" s="18">
        <v>500</v>
      </c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96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9"/>
      <c r="AI91" s="19"/>
      <c r="AJ91" s="19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86">
        <f t="shared" si="1"/>
        <v>500</v>
      </c>
    </row>
    <row r="92" hidden="1" customHeight="1" spans="1:68">
      <c r="A92" s="82" t="s">
        <v>769</v>
      </c>
      <c r="B92" s="33" t="s">
        <v>40</v>
      </c>
      <c r="C92" s="34"/>
      <c r="D92" s="34"/>
      <c r="E92" s="34"/>
      <c r="F92" s="34"/>
      <c r="G92" s="34"/>
      <c r="H92" s="34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98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6"/>
      <c r="AI92" s="36"/>
      <c r="AJ92" s="36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5"/>
      <c r="BE92" s="35"/>
      <c r="BF92" s="35"/>
      <c r="BG92" s="35"/>
      <c r="BH92" s="35"/>
      <c r="BI92" s="35"/>
      <c r="BJ92" s="37"/>
      <c r="BK92" s="35"/>
      <c r="BL92" s="35"/>
      <c r="BM92" s="35"/>
      <c r="BN92" s="86">
        <f t="shared" si="1"/>
        <v>0</v>
      </c>
    </row>
    <row r="93" hidden="1" customHeight="1" spans="1:68">
      <c r="A93" s="82" t="s">
        <v>770</v>
      </c>
      <c r="B93" s="33" t="s">
        <v>42</v>
      </c>
      <c r="C93" s="34"/>
      <c r="D93" s="34"/>
      <c r="E93" s="34"/>
      <c r="F93" s="34"/>
      <c r="G93" s="34"/>
      <c r="H93" s="34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98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6"/>
      <c r="AI93" s="36"/>
      <c r="AJ93" s="36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 s="35"/>
      <c r="BE93" s="35"/>
      <c r="BF93" s="35"/>
      <c r="BG93" s="35"/>
      <c r="BH93" s="35"/>
      <c r="BI93" s="35"/>
      <c r="BJ93" s="37"/>
      <c r="BK93" s="35"/>
      <c r="BL93" s="35"/>
      <c r="BM93" s="35"/>
      <c r="BN93" s="86">
        <f t="shared" si="1"/>
        <v>0</v>
      </c>
    </row>
    <row r="94" customHeight="1" spans="1:68">
      <c r="A94" s="82" t="s">
        <v>771</v>
      </c>
      <c r="B94" s="33" t="s">
        <v>735</v>
      </c>
      <c r="C94" s="34"/>
      <c r="D94" s="34"/>
      <c r="E94" s="34">
        <v>9810</v>
      </c>
      <c r="F94" s="34"/>
      <c r="G94" s="34"/>
      <c r="H94" s="34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98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6"/>
      <c r="AI94" s="36"/>
      <c r="AJ94" s="36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  <c r="BD94" s="35"/>
      <c r="BE94" s="35"/>
      <c r="BF94" s="35"/>
      <c r="BG94" s="35"/>
      <c r="BH94" s="35"/>
      <c r="BI94" s="35"/>
      <c r="BJ94" s="35"/>
      <c r="BK94" s="35"/>
      <c r="BL94" s="35"/>
      <c r="BM94" s="35"/>
      <c r="BN94" s="86">
        <f t="shared" si="1"/>
        <v>9810</v>
      </c>
      <c r="BP94" s="88"/>
    </row>
    <row r="95" customHeight="1" spans="1:68">
      <c r="A95" s="82" t="s">
        <v>772</v>
      </c>
      <c r="B95" s="33" t="s">
        <v>737</v>
      </c>
      <c r="C95" s="34"/>
      <c r="D95" s="34"/>
      <c r="E95" s="34">
        <v>12000</v>
      </c>
      <c r="F95" s="34"/>
      <c r="G95" s="34"/>
      <c r="H95" s="34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98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6"/>
      <c r="AI95" s="36"/>
      <c r="AJ95" s="36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  <c r="BD95" s="35"/>
      <c r="BE95" s="35"/>
      <c r="BF95" s="35"/>
      <c r="BG95" s="35"/>
      <c r="BH95" s="35"/>
      <c r="BI95" s="35"/>
      <c r="BJ95" s="35"/>
      <c r="BK95" s="35"/>
      <c r="BL95" s="35"/>
      <c r="BM95" s="35"/>
      <c r="BN95" s="86">
        <f t="shared" si="1"/>
        <v>12000</v>
      </c>
      <c r="BP95" s="88"/>
    </row>
    <row r="96" customHeight="1" spans="1:68">
      <c r="A96" s="82" t="s">
        <v>797</v>
      </c>
      <c r="B96" s="33" t="s">
        <v>736</v>
      </c>
      <c r="C96" s="34"/>
      <c r="D96" s="34"/>
      <c r="E96" s="34">
        <v>9440</v>
      </c>
      <c r="F96" s="34"/>
      <c r="G96" s="34"/>
      <c r="H96" s="34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98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6"/>
      <c r="AI96" s="36"/>
      <c r="AJ96" s="36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BD96" s="35"/>
      <c r="BE96" s="35"/>
      <c r="BF96" s="35"/>
      <c r="BG96" s="35"/>
      <c r="BH96" s="35"/>
      <c r="BI96" s="35"/>
      <c r="BJ96" s="35"/>
      <c r="BK96" s="35"/>
      <c r="BL96" s="35"/>
      <c r="BM96" s="35"/>
      <c r="BN96" s="86">
        <f t="shared" si="1"/>
        <v>9440</v>
      </c>
      <c r="BP96" s="88"/>
    </row>
    <row r="97" customHeight="1" spans="1:68">
      <c r="A97" s="82" t="s">
        <v>773</v>
      </c>
      <c r="B97" s="33" t="s">
        <v>734</v>
      </c>
      <c r="C97" s="34"/>
      <c r="D97" s="34"/>
      <c r="E97" s="34">
        <v>20000</v>
      </c>
      <c r="F97" s="34"/>
      <c r="G97" s="34"/>
      <c r="H97" s="34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98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6"/>
      <c r="AI97" s="36"/>
      <c r="AJ97" s="36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35"/>
      <c r="BE97" s="35"/>
      <c r="BF97" s="35"/>
      <c r="BG97" s="35"/>
      <c r="BH97" s="35"/>
      <c r="BI97" s="35"/>
      <c r="BJ97" s="35"/>
      <c r="BK97" s="35"/>
      <c r="BL97" s="35"/>
      <c r="BM97" s="35"/>
      <c r="BN97" s="86">
        <f t="shared" si="1"/>
        <v>20000</v>
      </c>
      <c r="BP97" s="88"/>
    </row>
    <row r="98" customHeight="1" spans="1:68">
      <c r="A98" s="82" t="s">
        <v>774</v>
      </c>
      <c r="B98" s="33" t="s">
        <v>733</v>
      </c>
      <c r="C98" s="34"/>
      <c r="D98" s="34"/>
      <c r="E98" s="34">
        <v>21000</v>
      </c>
      <c r="F98" s="34"/>
      <c r="G98" s="34"/>
      <c r="H98" s="34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98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6"/>
      <c r="AI98" s="36"/>
      <c r="AJ98" s="36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35"/>
      <c r="BD98" s="35"/>
      <c r="BE98" s="35"/>
      <c r="BF98" s="35"/>
      <c r="BG98" s="35"/>
      <c r="BH98" s="35"/>
      <c r="BI98" s="35"/>
      <c r="BJ98" s="35"/>
      <c r="BK98" s="35"/>
      <c r="BL98" s="35"/>
      <c r="BM98" s="35"/>
      <c r="BN98" s="86">
        <f t="shared" si="1"/>
        <v>21000</v>
      </c>
      <c r="BP98" s="88"/>
    </row>
    <row r="99" customHeight="1" spans="1:68">
      <c r="A99" s="82" t="s">
        <v>775</v>
      </c>
      <c r="B99" s="33" t="s">
        <v>738</v>
      </c>
      <c r="C99" s="34"/>
      <c r="D99" s="34"/>
      <c r="E99" s="34">
        <v>20000</v>
      </c>
      <c r="F99" s="34"/>
      <c r="G99" s="34"/>
      <c r="H99" s="34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98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6"/>
      <c r="AI99" s="36"/>
      <c r="AJ99" s="36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  <c r="BC99" s="35"/>
      <c r="BD99" s="35"/>
      <c r="BE99" s="35"/>
      <c r="BF99" s="35"/>
      <c r="BG99" s="35"/>
      <c r="BH99" s="35"/>
      <c r="BI99" s="35"/>
      <c r="BJ99" s="35"/>
      <c r="BK99" s="35"/>
      <c r="BL99" s="35"/>
      <c r="BM99" s="35"/>
      <c r="BN99" s="86">
        <f t="shared" si="1"/>
        <v>20000</v>
      </c>
      <c r="BP99" s="88"/>
    </row>
    <row r="100" customHeight="1" spans="1:68">
      <c r="C100" s="39"/>
      <c r="D100" s="40"/>
      <c r="E100" s="40"/>
      <c r="F100" s="40"/>
      <c r="G100" s="40"/>
      <c r="H100" s="40"/>
      <c r="I100" s="3"/>
      <c r="J100" s="3"/>
      <c r="BN100" s="14"/>
    </row>
    <row r="101" s="3" customFormat="1" customHeight="1" spans="1:68">
      <c r="A101" s="1"/>
      <c r="B101" s="1"/>
      <c r="C101" s="40"/>
      <c r="D101" s="40"/>
      <c r="E101" s="40"/>
      <c r="F101" s="40"/>
      <c r="G101" s="40"/>
      <c r="H101" s="40"/>
      <c r="V101" s="91"/>
      <c r="AH101" s="41"/>
      <c r="AI101" s="41"/>
      <c r="AJ101" s="41"/>
      <c r="BO101"/>
      <c r="BP101"/>
    </row>
  </sheetData>
  <mergeCells count="1">
    <mergeCell ref="A1:BN1"/>
  </mergeCells>
  <pageMargins left="0.7" right="0.7" top="0.75" bottom="0.75" header="0.3" footer="0.3"/>
  <pageSetup paperSize="9" scale="65" orientation="portrait"/>
  <headerFooter/>
  <rowBreaks count="1" manualBreakCount="1">
    <brk id="91" max="40" man="1"/>
  </rowBreak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97"/>
  <sheetViews>
    <sheetView zoomScale="164" zoomScaleNormal="164" workbookViewId="0">
      <pane xSplit="2" ySplit="2" topLeftCell="F84" activePane="bottomRight" state="frozen"/>
      <selection/>
      <selection pane="topRight"/>
      <selection pane="bottomLeft"/>
      <selection pane="bottomRight" activeCell="BN83" sqref="BN83"/>
    </sheetView>
  </sheetViews>
  <sheetFormatPr defaultColWidth="9" defaultRowHeight="20" customHeight="1"/>
  <cols>
    <col min="1" max="1" width="14.3333333333333" style="1" customWidth="1"/>
    <col min="2" max="2" width="23.1666666666667" style="1" customWidth="1"/>
    <col min="3" max="8" width="7.5" style="1" customWidth="1"/>
    <col min="9" max="10" width="8.33333333333333" customWidth="1"/>
    <col min="11" max="11" width="8.33333333333333" style="3" customWidth="1"/>
    <col min="12" max="12" width="7.5" style="3" customWidth="1"/>
    <col min="13" max="13" width="7" style="3" customWidth="1"/>
    <col min="14" max="15" width="7" style="3" hidden="1" customWidth="1"/>
    <col min="16" max="16" width="7.83333333333333" style="3" hidden="1" customWidth="1"/>
    <col min="17" max="17" width="7.5" style="3" hidden="1" customWidth="1"/>
    <col min="18" max="18" width="7.16666666666667" style="3" hidden="1" customWidth="1"/>
    <col min="19" max="19" width="7.33333333333333" style="3" hidden="1" customWidth="1"/>
    <col min="20" max="20" width="7.83333333333333" style="3" hidden="1" customWidth="1"/>
    <col min="21" max="21" width="8.16666666666667" style="3" hidden="1" customWidth="1"/>
    <col min="22" max="22" width="7.66666666666667" style="91" customWidth="1"/>
    <col min="23" max="23" width="5.66666666666667" style="3" hidden="1" customWidth="1"/>
    <col min="24" max="24" width="7.66666666666667" style="3" hidden="1" customWidth="1"/>
    <col min="25" max="25" width="5.66666666666667" style="3" hidden="1" customWidth="1"/>
    <col min="26" max="26" width="6.66666666666667" style="3" hidden="1" customWidth="1"/>
    <col min="27" max="28" width="5.66666666666667" style="3" hidden="1" customWidth="1"/>
    <col min="29" max="30" width="7.33333333333333" style="3" hidden="1" customWidth="1"/>
    <col min="31" max="33" width="8.33333333333333" style="3" hidden="1" customWidth="1"/>
    <col min="34" max="36" width="7.66666666666667" style="41" hidden="1" customWidth="1"/>
    <col min="37" max="37" width="7.16666666666667" style="3" hidden="1" customWidth="1"/>
    <col min="38" max="38" width="6.83333333333333" style="3" hidden="1" customWidth="1"/>
    <col min="39" max="39" width="7.33333333333333" style="3" hidden="1" customWidth="1"/>
    <col min="40" max="40" width="7.66666666666667" style="3" hidden="1" customWidth="1"/>
    <col min="41" max="41" width="6.83333333333333" style="3" hidden="1" customWidth="1"/>
    <col min="42" max="42" width="8.5" style="3" hidden="1" customWidth="1"/>
    <col min="43" max="43" width="7.33333333333333" style="3" hidden="1" customWidth="1"/>
    <col min="44" max="44" width="8" style="3" hidden="1" customWidth="1"/>
    <col min="45" max="45" width="7.5" style="3" hidden="1" customWidth="1"/>
    <col min="46" max="50" width="5.66666666666667" style="3" hidden="1" customWidth="1"/>
    <col min="51" max="51" width="7.5" style="3" hidden="1" customWidth="1"/>
    <col min="52" max="52" width="5.66666666666667" style="3" hidden="1" customWidth="1"/>
    <col min="53" max="53" width="6.5" style="3" hidden="1" customWidth="1"/>
    <col min="54" max="61" width="5.66666666666667" style="3" hidden="1" customWidth="1"/>
    <col min="62" max="62" width="6.16666666666667" style="3" hidden="1" customWidth="1"/>
    <col min="63" max="65" width="5.66666666666667" style="3" hidden="1" customWidth="1"/>
    <col min="66" max="66" width="8" style="3" customWidth="1"/>
    <col min="68" max="68" width="17.1666666666667" customWidth="1"/>
  </cols>
  <sheetData>
    <row r="1" customHeight="1" spans="1:68">
      <c r="A1" s="4" t="s">
        <v>798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</row>
    <row r="2" customHeight="1" spans="1:68">
      <c r="A2" s="47" t="s">
        <v>596</v>
      </c>
      <c r="B2" s="48" t="s">
        <v>597</v>
      </c>
      <c r="C2" s="49">
        <v>45262</v>
      </c>
      <c r="D2" s="49">
        <v>45266</v>
      </c>
      <c r="E2" s="49">
        <v>45269</v>
      </c>
      <c r="F2" s="49">
        <v>45270</v>
      </c>
      <c r="G2" s="49">
        <v>45273</v>
      </c>
      <c r="H2" s="49">
        <v>45275</v>
      </c>
      <c r="I2" s="50">
        <v>45276</v>
      </c>
      <c r="J2" s="50">
        <v>45277</v>
      </c>
      <c r="K2" s="50">
        <v>45278</v>
      </c>
      <c r="L2" s="50">
        <v>45263</v>
      </c>
      <c r="M2" s="50">
        <v>45287</v>
      </c>
      <c r="N2" s="50"/>
      <c r="O2" s="50"/>
      <c r="P2" s="50"/>
      <c r="Q2" s="50"/>
      <c r="R2" s="89"/>
      <c r="S2" s="89"/>
      <c r="T2" s="89"/>
      <c r="U2" s="89"/>
      <c r="V2" s="84" t="s">
        <v>799</v>
      </c>
      <c r="W2" s="85"/>
      <c r="X2" s="85"/>
      <c r="Y2" s="85"/>
      <c r="Z2" s="85"/>
      <c r="AA2" s="85"/>
      <c r="AB2" s="85"/>
      <c r="AC2" s="85"/>
      <c r="AD2" s="51"/>
      <c r="AE2" s="51"/>
      <c r="AF2" s="51"/>
      <c r="AG2" s="51"/>
      <c r="AH2" s="52"/>
      <c r="AI2" s="52"/>
      <c r="AJ2" s="52"/>
      <c r="AK2" s="51"/>
      <c r="AL2" s="51"/>
      <c r="AM2" s="51"/>
      <c r="AN2" s="51"/>
      <c r="AO2" s="51"/>
      <c r="AP2" s="51"/>
      <c r="AQ2" s="51"/>
      <c r="AR2" s="51"/>
      <c r="AS2" s="51"/>
      <c r="AT2" s="51"/>
      <c r="AU2" s="51"/>
      <c r="AV2" s="51"/>
      <c r="AW2" s="51"/>
      <c r="AX2" s="51"/>
      <c r="AY2" s="51"/>
      <c r="AZ2" s="51"/>
      <c r="BA2" s="51"/>
      <c r="BB2" s="51"/>
      <c r="BC2" s="51"/>
      <c r="BD2" s="51"/>
      <c r="BE2" s="51"/>
      <c r="BF2" s="51"/>
      <c r="BG2" s="51"/>
      <c r="BH2" s="51"/>
      <c r="BI2" s="51"/>
      <c r="BJ2" s="51"/>
      <c r="BK2" s="51"/>
      <c r="BL2" s="51"/>
      <c r="BM2" s="51"/>
      <c r="BN2" s="53" t="s">
        <v>598</v>
      </c>
      <c r="BO2" s="25"/>
      <c r="BP2" s="25"/>
    </row>
    <row r="3" s="44" customFormat="1" customHeight="1" spans="1:68">
      <c r="A3" s="54" t="s">
        <v>192</v>
      </c>
      <c r="B3" s="55" t="s">
        <v>600</v>
      </c>
      <c r="C3" s="56"/>
      <c r="D3" s="56"/>
      <c r="E3" s="56"/>
      <c r="F3" s="56"/>
      <c r="G3" s="56"/>
      <c r="H3" s="56"/>
      <c r="I3" s="57"/>
      <c r="J3" s="57"/>
      <c r="K3" s="57"/>
      <c r="L3" s="57"/>
      <c r="M3" s="57"/>
      <c r="N3" s="57"/>
      <c r="O3" s="57"/>
      <c r="P3" s="57"/>
      <c r="Q3" s="58"/>
      <c r="R3" s="58"/>
      <c r="S3" s="58"/>
      <c r="T3" s="58"/>
      <c r="U3" s="58"/>
      <c r="V3" s="92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9"/>
      <c r="AI3" s="59"/>
      <c r="AJ3" s="59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58"/>
      <c r="BL3" s="58"/>
      <c r="BM3" s="58"/>
      <c r="BN3" s="86">
        <f>BM3+BL3+BK3+BJ3+BI3+BH3+BG3+BF3+BE3+BD3+BC3+BB3+BA3+AZ3+AY3+AX3+AW3+AV3+AU3+AT3+AS3+AR3+AQ3+AP3+AO3+AN3+AM3+AL3+AK3+AJ3+AI3+AH3+AG3+AF3+AE3+AD3+AC3+AB3+AA3+Z3+Y3+X3+W3+V3+U3+T3+S3+R3+Q3+P3+O3+N3+M3+L3+K3+J3+I3+H3+G3+F3+E3+D3+C3</f>
        <v>0</v>
      </c>
    </row>
    <row r="4" s="44" customFormat="1" customHeight="1" spans="1:68">
      <c r="A4" s="54" t="s">
        <v>134</v>
      </c>
      <c r="B4" s="55" t="s">
        <v>601</v>
      </c>
      <c r="C4" s="56"/>
      <c r="D4" s="56"/>
      <c r="E4" s="56"/>
      <c r="F4" s="56"/>
      <c r="G4" s="56"/>
      <c r="H4" s="56"/>
      <c r="I4" s="57"/>
      <c r="J4" s="57"/>
      <c r="K4" s="57"/>
      <c r="L4" s="57"/>
      <c r="M4" s="57"/>
      <c r="N4" s="57"/>
      <c r="O4" s="57"/>
      <c r="P4" s="57"/>
      <c r="Q4" s="58"/>
      <c r="R4" s="58"/>
      <c r="S4" s="58"/>
      <c r="T4" s="58"/>
      <c r="U4" s="58"/>
      <c r="V4" s="92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9"/>
      <c r="AI4" s="59"/>
      <c r="AJ4" s="59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8"/>
      <c r="BK4" s="58"/>
      <c r="BL4" s="58"/>
      <c r="BM4" s="58"/>
      <c r="BN4" s="86">
        <f t="shared" ref="BN4:BN67" si="0">BM4+BL4+BK4+BJ4+BI4+BH4+BG4+BF4+BE4+BD4+BC4+BB4+BA4+AZ4+AY4+AX4+AW4+AV4+AU4+AT4+AS4+AR4+AQ4+AP4+AO4+AN4+AM4+AL4+AK4+AJ4+AI4+AH4+AG4+AF4+AE4+AD4+AC4+AB4+AA4+Z4+Y4+X4+W4+V4+U4+T4+S4+R4+Q4+P4+O4+N4+M4+L4+K4+J4+I4+H4+G4+F4+E4+D4+C4</f>
        <v>0</v>
      </c>
    </row>
    <row r="5" s="44" customFormat="1" customHeight="1" spans="1:68">
      <c r="A5" s="54" t="s">
        <v>604</v>
      </c>
      <c r="B5" s="55" t="s">
        <v>605</v>
      </c>
      <c r="C5" s="56"/>
      <c r="D5" s="56"/>
      <c r="E5" s="56"/>
      <c r="F5" s="56"/>
      <c r="G5" s="56"/>
      <c r="H5" s="56"/>
      <c r="I5" s="57"/>
      <c r="J5" s="57"/>
      <c r="K5" s="57"/>
      <c r="L5" s="57"/>
      <c r="M5" s="57"/>
      <c r="N5" s="57"/>
      <c r="O5" s="57"/>
      <c r="P5" s="57"/>
      <c r="Q5" s="58"/>
      <c r="R5" s="58"/>
      <c r="S5" s="58"/>
      <c r="T5" s="58"/>
      <c r="U5" s="58"/>
      <c r="V5" s="92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9"/>
      <c r="AI5" s="59"/>
      <c r="AJ5" s="59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8"/>
      <c r="BF5" s="58"/>
      <c r="BG5" s="58"/>
      <c r="BH5" s="58"/>
      <c r="BI5" s="58"/>
      <c r="BJ5" s="58"/>
      <c r="BK5" s="58"/>
      <c r="BL5" s="58"/>
      <c r="BM5" s="58"/>
      <c r="BN5" s="86">
        <f t="shared" si="0"/>
        <v>0</v>
      </c>
    </row>
    <row r="6" s="44" customFormat="1" customHeight="1" spans="1:68">
      <c r="A6" s="54" t="s">
        <v>59</v>
      </c>
      <c r="B6" s="55" t="s">
        <v>609</v>
      </c>
      <c r="C6" s="56"/>
      <c r="D6" s="56"/>
      <c r="E6" s="56"/>
      <c r="F6" s="56"/>
      <c r="G6" s="56"/>
      <c r="H6" s="56"/>
      <c r="I6" s="57"/>
      <c r="J6" s="57"/>
      <c r="K6" s="57"/>
      <c r="L6" s="57"/>
      <c r="M6" s="57"/>
      <c r="N6" s="57"/>
      <c r="O6" s="57"/>
      <c r="P6" s="57"/>
      <c r="Q6" s="58"/>
      <c r="R6" s="58"/>
      <c r="S6" s="58"/>
      <c r="T6" s="58"/>
      <c r="U6" s="58"/>
      <c r="V6" s="92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9"/>
      <c r="AI6" s="59"/>
      <c r="AJ6" s="59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58"/>
      <c r="BL6" s="58"/>
      <c r="BM6" s="58"/>
      <c r="BN6" s="86">
        <f t="shared" si="0"/>
        <v>0</v>
      </c>
    </row>
    <row r="7" s="44" customFormat="1" customHeight="1" spans="1:68">
      <c r="A7" s="54" t="s">
        <v>612</v>
      </c>
      <c r="B7" s="55" t="s">
        <v>613</v>
      </c>
      <c r="C7" s="56"/>
      <c r="D7" s="56"/>
      <c r="E7" s="56"/>
      <c r="F7" s="56"/>
      <c r="G7" s="56"/>
      <c r="H7" s="56"/>
      <c r="I7" s="57"/>
      <c r="J7" s="57"/>
      <c r="K7" s="57"/>
      <c r="L7" s="57"/>
      <c r="M7" s="57"/>
      <c r="N7" s="57"/>
      <c r="O7" s="57"/>
      <c r="P7" s="57"/>
      <c r="Q7" s="58"/>
      <c r="R7" s="58"/>
      <c r="S7" s="58"/>
      <c r="T7" s="58"/>
      <c r="U7" s="58"/>
      <c r="V7" s="92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9"/>
      <c r="AI7" s="59"/>
      <c r="AJ7" s="59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58"/>
      <c r="BJ7" s="58"/>
      <c r="BK7" s="58"/>
      <c r="BL7" s="58"/>
      <c r="BM7" s="58"/>
      <c r="BN7" s="86">
        <f t="shared" si="0"/>
        <v>0</v>
      </c>
    </row>
    <row r="8" s="44" customFormat="1" customHeight="1" spans="1:68">
      <c r="A8" s="54" t="s">
        <v>68</v>
      </c>
      <c r="B8" s="55" t="s">
        <v>614</v>
      </c>
      <c r="C8" s="56"/>
      <c r="D8" s="56"/>
      <c r="E8" s="56"/>
      <c r="F8" s="56"/>
      <c r="G8" s="56"/>
      <c r="H8" s="56"/>
      <c r="I8" s="57"/>
      <c r="J8" s="57"/>
      <c r="K8" s="57"/>
      <c r="L8" s="57"/>
      <c r="M8" s="57"/>
      <c r="N8" s="57"/>
      <c r="O8" s="57"/>
      <c r="P8" s="57"/>
      <c r="Q8" s="58"/>
      <c r="R8" s="58"/>
      <c r="S8" s="58"/>
      <c r="T8" s="58"/>
      <c r="U8" s="58"/>
      <c r="V8" s="92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9"/>
      <c r="AI8" s="59"/>
      <c r="AJ8" s="59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58"/>
      <c r="BF8" s="58"/>
      <c r="BG8" s="58"/>
      <c r="BH8" s="58"/>
      <c r="BI8" s="58"/>
      <c r="BJ8" s="58"/>
      <c r="BK8" s="58"/>
      <c r="BL8" s="58"/>
      <c r="BM8" s="58"/>
      <c r="BN8" s="86">
        <f t="shared" si="0"/>
        <v>0</v>
      </c>
    </row>
    <row r="9" s="44" customFormat="1" customHeight="1" spans="1:68">
      <c r="A9" s="54" t="s">
        <v>616</v>
      </c>
      <c r="B9" s="55" t="s">
        <v>617</v>
      </c>
      <c r="C9" s="56"/>
      <c r="D9" s="56"/>
      <c r="E9" s="56"/>
      <c r="F9" s="56"/>
      <c r="G9" s="56"/>
      <c r="H9" s="56"/>
      <c r="I9" s="57"/>
      <c r="J9" s="57"/>
      <c r="K9" s="57"/>
      <c r="L9" s="57"/>
      <c r="M9" s="57"/>
      <c r="N9" s="57"/>
      <c r="O9" s="57"/>
      <c r="P9" s="57"/>
      <c r="Q9" s="58"/>
      <c r="R9" s="58"/>
      <c r="S9" s="58"/>
      <c r="T9" s="58"/>
      <c r="U9" s="58"/>
      <c r="V9" s="92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9"/>
      <c r="AI9" s="59"/>
      <c r="AJ9" s="59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58"/>
      <c r="BI9" s="58"/>
      <c r="BJ9" s="58"/>
      <c r="BK9" s="58"/>
      <c r="BL9" s="58"/>
      <c r="BM9" s="58"/>
      <c r="BN9" s="86">
        <f t="shared" si="0"/>
        <v>0</v>
      </c>
    </row>
    <row r="10" s="45" customFormat="1" customHeight="1" spans="1:68">
      <c r="A10" s="54" t="s">
        <v>190</v>
      </c>
      <c r="B10" s="55" t="s">
        <v>759</v>
      </c>
      <c r="C10" s="56"/>
      <c r="D10" s="56"/>
      <c r="E10" s="56" t="s">
        <v>761</v>
      </c>
      <c r="F10" s="56"/>
      <c r="G10" s="56"/>
      <c r="H10" s="56"/>
      <c r="I10" s="57"/>
      <c r="J10" s="57"/>
      <c r="K10" s="57"/>
      <c r="L10" s="57"/>
      <c r="M10" s="57"/>
      <c r="N10" s="57"/>
      <c r="O10" s="57"/>
      <c r="P10" s="57"/>
      <c r="Q10" s="58"/>
      <c r="R10" s="58"/>
      <c r="S10" s="58"/>
      <c r="T10" s="58"/>
      <c r="U10" s="58"/>
      <c r="V10" s="92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9"/>
      <c r="AI10" s="59"/>
      <c r="AJ10" s="59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86">
        <f t="shared" si="0"/>
        <v>150</v>
      </c>
    </row>
    <row r="11" s="46" customFormat="1" customHeight="1" spans="1:68">
      <c r="A11" s="61" t="s">
        <v>224</v>
      </c>
      <c r="B11" s="62" t="s">
        <v>620</v>
      </c>
      <c r="C11" s="62"/>
      <c r="D11" s="62"/>
      <c r="E11" s="62"/>
      <c r="F11" s="62"/>
      <c r="G11" s="62"/>
      <c r="H11" s="62"/>
      <c r="I11" s="63"/>
      <c r="J11" s="63"/>
      <c r="K11" s="63"/>
      <c r="L11" s="63"/>
      <c r="M11" s="63"/>
      <c r="N11" s="63"/>
      <c r="O11" s="63"/>
      <c r="P11" s="63"/>
      <c r="Q11" s="64"/>
      <c r="R11" s="64"/>
      <c r="S11" s="64"/>
      <c r="T11" s="64"/>
      <c r="U11" s="64"/>
      <c r="V11" s="93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5"/>
      <c r="AI11" s="65"/>
      <c r="AJ11" s="65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4"/>
      <c r="BF11" s="64"/>
      <c r="BG11" s="64"/>
      <c r="BH11" s="64"/>
      <c r="BI11" s="64"/>
      <c r="BJ11" s="64"/>
      <c r="BK11" s="64"/>
      <c r="BL11" s="64"/>
      <c r="BM11" s="64"/>
      <c r="BN11" s="86">
        <f t="shared" si="0"/>
        <v>0</v>
      </c>
    </row>
    <row r="12" s="46" customFormat="1" customHeight="1" spans="1:68">
      <c r="A12" s="61" t="s">
        <v>204</v>
      </c>
      <c r="B12" s="77"/>
      <c r="C12" s="77"/>
      <c r="D12" s="77"/>
      <c r="E12" s="77"/>
      <c r="F12" s="77"/>
      <c r="G12" s="77"/>
      <c r="H12" s="77"/>
      <c r="I12" s="78"/>
      <c r="J12" s="78"/>
      <c r="K12" s="78"/>
      <c r="L12" s="78"/>
      <c r="M12" s="78"/>
      <c r="N12" s="78"/>
      <c r="O12" s="78"/>
      <c r="P12" s="78"/>
      <c r="Q12" s="79"/>
      <c r="R12" s="79"/>
      <c r="S12" s="79"/>
      <c r="T12" s="79"/>
      <c r="U12" s="79"/>
      <c r="V12" s="94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80"/>
      <c r="AI12" s="80"/>
      <c r="AJ12" s="80"/>
      <c r="AK12" s="79"/>
      <c r="AL12" s="79"/>
      <c r="AM12" s="79"/>
      <c r="AN12" s="79"/>
      <c r="AO12" s="79"/>
      <c r="AP12" s="79"/>
      <c r="AQ12" s="79"/>
      <c r="AR12" s="79"/>
      <c r="AS12" s="79"/>
      <c r="AT12" s="79"/>
      <c r="AU12" s="79"/>
      <c r="AV12" s="79"/>
      <c r="AW12" s="79"/>
      <c r="AX12" s="79"/>
      <c r="AY12" s="79"/>
      <c r="AZ12" s="79"/>
      <c r="BA12" s="79"/>
      <c r="BB12" s="79"/>
      <c r="BC12" s="79"/>
      <c r="BD12" s="79"/>
      <c r="BE12" s="79"/>
      <c r="BF12" s="79"/>
      <c r="BG12" s="79"/>
      <c r="BH12" s="79"/>
      <c r="BI12" s="79"/>
      <c r="BJ12" s="79"/>
      <c r="BK12" s="79"/>
      <c r="BL12" s="79"/>
      <c r="BM12" s="79"/>
      <c r="BN12" s="86">
        <f t="shared" si="0"/>
        <v>0</v>
      </c>
    </row>
    <row r="13" s="46" customFormat="1" customHeight="1" spans="1:68">
      <c r="A13" s="61" t="s">
        <v>623</v>
      </c>
      <c r="B13" s="77" t="s">
        <v>624</v>
      </c>
      <c r="C13" s="77"/>
      <c r="D13" s="77"/>
      <c r="E13" s="77"/>
      <c r="F13" s="77"/>
      <c r="G13" s="77"/>
      <c r="H13" s="77"/>
      <c r="I13" s="78"/>
      <c r="J13" s="78"/>
      <c r="K13" s="78"/>
      <c r="L13" s="78"/>
      <c r="M13" s="78"/>
      <c r="N13" s="78"/>
      <c r="O13" s="78"/>
      <c r="P13" s="78"/>
      <c r="Q13" s="79"/>
      <c r="R13" s="79"/>
      <c r="S13" s="79"/>
      <c r="T13" s="79"/>
      <c r="U13" s="79"/>
      <c r="V13" s="94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80"/>
      <c r="AI13" s="80"/>
      <c r="AJ13" s="80"/>
      <c r="AK13" s="79"/>
      <c r="AL13" s="79"/>
      <c r="AM13" s="79"/>
      <c r="AN13" s="79"/>
      <c r="AO13" s="79"/>
      <c r="AP13" s="79"/>
      <c r="AQ13" s="79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79"/>
      <c r="BF13" s="79"/>
      <c r="BG13" s="79"/>
      <c r="BH13" s="79"/>
      <c r="BI13" s="79"/>
      <c r="BJ13" s="79"/>
      <c r="BK13" s="79"/>
      <c r="BL13" s="79"/>
      <c r="BM13" s="79"/>
      <c r="BN13" s="86">
        <f t="shared" si="0"/>
        <v>0</v>
      </c>
    </row>
    <row r="14" s="46" customFormat="1" customHeight="1" spans="1:68">
      <c r="A14" s="61" t="s">
        <v>161</v>
      </c>
      <c r="B14" s="77"/>
      <c r="C14" s="77"/>
      <c r="D14" s="77"/>
      <c r="E14" s="77"/>
      <c r="F14" s="77"/>
      <c r="G14" s="77"/>
      <c r="H14" s="77"/>
      <c r="I14" s="78"/>
      <c r="J14" s="78"/>
      <c r="K14" s="78"/>
      <c r="L14" s="78"/>
      <c r="M14" s="78" t="s">
        <v>607</v>
      </c>
      <c r="N14" s="78"/>
      <c r="O14" s="78"/>
      <c r="P14" s="78"/>
      <c r="Q14" s="79"/>
      <c r="R14" s="79"/>
      <c r="S14" s="79"/>
      <c r="T14" s="79"/>
      <c r="U14" s="79"/>
      <c r="V14" s="94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80"/>
      <c r="AI14" s="80"/>
      <c r="AJ14" s="80"/>
      <c r="AK14" s="79"/>
      <c r="AL14" s="79"/>
      <c r="AM14" s="79"/>
      <c r="AN14" s="79"/>
      <c r="AO14" s="79"/>
      <c r="AP14" s="79"/>
      <c r="AQ14" s="79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79"/>
      <c r="BF14" s="79"/>
      <c r="BG14" s="79"/>
      <c r="BH14" s="79"/>
      <c r="BI14" s="79"/>
      <c r="BJ14" s="79"/>
      <c r="BK14" s="79"/>
      <c r="BL14" s="79"/>
      <c r="BM14" s="79"/>
      <c r="BN14" s="90">
        <f t="shared" si="0"/>
        <v>1000</v>
      </c>
    </row>
    <row r="15" s="3" customFormat="1" customHeight="1" spans="1:68">
      <c r="A15" s="66" t="s">
        <v>626</v>
      </c>
      <c r="B15" s="14" t="s">
        <v>627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95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5"/>
      <c r="AI15" s="15"/>
      <c r="AJ15" s="15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86">
        <f t="shared" si="0"/>
        <v>0</v>
      </c>
    </row>
    <row r="16" s="3" customFormat="1" customHeight="1" spans="1:68">
      <c r="A16" s="42" t="s">
        <v>114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96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9"/>
      <c r="AI16" s="19"/>
      <c r="AJ16" s="19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86">
        <f t="shared" si="0"/>
        <v>0</v>
      </c>
    </row>
    <row r="17" s="3" customFormat="1" customHeight="1" spans="1:66">
      <c r="A17" s="42" t="s">
        <v>106</v>
      </c>
      <c r="B17" s="18" t="s">
        <v>107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96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9"/>
      <c r="AI17" s="19"/>
      <c r="AJ17" s="19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86">
        <f t="shared" si="0"/>
        <v>0</v>
      </c>
    </row>
    <row r="18" s="3" customFormat="1" customHeight="1" spans="1:66">
      <c r="A18" s="42" t="s">
        <v>629</v>
      </c>
      <c r="B18" s="18" t="s">
        <v>630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96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9"/>
      <c r="AI18" s="19"/>
      <c r="AJ18" s="19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20"/>
      <c r="BK18" s="18"/>
      <c r="BL18" s="18"/>
      <c r="BM18" s="18"/>
      <c r="BN18" s="86">
        <f t="shared" si="0"/>
        <v>0</v>
      </c>
    </row>
    <row r="19" s="3" customFormat="1" customHeight="1" spans="1:66">
      <c r="A19" s="42" t="s">
        <v>18</v>
      </c>
      <c r="B19" s="18" t="s">
        <v>631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96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9"/>
      <c r="AI19" s="19"/>
      <c r="AJ19" s="19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20"/>
      <c r="BK19" s="18"/>
      <c r="BL19" s="18"/>
      <c r="BM19" s="18"/>
      <c r="BN19" s="86">
        <f t="shared" si="0"/>
        <v>0</v>
      </c>
    </row>
    <row r="20" customHeight="1" spans="1:66">
      <c r="A20" s="16" t="s">
        <v>33</v>
      </c>
      <c r="B20" s="17" t="s">
        <v>632</v>
      </c>
      <c r="C20" s="18"/>
      <c r="D20" s="18"/>
      <c r="E20" s="18">
        <v>1000</v>
      </c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96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9"/>
      <c r="AI20" s="19"/>
      <c r="AJ20" s="19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20"/>
      <c r="BK20" s="18"/>
      <c r="BL20" s="18"/>
      <c r="BM20" s="18"/>
      <c r="BN20" s="97">
        <f t="shared" si="0"/>
        <v>1000</v>
      </c>
    </row>
    <row r="21" customHeight="1" spans="1:66">
      <c r="A21" s="16" t="s">
        <v>69</v>
      </c>
      <c r="B21" s="17" t="s">
        <v>633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96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9"/>
      <c r="AI21" s="19"/>
      <c r="AJ21" s="19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20"/>
      <c r="BK21" s="18"/>
      <c r="BL21" s="18"/>
      <c r="BM21" s="18"/>
      <c r="BN21" s="86">
        <f t="shared" si="0"/>
        <v>0</v>
      </c>
    </row>
    <row r="22" customHeight="1" spans="1:66">
      <c r="A22" s="16" t="s">
        <v>634</v>
      </c>
      <c r="B22" s="17" t="s">
        <v>635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96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9"/>
      <c r="AI22" s="19"/>
      <c r="AJ22" s="19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20"/>
      <c r="BK22" s="18"/>
      <c r="BL22" s="18"/>
      <c r="BM22" s="18"/>
      <c r="BN22" s="86">
        <f t="shared" si="0"/>
        <v>0</v>
      </c>
    </row>
    <row r="23" customHeight="1" spans="1:66">
      <c r="A23" s="16" t="s">
        <v>155</v>
      </c>
      <c r="B23" s="17" t="s">
        <v>636</v>
      </c>
      <c r="C23" s="18"/>
      <c r="D23" s="18"/>
      <c r="E23" s="18">
        <v>700</v>
      </c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96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9"/>
      <c r="AI23" s="19"/>
      <c r="AJ23" s="19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20"/>
      <c r="BK23" s="18"/>
      <c r="BL23" s="18"/>
      <c r="BM23" s="18"/>
      <c r="BN23" s="90">
        <f t="shared" si="0"/>
        <v>700</v>
      </c>
    </row>
    <row r="24" customHeight="1" spans="1:66">
      <c r="A24" s="16" t="s">
        <v>193</v>
      </c>
      <c r="B24" s="17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96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9"/>
      <c r="AI24" s="19"/>
      <c r="AJ24" s="19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20"/>
      <c r="BK24" s="18"/>
      <c r="BL24" s="18"/>
      <c r="BM24" s="18"/>
      <c r="BN24" s="86">
        <f t="shared" si="0"/>
        <v>0</v>
      </c>
    </row>
    <row r="25" customHeight="1" spans="1:66">
      <c r="A25" s="16" t="s">
        <v>35</v>
      </c>
      <c r="B25" s="17" t="s">
        <v>638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>
        <v>1000</v>
      </c>
      <c r="N25" s="18"/>
      <c r="O25" s="18"/>
      <c r="P25" s="18"/>
      <c r="Q25" s="18"/>
      <c r="R25" s="18"/>
      <c r="S25" s="18"/>
      <c r="T25" s="18"/>
      <c r="U25" s="18"/>
      <c r="V25" s="96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9"/>
      <c r="AI25" s="19"/>
      <c r="AJ25" s="19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20"/>
      <c r="BK25" s="18"/>
      <c r="BL25" s="18"/>
      <c r="BM25" s="18"/>
      <c r="BN25" s="97">
        <f t="shared" si="0"/>
        <v>1000</v>
      </c>
    </row>
    <row r="26" customHeight="1" spans="1:66">
      <c r="A26" s="16" t="s">
        <v>234</v>
      </c>
      <c r="B26" s="17" t="s">
        <v>639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96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9"/>
      <c r="AI26" s="19"/>
      <c r="AJ26" s="19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20"/>
      <c r="BK26" s="18"/>
      <c r="BL26" s="18"/>
      <c r="BM26" s="18"/>
      <c r="BN26" s="86">
        <f t="shared" si="0"/>
        <v>0</v>
      </c>
    </row>
    <row r="27" customHeight="1" spans="1:66">
      <c r="A27" s="16" t="s">
        <v>175</v>
      </c>
      <c r="B27" s="17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96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9"/>
      <c r="AI27" s="19"/>
      <c r="AJ27" s="19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20"/>
      <c r="BK27" s="18"/>
      <c r="BL27" s="18"/>
      <c r="BM27" s="18"/>
      <c r="BN27" s="86">
        <f t="shared" si="0"/>
        <v>0</v>
      </c>
    </row>
    <row r="28" customHeight="1" spans="1:66">
      <c r="A28" s="16" t="s">
        <v>165</v>
      </c>
      <c r="B28" s="17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>
        <v>1000</v>
      </c>
      <c r="N28" s="18"/>
      <c r="O28" s="18"/>
      <c r="P28" s="18"/>
      <c r="Q28" s="18"/>
      <c r="R28" s="18"/>
      <c r="S28" s="18"/>
      <c r="T28" s="18"/>
      <c r="U28" s="18"/>
      <c r="V28" s="96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9"/>
      <c r="AI28" s="19"/>
      <c r="AJ28" s="19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20"/>
      <c r="BK28" s="18"/>
      <c r="BL28" s="18"/>
      <c r="BM28" s="18"/>
      <c r="BN28" s="90">
        <f t="shared" si="0"/>
        <v>1000</v>
      </c>
    </row>
    <row r="29" customHeight="1" spans="1:66">
      <c r="A29" s="16" t="s">
        <v>109</v>
      </c>
      <c r="B29" s="17" t="s">
        <v>110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96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9"/>
      <c r="AI29" s="19"/>
      <c r="AJ29" s="19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86">
        <f t="shared" si="0"/>
        <v>0</v>
      </c>
    </row>
    <row r="30" customHeight="1" spans="1:66">
      <c r="A30" s="16" t="s">
        <v>103</v>
      </c>
      <c r="B30" s="17" t="s">
        <v>647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96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9"/>
      <c r="AI30" s="19"/>
      <c r="AJ30" s="19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86">
        <f t="shared" si="0"/>
        <v>0</v>
      </c>
    </row>
    <row r="31" customHeight="1" spans="1:66">
      <c r="A31" s="16" t="s">
        <v>177</v>
      </c>
      <c r="B31" s="17" t="s">
        <v>648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96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9"/>
      <c r="AI31" s="19"/>
      <c r="AJ31" s="19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86">
        <f t="shared" si="0"/>
        <v>0</v>
      </c>
    </row>
    <row r="32" customHeight="1" spans="1:66">
      <c r="A32" s="16" t="s">
        <v>37</v>
      </c>
      <c r="B32" s="17" t="s">
        <v>649</v>
      </c>
      <c r="C32" s="18"/>
      <c r="D32" s="18"/>
      <c r="E32" s="18">
        <v>300</v>
      </c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96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9"/>
      <c r="AI32" s="19"/>
      <c r="AJ32" s="19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97">
        <f t="shared" si="0"/>
        <v>300</v>
      </c>
    </row>
    <row r="33" customHeight="1" spans="1:66">
      <c r="A33" s="16" t="s">
        <v>173</v>
      </c>
      <c r="B33" s="17" t="s">
        <v>650</v>
      </c>
      <c r="C33" s="18"/>
      <c r="D33" s="18"/>
      <c r="E33" s="18"/>
      <c r="F33" s="18"/>
      <c r="G33" s="18"/>
      <c r="H33" s="18"/>
      <c r="I33" s="18"/>
      <c r="J33" s="18">
        <v>6050</v>
      </c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96">
        <v>8000</v>
      </c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9"/>
      <c r="AI33" s="19"/>
      <c r="AJ33" s="19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86">
        <f t="shared" si="0"/>
        <v>14050</v>
      </c>
    </row>
    <row r="34" customHeight="1" spans="1:66">
      <c r="A34" s="16" t="s">
        <v>651</v>
      </c>
      <c r="B34" s="21" t="s">
        <v>652</v>
      </c>
      <c r="C34" s="22"/>
      <c r="D34" s="22"/>
      <c r="E34" s="22"/>
      <c r="F34" s="22"/>
      <c r="G34" s="22"/>
      <c r="H34" s="22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96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9"/>
      <c r="AI34" s="19"/>
      <c r="AJ34" s="19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86">
        <f t="shared" si="0"/>
        <v>0</v>
      </c>
    </row>
    <row r="35" customHeight="1" spans="1:66">
      <c r="A35" s="16" t="s">
        <v>144</v>
      </c>
      <c r="B35" s="21" t="s">
        <v>653</v>
      </c>
      <c r="C35" s="22"/>
      <c r="D35" s="22"/>
      <c r="E35" s="22"/>
      <c r="F35" s="22"/>
      <c r="G35" s="22"/>
      <c r="H35" s="22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96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9"/>
      <c r="AI35" s="19"/>
      <c r="AJ35" s="19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86">
        <f t="shared" si="0"/>
        <v>0</v>
      </c>
    </row>
    <row r="36" customHeight="1" spans="1:66">
      <c r="A36" s="16" t="s">
        <v>187</v>
      </c>
      <c r="B36" s="17" t="s">
        <v>654</v>
      </c>
      <c r="C36" s="18"/>
      <c r="D36" s="18">
        <v>925</v>
      </c>
      <c r="E36" s="18"/>
      <c r="F36" s="18"/>
      <c r="G36" s="18"/>
      <c r="H36" s="18">
        <v>200</v>
      </c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96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9"/>
      <c r="AI36" s="19"/>
      <c r="AJ36" s="19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86">
        <f t="shared" si="0"/>
        <v>1125</v>
      </c>
    </row>
    <row r="37" customHeight="1" spans="1:66">
      <c r="A37" s="16" t="s">
        <v>51</v>
      </c>
      <c r="B37" s="17" t="s">
        <v>656</v>
      </c>
      <c r="C37" s="18"/>
      <c r="D37" s="18"/>
      <c r="E37" s="18"/>
      <c r="F37" s="18"/>
      <c r="G37" s="18"/>
      <c r="H37" s="18"/>
      <c r="I37" s="18"/>
      <c r="J37" s="18"/>
      <c r="K37" s="18">
        <v>8000</v>
      </c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96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9"/>
      <c r="AI37" s="19"/>
      <c r="AJ37" s="19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86">
        <f t="shared" si="0"/>
        <v>8000</v>
      </c>
    </row>
    <row r="38" customHeight="1" spans="1:66">
      <c r="A38" s="16" t="s">
        <v>218</v>
      </c>
      <c r="B38" s="17" t="s">
        <v>658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96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9"/>
      <c r="AI38" s="19"/>
      <c r="AJ38" s="19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86">
        <f t="shared" si="0"/>
        <v>0</v>
      </c>
    </row>
    <row r="39" customHeight="1" spans="1:66">
      <c r="A39" s="16" t="s">
        <v>135</v>
      </c>
      <c r="B39" s="17" t="s">
        <v>659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96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9"/>
      <c r="AI39" s="19"/>
      <c r="AJ39" s="19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86">
        <f t="shared" si="0"/>
        <v>0</v>
      </c>
    </row>
    <row r="40" customHeight="1" spans="1:66">
      <c r="A40" s="16" t="s">
        <v>22</v>
      </c>
      <c r="B40" s="17" t="s">
        <v>652</v>
      </c>
      <c r="C40" s="18"/>
      <c r="D40" s="18"/>
      <c r="E40" s="18"/>
      <c r="F40" s="18"/>
      <c r="G40" s="18"/>
      <c r="H40" s="18"/>
      <c r="I40" s="18"/>
      <c r="J40" s="18"/>
      <c r="K40" s="18">
        <v>2500</v>
      </c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96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9"/>
      <c r="AI40" s="19"/>
      <c r="AJ40" s="19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97">
        <f t="shared" si="0"/>
        <v>2500</v>
      </c>
    </row>
    <row r="41" customHeight="1" spans="1:66">
      <c r="A41" s="16" t="s">
        <v>660</v>
      </c>
      <c r="B41" s="17" t="s">
        <v>655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96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9"/>
      <c r="AI41" s="19"/>
      <c r="AJ41" s="19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86">
        <f t="shared" si="0"/>
        <v>0</v>
      </c>
    </row>
    <row r="42" customHeight="1" spans="1:66">
      <c r="A42" s="16" t="s">
        <v>661</v>
      </c>
      <c r="B42" s="17" t="s">
        <v>653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96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9"/>
      <c r="AI42" s="19"/>
      <c r="AJ42" s="19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86">
        <f t="shared" si="0"/>
        <v>0</v>
      </c>
    </row>
    <row r="43" customHeight="1" spans="1:66">
      <c r="A43" s="16" t="s">
        <v>662</v>
      </c>
      <c r="B43" s="17" t="s">
        <v>663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96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9"/>
      <c r="AI43" s="19"/>
      <c r="AJ43" s="19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86">
        <f t="shared" si="0"/>
        <v>0</v>
      </c>
    </row>
    <row r="44" customHeight="1" spans="1:66">
      <c r="A44" s="16" t="s">
        <v>666</v>
      </c>
      <c r="B44" s="17" t="s">
        <v>667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96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9"/>
      <c r="AI44" s="19"/>
      <c r="AJ44" s="19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86">
        <f t="shared" si="0"/>
        <v>0</v>
      </c>
    </row>
    <row r="45" customHeight="1" spans="1:66">
      <c r="A45" s="16" t="s">
        <v>668</v>
      </c>
      <c r="B45" s="17" t="s">
        <v>669</v>
      </c>
      <c r="C45" s="18"/>
      <c r="D45" s="18"/>
      <c r="E45" s="18"/>
      <c r="F45" s="18"/>
      <c r="G45" s="18"/>
      <c r="H45" s="18"/>
      <c r="I45" s="18"/>
      <c r="J45" s="18">
        <v>500</v>
      </c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96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9"/>
      <c r="AI45" s="19"/>
      <c r="AJ45" s="19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90">
        <f t="shared" si="0"/>
        <v>500</v>
      </c>
    </row>
    <row r="46" customHeight="1" spans="1:66">
      <c r="A46" s="16" t="s">
        <v>670</v>
      </c>
      <c r="B46" s="17" t="s">
        <v>671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96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9"/>
      <c r="AI46" s="19"/>
      <c r="AJ46" s="19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86">
        <f t="shared" si="0"/>
        <v>0</v>
      </c>
    </row>
    <row r="47" customHeight="1" spans="1:66">
      <c r="A47" s="16" t="s">
        <v>672</v>
      </c>
      <c r="B47" s="17" t="s">
        <v>671</v>
      </c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96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9"/>
      <c r="AI47" s="19"/>
      <c r="AJ47" s="19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86">
        <f t="shared" si="0"/>
        <v>0</v>
      </c>
    </row>
    <row r="48" customHeight="1" spans="1:66">
      <c r="A48" s="16" t="s">
        <v>673</v>
      </c>
      <c r="B48" s="17" t="s">
        <v>674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96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9"/>
      <c r="AI48" s="19"/>
      <c r="AJ48" s="19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86">
        <f t="shared" si="0"/>
        <v>0</v>
      </c>
    </row>
    <row r="49" customHeight="1" spans="1:66">
      <c r="A49" s="16" t="s">
        <v>675</v>
      </c>
      <c r="B49" s="17" t="s">
        <v>676</v>
      </c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96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9"/>
      <c r="AI49" s="19"/>
      <c r="AJ49" s="19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86">
        <f t="shared" si="0"/>
        <v>0</v>
      </c>
    </row>
    <row r="50" customHeight="1" spans="1:66">
      <c r="A50" s="16" t="s">
        <v>677</v>
      </c>
      <c r="B50" s="17" t="s">
        <v>678</v>
      </c>
      <c r="C50" s="18"/>
      <c r="D50" s="18"/>
      <c r="E50" s="18"/>
      <c r="F50" s="18"/>
      <c r="G50" s="18"/>
      <c r="H50" s="18"/>
      <c r="I50" s="18"/>
      <c r="J50" s="18">
        <v>500</v>
      </c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96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9"/>
      <c r="AI50" s="19"/>
      <c r="AJ50" s="19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90">
        <f t="shared" si="0"/>
        <v>500</v>
      </c>
    </row>
    <row r="51" customHeight="1" spans="1:66">
      <c r="A51" s="16" t="s">
        <v>679</v>
      </c>
      <c r="B51" s="17" t="s">
        <v>680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96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9"/>
      <c r="AI51" s="19"/>
      <c r="AJ51" s="19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86">
        <f t="shared" si="0"/>
        <v>0</v>
      </c>
    </row>
    <row r="52" customHeight="1" spans="1:66">
      <c r="A52" s="16" t="s">
        <v>681</v>
      </c>
      <c r="B52" s="17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96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9"/>
      <c r="AI52" s="19"/>
      <c r="AJ52" s="19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86">
        <f t="shared" si="0"/>
        <v>0</v>
      </c>
    </row>
    <row r="53" customHeight="1" spans="1:66">
      <c r="A53" s="16" t="s">
        <v>682</v>
      </c>
      <c r="B53" s="17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96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9"/>
      <c r="AI53" s="19"/>
      <c r="AJ53" s="19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86">
        <f t="shared" si="0"/>
        <v>0</v>
      </c>
    </row>
    <row r="54" customHeight="1" spans="1:66">
      <c r="A54" s="16" t="s">
        <v>683</v>
      </c>
      <c r="B54" s="17" t="s">
        <v>684</v>
      </c>
      <c r="C54" s="18"/>
      <c r="D54" s="18"/>
      <c r="E54" s="18"/>
      <c r="F54" s="18"/>
      <c r="G54" s="18">
        <v>150</v>
      </c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96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9"/>
      <c r="AI54" s="19"/>
      <c r="AJ54" s="19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90">
        <f t="shared" si="0"/>
        <v>150</v>
      </c>
    </row>
    <row r="55" customHeight="1" spans="1:66">
      <c r="A55" s="16" t="s">
        <v>685</v>
      </c>
      <c r="B55" s="17" t="s">
        <v>686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96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9"/>
      <c r="AI55" s="19"/>
      <c r="AJ55" s="19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86">
        <f t="shared" si="0"/>
        <v>0</v>
      </c>
    </row>
    <row r="56" customHeight="1" spans="1:66">
      <c r="A56" s="16" t="s">
        <v>687</v>
      </c>
      <c r="B56" s="17" t="s">
        <v>688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96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9"/>
      <c r="AI56" s="19"/>
      <c r="AJ56" s="19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86">
        <f t="shared" si="0"/>
        <v>0</v>
      </c>
    </row>
    <row r="57" customHeight="1" spans="1:66">
      <c r="A57" s="16" t="s">
        <v>691</v>
      </c>
      <c r="B57" s="17" t="s">
        <v>692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96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9"/>
      <c r="AI57" s="19"/>
      <c r="AJ57" s="19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86">
        <f t="shared" si="0"/>
        <v>0</v>
      </c>
    </row>
    <row r="58" customHeight="1" spans="1:66">
      <c r="A58" s="16" t="s">
        <v>693</v>
      </c>
      <c r="B58" s="17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96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9"/>
      <c r="AI58" s="19"/>
      <c r="AJ58" s="19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86">
        <f t="shared" si="0"/>
        <v>0</v>
      </c>
    </row>
    <row r="59" customHeight="1" spans="1:66">
      <c r="A59" s="16" t="s">
        <v>694</v>
      </c>
      <c r="B59" s="17" t="s">
        <v>695</v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96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9"/>
      <c r="AI59" s="19"/>
      <c r="AJ59" s="19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86">
        <f t="shared" si="0"/>
        <v>0</v>
      </c>
    </row>
    <row r="60" customHeight="1" spans="1:66">
      <c r="A60" s="16" t="s">
        <v>778</v>
      </c>
      <c r="B60" s="17" t="s">
        <v>779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96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9"/>
      <c r="AI60" s="19"/>
      <c r="AJ60" s="19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86">
        <f t="shared" si="0"/>
        <v>0</v>
      </c>
    </row>
    <row r="61" customHeight="1" spans="1:66">
      <c r="A61" s="16" t="s">
        <v>699</v>
      </c>
      <c r="B61" s="21" t="s">
        <v>700</v>
      </c>
      <c r="C61" s="22"/>
      <c r="D61" s="22"/>
      <c r="E61" s="22"/>
      <c r="F61" s="22"/>
      <c r="G61" s="22"/>
      <c r="H61" s="22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96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9"/>
      <c r="AI61" s="19"/>
      <c r="AJ61" s="19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86">
        <f t="shared" si="0"/>
        <v>0</v>
      </c>
    </row>
    <row r="62" customHeight="1" spans="1:66">
      <c r="A62" s="16" t="s">
        <v>701</v>
      </c>
      <c r="B62" s="17" t="s">
        <v>702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96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9"/>
      <c r="AI62" s="19"/>
      <c r="AJ62" s="19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86">
        <f t="shared" si="0"/>
        <v>0</v>
      </c>
    </row>
    <row r="63" customHeight="1" spans="1:66">
      <c r="A63" s="16" t="s">
        <v>701</v>
      </c>
      <c r="B63" s="21" t="s">
        <v>780</v>
      </c>
      <c r="C63" s="22"/>
      <c r="D63" s="22"/>
      <c r="E63" s="22"/>
      <c r="F63" s="22"/>
      <c r="G63" s="22"/>
      <c r="H63" s="22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96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9"/>
      <c r="AI63" s="19"/>
      <c r="AJ63" s="19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86">
        <f t="shared" si="0"/>
        <v>0</v>
      </c>
    </row>
    <row r="64" customHeight="1" spans="1:66">
      <c r="A64" s="16" t="s">
        <v>784</v>
      </c>
      <c r="B64" s="17" t="s">
        <v>730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96">
        <v>24000</v>
      </c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9"/>
      <c r="AI64" s="19"/>
      <c r="AJ64" s="19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97" t="s">
        <v>794</v>
      </c>
    </row>
    <row r="65" customHeight="1" spans="1:66">
      <c r="A65" s="16" t="s">
        <v>706</v>
      </c>
      <c r="B65" s="21" t="s">
        <v>707</v>
      </c>
      <c r="C65" s="22"/>
      <c r="D65" s="22"/>
      <c r="E65" s="22"/>
      <c r="F65" s="22"/>
      <c r="G65" s="22"/>
      <c r="H65" s="22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96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9"/>
      <c r="AI65" s="19"/>
      <c r="AJ65" s="19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86">
        <f t="shared" si="0"/>
        <v>0</v>
      </c>
    </row>
    <row r="66" customHeight="1" spans="1:66">
      <c r="A66" s="16" t="s">
        <v>123</v>
      </c>
      <c r="B66" s="21" t="s">
        <v>708</v>
      </c>
      <c r="C66" s="22">
        <v>9200</v>
      </c>
      <c r="D66" s="22"/>
      <c r="E66" s="22">
        <v>23000</v>
      </c>
      <c r="F66" s="22"/>
      <c r="G66" s="22"/>
      <c r="H66" s="22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96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9"/>
      <c r="AI66" s="19"/>
      <c r="AJ66" s="19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90">
        <f t="shared" si="0"/>
        <v>32200</v>
      </c>
    </row>
    <row r="67" customHeight="1" spans="1:66">
      <c r="A67" s="16" t="s">
        <v>117</v>
      </c>
      <c r="B67" s="21" t="s">
        <v>709</v>
      </c>
      <c r="C67" s="22">
        <v>9000</v>
      </c>
      <c r="D67" s="22"/>
      <c r="E67" s="22">
        <v>21000</v>
      </c>
      <c r="F67" s="22"/>
      <c r="G67" s="22"/>
      <c r="H67" s="22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96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9"/>
      <c r="AI67" s="19"/>
      <c r="AJ67" s="19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90">
        <f t="shared" si="0"/>
        <v>30000</v>
      </c>
    </row>
    <row r="68" customHeight="1" spans="1:66">
      <c r="A68" s="16" t="s">
        <v>120</v>
      </c>
      <c r="B68" s="21" t="s">
        <v>710</v>
      </c>
      <c r="C68" s="22">
        <v>10200</v>
      </c>
      <c r="D68" s="22"/>
      <c r="E68" s="22">
        <v>22800</v>
      </c>
      <c r="F68" s="22"/>
      <c r="G68" s="22"/>
      <c r="H68" s="22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96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9"/>
      <c r="AI68" s="19"/>
      <c r="AJ68" s="19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90">
        <f t="shared" ref="BN68:BN95" si="1">BM68+BL68+BK68+BJ68+BI68+BH68+BG68+BF68+BE68+BD68+BC68+BB68+BA68+AZ68+AY68+AX68+AW68+AV68+AU68+AT68+AS68+AR68+AQ68+AP68+AO68+AN68+AM68+AL68+AK68+AJ68+AI68+AH68+AG68+AF68+AE68+AD68+AC68+AB68+AA68+Z68+Y68+X68+W68+V68+U68+T68+S68+R68+Q68+P68+O68+N68+M68+L68+K68+J68+I68+H68+G68+F68+E68+D68+C68</f>
        <v>33000</v>
      </c>
    </row>
    <row r="69" customHeight="1" spans="1:66">
      <c r="A69" s="16" t="s">
        <v>65</v>
      </c>
      <c r="B69" s="21" t="s">
        <v>713</v>
      </c>
      <c r="C69" s="22"/>
      <c r="D69" s="22"/>
      <c r="E69" s="22"/>
      <c r="F69" s="22"/>
      <c r="G69" s="22"/>
      <c r="H69" s="22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96">
        <v>20000</v>
      </c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9"/>
      <c r="AI69" s="19"/>
      <c r="AJ69" s="19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97" t="s">
        <v>795</v>
      </c>
    </row>
    <row r="70" customHeight="1" spans="1:66">
      <c r="A70" s="16" t="s">
        <v>781</v>
      </c>
      <c r="B70" s="21" t="s">
        <v>714</v>
      </c>
      <c r="C70" s="22"/>
      <c r="D70" s="22"/>
      <c r="E70" s="22"/>
      <c r="F70" s="22"/>
      <c r="G70" s="22"/>
      <c r="H70" s="22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96">
        <v>30000</v>
      </c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9"/>
      <c r="AI70" s="19"/>
      <c r="AJ70" s="19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97" t="s">
        <v>796</v>
      </c>
    </row>
    <row r="71" customHeight="1" spans="1:66">
      <c r="A71" s="16" t="s">
        <v>126</v>
      </c>
      <c r="B71" s="21" t="s">
        <v>789</v>
      </c>
      <c r="C71" s="22"/>
      <c r="D71" s="22"/>
      <c r="E71" s="22"/>
      <c r="F71" s="22"/>
      <c r="G71" s="22"/>
      <c r="H71" s="22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96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9"/>
      <c r="AI71" s="19"/>
      <c r="AJ71" s="19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86">
        <f t="shared" si="1"/>
        <v>0</v>
      </c>
    </row>
    <row r="72" customHeight="1" spans="1:66">
      <c r="A72" s="16" t="s">
        <v>181</v>
      </c>
      <c r="B72" s="21" t="s">
        <v>716</v>
      </c>
      <c r="C72" s="22"/>
      <c r="D72" s="22"/>
      <c r="E72" s="22"/>
      <c r="F72" s="22"/>
      <c r="G72" s="22"/>
      <c r="H72" s="22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96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9"/>
      <c r="AI72" s="19"/>
      <c r="AJ72" s="19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86">
        <f t="shared" si="1"/>
        <v>0</v>
      </c>
    </row>
    <row r="73" customHeight="1" spans="1:66">
      <c r="A73" s="16" t="s">
        <v>222</v>
      </c>
      <c r="B73" s="21" t="s">
        <v>718</v>
      </c>
      <c r="C73" s="22"/>
      <c r="D73" s="22"/>
      <c r="E73" s="22"/>
      <c r="F73" s="22"/>
      <c r="G73" s="22"/>
      <c r="H73" s="22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96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9"/>
      <c r="AI73" s="19"/>
      <c r="AJ73" s="19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86">
        <f t="shared" si="1"/>
        <v>0</v>
      </c>
    </row>
    <row r="74" customHeight="1" spans="1:66">
      <c r="A74" s="16" t="s">
        <v>785</v>
      </c>
      <c r="B74" s="17" t="s">
        <v>786</v>
      </c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96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9"/>
      <c r="AI74" s="19"/>
      <c r="AJ74" s="19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86">
        <f t="shared" si="1"/>
        <v>0</v>
      </c>
    </row>
    <row r="75" customHeight="1" spans="1:66">
      <c r="A75" s="16" t="s">
        <v>719</v>
      </c>
      <c r="B75" s="17" t="s">
        <v>720</v>
      </c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96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9"/>
      <c r="AI75" s="19"/>
      <c r="AJ75" s="19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86">
        <f t="shared" si="1"/>
        <v>0</v>
      </c>
    </row>
    <row r="76" customHeight="1" spans="1:66">
      <c r="A76" s="16" t="s">
        <v>206</v>
      </c>
      <c r="B76" s="17" t="s">
        <v>721</v>
      </c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96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9"/>
      <c r="AI76" s="19"/>
      <c r="AJ76" s="19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86">
        <f t="shared" si="1"/>
        <v>0</v>
      </c>
    </row>
    <row r="77" customHeight="1" spans="1:66">
      <c r="A77" s="16" t="s">
        <v>202</v>
      </c>
      <c r="B77" s="17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96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9"/>
      <c r="AI77" s="19"/>
      <c r="AJ77" s="19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86">
        <f t="shared" si="1"/>
        <v>0</v>
      </c>
    </row>
    <row r="78" customHeight="1" spans="1:66">
      <c r="A78" s="16" t="s">
        <v>208</v>
      </c>
      <c r="B78" s="17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96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9"/>
      <c r="AI78" s="19"/>
      <c r="AJ78" s="19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86">
        <f t="shared" si="1"/>
        <v>0</v>
      </c>
    </row>
    <row r="79" customHeight="1" spans="1:66">
      <c r="A79" s="16" t="s">
        <v>157</v>
      </c>
      <c r="B79" s="17" t="s">
        <v>725</v>
      </c>
      <c r="C79" s="18"/>
      <c r="D79" s="18"/>
      <c r="E79" s="18">
        <v>15000</v>
      </c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96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9"/>
      <c r="AI79" s="19"/>
      <c r="AJ79" s="19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90">
        <f t="shared" si="1"/>
        <v>15000</v>
      </c>
    </row>
    <row r="80" customHeight="1" spans="1:66">
      <c r="A80" s="16" t="s">
        <v>210</v>
      </c>
      <c r="B80" s="17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96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9"/>
      <c r="AI80" s="19"/>
      <c r="AJ80" s="19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86">
        <f t="shared" si="1"/>
        <v>0</v>
      </c>
    </row>
    <row r="81" customHeight="1" spans="1:68">
      <c r="A81" s="16" t="s">
        <v>49</v>
      </c>
      <c r="B81" s="17" t="s">
        <v>730</v>
      </c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96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9"/>
      <c r="AI81" s="19"/>
      <c r="AJ81" s="19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86">
        <f t="shared" si="1"/>
        <v>0</v>
      </c>
      <c r="BO81" s="3"/>
    </row>
    <row r="82" customHeight="1" spans="1:68">
      <c r="A82" s="16" t="s">
        <v>112</v>
      </c>
      <c r="B82" s="17" t="s">
        <v>731</v>
      </c>
      <c r="C82" s="19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96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9"/>
      <c r="AI82" s="19"/>
      <c r="AJ82" s="19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23"/>
      <c r="BF82" s="23"/>
      <c r="BG82" s="18"/>
      <c r="BH82" s="18"/>
      <c r="BI82" s="18"/>
      <c r="BJ82" s="18"/>
      <c r="BK82" s="19"/>
      <c r="BL82" s="18"/>
      <c r="BM82" s="18"/>
      <c r="BN82" s="86">
        <f t="shared" si="1"/>
        <v>0</v>
      </c>
    </row>
    <row r="83" customHeight="1" spans="1:68">
      <c r="A83" s="16" t="s">
        <v>184</v>
      </c>
      <c r="B83" s="76" t="s">
        <v>732</v>
      </c>
      <c r="C83" s="19"/>
      <c r="D83" s="18"/>
      <c r="E83" s="18"/>
      <c r="F83" s="18"/>
      <c r="G83" s="18"/>
      <c r="H83" s="18"/>
      <c r="I83" s="18"/>
      <c r="J83" s="18">
        <v>5000</v>
      </c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96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9"/>
      <c r="AI83" s="19"/>
      <c r="AJ83" s="19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23"/>
      <c r="BF83" s="23"/>
      <c r="BG83" s="18"/>
      <c r="BH83" s="18"/>
      <c r="BI83" s="18"/>
      <c r="BJ83" s="18"/>
      <c r="BK83" s="19"/>
      <c r="BL83" s="18"/>
      <c r="BM83" s="18"/>
      <c r="BN83" s="90">
        <f t="shared" si="1"/>
        <v>5000</v>
      </c>
    </row>
    <row r="84" customHeight="1" spans="1:68">
      <c r="A84" s="16" t="s">
        <v>129</v>
      </c>
      <c r="B84" s="76" t="s">
        <v>726</v>
      </c>
      <c r="C84" s="19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96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9"/>
      <c r="AI84" s="19"/>
      <c r="AJ84" s="19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23"/>
      <c r="BF84" s="23"/>
      <c r="BG84" s="18"/>
      <c r="BH84" s="18"/>
      <c r="BI84" s="18"/>
      <c r="BJ84" s="18"/>
      <c r="BK84" s="19"/>
      <c r="BL84" s="18"/>
      <c r="BM84" s="18"/>
      <c r="BN84" s="86">
        <f t="shared" si="1"/>
        <v>0</v>
      </c>
    </row>
    <row r="85" customHeight="1" spans="1:68">
      <c r="A85" s="16" t="s">
        <v>132</v>
      </c>
      <c r="B85" s="76" t="s">
        <v>727</v>
      </c>
      <c r="C85" s="19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96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9"/>
      <c r="AI85" s="19"/>
      <c r="AJ85" s="19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23"/>
      <c r="BF85" s="23"/>
      <c r="BG85" s="18"/>
      <c r="BH85" s="18"/>
      <c r="BI85" s="18"/>
      <c r="BJ85" s="18"/>
      <c r="BK85" s="19"/>
      <c r="BL85" s="18"/>
      <c r="BM85" s="18"/>
      <c r="BN85" s="86">
        <f t="shared" si="1"/>
        <v>0</v>
      </c>
    </row>
    <row r="86" customHeight="1" spans="1:68">
      <c r="A86" s="16" t="s">
        <v>800</v>
      </c>
      <c r="B86" s="17" t="s">
        <v>717</v>
      </c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96"/>
      <c r="W86" s="18"/>
      <c r="X86" s="18"/>
      <c r="Y86" s="18"/>
      <c r="Z86" s="18"/>
      <c r="AA86" s="18"/>
      <c r="AB86" s="18"/>
      <c r="AC86" s="18"/>
      <c r="AD86" s="18"/>
      <c r="AE86" s="24"/>
      <c r="AF86" s="24"/>
      <c r="AG86" s="24"/>
      <c r="AH86" s="19"/>
      <c r="AI86" s="19"/>
      <c r="AJ86" s="19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9"/>
      <c r="BL86" s="18"/>
      <c r="BM86" s="18"/>
      <c r="BN86" s="86">
        <f t="shared" si="1"/>
        <v>0</v>
      </c>
    </row>
    <row r="87" customHeight="1" spans="1:68">
      <c r="A87" s="16" t="s">
        <v>195</v>
      </c>
      <c r="B87" s="17" t="s">
        <v>801</v>
      </c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96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9"/>
      <c r="AI87" s="19"/>
      <c r="AJ87" s="19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86">
        <f t="shared" si="1"/>
        <v>0</v>
      </c>
    </row>
    <row r="88" customHeight="1" spans="1:68">
      <c r="A88" s="82" t="s">
        <v>769</v>
      </c>
      <c r="B88" s="33" t="s">
        <v>40</v>
      </c>
      <c r="C88" s="34"/>
      <c r="D88" s="34"/>
      <c r="E88" s="34"/>
      <c r="F88" s="34"/>
      <c r="G88" s="34"/>
      <c r="H88" s="34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98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6"/>
      <c r="AI88" s="36"/>
      <c r="AJ88" s="36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5"/>
      <c r="BE88" s="35"/>
      <c r="BF88" s="35"/>
      <c r="BG88" s="35"/>
      <c r="BH88" s="35"/>
      <c r="BI88" s="35"/>
      <c r="BJ88" s="37"/>
      <c r="BK88" s="35"/>
      <c r="BL88" s="35"/>
      <c r="BM88" s="35"/>
      <c r="BN88" s="86"/>
    </row>
    <row r="89" customHeight="1" spans="1:68">
      <c r="A89" s="82" t="s">
        <v>770</v>
      </c>
      <c r="B89" s="33" t="s">
        <v>42</v>
      </c>
      <c r="C89" s="34"/>
      <c r="D89" s="34"/>
      <c r="E89" s="34"/>
      <c r="F89" s="34"/>
      <c r="G89" s="34"/>
      <c r="H89" s="34"/>
      <c r="I89" s="35">
        <v>10800</v>
      </c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98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6"/>
      <c r="AI89" s="36"/>
      <c r="AJ89" s="36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5"/>
      <c r="BE89" s="35"/>
      <c r="BF89" s="35"/>
      <c r="BG89" s="35"/>
      <c r="BH89" s="35"/>
      <c r="BI89" s="35"/>
      <c r="BJ89" s="37"/>
      <c r="BK89" s="35"/>
      <c r="BL89" s="35"/>
      <c r="BM89" s="35"/>
      <c r="BN89" s="97">
        <f t="shared" si="1"/>
        <v>10800</v>
      </c>
    </row>
    <row r="90" customHeight="1" spans="1:68">
      <c r="A90" s="82" t="s">
        <v>771</v>
      </c>
      <c r="B90" s="33" t="s">
        <v>735</v>
      </c>
      <c r="C90" s="34"/>
      <c r="D90" s="34"/>
      <c r="E90" s="34"/>
      <c r="F90" s="34">
        <v>7380</v>
      </c>
      <c r="G90" s="34"/>
      <c r="H90" s="34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98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6"/>
      <c r="AI90" s="36"/>
      <c r="AJ90" s="36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5"/>
      <c r="BE90" s="35"/>
      <c r="BF90" s="35"/>
      <c r="BG90" s="35"/>
      <c r="BH90" s="35"/>
      <c r="BI90" s="35"/>
      <c r="BJ90" s="35"/>
      <c r="BK90" s="35"/>
      <c r="BL90" s="35"/>
      <c r="BM90" s="35"/>
      <c r="BN90" s="97">
        <f t="shared" si="1"/>
        <v>7380</v>
      </c>
      <c r="BP90" s="88"/>
    </row>
    <row r="91" customHeight="1" spans="1:68">
      <c r="A91" s="82" t="s">
        <v>772</v>
      </c>
      <c r="B91" s="33" t="s">
        <v>737</v>
      </c>
      <c r="C91" s="34"/>
      <c r="D91" s="34"/>
      <c r="E91" s="34"/>
      <c r="F91" s="34"/>
      <c r="G91" s="34"/>
      <c r="H91" s="34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98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6"/>
      <c r="AI91" s="36"/>
      <c r="AJ91" s="36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  <c r="BD91" s="35"/>
      <c r="BE91" s="35"/>
      <c r="BF91" s="35"/>
      <c r="BG91" s="35"/>
      <c r="BH91" s="35"/>
      <c r="BI91" s="35"/>
      <c r="BJ91" s="35"/>
      <c r="BK91" s="35"/>
      <c r="BL91" s="35"/>
      <c r="BM91" s="35"/>
      <c r="BN91" s="97" t="s">
        <v>802</v>
      </c>
      <c r="BP91" s="88"/>
    </row>
    <row r="92" customHeight="1" spans="1:68">
      <c r="A92" s="82" t="s">
        <v>797</v>
      </c>
      <c r="B92" s="33" t="s">
        <v>736</v>
      </c>
      <c r="C92" s="34"/>
      <c r="D92" s="34"/>
      <c r="E92" s="34"/>
      <c r="F92" s="34">
        <v>7040</v>
      </c>
      <c r="G92" s="34"/>
      <c r="H92" s="34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98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6"/>
      <c r="AI92" s="36"/>
      <c r="AJ92" s="36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5"/>
      <c r="BE92" s="35"/>
      <c r="BF92" s="35"/>
      <c r="BG92" s="35"/>
      <c r="BH92" s="35"/>
      <c r="BI92" s="35"/>
      <c r="BJ92" s="35"/>
      <c r="BK92" s="35"/>
      <c r="BL92" s="35"/>
      <c r="BM92" s="35"/>
      <c r="BN92" s="97">
        <f t="shared" si="1"/>
        <v>7040</v>
      </c>
      <c r="BP92" s="88"/>
    </row>
    <row r="93" customHeight="1" spans="1:68">
      <c r="A93" s="82" t="s">
        <v>773</v>
      </c>
      <c r="B93" s="33" t="s">
        <v>734</v>
      </c>
      <c r="C93" s="34"/>
      <c r="D93" s="34"/>
      <c r="E93" s="34"/>
      <c r="F93" s="34">
        <v>15000</v>
      </c>
      <c r="G93" s="34"/>
      <c r="H93" s="34"/>
      <c r="I93" s="35"/>
      <c r="J93" s="35"/>
      <c r="K93" s="35"/>
      <c r="L93" s="35">
        <v>10000</v>
      </c>
      <c r="M93" s="35"/>
      <c r="N93" s="35"/>
      <c r="O93" s="35"/>
      <c r="P93" s="35"/>
      <c r="Q93" s="35"/>
      <c r="R93" s="35"/>
      <c r="S93" s="35"/>
      <c r="T93" s="35"/>
      <c r="U93" s="35"/>
      <c r="V93" s="98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6"/>
      <c r="AI93" s="36"/>
      <c r="AJ93" s="36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 s="35"/>
      <c r="BE93" s="35"/>
      <c r="BF93" s="35"/>
      <c r="BG93" s="35"/>
      <c r="BH93" s="35"/>
      <c r="BI93" s="35"/>
      <c r="BJ93" s="35"/>
      <c r="BK93" s="35"/>
      <c r="BL93" s="35"/>
      <c r="BM93" s="35"/>
      <c r="BN93" s="97">
        <f t="shared" si="1"/>
        <v>25000</v>
      </c>
      <c r="BP93" s="88"/>
    </row>
    <row r="94" customHeight="1" spans="1:68">
      <c r="A94" s="82" t="s">
        <v>774</v>
      </c>
      <c r="B94" s="33" t="s">
        <v>733</v>
      </c>
      <c r="C94" s="34"/>
      <c r="D94" s="34"/>
      <c r="E94" s="34"/>
      <c r="F94" s="34"/>
      <c r="G94" s="34"/>
      <c r="H94" s="34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98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6"/>
      <c r="AI94" s="36"/>
      <c r="AJ94" s="36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  <c r="BD94" s="35"/>
      <c r="BE94" s="35"/>
      <c r="BF94" s="35"/>
      <c r="BG94" s="35"/>
      <c r="BH94" s="35"/>
      <c r="BI94" s="35"/>
      <c r="BJ94" s="35"/>
      <c r="BK94" s="35"/>
      <c r="BL94" s="35"/>
      <c r="BM94" s="35"/>
      <c r="BN94" s="86">
        <f t="shared" si="1"/>
        <v>0</v>
      </c>
      <c r="BP94" s="88"/>
    </row>
    <row r="95" customHeight="1" spans="1:68">
      <c r="A95" s="82" t="s">
        <v>775</v>
      </c>
      <c r="B95" s="33" t="s">
        <v>738</v>
      </c>
      <c r="C95" s="34"/>
      <c r="D95" s="34"/>
      <c r="E95" s="34"/>
      <c r="F95" s="34"/>
      <c r="G95" s="34"/>
      <c r="H95" s="34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98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6"/>
      <c r="AI95" s="36"/>
      <c r="AJ95" s="36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  <c r="BD95" s="35"/>
      <c r="BE95" s="35"/>
      <c r="BF95" s="35"/>
      <c r="BG95" s="35"/>
      <c r="BH95" s="35"/>
      <c r="BI95" s="35"/>
      <c r="BJ95" s="35"/>
      <c r="BK95" s="35"/>
      <c r="BL95" s="35"/>
      <c r="BM95" s="35"/>
      <c r="BN95" s="86">
        <f t="shared" si="1"/>
        <v>0</v>
      </c>
      <c r="BP95" s="88"/>
    </row>
    <row r="96" customHeight="1" spans="1:68">
      <c r="C96" s="39"/>
      <c r="D96" s="40"/>
      <c r="E96" s="40"/>
      <c r="F96" s="40"/>
      <c r="G96" s="40"/>
      <c r="H96" s="40"/>
      <c r="I96" s="3"/>
      <c r="J96" s="3"/>
      <c r="BN96" s="14"/>
    </row>
    <row r="97" customHeight="1" spans="3:10">
      <c r="C97" s="40"/>
      <c r="D97" s="40"/>
      <c r="E97" s="40"/>
      <c r="F97" s="40"/>
      <c r="G97" s="40"/>
      <c r="H97" s="40"/>
      <c r="I97" s="3"/>
      <c r="J97" s="3"/>
    </row>
  </sheetData>
  <mergeCells count="1">
    <mergeCell ref="A1:BN1"/>
  </mergeCells>
  <pageMargins left="0.7" right="0.7" top="0.75" bottom="0.75" header="0.3" footer="0.3"/>
  <pageSetup paperSize="9" scale="65" orientation="portrait"/>
  <headerFooter/>
  <rowBreaks count="1" manualBreakCount="1">
    <brk id="87" max="40" man="1"/>
  </rowBreaks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97"/>
  <sheetViews>
    <sheetView zoomScale="164" zoomScaleNormal="164" workbookViewId="0">
      <pane xSplit="2" ySplit="2" topLeftCell="V6" activePane="bottomRight" state="frozen"/>
      <selection/>
      <selection pane="topRight"/>
      <selection pane="bottomLeft"/>
      <selection pane="bottomRight" activeCell="J32" sqref="J32"/>
    </sheetView>
  </sheetViews>
  <sheetFormatPr defaultColWidth="9" defaultRowHeight="20" customHeight="1"/>
  <cols>
    <col min="1" max="1" width="14.3333333333333" style="1" customWidth="1"/>
    <col min="2" max="2" width="23.1666666666667" style="1" customWidth="1"/>
    <col min="3" max="8" width="7.5" style="1" customWidth="1"/>
    <col min="9" max="10" width="8.33333333333333" customWidth="1"/>
    <col min="11" max="11" width="8.33333333333333" style="3" customWidth="1"/>
    <col min="12" max="12" width="7.5" style="3" customWidth="1"/>
    <col min="13" max="15" width="7" style="3" customWidth="1"/>
    <col min="16" max="16" width="7.83333333333333" style="3" customWidth="1"/>
    <col min="17" max="17" width="7.5" style="3" customWidth="1"/>
    <col min="18" max="18" width="7.16666666666667" style="3" customWidth="1"/>
    <col min="19" max="19" width="7.33333333333333" style="3" customWidth="1"/>
    <col min="20" max="20" width="7.83333333333333" style="3" customWidth="1"/>
    <col min="21" max="21" width="8.16666666666667" style="3" customWidth="1"/>
    <col min="22" max="22" width="7.66666666666667" style="3" customWidth="1"/>
    <col min="23" max="23" width="5.66666666666667" style="3" hidden="1" customWidth="1"/>
    <col min="24" max="24" width="7.66666666666667" style="3" hidden="1" customWidth="1"/>
    <col min="25" max="25" width="5.66666666666667" style="3" hidden="1" customWidth="1"/>
    <col min="26" max="26" width="6.66666666666667" style="3" hidden="1" customWidth="1"/>
    <col min="27" max="28" width="5.66666666666667" style="3" hidden="1" customWidth="1"/>
    <col min="29" max="30" width="7.33333333333333" style="3" hidden="1" customWidth="1"/>
    <col min="31" max="33" width="8.33333333333333" style="3" hidden="1" customWidth="1"/>
    <col min="34" max="36" width="7.66666666666667" style="41" hidden="1" customWidth="1"/>
    <col min="37" max="37" width="7.16666666666667" style="3" hidden="1" customWidth="1"/>
    <col min="38" max="38" width="6.83333333333333" style="3" hidden="1" customWidth="1"/>
    <col min="39" max="39" width="7.33333333333333" style="3" hidden="1" customWidth="1"/>
    <col min="40" max="40" width="7.66666666666667" style="3" hidden="1" customWidth="1"/>
    <col min="41" max="41" width="6.83333333333333" style="3" hidden="1" customWidth="1"/>
    <col min="42" max="42" width="8.5" style="3" hidden="1" customWidth="1"/>
    <col min="43" max="43" width="7.33333333333333" style="3" hidden="1" customWidth="1"/>
    <col min="44" max="44" width="8" style="3" hidden="1" customWidth="1"/>
    <col min="45" max="45" width="7.5" style="3" hidden="1" customWidth="1"/>
    <col min="46" max="50" width="5.66666666666667" style="3" hidden="1" customWidth="1"/>
    <col min="51" max="51" width="7.5" style="3" hidden="1" customWidth="1"/>
    <col min="52" max="52" width="5.66666666666667" style="3" hidden="1" customWidth="1"/>
    <col min="53" max="53" width="6.5" style="3" hidden="1" customWidth="1"/>
    <col min="54" max="61" width="5.66666666666667" style="3" hidden="1" customWidth="1"/>
    <col min="62" max="62" width="6.16666666666667" style="3" hidden="1" customWidth="1"/>
    <col min="63" max="65" width="5.66666666666667" style="3" hidden="1" customWidth="1"/>
    <col min="66" max="66" width="8" style="3" customWidth="1"/>
    <col min="68" max="68" width="17.1666666666667" customWidth="1"/>
  </cols>
  <sheetData>
    <row r="1" customHeight="1" spans="1:68">
      <c r="A1" s="4" t="s">
        <v>803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</row>
    <row r="2" customHeight="1" spans="1:68">
      <c r="A2" s="47" t="s">
        <v>596</v>
      </c>
      <c r="B2" s="48" t="s">
        <v>597</v>
      </c>
      <c r="C2" s="49">
        <v>44866</v>
      </c>
      <c r="D2" s="49">
        <v>44867</v>
      </c>
      <c r="E2" s="49">
        <v>44870</v>
      </c>
      <c r="F2" s="49">
        <v>44872</v>
      </c>
      <c r="G2" s="49">
        <v>44875</v>
      </c>
      <c r="H2" s="49">
        <v>44878</v>
      </c>
      <c r="I2" s="50">
        <v>44876</v>
      </c>
      <c r="J2" s="50">
        <v>44877</v>
      </c>
      <c r="K2" s="50">
        <v>44880</v>
      </c>
      <c r="L2" s="50">
        <v>44882</v>
      </c>
      <c r="M2" s="50">
        <v>44883</v>
      </c>
      <c r="N2" s="50">
        <v>44887</v>
      </c>
      <c r="O2" s="50">
        <v>44888</v>
      </c>
      <c r="P2" s="50">
        <v>44893</v>
      </c>
      <c r="Q2" s="50"/>
      <c r="R2" s="89"/>
      <c r="S2" s="89"/>
      <c r="T2" s="89"/>
      <c r="U2" s="89"/>
      <c r="V2" s="89"/>
      <c r="W2" s="85"/>
      <c r="X2" s="85"/>
      <c r="Y2" s="85"/>
      <c r="Z2" s="85"/>
      <c r="AA2" s="85"/>
      <c r="AB2" s="85"/>
      <c r="AC2" s="85"/>
      <c r="AD2" s="51"/>
      <c r="AE2" s="51"/>
      <c r="AF2" s="51"/>
      <c r="AG2" s="51"/>
      <c r="AH2" s="52"/>
      <c r="AI2" s="52"/>
      <c r="AJ2" s="52"/>
      <c r="AK2" s="51"/>
      <c r="AL2" s="51"/>
      <c r="AM2" s="51"/>
      <c r="AN2" s="51"/>
      <c r="AO2" s="51"/>
      <c r="AP2" s="51"/>
      <c r="AQ2" s="51"/>
      <c r="AR2" s="51"/>
      <c r="AS2" s="51"/>
      <c r="AT2" s="51"/>
      <c r="AU2" s="51"/>
      <c r="AV2" s="51"/>
      <c r="AW2" s="51"/>
      <c r="AX2" s="51"/>
      <c r="AY2" s="51"/>
      <c r="AZ2" s="51"/>
      <c r="BA2" s="51"/>
      <c r="BB2" s="51"/>
      <c r="BC2" s="51"/>
      <c r="BD2" s="51"/>
      <c r="BE2" s="51"/>
      <c r="BF2" s="51"/>
      <c r="BG2" s="51"/>
      <c r="BH2" s="51"/>
      <c r="BI2" s="51"/>
      <c r="BJ2" s="51"/>
      <c r="BK2" s="51"/>
      <c r="BL2" s="51"/>
      <c r="BM2" s="51"/>
      <c r="BN2" s="53" t="s">
        <v>598</v>
      </c>
      <c r="BO2" s="25"/>
      <c r="BP2" s="25"/>
    </row>
    <row r="3" s="44" customFormat="1" hidden="1" customHeight="1" spans="1:68">
      <c r="A3" s="54" t="s">
        <v>192</v>
      </c>
      <c r="B3" s="55" t="s">
        <v>600</v>
      </c>
      <c r="C3" s="56"/>
      <c r="D3" s="56"/>
      <c r="E3" s="56"/>
      <c r="F3" s="56"/>
      <c r="G3" s="56"/>
      <c r="H3" s="56"/>
      <c r="I3" s="57"/>
      <c r="J3" s="57"/>
      <c r="K3" s="57"/>
      <c r="L3" s="57"/>
      <c r="M3" s="57"/>
      <c r="N3" s="57"/>
      <c r="O3" s="57"/>
      <c r="P3" s="57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9"/>
      <c r="AI3" s="59"/>
      <c r="AJ3" s="59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58"/>
      <c r="BL3" s="58"/>
      <c r="BM3" s="58"/>
      <c r="BN3" s="86">
        <f>BM3+BL3+BK3+BJ3+BI3+BH3+BG3+BF3+BE3+BD3+BC3+BB3+BA3+AZ3+AY3+AX3+AW3+AV3+AU3+AT3+AS3+AR3+AQ3+AP3+AO3+AN3+AM3+AL3+AK3+AJ3+AI3+AH3+AG3+AF3+AE3+AD3+AC3+AB3+AA3+Z3+Y3+X3+W3+V3+U3+T3+S3+R3+Q3+P3+O3+N3+M3+L3+K3+J3+I3+H3+G3+F3+E3+D3+C3</f>
        <v>0</v>
      </c>
    </row>
    <row r="4" s="44" customFormat="1" hidden="1" customHeight="1" spans="1:68">
      <c r="A4" s="54" t="s">
        <v>134</v>
      </c>
      <c r="B4" s="55" t="s">
        <v>601</v>
      </c>
      <c r="C4" s="56"/>
      <c r="D4" s="56"/>
      <c r="E4" s="56"/>
      <c r="F4" s="56"/>
      <c r="G4" s="56"/>
      <c r="H4" s="56"/>
      <c r="I4" s="57"/>
      <c r="J4" s="57"/>
      <c r="K4" s="57"/>
      <c r="L4" s="57"/>
      <c r="M4" s="57"/>
      <c r="N4" s="57"/>
      <c r="O4" s="57"/>
      <c r="P4" s="57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9"/>
      <c r="AI4" s="59"/>
      <c r="AJ4" s="59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8"/>
      <c r="BK4" s="58"/>
      <c r="BL4" s="58"/>
      <c r="BM4" s="58"/>
      <c r="BN4" s="86">
        <f t="shared" ref="BN4:BN67" si="0">BM4+BL4+BK4+BJ4+BI4+BH4+BG4+BF4+BE4+BD4+BC4+BB4+BA4+AZ4+AY4+AX4+AW4+AV4+AU4+AT4+AS4+AR4+AQ4+AP4+AO4+AN4+AM4+AL4+AK4+AJ4+AI4+AH4+AG4+AF4+AE4+AD4+AC4+AB4+AA4+Z4+Y4+X4+W4+V4+U4+T4+S4+R4+Q4+P4+O4+N4+M4+L4+K4+J4+I4+H4+G4+F4+E4+D4+C4</f>
        <v>0</v>
      </c>
    </row>
    <row r="5" s="44" customFormat="1" hidden="1" customHeight="1" spans="1:68">
      <c r="A5" s="54" t="s">
        <v>604</v>
      </c>
      <c r="B5" s="55" t="s">
        <v>605</v>
      </c>
      <c r="C5" s="56"/>
      <c r="D5" s="56"/>
      <c r="E5" s="56"/>
      <c r="F5" s="56"/>
      <c r="G5" s="56"/>
      <c r="H5" s="56"/>
      <c r="I5" s="57"/>
      <c r="J5" s="57"/>
      <c r="K5" s="57"/>
      <c r="L5" s="57"/>
      <c r="M5" s="57"/>
      <c r="N5" s="57"/>
      <c r="O5" s="57"/>
      <c r="P5" s="57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9"/>
      <c r="AI5" s="59"/>
      <c r="AJ5" s="59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8"/>
      <c r="BF5" s="58"/>
      <c r="BG5" s="58"/>
      <c r="BH5" s="58"/>
      <c r="BI5" s="58"/>
      <c r="BJ5" s="58"/>
      <c r="BK5" s="58"/>
      <c r="BL5" s="58"/>
      <c r="BM5" s="58"/>
      <c r="BN5" s="86">
        <f t="shared" si="0"/>
        <v>0</v>
      </c>
    </row>
    <row r="6" s="44" customFormat="1" customHeight="1" spans="1:68">
      <c r="A6" s="54" t="s">
        <v>59</v>
      </c>
      <c r="B6" s="55" t="s">
        <v>609</v>
      </c>
      <c r="C6" s="56"/>
      <c r="D6" s="56"/>
      <c r="E6" s="56"/>
      <c r="F6" s="56" t="s">
        <v>804</v>
      </c>
      <c r="G6" s="56"/>
      <c r="H6" s="56"/>
      <c r="I6" s="57"/>
      <c r="J6" s="57"/>
      <c r="K6" s="57"/>
      <c r="L6" s="57"/>
      <c r="M6" s="57"/>
      <c r="N6" s="57"/>
      <c r="O6" s="57"/>
      <c r="P6" s="57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9"/>
      <c r="AI6" s="59"/>
      <c r="AJ6" s="59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58"/>
      <c r="BL6" s="58"/>
      <c r="BM6" s="58"/>
      <c r="BN6" s="86">
        <f t="shared" si="0"/>
        <v>4000</v>
      </c>
    </row>
    <row r="7" s="44" customFormat="1" customHeight="1" spans="1:68">
      <c r="A7" s="54" t="s">
        <v>612</v>
      </c>
      <c r="B7" s="55" t="s">
        <v>613</v>
      </c>
      <c r="C7" s="56"/>
      <c r="D7" s="56"/>
      <c r="E7" s="56"/>
      <c r="F7" s="56"/>
      <c r="G7" s="56"/>
      <c r="H7" s="56"/>
      <c r="I7" s="57"/>
      <c r="J7" s="57"/>
      <c r="K7" s="57"/>
      <c r="L7" s="57"/>
      <c r="M7" s="57"/>
      <c r="N7" s="57"/>
      <c r="O7" s="57"/>
      <c r="P7" s="57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9"/>
      <c r="AI7" s="59"/>
      <c r="AJ7" s="59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58"/>
      <c r="BJ7" s="58"/>
      <c r="BK7" s="58"/>
      <c r="BL7" s="58"/>
      <c r="BM7" s="58"/>
      <c r="BN7" s="86">
        <f t="shared" si="0"/>
        <v>0</v>
      </c>
    </row>
    <row r="8" s="44" customFormat="1" customHeight="1" spans="1:68">
      <c r="A8" s="54" t="s">
        <v>68</v>
      </c>
      <c r="B8" s="55" t="s">
        <v>614</v>
      </c>
      <c r="C8" s="56"/>
      <c r="D8" s="56"/>
      <c r="E8" s="56" t="s">
        <v>622</v>
      </c>
      <c r="F8" s="56"/>
      <c r="G8" s="56"/>
      <c r="H8" s="56"/>
      <c r="I8" s="57"/>
      <c r="J8" s="57"/>
      <c r="K8" s="57"/>
      <c r="L8" s="57"/>
      <c r="M8" s="57"/>
      <c r="N8" s="57"/>
      <c r="O8" s="57"/>
      <c r="P8" s="57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9"/>
      <c r="AI8" s="59"/>
      <c r="AJ8" s="59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58"/>
      <c r="BF8" s="58"/>
      <c r="BG8" s="58"/>
      <c r="BH8" s="58"/>
      <c r="BI8" s="58"/>
      <c r="BJ8" s="58"/>
      <c r="BK8" s="58"/>
      <c r="BL8" s="58"/>
      <c r="BM8" s="58"/>
      <c r="BN8" s="90">
        <f t="shared" si="0"/>
        <v>500</v>
      </c>
    </row>
    <row r="9" s="44" customFormat="1" hidden="1" customHeight="1" spans="1:68">
      <c r="A9" s="54" t="s">
        <v>616</v>
      </c>
      <c r="B9" s="55" t="s">
        <v>617</v>
      </c>
      <c r="C9" s="56"/>
      <c r="D9" s="56"/>
      <c r="E9" s="56"/>
      <c r="F9" s="56"/>
      <c r="G9" s="56"/>
      <c r="H9" s="56"/>
      <c r="I9" s="57"/>
      <c r="J9" s="57"/>
      <c r="K9" s="57"/>
      <c r="L9" s="57"/>
      <c r="M9" s="57"/>
      <c r="N9" s="57"/>
      <c r="O9" s="57"/>
      <c r="P9" s="57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9"/>
      <c r="AI9" s="59"/>
      <c r="AJ9" s="59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58"/>
      <c r="BI9" s="58"/>
      <c r="BJ9" s="58"/>
      <c r="BK9" s="58"/>
      <c r="BL9" s="58"/>
      <c r="BM9" s="58"/>
      <c r="BN9" s="86">
        <f t="shared" si="0"/>
        <v>0</v>
      </c>
    </row>
    <row r="10" s="45" customFormat="1" hidden="1" customHeight="1" spans="1:68">
      <c r="A10" s="54" t="s">
        <v>190</v>
      </c>
      <c r="B10" s="55" t="s">
        <v>759</v>
      </c>
      <c r="C10" s="56"/>
      <c r="D10" s="56"/>
      <c r="E10" s="56"/>
      <c r="F10" s="56"/>
      <c r="G10" s="56"/>
      <c r="H10" s="56"/>
      <c r="I10" s="57"/>
      <c r="J10" s="57"/>
      <c r="K10" s="57"/>
      <c r="L10" s="57"/>
      <c r="M10" s="57"/>
      <c r="N10" s="57"/>
      <c r="O10" s="57"/>
      <c r="P10" s="57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9"/>
      <c r="AI10" s="59"/>
      <c r="AJ10" s="59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86">
        <f t="shared" si="0"/>
        <v>0</v>
      </c>
    </row>
    <row r="11" s="46" customFormat="1" hidden="1" customHeight="1" spans="1:68">
      <c r="A11" s="61" t="s">
        <v>224</v>
      </c>
      <c r="B11" s="62" t="s">
        <v>620</v>
      </c>
      <c r="C11" s="62"/>
      <c r="D11" s="62"/>
      <c r="E11" s="62"/>
      <c r="F11" s="62"/>
      <c r="G11" s="62"/>
      <c r="H11" s="62"/>
      <c r="I11" s="63"/>
      <c r="J11" s="63"/>
      <c r="K11" s="63"/>
      <c r="L11" s="63"/>
      <c r="M11" s="63"/>
      <c r="N11" s="63"/>
      <c r="O11" s="63"/>
      <c r="P11" s="63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5"/>
      <c r="AI11" s="65"/>
      <c r="AJ11" s="65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4"/>
      <c r="BF11" s="64"/>
      <c r="BG11" s="64"/>
      <c r="BH11" s="64"/>
      <c r="BI11" s="64"/>
      <c r="BJ11" s="64"/>
      <c r="BK11" s="64"/>
      <c r="BL11" s="64"/>
      <c r="BM11" s="64"/>
      <c r="BN11" s="86">
        <f t="shared" si="0"/>
        <v>0</v>
      </c>
    </row>
    <row r="12" s="46" customFormat="1" customHeight="1" spans="1:68">
      <c r="A12" s="61" t="s">
        <v>204</v>
      </c>
      <c r="B12" s="77"/>
      <c r="C12" s="77"/>
      <c r="D12" s="77"/>
      <c r="E12" s="77"/>
      <c r="F12" s="77"/>
      <c r="G12" s="77"/>
      <c r="H12" s="77"/>
      <c r="I12" s="78"/>
      <c r="J12" s="78"/>
      <c r="K12" s="78"/>
      <c r="L12" s="78"/>
      <c r="M12" s="78"/>
      <c r="N12" s="78" t="s">
        <v>805</v>
      </c>
      <c r="O12" s="78"/>
      <c r="P12" s="78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80"/>
      <c r="AI12" s="80"/>
      <c r="AJ12" s="80"/>
      <c r="AK12" s="79"/>
      <c r="AL12" s="79"/>
      <c r="AM12" s="79"/>
      <c r="AN12" s="79"/>
      <c r="AO12" s="79"/>
      <c r="AP12" s="79"/>
      <c r="AQ12" s="79"/>
      <c r="AR12" s="79"/>
      <c r="AS12" s="79"/>
      <c r="AT12" s="79"/>
      <c r="AU12" s="79"/>
      <c r="AV12" s="79"/>
      <c r="AW12" s="79"/>
      <c r="AX12" s="79"/>
      <c r="AY12" s="79"/>
      <c r="AZ12" s="79"/>
      <c r="BA12" s="79"/>
      <c r="BB12" s="79"/>
      <c r="BC12" s="79"/>
      <c r="BD12" s="79"/>
      <c r="BE12" s="79"/>
      <c r="BF12" s="79"/>
      <c r="BG12" s="79"/>
      <c r="BH12" s="79"/>
      <c r="BI12" s="79"/>
      <c r="BJ12" s="79"/>
      <c r="BK12" s="79"/>
      <c r="BL12" s="79"/>
      <c r="BM12" s="79"/>
      <c r="BN12" s="86">
        <f t="shared" si="0"/>
        <v>148</v>
      </c>
    </row>
    <row r="13" s="46" customFormat="1" customHeight="1" spans="1:68">
      <c r="A13" s="61" t="s">
        <v>623</v>
      </c>
      <c r="B13" s="77" t="s">
        <v>624</v>
      </c>
      <c r="C13" s="77"/>
      <c r="D13" s="77"/>
      <c r="E13" s="77"/>
      <c r="F13" s="77"/>
      <c r="G13" s="77"/>
      <c r="H13" s="77"/>
      <c r="I13" s="78"/>
      <c r="J13" s="78"/>
      <c r="K13" s="78"/>
      <c r="L13" s="78"/>
      <c r="M13" s="78"/>
      <c r="N13" s="78"/>
      <c r="O13" s="78"/>
      <c r="P13" s="78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80"/>
      <c r="AI13" s="80"/>
      <c r="AJ13" s="80"/>
      <c r="AK13" s="79"/>
      <c r="AL13" s="79"/>
      <c r="AM13" s="79"/>
      <c r="AN13" s="79"/>
      <c r="AO13" s="79"/>
      <c r="AP13" s="79"/>
      <c r="AQ13" s="79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79"/>
      <c r="BF13" s="79"/>
      <c r="BG13" s="79"/>
      <c r="BH13" s="79"/>
      <c r="BI13" s="79"/>
      <c r="BJ13" s="79"/>
      <c r="BK13" s="79"/>
      <c r="BL13" s="79"/>
      <c r="BM13" s="79"/>
      <c r="BN13" s="86">
        <f t="shared" si="0"/>
        <v>0</v>
      </c>
    </row>
    <row r="14" s="46" customFormat="1" customHeight="1" spans="1:68">
      <c r="A14" s="61" t="s">
        <v>161</v>
      </c>
      <c r="B14" s="77"/>
      <c r="C14" s="77"/>
      <c r="D14" s="77"/>
      <c r="E14" s="77"/>
      <c r="F14" s="77"/>
      <c r="G14" s="77"/>
      <c r="H14" s="77"/>
      <c r="I14" s="78"/>
      <c r="J14" s="78"/>
      <c r="K14" s="78"/>
      <c r="L14" s="78"/>
      <c r="M14" s="78"/>
      <c r="N14" s="78" t="s">
        <v>806</v>
      </c>
      <c r="O14" s="78"/>
      <c r="P14" s="78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80"/>
      <c r="AI14" s="80"/>
      <c r="AJ14" s="80"/>
      <c r="AK14" s="79"/>
      <c r="AL14" s="79"/>
      <c r="AM14" s="79"/>
      <c r="AN14" s="79"/>
      <c r="AO14" s="79"/>
      <c r="AP14" s="79"/>
      <c r="AQ14" s="79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79"/>
      <c r="BF14" s="79"/>
      <c r="BG14" s="79"/>
      <c r="BH14" s="79"/>
      <c r="BI14" s="79"/>
      <c r="BJ14" s="79"/>
      <c r="BK14" s="79"/>
      <c r="BL14" s="79"/>
      <c r="BM14" s="79"/>
      <c r="BN14" s="90">
        <f t="shared" si="0"/>
        <v>650</v>
      </c>
    </row>
    <row r="15" s="3" customFormat="1" customHeight="1" spans="1:68">
      <c r="A15" s="66" t="s">
        <v>626</v>
      </c>
      <c r="B15" s="14" t="s">
        <v>627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5"/>
      <c r="AI15" s="15"/>
      <c r="AJ15" s="15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86">
        <f t="shared" si="0"/>
        <v>0</v>
      </c>
    </row>
    <row r="16" s="3" customFormat="1" customHeight="1" spans="1:68">
      <c r="A16" s="42" t="s">
        <v>114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9"/>
      <c r="AI16" s="19"/>
      <c r="AJ16" s="19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86">
        <f t="shared" si="0"/>
        <v>0</v>
      </c>
    </row>
    <row r="17" s="3" customFormat="1" customHeight="1" spans="1:66">
      <c r="A17" s="42" t="s">
        <v>106</v>
      </c>
      <c r="B17" s="18" t="s">
        <v>107</v>
      </c>
      <c r="C17" s="18"/>
      <c r="D17" s="18"/>
      <c r="E17" s="18">
        <v>1000</v>
      </c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9"/>
      <c r="AI17" s="19"/>
      <c r="AJ17" s="19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86">
        <f t="shared" si="0"/>
        <v>1000</v>
      </c>
    </row>
    <row r="18" s="3" customFormat="1" customHeight="1" spans="1:66">
      <c r="A18" s="42" t="s">
        <v>629</v>
      </c>
      <c r="B18" s="18" t="s">
        <v>630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9"/>
      <c r="AI18" s="19"/>
      <c r="AJ18" s="19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20"/>
      <c r="BK18" s="18"/>
      <c r="BL18" s="18"/>
      <c r="BM18" s="18"/>
      <c r="BN18" s="86">
        <f t="shared" si="0"/>
        <v>0</v>
      </c>
    </row>
    <row r="19" s="3" customFormat="1" customHeight="1" spans="1:66">
      <c r="A19" s="42" t="s">
        <v>18</v>
      </c>
      <c r="B19" s="18" t="s">
        <v>631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9"/>
      <c r="AI19" s="19"/>
      <c r="AJ19" s="19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20"/>
      <c r="BK19" s="18"/>
      <c r="BL19" s="18"/>
      <c r="BM19" s="18"/>
      <c r="BN19" s="86">
        <f t="shared" si="0"/>
        <v>0</v>
      </c>
    </row>
    <row r="20" customHeight="1" spans="1:66">
      <c r="A20" s="16" t="s">
        <v>33</v>
      </c>
      <c r="B20" s="17" t="s">
        <v>632</v>
      </c>
      <c r="C20" s="18"/>
      <c r="D20" s="18"/>
      <c r="E20" s="18"/>
      <c r="F20" s="18">
        <v>575</v>
      </c>
      <c r="G20" s="18"/>
      <c r="H20" s="18"/>
      <c r="I20" s="18">
        <v>1000</v>
      </c>
      <c r="J20" s="18"/>
      <c r="K20" s="18"/>
      <c r="L20" s="18"/>
      <c r="M20" s="18"/>
      <c r="N20" s="18"/>
      <c r="O20" s="18">
        <v>500</v>
      </c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9"/>
      <c r="AI20" s="19"/>
      <c r="AJ20" s="19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20"/>
      <c r="BK20" s="18"/>
      <c r="BL20" s="18"/>
      <c r="BM20" s="18"/>
      <c r="BN20" s="86">
        <f t="shared" si="0"/>
        <v>2075</v>
      </c>
    </row>
    <row r="21" customHeight="1" spans="1:66">
      <c r="A21" s="16" t="s">
        <v>69</v>
      </c>
      <c r="B21" s="17" t="s">
        <v>633</v>
      </c>
      <c r="C21" s="18"/>
      <c r="D21" s="18"/>
      <c r="E21" s="18"/>
      <c r="F21" s="18"/>
      <c r="G21" s="18">
        <v>1000</v>
      </c>
      <c r="H21" s="18"/>
      <c r="I21" s="18"/>
      <c r="J21" s="18"/>
      <c r="K21" s="18"/>
      <c r="L21" s="18"/>
      <c r="M21" s="18"/>
      <c r="N21" s="18"/>
      <c r="O21" s="18">
        <v>1000</v>
      </c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9"/>
      <c r="AI21" s="19"/>
      <c r="AJ21" s="19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20"/>
      <c r="BK21" s="18"/>
      <c r="BL21" s="18"/>
      <c r="BM21" s="18"/>
      <c r="BN21" s="86">
        <f t="shared" si="0"/>
        <v>2000</v>
      </c>
    </row>
    <row r="22" customHeight="1" spans="1:66">
      <c r="A22" s="16" t="s">
        <v>634</v>
      </c>
      <c r="B22" s="17" t="s">
        <v>635</v>
      </c>
      <c r="C22" s="18"/>
      <c r="D22" s="18"/>
      <c r="E22" s="18"/>
      <c r="F22" s="18"/>
      <c r="G22" s="18"/>
      <c r="H22" s="18"/>
      <c r="I22" s="18"/>
      <c r="J22" s="18"/>
      <c r="K22" s="18"/>
      <c r="L22" s="18">
        <v>1500</v>
      </c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9"/>
      <c r="AI22" s="19"/>
      <c r="AJ22" s="19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20"/>
      <c r="BK22" s="18"/>
      <c r="BL22" s="18"/>
      <c r="BM22" s="18"/>
      <c r="BN22" s="86">
        <f t="shared" si="0"/>
        <v>1500</v>
      </c>
    </row>
    <row r="23" customHeight="1" spans="1:66">
      <c r="A23" s="16" t="s">
        <v>155</v>
      </c>
      <c r="B23" s="17" t="s">
        <v>636</v>
      </c>
      <c r="C23" s="18"/>
      <c r="D23" s="18"/>
      <c r="E23" s="18"/>
      <c r="F23" s="18"/>
      <c r="G23" s="18"/>
      <c r="H23" s="18"/>
      <c r="I23" s="18"/>
      <c r="J23" s="18"/>
      <c r="K23" s="18">
        <v>500</v>
      </c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9"/>
      <c r="AI23" s="19"/>
      <c r="AJ23" s="19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20"/>
      <c r="BK23" s="18"/>
      <c r="BL23" s="18"/>
      <c r="BM23" s="18"/>
      <c r="BN23" s="86">
        <f t="shared" si="0"/>
        <v>500</v>
      </c>
    </row>
    <row r="24" customHeight="1" spans="1:66">
      <c r="A24" s="16" t="s">
        <v>193</v>
      </c>
      <c r="B24" s="17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>
        <v>500</v>
      </c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9"/>
      <c r="AI24" s="19"/>
      <c r="AJ24" s="19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20"/>
      <c r="BK24" s="18"/>
      <c r="BL24" s="18"/>
      <c r="BM24" s="18"/>
      <c r="BN24" s="86">
        <f t="shared" si="0"/>
        <v>500</v>
      </c>
    </row>
    <row r="25" customHeight="1" spans="1:66">
      <c r="A25" s="16" t="s">
        <v>35</v>
      </c>
      <c r="B25" s="17" t="s">
        <v>638</v>
      </c>
      <c r="C25" s="18">
        <v>1000</v>
      </c>
      <c r="D25" s="18"/>
      <c r="E25" s="18"/>
      <c r="F25" s="18"/>
      <c r="G25" s="18"/>
      <c r="H25" s="18"/>
      <c r="I25" s="18"/>
      <c r="J25" s="18"/>
      <c r="K25" s="18">
        <v>1000</v>
      </c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9"/>
      <c r="AI25" s="19"/>
      <c r="AJ25" s="19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20"/>
      <c r="BK25" s="18"/>
      <c r="BL25" s="18"/>
      <c r="BM25" s="18"/>
      <c r="BN25" s="86">
        <f t="shared" si="0"/>
        <v>2000</v>
      </c>
    </row>
    <row r="26" customHeight="1" spans="1:66">
      <c r="A26" s="16" t="s">
        <v>234</v>
      </c>
      <c r="B26" s="17" t="s">
        <v>639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9"/>
      <c r="AI26" s="19"/>
      <c r="AJ26" s="19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20"/>
      <c r="BK26" s="18"/>
      <c r="BL26" s="18"/>
      <c r="BM26" s="18"/>
      <c r="BN26" s="86">
        <f t="shared" si="0"/>
        <v>0</v>
      </c>
    </row>
    <row r="27" customHeight="1" spans="1:66">
      <c r="A27" s="16" t="s">
        <v>175</v>
      </c>
      <c r="B27" s="17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>
        <v>809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9"/>
      <c r="AI27" s="19"/>
      <c r="AJ27" s="19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20"/>
      <c r="BK27" s="18"/>
      <c r="BL27" s="18"/>
      <c r="BM27" s="18"/>
      <c r="BN27" s="86">
        <f t="shared" si="0"/>
        <v>809</v>
      </c>
    </row>
    <row r="28" customHeight="1" spans="1:66">
      <c r="A28" s="16" t="s">
        <v>165</v>
      </c>
      <c r="B28" s="17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>
        <v>225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9"/>
      <c r="AI28" s="19"/>
      <c r="AJ28" s="19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20"/>
      <c r="BK28" s="18"/>
      <c r="BL28" s="18"/>
      <c r="BM28" s="18"/>
      <c r="BN28" s="86">
        <f t="shared" si="0"/>
        <v>225</v>
      </c>
    </row>
    <row r="29" customHeight="1" spans="1:66">
      <c r="A29" s="16" t="s">
        <v>109</v>
      </c>
      <c r="B29" s="17" t="s">
        <v>110</v>
      </c>
      <c r="C29" s="18">
        <v>200</v>
      </c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9"/>
      <c r="AI29" s="19"/>
      <c r="AJ29" s="19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86">
        <f t="shared" si="0"/>
        <v>200</v>
      </c>
    </row>
    <row r="30" customHeight="1" spans="1:66">
      <c r="A30" s="16" t="s">
        <v>103</v>
      </c>
      <c r="B30" s="17" t="s">
        <v>647</v>
      </c>
      <c r="C30" s="18"/>
      <c r="D30" s="18">
        <v>4000</v>
      </c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9"/>
      <c r="AI30" s="19"/>
      <c r="AJ30" s="19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86">
        <f t="shared" si="0"/>
        <v>4000</v>
      </c>
    </row>
    <row r="31" customHeight="1" spans="1:66">
      <c r="A31" s="16" t="s">
        <v>177</v>
      </c>
      <c r="B31" s="17" t="s">
        <v>648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>
        <v>25</v>
      </c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9"/>
      <c r="AI31" s="19"/>
      <c r="AJ31" s="19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86">
        <f t="shared" si="0"/>
        <v>25</v>
      </c>
    </row>
    <row r="32" customHeight="1" spans="1:66">
      <c r="A32" s="16" t="s">
        <v>37</v>
      </c>
      <c r="B32" s="17" t="s">
        <v>649</v>
      </c>
      <c r="C32" s="18"/>
      <c r="D32" s="18"/>
      <c r="E32" s="18"/>
      <c r="F32" s="18"/>
      <c r="G32" s="18">
        <v>200</v>
      </c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9"/>
      <c r="AI32" s="19"/>
      <c r="AJ32" s="19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86">
        <f t="shared" si="0"/>
        <v>200</v>
      </c>
    </row>
    <row r="33" customHeight="1" spans="1:66">
      <c r="A33" s="16" t="s">
        <v>173</v>
      </c>
      <c r="B33" s="17" t="s">
        <v>650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9"/>
      <c r="AI33" s="19"/>
      <c r="AJ33" s="19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86">
        <f t="shared" si="0"/>
        <v>0</v>
      </c>
    </row>
    <row r="34" hidden="1" customHeight="1" spans="1:66">
      <c r="A34" s="16" t="s">
        <v>651</v>
      </c>
      <c r="B34" s="21" t="s">
        <v>652</v>
      </c>
      <c r="C34" s="22"/>
      <c r="D34" s="22"/>
      <c r="E34" s="22"/>
      <c r="F34" s="22"/>
      <c r="G34" s="22"/>
      <c r="H34" s="22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9"/>
      <c r="AI34" s="19"/>
      <c r="AJ34" s="19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86">
        <f t="shared" si="0"/>
        <v>0</v>
      </c>
    </row>
    <row r="35" hidden="1" customHeight="1" spans="1:66">
      <c r="A35" s="16" t="s">
        <v>144</v>
      </c>
      <c r="B35" s="21" t="s">
        <v>653</v>
      </c>
      <c r="C35" s="22"/>
      <c r="D35" s="22"/>
      <c r="E35" s="22"/>
      <c r="F35" s="22"/>
      <c r="G35" s="22"/>
      <c r="H35" s="22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9"/>
      <c r="AI35" s="19"/>
      <c r="AJ35" s="19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86">
        <f t="shared" si="0"/>
        <v>0</v>
      </c>
    </row>
    <row r="36" hidden="1" customHeight="1" spans="1:66">
      <c r="A36" s="16" t="s">
        <v>187</v>
      </c>
      <c r="B36" s="17" t="s">
        <v>654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9"/>
      <c r="AI36" s="19"/>
      <c r="AJ36" s="19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86">
        <f t="shared" si="0"/>
        <v>0</v>
      </c>
    </row>
    <row r="37" customHeight="1" spans="1:66">
      <c r="A37" s="16" t="s">
        <v>51</v>
      </c>
      <c r="B37" s="17" t="s">
        <v>656</v>
      </c>
      <c r="C37" s="18"/>
      <c r="D37" s="18">
        <v>12000</v>
      </c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9"/>
      <c r="AI37" s="19"/>
      <c r="AJ37" s="19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86">
        <f t="shared" si="0"/>
        <v>12000</v>
      </c>
    </row>
    <row r="38" customHeight="1" spans="1:66">
      <c r="A38" s="16" t="s">
        <v>218</v>
      </c>
      <c r="B38" s="17" t="s">
        <v>658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9"/>
      <c r="AI38" s="19"/>
      <c r="AJ38" s="19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86">
        <f t="shared" si="0"/>
        <v>0</v>
      </c>
    </row>
    <row r="39" customHeight="1" spans="1:66">
      <c r="A39" s="16" t="s">
        <v>135</v>
      </c>
      <c r="B39" s="17" t="s">
        <v>659</v>
      </c>
      <c r="C39" s="18"/>
      <c r="D39" s="18"/>
      <c r="E39" s="18"/>
      <c r="F39" s="18"/>
      <c r="G39" s="18">
        <v>1000</v>
      </c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9"/>
      <c r="AI39" s="19"/>
      <c r="AJ39" s="19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86">
        <f t="shared" si="0"/>
        <v>1000</v>
      </c>
    </row>
    <row r="40" customHeight="1" spans="1:66">
      <c r="A40" s="16" t="s">
        <v>22</v>
      </c>
      <c r="B40" s="17" t="s">
        <v>652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>
        <v>3000</v>
      </c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9"/>
      <c r="AI40" s="19"/>
      <c r="AJ40" s="19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86">
        <f t="shared" si="0"/>
        <v>3000</v>
      </c>
    </row>
    <row r="41" hidden="1" customHeight="1" spans="1:66">
      <c r="A41" s="16" t="s">
        <v>660</v>
      </c>
      <c r="B41" s="17" t="s">
        <v>655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9"/>
      <c r="AI41" s="19"/>
      <c r="AJ41" s="19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86">
        <f t="shared" si="0"/>
        <v>0</v>
      </c>
    </row>
    <row r="42" hidden="1" customHeight="1" spans="1:66">
      <c r="A42" s="16" t="s">
        <v>661</v>
      </c>
      <c r="B42" s="17" t="s">
        <v>653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9"/>
      <c r="AI42" s="19"/>
      <c r="AJ42" s="19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86">
        <f t="shared" si="0"/>
        <v>0</v>
      </c>
    </row>
    <row r="43" hidden="1" customHeight="1" spans="1:66">
      <c r="A43" s="16" t="s">
        <v>662</v>
      </c>
      <c r="B43" s="17" t="s">
        <v>663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9"/>
      <c r="AI43" s="19"/>
      <c r="AJ43" s="19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86">
        <f t="shared" si="0"/>
        <v>0</v>
      </c>
    </row>
    <row r="44" customHeight="1" spans="1:66">
      <c r="A44" s="16" t="s">
        <v>666</v>
      </c>
      <c r="B44" s="17" t="s">
        <v>667</v>
      </c>
      <c r="C44" s="18"/>
      <c r="D44" s="18"/>
      <c r="E44" s="18"/>
      <c r="F44" s="18"/>
      <c r="G44" s="18"/>
      <c r="H44" s="18"/>
      <c r="I44" s="18"/>
      <c r="J44" s="18">
        <v>125</v>
      </c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9"/>
      <c r="AI44" s="19"/>
      <c r="AJ44" s="19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86">
        <f t="shared" si="0"/>
        <v>125</v>
      </c>
    </row>
    <row r="45" hidden="1" customHeight="1" spans="1:66">
      <c r="A45" s="16" t="s">
        <v>668</v>
      </c>
      <c r="B45" s="17" t="s">
        <v>669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9"/>
      <c r="AI45" s="19"/>
      <c r="AJ45" s="19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86">
        <f t="shared" si="0"/>
        <v>0</v>
      </c>
    </row>
    <row r="46" hidden="1" customHeight="1" spans="1:66">
      <c r="A46" s="16" t="s">
        <v>670</v>
      </c>
      <c r="B46" s="17" t="s">
        <v>671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9"/>
      <c r="AI46" s="19"/>
      <c r="AJ46" s="19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86">
        <f t="shared" si="0"/>
        <v>0</v>
      </c>
    </row>
    <row r="47" hidden="1" customHeight="1" spans="1:66">
      <c r="A47" s="16" t="s">
        <v>672</v>
      </c>
      <c r="B47" s="17" t="s">
        <v>671</v>
      </c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9"/>
      <c r="AI47" s="19"/>
      <c r="AJ47" s="19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86">
        <f t="shared" si="0"/>
        <v>0</v>
      </c>
    </row>
    <row r="48" hidden="1" customHeight="1" spans="1:66">
      <c r="A48" s="16" t="s">
        <v>673</v>
      </c>
      <c r="B48" s="17" t="s">
        <v>674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9"/>
      <c r="AI48" s="19"/>
      <c r="AJ48" s="19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86">
        <f t="shared" si="0"/>
        <v>0</v>
      </c>
    </row>
    <row r="49" hidden="1" customHeight="1" spans="1:66">
      <c r="A49" s="16" t="s">
        <v>675</v>
      </c>
      <c r="B49" s="17" t="s">
        <v>676</v>
      </c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9"/>
      <c r="AI49" s="19"/>
      <c r="AJ49" s="19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86">
        <f t="shared" si="0"/>
        <v>0</v>
      </c>
    </row>
    <row r="50" hidden="1" customHeight="1" spans="1:66">
      <c r="A50" s="16" t="s">
        <v>677</v>
      </c>
      <c r="B50" s="17" t="s">
        <v>678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9"/>
      <c r="AI50" s="19"/>
      <c r="AJ50" s="19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86">
        <f t="shared" si="0"/>
        <v>0</v>
      </c>
    </row>
    <row r="51" hidden="1" customHeight="1" spans="1:66">
      <c r="A51" s="16" t="s">
        <v>679</v>
      </c>
      <c r="B51" s="17" t="s">
        <v>680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9"/>
      <c r="AI51" s="19"/>
      <c r="AJ51" s="19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86">
        <f t="shared" si="0"/>
        <v>0</v>
      </c>
    </row>
    <row r="52" customHeight="1" spans="1:66">
      <c r="A52" s="16" t="s">
        <v>681</v>
      </c>
      <c r="B52" s="17"/>
      <c r="C52" s="18"/>
      <c r="D52" s="18"/>
      <c r="E52" s="18"/>
      <c r="F52" s="18">
        <v>375</v>
      </c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9"/>
      <c r="AI52" s="19"/>
      <c r="AJ52" s="19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86">
        <f t="shared" si="0"/>
        <v>375</v>
      </c>
    </row>
    <row r="53" customHeight="1" spans="1:66">
      <c r="A53" s="16" t="s">
        <v>682</v>
      </c>
      <c r="B53" s="17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9"/>
      <c r="AI53" s="19"/>
      <c r="AJ53" s="19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86">
        <f t="shared" si="0"/>
        <v>0</v>
      </c>
    </row>
    <row r="54" customHeight="1" spans="1:66">
      <c r="A54" s="16" t="s">
        <v>683</v>
      </c>
      <c r="B54" s="17" t="s">
        <v>684</v>
      </c>
      <c r="C54" s="18"/>
      <c r="D54" s="18"/>
      <c r="E54" s="18"/>
      <c r="F54" s="18">
        <v>24.5</v>
      </c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9"/>
      <c r="AI54" s="19"/>
      <c r="AJ54" s="19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86">
        <f t="shared" si="0"/>
        <v>24.5</v>
      </c>
    </row>
    <row r="55" customHeight="1" spans="1:66">
      <c r="A55" s="16" t="s">
        <v>685</v>
      </c>
      <c r="B55" s="17" t="s">
        <v>686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9"/>
      <c r="AI55" s="19"/>
      <c r="AJ55" s="19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86">
        <f t="shared" si="0"/>
        <v>0</v>
      </c>
    </row>
    <row r="56" customHeight="1" spans="1:66">
      <c r="A56" s="16" t="s">
        <v>687</v>
      </c>
      <c r="B56" s="17" t="s">
        <v>688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>
        <v>200</v>
      </c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9"/>
      <c r="AI56" s="19"/>
      <c r="AJ56" s="19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86">
        <f t="shared" si="0"/>
        <v>200</v>
      </c>
    </row>
    <row r="57" customHeight="1" spans="1:66">
      <c r="A57" s="16" t="s">
        <v>691</v>
      </c>
      <c r="B57" s="17" t="s">
        <v>692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9"/>
      <c r="AI57" s="19"/>
      <c r="AJ57" s="19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86">
        <f t="shared" si="0"/>
        <v>0</v>
      </c>
    </row>
    <row r="58" customHeight="1" spans="1:66">
      <c r="A58" s="16" t="s">
        <v>693</v>
      </c>
      <c r="B58" s="17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>
        <v>200</v>
      </c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9"/>
      <c r="AI58" s="19"/>
      <c r="AJ58" s="19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86">
        <f t="shared" si="0"/>
        <v>200</v>
      </c>
    </row>
    <row r="59" hidden="1" customHeight="1" spans="1:66">
      <c r="A59" s="16" t="s">
        <v>694</v>
      </c>
      <c r="B59" s="17" t="s">
        <v>695</v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9"/>
      <c r="AI59" s="19"/>
      <c r="AJ59" s="19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86">
        <f t="shared" si="0"/>
        <v>0</v>
      </c>
    </row>
    <row r="60" hidden="1" customHeight="1" spans="1:66">
      <c r="A60" s="16" t="s">
        <v>778</v>
      </c>
      <c r="B60" s="17" t="s">
        <v>779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9"/>
      <c r="AI60" s="19"/>
      <c r="AJ60" s="19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86">
        <f t="shared" si="0"/>
        <v>0</v>
      </c>
    </row>
    <row r="61" hidden="1" customHeight="1" spans="1:66">
      <c r="A61" s="16" t="s">
        <v>699</v>
      </c>
      <c r="B61" s="21" t="s">
        <v>700</v>
      </c>
      <c r="C61" s="22"/>
      <c r="D61" s="22"/>
      <c r="E61" s="22"/>
      <c r="F61" s="22"/>
      <c r="G61" s="22"/>
      <c r="H61" s="22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9"/>
      <c r="AI61" s="19"/>
      <c r="AJ61" s="19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86">
        <f t="shared" si="0"/>
        <v>0</v>
      </c>
    </row>
    <row r="62" customHeight="1" spans="1:66">
      <c r="A62" s="16" t="s">
        <v>701</v>
      </c>
      <c r="B62" s="17" t="s">
        <v>702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>
        <v>80</v>
      </c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9"/>
      <c r="AI62" s="19"/>
      <c r="AJ62" s="19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86">
        <f t="shared" si="0"/>
        <v>80</v>
      </c>
    </row>
    <row r="63" customHeight="1" spans="1:66">
      <c r="A63" s="16" t="s">
        <v>701</v>
      </c>
      <c r="B63" s="21" t="s">
        <v>780</v>
      </c>
      <c r="C63" s="22"/>
      <c r="D63" s="22"/>
      <c r="E63" s="22"/>
      <c r="F63" s="22">
        <v>100</v>
      </c>
      <c r="G63" s="22"/>
      <c r="H63" s="22"/>
      <c r="I63" s="18"/>
      <c r="J63" s="18"/>
      <c r="K63" s="18"/>
      <c r="L63" s="18"/>
      <c r="M63" s="18"/>
      <c r="N63" s="18"/>
      <c r="O63" s="18">
        <v>500</v>
      </c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9"/>
      <c r="AI63" s="19"/>
      <c r="AJ63" s="19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86">
        <f t="shared" si="0"/>
        <v>600</v>
      </c>
    </row>
    <row r="64" customHeight="1" spans="1:66">
      <c r="A64" s="16" t="s">
        <v>784</v>
      </c>
      <c r="B64" s="17" t="s">
        <v>730</v>
      </c>
      <c r="C64" s="18"/>
      <c r="D64" s="18"/>
      <c r="E64" s="18"/>
      <c r="F64" s="18"/>
      <c r="G64" s="18">
        <v>24000</v>
      </c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9"/>
      <c r="AI64" s="19"/>
      <c r="AJ64" s="19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86">
        <f t="shared" si="0"/>
        <v>24000</v>
      </c>
    </row>
    <row r="65" customHeight="1" spans="1:66">
      <c r="A65" s="16" t="s">
        <v>706</v>
      </c>
      <c r="B65" s="21" t="s">
        <v>707</v>
      </c>
      <c r="C65" s="22"/>
      <c r="D65" s="22"/>
      <c r="E65" s="22"/>
      <c r="F65" s="22"/>
      <c r="G65" s="22"/>
      <c r="H65" s="22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9"/>
      <c r="AI65" s="19"/>
      <c r="AJ65" s="19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86">
        <f t="shared" si="0"/>
        <v>0</v>
      </c>
    </row>
    <row r="66" customHeight="1" spans="1:66">
      <c r="A66" s="16" t="s">
        <v>123</v>
      </c>
      <c r="B66" s="21" t="s">
        <v>708</v>
      </c>
      <c r="C66" s="22"/>
      <c r="D66" s="22">
        <v>2300</v>
      </c>
      <c r="E66" s="22">
        <v>23000</v>
      </c>
      <c r="F66" s="22"/>
      <c r="G66" s="22"/>
      <c r="H66" s="22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9"/>
      <c r="AI66" s="19"/>
      <c r="AJ66" s="19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86">
        <f t="shared" si="0"/>
        <v>25300</v>
      </c>
    </row>
    <row r="67" customHeight="1" spans="1:66">
      <c r="A67" s="16" t="s">
        <v>117</v>
      </c>
      <c r="B67" s="21" t="s">
        <v>709</v>
      </c>
      <c r="C67" s="22"/>
      <c r="D67" s="22">
        <v>3000</v>
      </c>
      <c r="E67" s="22">
        <v>24000</v>
      </c>
      <c r="F67" s="22"/>
      <c r="G67" s="22"/>
      <c r="H67" s="22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9"/>
      <c r="AI67" s="19"/>
      <c r="AJ67" s="19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86">
        <f t="shared" si="0"/>
        <v>27000</v>
      </c>
    </row>
    <row r="68" customHeight="1" spans="1:66">
      <c r="A68" s="16" t="s">
        <v>120</v>
      </c>
      <c r="B68" s="21" t="s">
        <v>710</v>
      </c>
      <c r="C68" s="22"/>
      <c r="D68" s="22">
        <v>4200</v>
      </c>
      <c r="E68" s="22">
        <v>23400</v>
      </c>
      <c r="F68" s="22"/>
      <c r="G68" s="22"/>
      <c r="H68" s="22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9"/>
      <c r="AI68" s="19"/>
      <c r="AJ68" s="19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86">
        <f t="shared" ref="BN68:BN94" si="1">BM68+BL68+BK68+BJ68+BI68+BH68+BG68+BF68+BE68+BD68+BC68+BB68+BA68+AZ68+AY68+AX68+AW68+AV68+AU68+AT68+AS68+AR68+AQ68+AP68+AO68+AN68+AM68+AL68+AK68+AJ68+AI68+AH68+AG68+AF68+AE68+AD68+AC68+AB68+AA68+Z68+Y68+X68+W68+V68+U68+T68+S68+R68+Q68+P68+O68+N68+M68+L68+K68+J68+I68+H68+G68+F68+E68+D68+C68</f>
        <v>27600</v>
      </c>
    </row>
    <row r="69" customHeight="1" spans="1:66">
      <c r="A69" s="16" t="s">
        <v>65</v>
      </c>
      <c r="B69" s="21" t="s">
        <v>713</v>
      </c>
      <c r="C69" s="22"/>
      <c r="D69" s="22"/>
      <c r="E69" s="22"/>
      <c r="F69" s="22"/>
      <c r="G69" s="22"/>
      <c r="H69" s="22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9"/>
      <c r="AI69" s="19"/>
      <c r="AJ69" s="19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86">
        <f t="shared" si="1"/>
        <v>0</v>
      </c>
    </row>
    <row r="70" customHeight="1" spans="1:66">
      <c r="A70" s="16" t="s">
        <v>781</v>
      </c>
      <c r="B70" s="21" t="s">
        <v>714</v>
      </c>
      <c r="C70" s="22"/>
      <c r="D70" s="22">
        <v>5000</v>
      </c>
      <c r="E70" s="22">
        <v>20000</v>
      </c>
      <c r="F70" s="22"/>
      <c r="G70" s="22"/>
      <c r="H70" s="22"/>
      <c r="I70" s="18"/>
      <c r="J70" s="18"/>
      <c r="K70" s="18"/>
      <c r="L70" s="18"/>
      <c r="M70" s="18"/>
      <c r="N70" s="18"/>
      <c r="O70" s="18">
        <v>20000</v>
      </c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9"/>
      <c r="AI70" s="19"/>
      <c r="AJ70" s="19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86">
        <f t="shared" si="1"/>
        <v>45000</v>
      </c>
    </row>
    <row r="71" customHeight="1" spans="1:66">
      <c r="A71" s="16" t="s">
        <v>126</v>
      </c>
      <c r="B71" s="21" t="s">
        <v>789</v>
      </c>
      <c r="C71" s="22"/>
      <c r="D71" s="22"/>
      <c r="E71" s="22">
        <v>10000</v>
      </c>
      <c r="F71" s="22"/>
      <c r="G71" s="22"/>
      <c r="H71" s="22"/>
      <c r="I71" s="18">
        <v>710</v>
      </c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9"/>
      <c r="AI71" s="19"/>
      <c r="AJ71" s="19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86">
        <f t="shared" si="1"/>
        <v>10710</v>
      </c>
    </row>
    <row r="72" hidden="1" customHeight="1" spans="1:66">
      <c r="A72" s="16" t="s">
        <v>181</v>
      </c>
      <c r="B72" s="21" t="s">
        <v>716</v>
      </c>
      <c r="C72" s="22"/>
      <c r="D72" s="22"/>
      <c r="E72" s="22"/>
      <c r="F72" s="22"/>
      <c r="G72" s="22"/>
      <c r="H72" s="22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9"/>
      <c r="AI72" s="19"/>
      <c r="AJ72" s="19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86">
        <f t="shared" si="1"/>
        <v>0</v>
      </c>
    </row>
    <row r="73" hidden="1" customHeight="1" spans="1:66">
      <c r="A73" s="16" t="s">
        <v>222</v>
      </c>
      <c r="B73" s="21" t="s">
        <v>718</v>
      </c>
      <c r="C73" s="22"/>
      <c r="D73" s="22"/>
      <c r="E73" s="22"/>
      <c r="F73" s="22"/>
      <c r="G73" s="22"/>
      <c r="H73" s="22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9"/>
      <c r="AI73" s="19"/>
      <c r="AJ73" s="19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86">
        <f t="shared" si="1"/>
        <v>0</v>
      </c>
    </row>
    <row r="74" customHeight="1" spans="1:66">
      <c r="A74" s="16" t="s">
        <v>785</v>
      </c>
      <c r="B74" s="17" t="s">
        <v>786</v>
      </c>
      <c r="C74" s="18">
        <v>37000</v>
      </c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9"/>
      <c r="AI74" s="19"/>
      <c r="AJ74" s="19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86">
        <f t="shared" si="1"/>
        <v>37000</v>
      </c>
    </row>
    <row r="75" customHeight="1" spans="1:66">
      <c r="A75" s="16" t="s">
        <v>719</v>
      </c>
      <c r="B75" s="17" t="s">
        <v>720</v>
      </c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9"/>
      <c r="AI75" s="19"/>
      <c r="AJ75" s="19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86">
        <f t="shared" si="1"/>
        <v>0</v>
      </c>
    </row>
    <row r="76" customHeight="1" spans="1:66">
      <c r="A76" s="16" t="s">
        <v>206</v>
      </c>
      <c r="B76" s="17" t="s">
        <v>721</v>
      </c>
      <c r="C76" s="18"/>
      <c r="D76" s="18"/>
      <c r="E76" s="18"/>
      <c r="F76" s="18">
        <v>14200</v>
      </c>
      <c r="G76" s="18"/>
      <c r="H76" s="18"/>
      <c r="I76" s="18"/>
      <c r="J76" s="18"/>
      <c r="K76" s="18"/>
      <c r="L76" s="18"/>
      <c r="M76" s="18"/>
      <c r="N76" s="18"/>
      <c r="O76" s="18">
        <v>15000</v>
      </c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9"/>
      <c r="AI76" s="19"/>
      <c r="AJ76" s="19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86">
        <f t="shared" si="1"/>
        <v>29200</v>
      </c>
    </row>
    <row r="77" customHeight="1" spans="1:66">
      <c r="A77" s="16" t="s">
        <v>202</v>
      </c>
      <c r="B77" s="17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9"/>
      <c r="AI77" s="19"/>
      <c r="AJ77" s="19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86">
        <f t="shared" si="1"/>
        <v>0</v>
      </c>
    </row>
    <row r="78" customHeight="1" spans="1:66">
      <c r="A78" s="16" t="s">
        <v>208</v>
      </c>
      <c r="B78" s="17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9"/>
      <c r="AI78" s="19"/>
      <c r="AJ78" s="19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86">
        <f t="shared" si="1"/>
        <v>0</v>
      </c>
    </row>
    <row r="79" customHeight="1" spans="1:66">
      <c r="A79" s="16" t="s">
        <v>157</v>
      </c>
      <c r="B79" s="17" t="s">
        <v>725</v>
      </c>
      <c r="C79" s="18"/>
      <c r="D79" s="18"/>
      <c r="E79" s="18">
        <v>10000</v>
      </c>
      <c r="F79" s="18"/>
      <c r="G79" s="18"/>
      <c r="H79" s="18"/>
      <c r="I79" s="18"/>
      <c r="J79" s="18"/>
      <c r="K79" s="18"/>
      <c r="L79" s="18"/>
      <c r="M79" s="18"/>
      <c r="N79" s="18"/>
      <c r="O79" s="18">
        <v>15000</v>
      </c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9"/>
      <c r="AI79" s="19"/>
      <c r="AJ79" s="19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86">
        <f t="shared" si="1"/>
        <v>25000</v>
      </c>
    </row>
    <row r="80" customHeight="1" spans="1:66">
      <c r="A80" s="16" t="s">
        <v>210</v>
      </c>
      <c r="B80" s="17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>
        <v>8000</v>
      </c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9"/>
      <c r="AI80" s="19"/>
      <c r="AJ80" s="19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86">
        <f t="shared" si="1"/>
        <v>8000</v>
      </c>
    </row>
    <row r="81" customHeight="1" spans="1:68">
      <c r="A81" s="16" t="s">
        <v>49</v>
      </c>
      <c r="B81" s="17" t="s">
        <v>730</v>
      </c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>
        <v>24000</v>
      </c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9"/>
      <c r="AI81" s="19"/>
      <c r="AJ81" s="19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86">
        <f t="shared" si="1"/>
        <v>24000</v>
      </c>
      <c r="BO81" s="3"/>
    </row>
    <row r="82" customHeight="1" spans="1:68">
      <c r="A82" s="16" t="s">
        <v>112</v>
      </c>
      <c r="B82" s="17" t="s">
        <v>731</v>
      </c>
      <c r="C82" s="19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9"/>
      <c r="AI82" s="19"/>
      <c r="AJ82" s="19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23"/>
      <c r="BF82" s="23"/>
      <c r="BG82" s="18"/>
      <c r="BH82" s="18"/>
      <c r="BI82" s="18"/>
      <c r="BJ82" s="18"/>
      <c r="BK82" s="19"/>
      <c r="BL82" s="18"/>
      <c r="BM82" s="18"/>
      <c r="BN82" s="86">
        <f t="shared" si="1"/>
        <v>0</v>
      </c>
    </row>
    <row r="83" customHeight="1" spans="1:68">
      <c r="A83" s="16" t="s">
        <v>184</v>
      </c>
      <c r="B83" s="76">
        <v>3500438</v>
      </c>
      <c r="C83" s="19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9"/>
      <c r="AI83" s="19"/>
      <c r="AJ83" s="19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23"/>
      <c r="BF83" s="23"/>
      <c r="BG83" s="18"/>
      <c r="BH83" s="18"/>
      <c r="BI83" s="18"/>
      <c r="BJ83" s="18"/>
      <c r="BK83" s="19"/>
      <c r="BL83" s="18"/>
      <c r="BM83" s="18"/>
      <c r="BN83" s="86">
        <f t="shared" si="1"/>
        <v>0</v>
      </c>
    </row>
    <row r="84" customHeight="1" spans="1:68">
      <c r="A84" s="16" t="s">
        <v>129</v>
      </c>
      <c r="B84" s="76" t="s">
        <v>726</v>
      </c>
      <c r="C84" s="19">
        <v>3000</v>
      </c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9"/>
      <c r="AI84" s="19"/>
      <c r="AJ84" s="19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23"/>
      <c r="BF84" s="23"/>
      <c r="BG84" s="18"/>
      <c r="BH84" s="18"/>
      <c r="BI84" s="18"/>
      <c r="BJ84" s="18"/>
      <c r="BK84" s="19"/>
      <c r="BL84" s="18"/>
      <c r="BM84" s="18"/>
      <c r="BN84" s="86">
        <f t="shared" si="1"/>
        <v>3000</v>
      </c>
    </row>
    <row r="85" customHeight="1" spans="1:68">
      <c r="A85" s="16" t="s">
        <v>132</v>
      </c>
      <c r="B85" s="76" t="s">
        <v>727</v>
      </c>
      <c r="C85" s="19">
        <v>3000</v>
      </c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9"/>
      <c r="AI85" s="19"/>
      <c r="AJ85" s="19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23"/>
      <c r="BF85" s="23"/>
      <c r="BG85" s="18"/>
      <c r="BH85" s="18"/>
      <c r="BI85" s="18"/>
      <c r="BJ85" s="18"/>
      <c r="BK85" s="19"/>
      <c r="BL85" s="18"/>
      <c r="BM85" s="18"/>
      <c r="BN85" s="86">
        <f t="shared" si="1"/>
        <v>3000</v>
      </c>
    </row>
    <row r="86" customHeight="1" spans="1:68">
      <c r="A86" s="16" t="s">
        <v>800</v>
      </c>
      <c r="B86" s="17" t="s">
        <v>717</v>
      </c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24"/>
      <c r="AF86" s="24"/>
      <c r="AG86" s="24"/>
      <c r="AH86" s="19"/>
      <c r="AI86" s="19"/>
      <c r="AJ86" s="19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9"/>
      <c r="BL86" s="18"/>
      <c r="BM86" s="18"/>
      <c r="BN86" s="86">
        <f t="shared" si="1"/>
        <v>0</v>
      </c>
    </row>
    <row r="87" customHeight="1" spans="1:68">
      <c r="A87" s="16" t="s">
        <v>195</v>
      </c>
      <c r="B87" s="17" t="s">
        <v>801</v>
      </c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9"/>
      <c r="AI87" s="19"/>
      <c r="AJ87" s="19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86">
        <f t="shared" si="1"/>
        <v>0</v>
      </c>
    </row>
    <row r="88" customHeight="1" spans="1:68">
      <c r="A88" s="82" t="s">
        <v>769</v>
      </c>
      <c r="B88" s="33" t="s">
        <v>40</v>
      </c>
      <c r="C88" s="34">
        <v>10800</v>
      </c>
      <c r="D88" s="34"/>
      <c r="E88" s="34"/>
      <c r="F88" s="34"/>
      <c r="G88" s="34"/>
      <c r="H88" s="34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6"/>
      <c r="AI88" s="36"/>
      <c r="AJ88" s="36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5"/>
      <c r="BE88" s="35"/>
      <c r="BF88" s="35"/>
      <c r="BG88" s="35"/>
      <c r="BH88" s="35"/>
      <c r="BI88" s="35"/>
      <c r="BJ88" s="37"/>
      <c r="BK88" s="35"/>
      <c r="BL88" s="35"/>
      <c r="BM88" s="35"/>
      <c r="BN88" s="86">
        <f t="shared" si="1"/>
        <v>10800</v>
      </c>
    </row>
    <row r="89" customHeight="1" spans="1:68">
      <c r="A89" s="82" t="s">
        <v>770</v>
      </c>
      <c r="B89" s="33" t="s">
        <v>42</v>
      </c>
      <c r="C89" s="34">
        <v>5400</v>
      </c>
      <c r="D89" s="34"/>
      <c r="E89" s="34"/>
      <c r="F89" s="34"/>
      <c r="G89" s="34"/>
      <c r="H89" s="34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6"/>
      <c r="AI89" s="36"/>
      <c r="AJ89" s="36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5"/>
      <c r="BE89" s="35"/>
      <c r="BF89" s="35"/>
      <c r="BG89" s="35"/>
      <c r="BH89" s="35"/>
      <c r="BI89" s="35"/>
      <c r="BJ89" s="37"/>
      <c r="BK89" s="35"/>
      <c r="BL89" s="35"/>
      <c r="BM89" s="35"/>
      <c r="BN89" s="86">
        <f t="shared" si="1"/>
        <v>5400</v>
      </c>
    </row>
    <row r="90" customHeight="1" spans="1:68">
      <c r="A90" s="82" t="s">
        <v>771</v>
      </c>
      <c r="B90" s="33" t="s">
        <v>735</v>
      </c>
      <c r="C90" s="34">
        <v>9990</v>
      </c>
      <c r="D90" s="34">
        <v>6030</v>
      </c>
      <c r="E90" s="34"/>
      <c r="F90" s="34"/>
      <c r="G90" s="34"/>
      <c r="H90" s="34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6"/>
      <c r="AI90" s="36"/>
      <c r="AJ90" s="36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5"/>
      <c r="BE90" s="35"/>
      <c r="BF90" s="35"/>
      <c r="BG90" s="35"/>
      <c r="BH90" s="35"/>
      <c r="BI90" s="35"/>
      <c r="BJ90" s="35"/>
      <c r="BK90" s="35"/>
      <c r="BL90" s="35"/>
      <c r="BM90" s="35"/>
      <c r="BN90" s="86">
        <f t="shared" si="1"/>
        <v>16020</v>
      </c>
      <c r="BP90" s="88"/>
    </row>
    <row r="91" customHeight="1" spans="1:68">
      <c r="A91" s="82" t="s">
        <v>772</v>
      </c>
      <c r="B91" s="33" t="s">
        <v>737</v>
      </c>
      <c r="C91" s="34">
        <v>10000</v>
      </c>
      <c r="D91" s="34">
        <v>8000</v>
      </c>
      <c r="E91" s="34"/>
      <c r="F91" s="34"/>
      <c r="G91" s="34"/>
      <c r="H91" s="34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6"/>
      <c r="AI91" s="36"/>
      <c r="AJ91" s="36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  <c r="BD91" s="35"/>
      <c r="BE91" s="35"/>
      <c r="BF91" s="35"/>
      <c r="BG91" s="35"/>
      <c r="BH91" s="35"/>
      <c r="BI91" s="35"/>
      <c r="BJ91" s="35"/>
      <c r="BK91" s="35"/>
      <c r="BL91" s="35"/>
      <c r="BM91" s="35"/>
      <c r="BN91" s="86">
        <f t="shared" si="1"/>
        <v>18000</v>
      </c>
      <c r="BP91" s="88"/>
    </row>
    <row r="92" customHeight="1" spans="1:68">
      <c r="A92" s="82" t="s">
        <v>797</v>
      </c>
      <c r="B92" s="33" t="s">
        <v>736</v>
      </c>
      <c r="C92" s="34">
        <v>10080</v>
      </c>
      <c r="D92" s="34">
        <v>4640</v>
      </c>
      <c r="E92" s="34"/>
      <c r="F92" s="34"/>
      <c r="G92" s="34"/>
      <c r="H92" s="34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6"/>
      <c r="AI92" s="36"/>
      <c r="AJ92" s="36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5"/>
      <c r="BE92" s="35"/>
      <c r="BF92" s="35"/>
      <c r="BG92" s="35"/>
      <c r="BH92" s="35"/>
      <c r="BI92" s="35"/>
      <c r="BJ92" s="35"/>
      <c r="BK92" s="35"/>
      <c r="BL92" s="35"/>
      <c r="BM92" s="35"/>
      <c r="BN92" s="86">
        <f t="shared" si="1"/>
        <v>14720</v>
      </c>
      <c r="BP92" s="88"/>
    </row>
    <row r="93" customHeight="1" spans="1:68">
      <c r="A93" s="82" t="s">
        <v>55</v>
      </c>
      <c r="B93" s="33" t="s">
        <v>734</v>
      </c>
      <c r="C93" s="34"/>
      <c r="D93" s="34">
        <v>10000</v>
      </c>
      <c r="E93" s="34"/>
      <c r="F93" s="34"/>
      <c r="G93" s="34"/>
      <c r="H93" s="34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6"/>
      <c r="AI93" s="36"/>
      <c r="AJ93" s="36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 s="35"/>
      <c r="BE93" s="35"/>
      <c r="BF93" s="35"/>
      <c r="BG93" s="35"/>
      <c r="BH93" s="35"/>
      <c r="BI93" s="35"/>
      <c r="BJ93" s="35"/>
      <c r="BK93" s="35"/>
      <c r="BL93" s="35"/>
      <c r="BM93" s="35"/>
      <c r="BN93" s="86">
        <f t="shared" si="1"/>
        <v>10000</v>
      </c>
      <c r="BP93" s="88"/>
    </row>
    <row r="94" customHeight="1" spans="1:68">
      <c r="A94" s="82" t="s">
        <v>774</v>
      </c>
      <c r="B94" s="33" t="s">
        <v>733</v>
      </c>
      <c r="C94" s="34">
        <v>12000</v>
      </c>
      <c r="D94" s="34"/>
      <c r="E94" s="34"/>
      <c r="F94" s="34"/>
      <c r="G94" s="34"/>
      <c r="H94" s="34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6"/>
      <c r="AI94" s="36"/>
      <c r="AJ94" s="36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  <c r="BD94" s="35"/>
      <c r="BE94" s="35"/>
      <c r="BF94" s="35"/>
      <c r="BG94" s="35"/>
      <c r="BH94" s="35"/>
      <c r="BI94" s="35"/>
      <c r="BJ94" s="35"/>
      <c r="BK94" s="35"/>
      <c r="BL94" s="35"/>
      <c r="BM94" s="35"/>
      <c r="BN94" s="86">
        <f t="shared" si="1"/>
        <v>12000</v>
      </c>
      <c r="BP94" s="88"/>
    </row>
    <row r="95" customHeight="1" spans="1:68">
      <c r="A95" s="82" t="s">
        <v>775</v>
      </c>
      <c r="B95" s="33" t="s">
        <v>738</v>
      </c>
      <c r="C95" s="34">
        <v>10400</v>
      </c>
      <c r="D95" s="34"/>
      <c r="E95" s="34"/>
      <c r="F95" s="34"/>
      <c r="G95" s="34"/>
      <c r="H95" s="34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6"/>
      <c r="AI95" s="36"/>
      <c r="AJ95" s="36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  <c r="BD95" s="35"/>
      <c r="BE95" s="35"/>
      <c r="BF95" s="35"/>
      <c r="BG95" s="35"/>
      <c r="BH95" s="35"/>
      <c r="BI95" s="35"/>
      <c r="BJ95" s="35"/>
      <c r="BK95" s="35"/>
      <c r="BL95" s="35"/>
      <c r="BM95" s="35"/>
      <c r="BN95" s="86">
        <f t="shared" ref="BN95" si="2">BM95+BL95+BK95+BJ95+BI95+BH95+BG95+BF95+BE95+BD95+BC95+BB95+BA95+AZ95+AY95+AX95+AW95+AV95+AU95+AT95+AS95+AR95+AQ95+AP95+AO95+AN95+AM95+AL95+AK95+AJ95+AI95+AH95+AG95+AF95+AE95+AD95+AC95+AB95+AA95+Z95+Y95+X95+W95+V95+U95+T95+S95+R95+Q95+P95+O95+N95+M95+L95+K95+J95+I95+H95+G95+F95+E95+D95+C95</f>
        <v>10400</v>
      </c>
      <c r="BP95" s="88"/>
    </row>
    <row r="96" customHeight="1" spans="1:68">
      <c r="C96" s="39"/>
      <c r="D96" s="40"/>
      <c r="E96" s="40"/>
      <c r="F96" s="40"/>
      <c r="G96" s="40"/>
      <c r="H96" s="40"/>
      <c r="I96" s="3"/>
      <c r="J96" s="3"/>
      <c r="BN96" s="14"/>
    </row>
    <row r="97" customHeight="1" spans="3:10">
      <c r="C97" s="40"/>
      <c r="D97" s="40"/>
      <c r="E97" s="40"/>
      <c r="F97" s="40"/>
      <c r="G97" s="40"/>
      <c r="H97" s="40"/>
      <c r="I97" s="3"/>
      <c r="J97" s="3"/>
    </row>
  </sheetData>
  <mergeCells count="1">
    <mergeCell ref="A1:BN1"/>
  </mergeCells>
  <pageMargins left="0.7" right="0.7" top="0.75" bottom="0.75" header="0.3" footer="0.3"/>
  <pageSetup paperSize="9" scale="65" orientation="portrait"/>
  <headerFooter/>
  <rowBreaks count="1" manualBreakCount="1">
    <brk id="87" max="40" man="1"/>
  </rowBreaks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91"/>
  <sheetViews>
    <sheetView zoomScale="164" zoomScaleNormal="164" workbookViewId="0">
      <pane xSplit="2" ySplit="2" topLeftCell="R27" activePane="bottomRight" state="frozen"/>
      <selection/>
      <selection pane="topRight"/>
      <selection pane="bottomLeft"/>
      <selection pane="bottomRight" activeCell="BR84" sqref="BR84"/>
    </sheetView>
  </sheetViews>
  <sheetFormatPr defaultColWidth="9" defaultRowHeight="20" customHeight="1"/>
  <cols>
    <col min="1" max="1" width="14.3333333333333" style="1" customWidth="1"/>
    <col min="2" max="2" width="23.1666666666667" style="1" customWidth="1"/>
    <col min="3" max="8" width="7.5" style="1" customWidth="1"/>
    <col min="9" max="10" width="8.33333333333333" customWidth="1"/>
    <col min="11" max="11" width="8.33333333333333" style="3" customWidth="1"/>
    <col min="12" max="12" width="7.5" style="3" customWidth="1"/>
    <col min="13" max="15" width="7" style="3" customWidth="1"/>
    <col min="16" max="16" width="7.83333333333333" style="3" customWidth="1"/>
    <col min="17" max="17" width="7.5" style="3" customWidth="1"/>
    <col min="18" max="18" width="7.16666666666667" style="3" customWidth="1"/>
    <col min="19" max="19" width="7.33333333333333" style="3" customWidth="1"/>
    <col min="20" max="20" width="7.83333333333333" style="3" customWidth="1"/>
    <col min="21" max="21" width="8.16666666666667" style="3" customWidth="1"/>
    <col min="22" max="22" width="7.66666666666667" style="3" customWidth="1"/>
    <col min="23" max="23" width="5.66666666666667" style="3" hidden="1" customWidth="1"/>
    <col min="24" max="24" width="7.66666666666667" style="3" hidden="1" customWidth="1"/>
    <col min="25" max="25" width="5.66666666666667" style="3" hidden="1" customWidth="1"/>
    <col min="26" max="26" width="6.66666666666667" style="3" hidden="1" customWidth="1"/>
    <col min="27" max="28" width="5.66666666666667" style="3" hidden="1" customWidth="1"/>
    <col min="29" max="30" width="7.33333333333333" style="3" hidden="1" customWidth="1"/>
    <col min="31" max="33" width="8.33333333333333" style="3" hidden="1" customWidth="1"/>
    <col min="34" max="36" width="7.66666666666667" style="41" hidden="1" customWidth="1"/>
    <col min="37" max="37" width="7.16666666666667" style="3" hidden="1" customWidth="1"/>
    <col min="38" max="38" width="6.83333333333333" style="3" hidden="1" customWidth="1"/>
    <col min="39" max="39" width="7.33333333333333" style="3" hidden="1" customWidth="1"/>
    <col min="40" max="40" width="7.66666666666667" style="3" hidden="1" customWidth="1"/>
    <col min="41" max="41" width="6.83333333333333" style="3" hidden="1" customWidth="1"/>
    <col min="42" max="42" width="8.5" style="3" hidden="1" customWidth="1"/>
    <col min="43" max="43" width="7.33333333333333" style="3" hidden="1" customWidth="1"/>
    <col min="44" max="44" width="8" style="3" hidden="1" customWidth="1"/>
    <col min="45" max="45" width="7.5" style="3" hidden="1" customWidth="1"/>
    <col min="46" max="50" width="5.66666666666667" style="3" hidden="1" customWidth="1"/>
    <col min="51" max="51" width="7.5" style="3" hidden="1" customWidth="1"/>
    <col min="52" max="52" width="5.66666666666667" style="3" hidden="1" customWidth="1"/>
    <col min="53" max="53" width="6.5" style="3" hidden="1" customWidth="1"/>
    <col min="54" max="61" width="5.66666666666667" style="3" hidden="1" customWidth="1"/>
    <col min="62" max="62" width="6.16666666666667" style="3" hidden="1" customWidth="1"/>
    <col min="63" max="65" width="5.66666666666667" style="3" hidden="1" customWidth="1"/>
    <col min="66" max="66" width="8" style="3" customWidth="1"/>
    <col min="68" max="68" width="17.1666666666667" customWidth="1"/>
  </cols>
  <sheetData>
    <row r="1" customHeight="1" spans="1:68">
      <c r="A1" s="4" t="s">
        <v>803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</row>
    <row r="2" customHeight="1" spans="1:68">
      <c r="A2" s="47" t="s">
        <v>596</v>
      </c>
      <c r="B2" s="48" t="s">
        <v>597</v>
      </c>
      <c r="C2" s="49">
        <v>44839</v>
      </c>
      <c r="D2" s="49">
        <v>44840</v>
      </c>
      <c r="E2" s="49">
        <v>44841</v>
      </c>
      <c r="F2" s="49">
        <v>44842</v>
      </c>
      <c r="G2" s="49">
        <v>44844</v>
      </c>
      <c r="H2" s="49">
        <v>44846</v>
      </c>
      <c r="I2" s="50">
        <v>44849</v>
      </c>
      <c r="J2" s="50">
        <v>44851</v>
      </c>
      <c r="K2" s="50">
        <v>44853</v>
      </c>
      <c r="L2" s="50">
        <v>44856</v>
      </c>
      <c r="M2" s="50">
        <v>44858</v>
      </c>
      <c r="N2" s="50">
        <v>44861</v>
      </c>
      <c r="O2" s="50">
        <v>44863</v>
      </c>
      <c r="P2" s="83">
        <v>44860</v>
      </c>
      <c r="Q2" s="83">
        <v>44851</v>
      </c>
      <c r="R2" s="84">
        <v>44863</v>
      </c>
      <c r="S2" s="84">
        <v>44861</v>
      </c>
      <c r="T2" s="84">
        <v>44856</v>
      </c>
      <c r="U2" s="84">
        <v>44859</v>
      </c>
      <c r="V2" s="84">
        <v>44858</v>
      </c>
      <c r="W2" s="85"/>
      <c r="X2" s="85"/>
      <c r="Y2" s="85"/>
      <c r="Z2" s="85"/>
      <c r="AA2" s="85"/>
      <c r="AB2" s="85"/>
      <c r="AC2" s="85"/>
      <c r="AD2" s="51"/>
      <c r="AE2" s="51"/>
      <c r="AF2" s="51"/>
      <c r="AG2" s="51"/>
      <c r="AH2" s="52"/>
      <c r="AI2" s="52"/>
      <c r="AJ2" s="52"/>
      <c r="AK2" s="51"/>
      <c r="AL2" s="51"/>
      <c r="AM2" s="51"/>
      <c r="AN2" s="51"/>
      <c r="AO2" s="51"/>
      <c r="AP2" s="51"/>
      <c r="AQ2" s="51"/>
      <c r="AR2" s="51"/>
      <c r="AS2" s="51"/>
      <c r="AT2" s="51"/>
      <c r="AU2" s="51"/>
      <c r="AV2" s="51"/>
      <c r="AW2" s="51"/>
      <c r="AX2" s="51"/>
      <c r="AY2" s="51"/>
      <c r="AZ2" s="51"/>
      <c r="BA2" s="51"/>
      <c r="BB2" s="51"/>
      <c r="BC2" s="51"/>
      <c r="BD2" s="51"/>
      <c r="BE2" s="51"/>
      <c r="BF2" s="51"/>
      <c r="BG2" s="51"/>
      <c r="BH2" s="51"/>
      <c r="BI2" s="51"/>
      <c r="BJ2" s="51"/>
      <c r="BK2" s="51"/>
      <c r="BL2" s="51"/>
      <c r="BM2" s="51"/>
      <c r="BN2" s="53" t="s">
        <v>598</v>
      </c>
      <c r="BO2" s="25" t="s">
        <v>599</v>
      </c>
      <c r="BP2" s="25"/>
    </row>
    <row r="3" s="44" customFormat="1" customHeight="1" spans="1:68">
      <c r="A3" s="54" t="s">
        <v>192</v>
      </c>
      <c r="B3" s="55" t="s">
        <v>600</v>
      </c>
      <c r="C3" s="56"/>
      <c r="D3" s="56"/>
      <c r="E3" s="56"/>
      <c r="F3" s="56"/>
      <c r="G3" s="56"/>
      <c r="H3" s="56"/>
      <c r="I3" s="57"/>
      <c r="J3" s="57"/>
      <c r="K3" s="57"/>
      <c r="L3" s="57"/>
      <c r="M3" s="57"/>
      <c r="N3" s="57"/>
      <c r="O3" s="57"/>
      <c r="P3" s="57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9"/>
      <c r="AI3" s="59"/>
      <c r="AJ3" s="59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58"/>
      <c r="BL3" s="58"/>
      <c r="BM3" s="58"/>
      <c r="BN3" s="86">
        <f>BM3+BL3+BK3+BJ3+BI3+BH3+BG3+BF3+BE3+BD3+BC3+BB3+BA3+AZ3+AY3+AX3+AW3+AV3+AU3+AT3+AS3+AR3+AQ3+AP3+AO3+AN3+AM3+AL3+AK3+AJ3+AI3+AH3+AG3+AF3+AE3+AD3+AC3+AB3+AA3+Z3+Y3+X3+W3+V3+U3+T3+S3+R3+Q3+P3+O3+N3+M3+L3+K3+J3+I3+H3+G3+F3+E3+D3+C3</f>
        <v>0</v>
      </c>
    </row>
    <row r="4" s="44" customFormat="1" customHeight="1" spans="1:68">
      <c r="A4" s="54" t="s">
        <v>134</v>
      </c>
      <c r="B4" s="55" t="s">
        <v>601</v>
      </c>
      <c r="C4" s="56"/>
      <c r="D4" s="56"/>
      <c r="E4" s="56"/>
      <c r="F4" s="56"/>
      <c r="G4" s="56"/>
      <c r="H4" s="56"/>
      <c r="I4" s="57"/>
      <c r="J4" s="57"/>
      <c r="K4" s="57"/>
      <c r="L4" s="57"/>
      <c r="M4" s="57"/>
      <c r="N4" s="57"/>
      <c r="O4" s="57"/>
      <c r="P4" s="57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9"/>
      <c r="AI4" s="59"/>
      <c r="AJ4" s="59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8"/>
      <c r="BK4" s="58"/>
      <c r="BL4" s="58"/>
      <c r="BM4" s="58"/>
      <c r="BN4" s="86">
        <f t="shared" ref="BN4:BN67" si="0">BM4+BL4+BK4+BJ4+BI4+BH4+BG4+BF4+BE4+BD4+BC4+BB4+BA4+AZ4+AY4+AX4+AW4+AV4+AU4+AT4+AS4+AR4+AQ4+AP4+AO4+AN4+AM4+AL4+AK4+AJ4+AI4+AH4+AG4+AF4+AE4+AD4+AC4+AB4+AA4+Z4+Y4+X4+W4+V4+U4+T4+S4+R4+Q4+P4+O4+N4+M4+L4+K4+J4+I4+H4+G4+F4+E4+D4+C4</f>
        <v>0</v>
      </c>
    </row>
    <row r="5" s="44" customFormat="1" customHeight="1" spans="1:68">
      <c r="A5" s="54" t="s">
        <v>604</v>
      </c>
      <c r="B5" s="55" t="s">
        <v>605</v>
      </c>
      <c r="C5" s="56"/>
      <c r="D5" s="56"/>
      <c r="E5" s="56"/>
      <c r="F5" s="56"/>
      <c r="G5" s="56"/>
      <c r="H5" s="56"/>
      <c r="I5" s="57"/>
      <c r="J5" s="57"/>
      <c r="K5" s="57"/>
      <c r="L5" s="57"/>
      <c r="M5" s="57"/>
      <c r="N5" s="57"/>
      <c r="O5" s="57"/>
      <c r="P5" s="57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9"/>
      <c r="AI5" s="59"/>
      <c r="AJ5" s="59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8"/>
      <c r="BF5" s="58"/>
      <c r="BG5" s="58"/>
      <c r="BH5" s="58"/>
      <c r="BI5" s="58"/>
      <c r="BJ5" s="58"/>
      <c r="BK5" s="58"/>
      <c r="BL5" s="58"/>
      <c r="BM5" s="58"/>
      <c r="BN5" s="86">
        <f t="shared" si="0"/>
        <v>0</v>
      </c>
    </row>
    <row r="6" s="44" customFormat="1" customHeight="1" spans="1:68">
      <c r="A6" s="54" t="s">
        <v>59</v>
      </c>
      <c r="B6" s="55" t="s">
        <v>609</v>
      </c>
      <c r="C6" s="56"/>
      <c r="D6" s="56"/>
      <c r="E6" s="56"/>
      <c r="F6" s="56"/>
      <c r="G6" s="56"/>
      <c r="H6" s="56"/>
      <c r="I6" s="57"/>
      <c r="J6" s="57"/>
      <c r="K6" s="57"/>
      <c r="L6" s="57"/>
      <c r="M6" s="57"/>
      <c r="N6" s="57"/>
      <c r="O6" s="57"/>
      <c r="P6" s="57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9"/>
      <c r="AI6" s="59"/>
      <c r="AJ6" s="59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58"/>
      <c r="BL6" s="58"/>
      <c r="BM6" s="58"/>
      <c r="BN6" s="86">
        <f t="shared" si="0"/>
        <v>0</v>
      </c>
    </row>
    <row r="7" s="44" customFormat="1" customHeight="1" spans="1:68">
      <c r="A7" s="54" t="s">
        <v>612</v>
      </c>
      <c r="B7" s="55" t="s">
        <v>613</v>
      </c>
      <c r="C7" s="56"/>
      <c r="D7" s="56"/>
      <c r="E7" s="56"/>
      <c r="F7" s="56"/>
      <c r="G7" s="56"/>
      <c r="H7" s="56"/>
      <c r="I7" s="57"/>
      <c r="J7" s="57"/>
      <c r="K7" s="57"/>
      <c r="L7" s="57"/>
      <c r="M7" s="57"/>
      <c r="N7" s="57"/>
      <c r="O7" s="57"/>
      <c r="P7" s="57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9"/>
      <c r="AI7" s="59"/>
      <c r="AJ7" s="59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58"/>
      <c r="BJ7" s="58"/>
      <c r="BK7" s="58"/>
      <c r="BL7" s="58"/>
      <c r="BM7" s="58"/>
      <c r="BN7" s="86">
        <f t="shared" si="0"/>
        <v>0</v>
      </c>
    </row>
    <row r="8" s="44" customFormat="1" customHeight="1" spans="1:68">
      <c r="A8" s="54" t="s">
        <v>616</v>
      </c>
      <c r="B8" s="55" t="s">
        <v>617</v>
      </c>
      <c r="C8" s="56"/>
      <c r="D8" s="56"/>
      <c r="E8" s="56"/>
      <c r="F8" s="56"/>
      <c r="G8" s="56"/>
      <c r="H8" s="56"/>
      <c r="I8" s="57"/>
      <c r="J8" s="57"/>
      <c r="K8" s="57"/>
      <c r="L8" s="57"/>
      <c r="M8" s="57"/>
      <c r="N8" s="57"/>
      <c r="O8" s="57"/>
      <c r="P8" s="57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9"/>
      <c r="AI8" s="59"/>
      <c r="AJ8" s="59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58"/>
      <c r="BF8" s="58"/>
      <c r="BG8" s="58"/>
      <c r="BH8" s="58"/>
      <c r="BI8" s="58"/>
      <c r="BJ8" s="58"/>
      <c r="BK8" s="58"/>
      <c r="BL8" s="58"/>
      <c r="BM8" s="58"/>
      <c r="BN8" s="86">
        <f t="shared" si="0"/>
        <v>0</v>
      </c>
    </row>
    <row r="9" s="45" customFormat="1" customHeight="1" spans="1:68">
      <c r="A9" s="54" t="s">
        <v>190</v>
      </c>
      <c r="B9" s="55" t="s">
        <v>759</v>
      </c>
      <c r="C9" s="56"/>
      <c r="D9" s="56"/>
      <c r="E9" s="56" t="s">
        <v>807</v>
      </c>
      <c r="F9" s="56"/>
      <c r="G9" s="56"/>
      <c r="H9" s="56"/>
      <c r="I9" s="57"/>
      <c r="J9" s="57"/>
      <c r="K9" s="57"/>
      <c r="L9" s="57"/>
      <c r="M9" s="57"/>
      <c r="N9" s="57"/>
      <c r="O9" s="57" t="s">
        <v>761</v>
      </c>
      <c r="P9" s="57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9"/>
      <c r="AI9" s="59"/>
      <c r="AJ9" s="59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58"/>
      <c r="BI9" s="58"/>
      <c r="BJ9" s="58"/>
      <c r="BK9" s="58"/>
      <c r="BL9" s="58"/>
      <c r="BM9" s="58"/>
      <c r="BN9" s="86">
        <f t="shared" si="0"/>
        <v>250</v>
      </c>
    </row>
    <row r="10" s="46" customFormat="1" customHeight="1" spans="1:68">
      <c r="A10" s="61" t="s">
        <v>224</v>
      </c>
      <c r="B10" s="62" t="s">
        <v>620</v>
      </c>
      <c r="C10" s="62"/>
      <c r="D10" s="62"/>
      <c r="E10" s="62"/>
      <c r="F10" s="62"/>
      <c r="G10" s="62"/>
      <c r="H10" s="62"/>
      <c r="I10" s="63"/>
      <c r="J10" s="63"/>
      <c r="K10" s="63"/>
      <c r="L10" s="63"/>
      <c r="M10" s="63"/>
      <c r="N10" s="63"/>
      <c r="O10" s="63"/>
      <c r="P10" s="63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5"/>
      <c r="AI10" s="65"/>
      <c r="AJ10" s="65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4"/>
      <c r="BK10" s="64"/>
      <c r="BL10" s="64"/>
      <c r="BM10" s="64"/>
      <c r="BN10" s="86">
        <f t="shared" si="0"/>
        <v>0</v>
      </c>
    </row>
    <row r="11" s="46" customFormat="1" customHeight="1" spans="1:68">
      <c r="A11" s="61" t="s">
        <v>623</v>
      </c>
      <c r="B11" s="77" t="s">
        <v>624</v>
      </c>
      <c r="C11" s="77"/>
      <c r="D11" s="77"/>
      <c r="E11" s="77"/>
      <c r="F11" s="77"/>
      <c r="G11" s="77"/>
      <c r="H11" s="77"/>
      <c r="I11" s="78"/>
      <c r="J11" s="78"/>
      <c r="K11" s="78"/>
      <c r="L11" s="78"/>
      <c r="M11" s="78"/>
      <c r="N11" s="78"/>
      <c r="O11" s="78"/>
      <c r="P11" s="78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80"/>
      <c r="AI11" s="80"/>
      <c r="AJ11" s="80"/>
      <c r="AK11" s="79"/>
      <c r="AL11" s="79"/>
      <c r="AM11" s="79"/>
      <c r="AN11" s="79"/>
      <c r="AO11" s="79"/>
      <c r="AP11" s="79"/>
      <c r="AQ11" s="79"/>
      <c r="AR11" s="79"/>
      <c r="AS11" s="79"/>
      <c r="AT11" s="79"/>
      <c r="AU11" s="79"/>
      <c r="AV11" s="79"/>
      <c r="AW11" s="79"/>
      <c r="AX11" s="79"/>
      <c r="AY11" s="79"/>
      <c r="AZ11" s="79"/>
      <c r="BA11" s="79"/>
      <c r="BB11" s="79"/>
      <c r="BC11" s="79"/>
      <c r="BD11" s="79"/>
      <c r="BE11" s="79"/>
      <c r="BF11" s="79"/>
      <c r="BG11" s="79"/>
      <c r="BH11" s="79"/>
      <c r="BI11" s="79"/>
      <c r="BJ11" s="79"/>
      <c r="BK11" s="79"/>
      <c r="BL11" s="79"/>
      <c r="BM11" s="79"/>
      <c r="BN11" s="86">
        <f t="shared" si="0"/>
        <v>0</v>
      </c>
    </row>
    <row r="12" s="3" customFormat="1" customHeight="1" spans="1:68">
      <c r="A12" s="66" t="s">
        <v>626</v>
      </c>
      <c r="B12" s="14" t="s">
        <v>627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5"/>
      <c r="AI12" s="15"/>
      <c r="AJ12" s="15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86">
        <f t="shared" si="0"/>
        <v>0</v>
      </c>
    </row>
    <row r="13" s="3" customFormat="1" customHeight="1" spans="1:68">
      <c r="A13" s="42" t="s">
        <v>114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9"/>
      <c r="AI13" s="19"/>
      <c r="AJ13" s="19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86">
        <f t="shared" si="0"/>
        <v>0</v>
      </c>
    </row>
    <row r="14" s="3" customFormat="1" customHeight="1" spans="1:68">
      <c r="A14" s="42" t="s">
        <v>106</v>
      </c>
      <c r="B14" s="18" t="s">
        <v>107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9"/>
      <c r="AI14" s="19"/>
      <c r="AJ14" s="19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86">
        <f t="shared" si="0"/>
        <v>0</v>
      </c>
    </row>
    <row r="15" s="3" customFormat="1" customHeight="1" spans="1:68">
      <c r="A15" s="42" t="s">
        <v>629</v>
      </c>
      <c r="B15" s="18" t="s">
        <v>630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9"/>
      <c r="AI15" s="19"/>
      <c r="AJ15" s="19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20"/>
      <c r="BK15" s="18"/>
      <c r="BL15" s="18"/>
      <c r="BM15" s="18"/>
      <c r="BN15" s="86">
        <f t="shared" si="0"/>
        <v>0</v>
      </c>
    </row>
    <row r="16" s="3" customFormat="1" customHeight="1" spans="1:68">
      <c r="A16" s="42" t="s">
        <v>18</v>
      </c>
      <c r="B16" s="18" t="s">
        <v>631</v>
      </c>
      <c r="C16" s="18"/>
      <c r="D16" s="18"/>
      <c r="E16" s="18"/>
      <c r="F16" s="18">
        <v>1000</v>
      </c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9"/>
      <c r="AI16" s="19"/>
      <c r="AJ16" s="19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20"/>
      <c r="BK16" s="18"/>
      <c r="BL16" s="18"/>
      <c r="BM16" s="18"/>
      <c r="BN16" s="86">
        <f t="shared" si="0"/>
        <v>1000</v>
      </c>
    </row>
    <row r="17" customHeight="1" spans="1:67">
      <c r="A17" s="16" t="s">
        <v>33</v>
      </c>
      <c r="B17" s="17" t="s">
        <v>632</v>
      </c>
      <c r="C17" s="18"/>
      <c r="D17" s="18"/>
      <c r="E17" s="18"/>
      <c r="F17" s="18"/>
      <c r="G17" s="18"/>
      <c r="H17" s="18">
        <v>1000</v>
      </c>
      <c r="I17" s="18"/>
      <c r="J17" s="18"/>
      <c r="K17" s="18"/>
      <c r="L17" s="18"/>
      <c r="M17" s="18"/>
      <c r="N17" s="18">
        <v>1000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9"/>
      <c r="AI17" s="19"/>
      <c r="AJ17" s="19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20"/>
      <c r="BK17" s="18"/>
      <c r="BL17" s="18"/>
      <c r="BM17" s="18"/>
      <c r="BN17" s="86">
        <f t="shared" si="0"/>
        <v>2000</v>
      </c>
    </row>
    <row r="18" customHeight="1" spans="1:67">
      <c r="A18" s="16" t="s">
        <v>69</v>
      </c>
      <c r="B18" s="17" t="s">
        <v>633</v>
      </c>
      <c r="C18" s="18"/>
      <c r="D18" s="18"/>
      <c r="E18" s="18"/>
      <c r="F18" s="18">
        <v>1000</v>
      </c>
      <c r="G18" s="18"/>
      <c r="H18" s="18"/>
      <c r="I18" s="18"/>
      <c r="J18" s="18">
        <v>1000</v>
      </c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9"/>
      <c r="AI18" s="19"/>
      <c r="AJ18" s="19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20"/>
      <c r="BK18" s="18"/>
      <c r="BL18" s="18"/>
      <c r="BM18" s="18"/>
      <c r="BN18" s="86">
        <f t="shared" si="0"/>
        <v>2000</v>
      </c>
    </row>
    <row r="19" customHeight="1" spans="1:67">
      <c r="A19" s="16" t="s">
        <v>634</v>
      </c>
      <c r="B19" s="17" t="s">
        <v>635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9"/>
      <c r="AI19" s="19"/>
      <c r="AJ19" s="19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20"/>
      <c r="BK19" s="18"/>
      <c r="BL19" s="18"/>
      <c r="BM19" s="18"/>
      <c r="BN19" s="86">
        <f t="shared" si="0"/>
        <v>0</v>
      </c>
    </row>
    <row r="20" customHeight="1" spans="1:67">
      <c r="A20" s="16" t="s">
        <v>155</v>
      </c>
      <c r="B20" s="17" t="s">
        <v>636</v>
      </c>
      <c r="C20" s="18"/>
      <c r="D20" s="18"/>
      <c r="E20" s="18"/>
      <c r="F20" s="18">
        <v>500</v>
      </c>
      <c r="G20" s="18"/>
      <c r="H20" s="18"/>
      <c r="I20" s="18"/>
      <c r="J20" s="18"/>
      <c r="K20" s="18"/>
      <c r="L20" s="18"/>
      <c r="M20" s="18"/>
      <c r="N20" s="18">
        <v>500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9"/>
      <c r="AI20" s="19"/>
      <c r="AJ20" s="19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20"/>
      <c r="BK20" s="18"/>
      <c r="BL20" s="18"/>
      <c r="BM20" s="18"/>
      <c r="BN20" s="86">
        <f t="shared" si="0"/>
        <v>1000</v>
      </c>
    </row>
    <row r="21" customHeight="1" spans="1:67">
      <c r="A21" s="16" t="s">
        <v>193</v>
      </c>
      <c r="B21" s="17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9"/>
      <c r="AI21" s="19"/>
      <c r="AJ21" s="19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20"/>
      <c r="BK21" s="18"/>
      <c r="BL21" s="18"/>
      <c r="BM21" s="18"/>
      <c r="BN21" s="86">
        <f t="shared" si="0"/>
        <v>0</v>
      </c>
    </row>
    <row r="22" customHeight="1" spans="1:67">
      <c r="A22" s="16" t="s">
        <v>35</v>
      </c>
      <c r="B22" s="17" t="s">
        <v>638</v>
      </c>
      <c r="C22" s="18"/>
      <c r="D22" s="18"/>
      <c r="E22" s="18"/>
      <c r="F22" s="18"/>
      <c r="G22" s="18"/>
      <c r="H22" s="18">
        <v>1000</v>
      </c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9"/>
      <c r="AI22" s="19"/>
      <c r="AJ22" s="19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20"/>
      <c r="BK22" s="18"/>
      <c r="BL22" s="18"/>
      <c r="BM22" s="18"/>
      <c r="BN22" s="86">
        <f t="shared" si="0"/>
        <v>1000</v>
      </c>
    </row>
    <row r="23" customHeight="1" spans="1:67">
      <c r="A23" s="16" t="s">
        <v>234</v>
      </c>
      <c r="B23" s="17" t="s">
        <v>639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9"/>
      <c r="AI23" s="19"/>
      <c r="AJ23" s="19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20"/>
      <c r="BK23" s="18"/>
      <c r="BL23" s="18"/>
      <c r="BM23" s="18"/>
      <c r="BN23" s="86">
        <f t="shared" si="0"/>
        <v>0</v>
      </c>
    </row>
    <row r="24" customHeight="1" spans="1:67">
      <c r="A24" s="16" t="s">
        <v>109</v>
      </c>
      <c r="B24" s="17" t="s">
        <v>110</v>
      </c>
      <c r="C24" s="18"/>
      <c r="D24" s="18"/>
      <c r="E24" s="18"/>
      <c r="F24" s="18"/>
      <c r="G24" s="18"/>
      <c r="H24" s="18"/>
      <c r="I24" s="18"/>
      <c r="J24" s="18"/>
      <c r="K24" s="18">
        <v>200</v>
      </c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9"/>
      <c r="AI24" s="19"/>
      <c r="AJ24" s="19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86">
        <f t="shared" si="0"/>
        <v>200</v>
      </c>
    </row>
    <row r="25" customHeight="1" spans="1:67">
      <c r="A25" s="16" t="s">
        <v>103</v>
      </c>
      <c r="B25" s="17" t="s">
        <v>647</v>
      </c>
      <c r="C25" s="18">
        <v>1000</v>
      </c>
      <c r="D25" s="18"/>
      <c r="E25" s="18"/>
      <c r="F25" s="18"/>
      <c r="G25" s="18"/>
      <c r="H25" s="18"/>
      <c r="I25" s="18"/>
      <c r="J25" s="18"/>
      <c r="K25" s="18"/>
      <c r="L25" s="18"/>
      <c r="M25" s="18">
        <v>1550</v>
      </c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9"/>
      <c r="AI25" s="19"/>
      <c r="AJ25" s="19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86">
        <f t="shared" si="0"/>
        <v>2550</v>
      </c>
    </row>
    <row r="26" customHeight="1" spans="1:67">
      <c r="A26" s="16" t="s">
        <v>177</v>
      </c>
      <c r="B26" s="17" t="s">
        <v>648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9"/>
      <c r="AI26" s="19"/>
      <c r="AJ26" s="19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86">
        <f t="shared" si="0"/>
        <v>0</v>
      </c>
    </row>
    <row r="27" customHeight="1" spans="1:67">
      <c r="A27" s="16" t="s">
        <v>37</v>
      </c>
      <c r="B27" s="17" t="s">
        <v>649</v>
      </c>
      <c r="C27" s="18"/>
      <c r="D27" s="18"/>
      <c r="E27" s="18"/>
      <c r="F27" s="18"/>
      <c r="G27" s="18"/>
      <c r="H27" s="18"/>
      <c r="I27" s="18"/>
      <c r="J27" s="18">
        <v>200</v>
      </c>
      <c r="K27" s="18"/>
      <c r="L27" s="18"/>
      <c r="M27" s="18"/>
      <c r="N27" s="18">
        <v>300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9"/>
      <c r="AI27" s="19"/>
      <c r="AJ27" s="19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86">
        <f t="shared" si="0"/>
        <v>500</v>
      </c>
    </row>
    <row r="28" customHeight="1" spans="1:67">
      <c r="A28" s="16" t="s">
        <v>173</v>
      </c>
      <c r="B28" s="17" t="s">
        <v>650</v>
      </c>
      <c r="C28" s="18">
        <v>5000</v>
      </c>
      <c r="D28" s="18"/>
      <c r="E28" s="18"/>
      <c r="F28" s="18"/>
      <c r="G28" s="18"/>
      <c r="H28" s="18"/>
      <c r="I28" s="18"/>
      <c r="J28" s="18"/>
      <c r="K28" s="18"/>
      <c r="L28" s="18"/>
      <c r="M28" s="18">
        <v>5000</v>
      </c>
      <c r="N28" s="18">
        <v>6000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9"/>
      <c r="AI28" s="19"/>
      <c r="AJ28" s="19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86">
        <f t="shared" si="0"/>
        <v>16000</v>
      </c>
    </row>
    <row r="29" customHeight="1" spans="1:67">
      <c r="A29" s="16" t="s">
        <v>651</v>
      </c>
      <c r="B29" s="21" t="s">
        <v>652</v>
      </c>
      <c r="C29" s="22"/>
      <c r="D29" s="22"/>
      <c r="E29" s="22"/>
      <c r="F29" s="22"/>
      <c r="G29" s="22"/>
      <c r="H29" s="22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9"/>
      <c r="AI29" s="19"/>
      <c r="AJ29" s="19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86">
        <f t="shared" si="0"/>
        <v>0</v>
      </c>
      <c r="BO29">
        <v>0</v>
      </c>
    </row>
    <row r="30" customHeight="1" spans="1:67">
      <c r="A30" s="16" t="s">
        <v>144</v>
      </c>
      <c r="B30" s="21" t="s">
        <v>653</v>
      </c>
      <c r="C30" s="22"/>
      <c r="D30" s="22"/>
      <c r="E30" s="22"/>
      <c r="F30" s="22"/>
      <c r="G30" s="22"/>
      <c r="H30" s="22"/>
      <c r="I30" s="18"/>
      <c r="J30" s="18">
        <v>1125</v>
      </c>
      <c r="K30" s="18"/>
      <c r="L30" s="18"/>
      <c r="M30" s="18"/>
      <c r="N30" s="18">
        <v>1000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9"/>
      <c r="AI30" s="19"/>
      <c r="AJ30" s="19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86">
        <f t="shared" si="0"/>
        <v>2125</v>
      </c>
      <c r="BO30">
        <v>0</v>
      </c>
    </row>
    <row r="31" customHeight="1" spans="1:67">
      <c r="A31" s="16" t="s">
        <v>187</v>
      </c>
      <c r="B31" s="17" t="s">
        <v>654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9"/>
      <c r="AI31" s="19"/>
      <c r="AJ31" s="19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86">
        <f t="shared" si="0"/>
        <v>0</v>
      </c>
    </row>
    <row r="32" customHeight="1" spans="1:67">
      <c r="A32" s="16" t="s">
        <v>51</v>
      </c>
      <c r="B32" s="17" t="s">
        <v>656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>
        <v>1007</v>
      </c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9"/>
      <c r="AI32" s="19"/>
      <c r="AJ32" s="19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86">
        <f t="shared" si="0"/>
        <v>1007</v>
      </c>
      <c r="BO32">
        <v>11007</v>
      </c>
    </row>
    <row r="33" customHeight="1" spans="1:67">
      <c r="A33" s="16" t="s">
        <v>218</v>
      </c>
      <c r="B33" s="17" t="s">
        <v>658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9"/>
      <c r="AI33" s="19"/>
      <c r="AJ33" s="19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86">
        <f t="shared" si="0"/>
        <v>0</v>
      </c>
    </row>
    <row r="34" customHeight="1" spans="1:67">
      <c r="A34" s="16" t="s">
        <v>135</v>
      </c>
      <c r="B34" s="17" t="s">
        <v>659</v>
      </c>
      <c r="C34" s="18"/>
      <c r="D34" s="18"/>
      <c r="E34" s="18"/>
      <c r="F34" s="18"/>
      <c r="G34" s="18"/>
      <c r="H34" s="18">
        <v>700</v>
      </c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9"/>
      <c r="AI34" s="19"/>
      <c r="AJ34" s="19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86">
        <f t="shared" si="0"/>
        <v>700</v>
      </c>
    </row>
    <row r="35" customHeight="1" spans="1:67">
      <c r="A35" s="16" t="s">
        <v>22</v>
      </c>
      <c r="B35" s="17" t="s">
        <v>652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9"/>
      <c r="AI35" s="19"/>
      <c r="AJ35" s="19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86">
        <f t="shared" si="0"/>
        <v>0</v>
      </c>
      <c r="BO35">
        <v>0</v>
      </c>
    </row>
    <row r="36" customHeight="1" spans="1:67">
      <c r="A36" s="16" t="s">
        <v>660</v>
      </c>
      <c r="B36" s="17" t="s">
        <v>655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9"/>
      <c r="AI36" s="19"/>
      <c r="AJ36" s="19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86">
        <f t="shared" si="0"/>
        <v>0</v>
      </c>
    </row>
    <row r="37" customHeight="1" spans="1:67">
      <c r="A37" s="16" t="s">
        <v>661</v>
      </c>
      <c r="B37" s="17" t="s">
        <v>653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9"/>
      <c r="AI37" s="19"/>
      <c r="AJ37" s="19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86">
        <f t="shared" si="0"/>
        <v>0</v>
      </c>
    </row>
    <row r="38" customHeight="1" spans="1:67">
      <c r="A38" s="16" t="s">
        <v>662</v>
      </c>
      <c r="B38" s="17" t="s">
        <v>663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9"/>
      <c r="AI38" s="19"/>
      <c r="AJ38" s="19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86">
        <f t="shared" si="0"/>
        <v>0</v>
      </c>
    </row>
    <row r="39" customHeight="1" spans="1:67">
      <c r="A39" s="16" t="s">
        <v>666</v>
      </c>
      <c r="B39" s="17" t="s">
        <v>667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>
        <v>200</v>
      </c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9"/>
      <c r="AI39" s="19"/>
      <c r="AJ39" s="19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86">
        <f t="shared" si="0"/>
        <v>200</v>
      </c>
    </row>
    <row r="40" customHeight="1" spans="1:67">
      <c r="A40" s="16" t="s">
        <v>668</v>
      </c>
      <c r="B40" s="17" t="s">
        <v>669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>
        <v>500</v>
      </c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9"/>
      <c r="AI40" s="19"/>
      <c r="AJ40" s="19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86">
        <f t="shared" si="0"/>
        <v>500</v>
      </c>
    </row>
    <row r="41" customHeight="1" spans="1:67">
      <c r="A41" s="16" t="s">
        <v>670</v>
      </c>
      <c r="B41" s="17" t="s">
        <v>671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9"/>
      <c r="AI41" s="19"/>
      <c r="AJ41" s="19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86">
        <f t="shared" si="0"/>
        <v>0</v>
      </c>
    </row>
    <row r="42" customHeight="1" spans="1:67">
      <c r="A42" s="16" t="s">
        <v>672</v>
      </c>
      <c r="B42" s="17" t="s">
        <v>671</v>
      </c>
      <c r="C42" s="18">
        <v>400</v>
      </c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9"/>
      <c r="AI42" s="19"/>
      <c r="AJ42" s="19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86">
        <f t="shared" si="0"/>
        <v>400</v>
      </c>
    </row>
    <row r="43" customHeight="1" spans="1:67">
      <c r="A43" s="16" t="s">
        <v>673</v>
      </c>
      <c r="B43" s="17" t="s">
        <v>674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9"/>
      <c r="AI43" s="19"/>
      <c r="AJ43" s="19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86">
        <f t="shared" si="0"/>
        <v>0</v>
      </c>
    </row>
    <row r="44" customHeight="1" spans="1:67">
      <c r="A44" s="16" t="s">
        <v>675</v>
      </c>
      <c r="B44" s="17" t="s">
        <v>676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9"/>
      <c r="AI44" s="19"/>
      <c r="AJ44" s="19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86">
        <f t="shared" si="0"/>
        <v>0</v>
      </c>
    </row>
    <row r="45" customHeight="1" spans="1:67">
      <c r="A45" s="16" t="s">
        <v>677</v>
      </c>
      <c r="B45" s="17" t="s">
        <v>678</v>
      </c>
      <c r="C45" s="18">
        <v>400</v>
      </c>
      <c r="D45" s="18"/>
      <c r="E45" s="18"/>
      <c r="F45" s="18"/>
      <c r="G45" s="18"/>
      <c r="H45" s="18"/>
      <c r="I45" s="18"/>
      <c r="J45" s="18"/>
      <c r="K45" s="18">
        <v>483</v>
      </c>
      <c r="L45" s="18">
        <v>-50</v>
      </c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9"/>
      <c r="AI45" s="19"/>
      <c r="AJ45" s="19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86">
        <f t="shared" si="0"/>
        <v>833</v>
      </c>
    </row>
    <row r="46" customHeight="1" spans="1:67">
      <c r="A46" s="16" t="s">
        <v>679</v>
      </c>
      <c r="B46" s="17" t="s">
        <v>680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9"/>
      <c r="AI46" s="19"/>
      <c r="AJ46" s="19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86">
        <f t="shared" si="0"/>
        <v>0</v>
      </c>
    </row>
    <row r="47" customHeight="1" spans="1:67">
      <c r="A47" s="16" t="s">
        <v>681</v>
      </c>
      <c r="B47" s="17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>
        <v>500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9"/>
      <c r="AI47" s="19"/>
      <c r="AJ47" s="19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86">
        <f t="shared" si="0"/>
        <v>500</v>
      </c>
    </row>
    <row r="48" customHeight="1" spans="1:67">
      <c r="A48" s="16" t="s">
        <v>682</v>
      </c>
      <c r="B48" s="17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9"/>
      <c r="AI48" s="19"/>
      <c r="AJ48" s="19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86">
        <f t="shared" si="0"/>
        <v>0</v>
      </c>
    </row>
    <row r="49" customHeight="1" spans="1:66">
      <c r="A49" s="16" t="s">
        <v>683</v>
      </c>
      <c r="B49" s="17" t="s">
        <v>684</v>
      </c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9"/>
      <c r="AI49" s="19"/>
      <c r="AJ49" s="19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86">
        <f t="shared" si="0"/>
        <v>0</v>
      </c>
    </row>
    <row r="50" customHeight="1" spans="1:66">
      <c r="A50" s="16" t="s">
        <v>685</v>
      </c>
      <c r="B50" s="17" t="s">
        <v>686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9"/>
      <c r="AI50" s="19"/>
      <c r="AJ50" s="19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86">
        <f t="shared" si="0"/>
        <v>0</v>
      </c>
    </row>
    <row r="51" customHeight="1" spans="1:66">
      <c r="A51" s="16" t="s">
        <v>687</v>
      </c>
      <c r="B51" s="17" t="s">
        <v>688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9"/>
      <c r="AI51" s="19"/>
      <c r="AJ51" s="19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86">
        <f t="shared" si="0"/>
        <v>0</v>
      </c>
    </row>
    <row r="52" customHeight="1" spans="1:66">
      <c r="A52" s="16" t="s">
        <v>691</v>
      </c>
      <c r="B52" s="17" t="s">
        <v>692</v>
      </c>
      <c r="C52" s="18"/>
      <c r="D52" s="18"/>
      <c r="E52" s="18"/>
      <c r="F52" s="18"/>
      <c r="G52" s="18"/>
      <c r="H52" s="18"/>
      <c r="I52" s="18"/>
      <c r="J52" s="18"/>
      <c r="K52" s="18">
        <v>116</v>
      </c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9"/>
      <c r="AI52" s="19"/>
      <c r="AJ52" s="19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86">
        <f t="shared" si="0"/>
        <v>116</v>
      </c>
    </row>
    <row r="53" customHeight="1" spans="1:66">
      <c r="A53" s="16" t="s">
        <v>694</v>
      </c>
      <c r="B53" s="17" t="s">
        <v>695</v>
      </c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9"/>
      <c r="AI53" s="19"/>
      <c r="AJ53" s="19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86">
        <f t="shared" si="0"/>
        <v>0</v>
      </c>
    </row>
    <row r="54" customHeight="1" spans="1:66">
      <c r="A54" s="16" t="s">
        <v>778</v>
      </c>
      <c r="B54" s="17" t="s">
        <v>779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9"/>
      <c r="AI54" s="19"/>
      <c r="AJ54" s="19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86">
        <f t="shared" si="0"/>
        <v>0</v>
      </c>
    </row>
    <row r="55" customHeight="1" spans="1:66">
      <c r="A55" s="16" t="s">
        <v>699</v>
      </c>
      <c r="B55" s="21" t="s">
        <v>700</v>
      </c>
      <c r="C55" s="22"/>
      <c r="D55" s="22"/>
      <c r="E55" s="22"/>
      <c r="F55" s="22"/>
      <c r="G55" s="22"/>
      <c r="H55" s="22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9"/>
      <c r="AI55" s="19"/>
      <c r="AJ55" s="19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86">
        <f t="shared" si="0"/>
        <v>0</v>
      </c>
    </row>
    <row r="56" customHeight="1" spans="1:66">
      <c r="A56" s="16" t="s">
        <v>701</v>
      </c>
      <c r="B56" s="17" t="s">
        <v>702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9"/>
      <c r="AI56" s="19"/>
      <c r="AJ56" s="19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86">
        <f t="shared" si="0"/>
        <v>0</v>
      </c>
    </row>
    <row r="57" customHeight="1" spans="1:66">
      <c r="A57" s="16" t="s">
        <v>701</v>
      </c>
      <c r="B57" s="21" t="s">
        <v>780</v>
      </c>
      <c r="C57" s="22"/>
      <c r="D57" s="22"/>
      <c r="E57" s="22"/>
      <c r="F57" s="22"/>
      <c r="G57" s="22"/>
      <c r="H57" s="22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9"/>
      <c r="AI57" s="19"/>
      <c r="AJ57" s="19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86">
        <f t="shared" si="0"/>
        <v>0</v>
      </c>
    </row>
    <row r="58" customHeight="1" spans="1:66">
      <c r="A58" s="16" t="s">
        <v>784</v>
      </c>
      <c r="B58" s="17" t="s">
        <v>730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>
        <v>32000</v>
      </c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9"/>
      <c r="AI58" s="19"/>
      <c r="AJ58" s="19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86">
        <f t="shared" si="0"/>
        <v>32000</v>
      </c>
    </row>
    <row r="59" customHeight="1" spans="1:66">
      <c r="A59" s="16" t="s">
        <v>706</v>
      </c>
      <c r="B59" s="21" t="s">
        <v>707</v>
      </c>
      <c r="C59" s="22"/>
      <c r="D59" s="22"/>
      <c r="E59" s="22"/>
      <c r="F59" s="22"/>
      <c r="G59" s="22"/>
      <c r="H59" s="22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9"/>
      <c r="AI59" s="19"/>
      <c r="AJ59" s="19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86">
        <f t="shared" si="0"/>
        <v>0</v>
      </c>
    </row>
    <row r="60" customHeight="1" spans="1:66">
      <c r="A60" s="16" t="s">
        <v>123</v>
      </c>
      <c r="B60" s="21" t="s">
        <v>708</v>
      </c>
      <c r="C60" s="22"/>
      <c r="D60" s="22"/>
      <c r="E60" s="22"/>
      <c r="F60" s="22">
        <v>16100</v>
      </c>
      <c r="G60" s="22"/>
      <c r="H60" s="22"/>
      <c r="I60" s="18"/>
      <c r="J60" s="18"/>
      <c r="K60" s="18"/>
      <c r="L60" s="18"/>
      <c r="M60" s="18"/>
      <c r="N60" s="18"/>
      <c r="O60" s="18"/>
      <c r="P60" s="18"/>
      <c r="Q60" s="18">
        <v>9200</v>
      </c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9"/>
      <c r="AI60" s="19"/>
      <c r="AJ60" s="19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86">
        <f t="shared" si="0"/>
        <v>25300</v>
      </c>
    </row>
    <row r="61" customHeight="1" spans="1:66">
      <c r="A61" s="16" t="s">
        <v>117</v>
      </c>
      <c r="B61" s="21" t="s">
        <v>709</v>
      </c>
      <c r="C61" s="22"/>
      <c r="D61" s="22"/>
      <c r="E61" s="22"/>
      <c r="F61" s="22">
        <v>15000</v>
      </c>
      <c r="G61" s="22"/>
      <c r="H61" s="22"/>
      <c r="I61" s="18"/>
      <c r="J61" s="18"/>
      <c r="K61" s="18"/>
      <c r="L61" s="18"/>
      <c r="M61" s="18"/>
      <c r="N61" s="18"/>
      <c r="O61" s="18"/>
      <c r="P61" s="18"/>
      <c r="Q61" s="18">
        <v>9000</v>
      </c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9"/>
      <c r="AI61" s="19"/>
      <c r="AJ61" s="19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86">
        <f t="shared" si="0"/>
        <v>24000</v>
      </c>
    </row>
    <row r="62" customHeight="1" spans="1:66">
      <c r="A62" s="16" t="s">
        <v>120</v>
      </c>
      <c r="B62" s="21" t="s">
        <v>710</v>
      </c>
      <c r="C62" s="22"/>
      <c r="D62" s="22"/>
      <c r="E62" s="22"/>
      <c r="F62" s="22">
        <v>15000</v>
      </c>
      <c r="G62" s="22"/>
      <c r="H62" s="22"/>
      <c r="I62" s="18"/>
      <c r="J62" s="18"/>
      <c r="K62" s="18"/>
      <c r="L62" s="18"/>
      <c r="M62" s="18"/>
      <c r="N62" s="18"/>
      <c r="O62" s="18"/>
      <c r="P62" s="18"/>
      <c r="Q62" s="18">
        <v>9600</v>
      </c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9"/>
      <c r="AI62" s="19"/>
      <c r="AJ62" s="19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86">
        <f t="shared" si="0"/>
        <v>24600</v>
      </c>
    </row>
    <row r="63" customHeight="1" spans="1:66">
      <c r="A63" s="16" t="s">
        <v>65</v>
      </c>
      <c r="B63" s="21" t="s">
        <v>713</v>
      </c>
      <c r="C63" s="22"/>
      <c r="D63" s="22"/>
      <c r="E63" s="22"/>
      <c r="F63" s="22"/>
      <c r="G63" s="22"/>
      <c r="H63" s="22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>
        <v>20000</v>
      </c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9"/>
      <c r="AI63" s="19"/>
      <c r="AJ63" s="19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86">
        <f t="shared" si="0"/>
        <v>20000</v>
      </c>
    </row>
    <row r="64" customHeight="1" spans="1:66">
      <c r="A64" s="16" t="s">
        <v>808</v>
      </c>
      <c r="B64" s="21" t="s">
        <v>714</v>
      </c>
      <c r="C64" s="22"/>
      <c r="D64" s="22"/>
      <c r="E64" s="22"/>
      <c r="F64" s="22"/>
      <c r="G64" s="22"/>
      <c r="H64" s="22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>
        <v>25000</v>
      </c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9"/>
      <c r="AI64" s="19"/>
      <c r="AJ64" s="19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86">
        <f t="shared" si="0"/>
        <v>25000</v>
      </c>
    </row>
    <row r="65" customHeight="1" spans="1:67">
      <c r="A65" s="16" t="s">
        <v>126</v>
      </c>
      <c r="B65" s="21" t="s">
        <v>789</v>
      </c>
      <c r="C65" s="22"/>
      <c r="D65" s="22"/>
      <c r="E65" s="22"/>
      <c r="F65" s="22"/>
      <c r="G65" s="22"/>
      <c r="H65" s="22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>
        <v>3000</v>
      </c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9"/>
      <c r="AI65" s="19"/>
      <c r="AJ65" s="19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86">
        <f t="shared" si="0"/>
        <v>3000</v>
      </c>
    </row>
    <row r="66" customHeight="1" spans="1:67">
      <c r="A66" s="16" t="s">
        <v>181</v>
      </c>
      <c r="B66" s="21" t="s">
        <v>716</v>
      </c>
      <c r="C66" s="22"/>
      <c r="D66" s="22"/>
      <c r="E66" s="22">
        <v>3000</v>
      </c>
      <c r="F66" s="22"/>
      <c r="G66" s="22"/>
      <c r="H66" s="22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9"/>
      <c r="AI66" s="19"/>
      <c r="AJ66" s="19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86">
        <f t="shared" si="0"/>
        <v>3000</v>
      </c>
    </row>
    <row r="67" customHeight="1" spans="1:67">
      <c r="A67" s="16" t="s">
        <v>222</v>
      </c>
      <c r="B67" s="21" t="s">
        <v>718</v>
      </c>
      <c r="C67" s="22"/>
      <c r="D67" s="22"/>
      <c r="E67" s="22"/>
      <c r="F67" s="22"/>
      <c r="G67" s="22">
        <v>15000</v>
      </c>
      <c r="H67" s="22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9"/>
      <c r="AI67" s="19"/>
      <c r="AJ67" s="19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86">
        <f t="shared" si="0"/>
        <v>15000</v>
      </c>
    </row>
    <row r="68" customHeight="1" spans="1:67">
      <c r="A68" s="16" t="s">
        <v>785</v>
      </c>
      <c r="B68" s="17" t="s">
        <v>786</v>
      </c>
      <c r="C68" s="18"/>
      <c r="D68" s="18">
        <v>31748</v>
      </c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9"/>
      <c r="AI68" s="19"/>
      <c r="AJ68" s="19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86">
        <f t="shared" ref="BN68:BN89" si="1">BM68+BL68+BK68+BJ68+BI68+BH68+BG68+BF68+BE68+BD68+BC68+BB68+BA68+AZ68+AY68+AX68+AW68+AV68+AU68+AT68+AS68+AR68+AQ68+AP68+AO68+AN68+AM68+AL68+AK68+AJ68+AI68+AH68+AG68+AF68+AE68+AD68+AC68+AB68+AA68+Z68+Y68+X68+W68+V68+U68+T68+S68+R68+Q68+P68+O68+N68+M68+L68+K68+J68+I68+H68+G68+F68+E68+D68+C68</f>
        <v>31748</v>
      </c>
    </row>
    <row r="69" customHeight="1" spans="1:67">
      <c r="A69" s="16" t="s">
        <v>719</v>
      </c>
      <c r="B69" s="17" t="s">
        <v>720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>
        <v>10000</v>
      </c>
      <c r="R69" s="18">
        <v>10000</v>
      </c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9"/>
      <c r="AI69" s="19"/>
      <c r="AJ69" s="19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86">
        <f t="shared" si="1"/>
        <v>20000</v>
      </c>
    </row>
    <row r="70" customHeight="1" spans="1:67">
      <c r="A70" s="16" t="s">
        <v>206</v>
      </c>
      <c r="B70" s="17" t="s">
        <v>721</v>
      </c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>
        <v>10000</v>
      </c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9"/>
      <c r="AI70" s="19"/>
      <c r="AJ70" s="19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86">
        <f t="shared" si="1"/>
        <v>10000</v>
      </c>
    </row>
    <row r="71" customHeight="1" spans="1:67">
      <c r="A71" s="16" t="s">
        <v>202</v>
      </c>
      <c r="B71" s="17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>
        <v>15000</v>
      </c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9"/>
      <c r="AI71" s="19"/>
      <c r="AJ71" s="19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86">
        <f t="shared" si="1"/>
        <v>15000</v>
      </c>
    </row>
    <row r="72" customHeight="1" spans="1:67">
      <c r="A72" s="16" t="s">
        <v>208</v>
      </c>
      <c r="B72" s="17"/>
      <c r="C72" s="18"/>
      <c r="D72" s="18"/>
      <c r="E72" s="18">
        <v>5000</v>
      </c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>
        <v>10000</v>
      </c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9"/>
      <c r="AI72" s="19"/>
      <c r="AJ72" s="19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86">
        <f t="shared" si="1"/>
        <v>15000</v>
      </c>
      <c r="BO72">
        <v>11000</v>
      </c>
    </row>
    <row r="73" customHeight="1" spans="1:67">
      <c r="A73" s="16" t="s">
        <v>157</v>
      </c>
      <c r="B73" s="17" t="s">
        <v>725</v>
      </c>
      <c r="C73" s="18"/>
      <c r="D73" s="18"/>
      <c r="E73" s="18"/>
      <c r="F73" s="18"/>
      <c r="G73" s="18">
        <v>15000</v>
      </c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>
        <v>10000</v>
      </c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9"/>
      <c r="AI73" s="19"/>
      <c r="AJ73" s="19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86">
        <f t="shared" si="1"/>
        <v>25000</v>
      </c>
    </row>
    <row r="74" customHeight="1" spans="1:67">
      <c r="A74" s="16" t="s">
        <v>210</v>
      </c>
      <c r="B74" s="17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9"/>
      <c r="AI74" s="19"/>
      <c r="AJ74" s="19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86">
        <f t="shared" si="1"/>
        <v>0</v>
      </c>
    </row>
    <row r="75" customHeight="1" spans="1:67">
      <c r="A75" s="16" t="s">
        <v>49</v>
      </c>
      <c r="B75" s="17" t="s">
        <v>730</v>
      </c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9"/>
      <c r="AI75" s="19"/>
      <c r="AJ75" s="19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86">
        <f t="shared" si="1"/>
        <v>0</v>
      </c>
      <c r="BO75" s="3"/>
    </row>
    <row r="76" customHeight="1" spans="1:67">
      <c r="A76" s="16" t="s">
        <v>112</v>
      </c>
      <c r="B76" s="17" t="s">
        <v>731</v>
      </c>
      <c r="C76" s="19"/>
      <c r="D76" s="18"/>
      <c r="E76" s="18"/>
      <c r="F76" s="18"/>
      <c r="G76" s="18">
        <v>16000</v>
      </c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9"/>
      <c r="AI76" s="19"/>
      <c r="AJ76" s="19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23"/>
      <c r="BF76" s="23"/>
      <c r="BG76" s="18"/>
      <c r="BH76" s="18"/>
      <c r="BI76" s="18"/>
      <c r="BJ76" s="18"/>
      <c r="BK76" s="19"/>
      <c r="BL76" s="18"/>
      <c r="BM76" s="18"/>
      <c r="BN76" s="86">
        <f t="shared" si="1"/>
        <v>16000</v>
      </c>
    </row>
    <row r="77" customHeight="1" spans="1:67">
      <c r="A77" s="16" t="s">
        <v>184</v>
      </c>
      <c r="B77" s="76">
        <v>3500438</v>
      </c>
      <c r="C77" s="19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9"/>
      <c r="AI77" s="19"/>
      <c r="AJ77" s="19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23"/>
      <c r="BF77" s="23"/>
      <c r="BG77" s="18"/>
      <c r="BH77" s="18"/>
      <c r="BI77" s="18"/>
      <c r="BJ77" s="18"/>
      <c r="BK77" s="19"/>
      <c r="BL77" s="18"/>
      <c r="BM77" s="18"/>
      <c r="BN77" s="86">
        <f t="shared" si="1"/>
        <v>0</v>
      </c>
    </row>
    <row r="78" customHeight="1" spans="1:67">
      <c r="A78" s="16" t="s">
        <v>129</v>
      </c>
      <c r="B78" s="76" t="s">
        <v>726</v>
      </c>
      <c r="C78" s="19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>
        <v>3000</v>
      </c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9"/>
      <c r="AI78" s="19"/>
      <c r="AJ78" s="19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23"/>
      <c r="BF78" s="23"/>
      <c r="BG78" s="18"/>
      <c r="BH78" s="18"/>
      <c r="BI78" s="18"/>
      <c r="BJ78" s="18"/>
      <c r="BK78" s="19"/>
      <c r="BL78" s="18"/>
      <c r="BM78" s="18"/>
      <c r="BN78" s="86">
        <f t="shared" si="1"/>
        <v>3000</v>
      </c>
    </row>
    <row r="79" customHeight="1" spans="1:67">
      <c r="A79" s="16" t="s">
        <v>132</v>
      </c>
      <c r="B79" s="76" t="s">
        <v>727</v>
      </c>
      <c r="C79" s="19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>
        <v>3000</v>
      </c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9"/>
      <c r="AI79" s="19"/>
      <c r="AJ79" s="19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23"/>
      <c r="BF79" s="23"/>
      <c r="BG79" s="18"/>
      <c r="BH79" s="18"/>
      <c r="BI79" s="18"/>
      <c r="BJ79" s="18"/>
      <c r="BK79" s="19"/>
      <c r="BL79" s="18"/>
      <c r="BM79" s="18"/>
      <c r="BN79" s="86">
        <f t="shared" si="1"/>
        <v>3000</v>
      </c>
    </row>
    <row r="80" customHeight="1" spans="1:67">
      <c r="A80" s="16" t="s">
        <v>800</v>
      </c>
      <c r="B80" s="17" t="s">
        <v>717</v>
      </c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24"/>
      <c r="AF80" s="24"/>
      <c r="AG80" s="24"/>
      <c r="AH80" s="19"/>
      <c r="AI80" s="19"/>
      <c r="AJ80" s="19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9"/>
      <c r="BL80" s="18"/>
      <c r="BM80" s="18"/>
      <c r="BN80" s="86">
        <f t="shared" si="1"/>
        <v>0</v>
      </c>
    </row>
    <row r="81" customHeight="1" spans="1:68">
      <c r="A81" s="16" t="s">
        <v>195</v>
      </c>
      <c r="B81" s="17" t="s">
        <v>801</v>
      </c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9"/>
      <c r="AI81" s="19"/>
      <c r="AJ81" s="19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86">
        <f t="shared" si="1"/>
        <v>0</v>
      </c>
    </row>
    <row r="82" customHeight="1" spans="1:68">
      <c r="A82" s="82" t="s">
        <v>769</v>
      </c>
      <c r="B82" s="33" t="s">
        <v>40</v>
      </c>
      <c r="C82" s="34"/>
      <c r="D82" s="34"/>
      <c r="E82" s="34"/>
      <c r="F82" s="34"/>
      <c r="G82" s="34"/>
      <c r="H82" s="34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>
        <v>16200</v>
      </c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6"/>
      <c r="AI82" s="36"/>
      <c r="AJ82" s="36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 s="35"/>
      <c r="BE82" s="35"/>
      <c r="BF82" s="35"/>
      <c r="BG82" s="35"/>
      <c r="BH82" s="35"/>
      <c r="BI82" s="35"/>
      <c r="BJ82" s="37"/>
      <c r="BK82" s="35"/>
      <c r="BL82" s="35"/>
      <c r="BM82" s="35"/>
      <c r="BN82" s="86">
        <f t="shared" si="1"/>
        <v>16200</v>
      </c>
    </row>
    <row r="83" customHeight="1" spans="1:68">
      <c r="A83" s="82" t="s">
        <v>770</v>
      </c>
      <c r="B83" s="33" t="s">
        <v>42</v>
      </c>
      <c r="C83" s="34"/>
      <c r="D83" s="34"/>
      <c r="E83" s="34"/>
      <c r="F83" s="34"/>
      <c r="G83" s="34"/>
      <c r="H83" s="34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>
        <v>19800</v>
      </c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6"/>
      <c r="AI83" s="36"/>
      <c r="AJ83" s="36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5"/>
      <c r="BE83" s="35"/>
      <c r="BF83" s="35"/>
      <c r="BG83" s="35"/>
      <c r="BH83" s="35"/>
      <c r="BI83" s="35"/>
      <c r="BJ83" s="37"/>
      <c r="BK83" s="35"/>
      <c r="BL83" s="35"/>
      <c r="BM83" s="35"/>
      <c r="BN83" s="86">
        <f t="shared" si="1"/>
        <v>19800</v>
      </c>
    </row>
    <row r="84" customHeight="1" spans="1:68">
      <c r="A84" s="82" t="s">
        <v>771</v>
      </c>
      <c r="B84" s="33" t="s">
        <v>735</v>
      </c>
      <c r="C84" s="34"/>
      <c r="D84" s="34"/>
      <c r="E84" s="34"/>
      <c r="F84" s="34"/>
      <c r="G84" s="34"/>
      <c r="H84" s="34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>
        <v>4500</v>
      </c>
      <c r="U84" s="35"/>
      <c r="V84" s="35">
        <v>16200</v>
      </c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6"/>
      <c r="AI84" s="36"/>
      <c r="AJ84" s="36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  <c r="BD84" s="35"/>
      <c r="BE84" s="35"/>
      <c r="BF84" s="35"/>
      <c r="BG84" s="35"/>
      <c r="BH84" s="35"/>
      <c r="BI84" s="35"/>
      <c r="BJ84" s="35"/>
      <c r="BK84" s="35"/>
      <c r="BL84" s="35"/>
      <c r="BM84" s="35"/>
      <c r="BN84" s="87">
        <f t="shared" si="1"/>
        <v>20700</v>
      </c>
      <c r="BO84">
        <v>23220</v>
      </c>
      <c r="BP84" s="88" t="s">
        <v>809</v>
      </c>
    </row>
    <row r="85" customHeight="1" spans="1:68">
      <c r="A85" s="82" t="s">
        <v>772</v>
      </c>
      <c r="B85" s="33" t="s">
        <v>737</v>
      </c>
      <c r="C85" s="34"/>
      <c r="D85" s="34"/>
      <c r="E85" s="34"/>
      <c r="F85" s="34"/>
      <c r="G85" s="34"/>
      <c r="H85" s="34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>
        <v>10000</v>
      </c>
      <c r="U85" s="35"/>
      <c r="V85" s="35">
        <v>5000</v>
      </c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6"/>
      <c r="AI85" s="36"/>
      <c r="AJ85" s="36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5"/>
      <c r="BD85" s="35"/>
      <c r="BE85" s="35"/>
      <c r="BF85" s="35"/>
      <c r="BG85" s="35"/>
      <c r="BH85" s="35"/>
      <c r="BI85" s="35"/>
      <c r="BJ85" s="35"/>
      <c r="BK85" s="35"/>
      <c r="BL85" s="35"/>
      <c r="BM85" s="35"/>
      <c r="BN85" s="87">
        <f t="shared" si="1"/>
        <v>15000</v>
      </c>
      <c r="BO85">
        <v>21000</v>
      </c>
      <c r="BP85" s="88" t="s">
        <v>809</v>
      </c>
    </row>
    <row r="86" customHeight="1" spans="1:68">
      <c r="A86" s="82" t="s">
        <v>797</v>
      </c>
      <c r="B86" s="33" t="s">
        <v>736</v>
      </c>
      <c r="C86" s="34"/>
      <c r="D86" s="34"/>
      <c r="E86" s="34"/>
      <c r="F86" s="34"/>
      <c r="G86" s="34"/>
      <c r="H86" s="34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>
        <v>4210</v>
      </c>
      <c r="U86" s="35"/>
      <c r="V86" s="35">
        <v>10800</v>
      </c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6"/>
      <c r="AI86" s="36"/>
      <c r="AJ86" s="36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5"/>
      <c r="BE86" s="35"/>
      <c r="BF86" s="35"/>
      <c r="BG86" s="35"/>
      <c r="BH86" s="35"/>
      <c r="BI86" s="35"/>
      <c r="BJ86" s="35"/>
      <c r="BK86" s="35"/>
      <c r="BL86" s="35"/>
      <c r="BM86" s="35"/>
      <c r="BN86" s="87">
        <f t="shared" si="1"/>
        <v>15010</v>
      </c>
      <c r="BO86">
        <v>20690</v>
      </c>
      <c r="BP86" s="88" t="s">
        <v>809</v>
      </c>
    </row>
    <row r="87" hidden="1" customHeight="1" spans="1:68">
      <c r="A87" s="82" t="s">
        <v>55</v>
      </c>
      <c r="B87" s="33" t="s">
        <v>734</v>
      </c>
      <c r="C87" s="34"/>
      <c r="D87" s="34"/>
      <c r="E87" s="34"/>
      <c r="F87" s="34"/>
      <c r="G87" s="34"/>
      <c r="H87" s="34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6"/>
      <c r="AI87" s="36"/>
      <c r="AJ87" s="36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5"/>
      <c r="BE87" s="35"/>
      <c r="BF87" s="35"/>
      <c r="BG87" s="35"/>
      <c r="BH87" s="35"/>
      <c r="BI87" s="35"/>
      <c r="BJ87" s="35"/>
      <c r="BK87" s="35"/>
      <c r="BL87" s="35"/>
      <c r="BM87" s="35"/>
      <c r="BN87" s="86">
        <f t="shared" si="1"/>
        <v>0</v>
      </c>
      <c r="BP87" s="88" t="s">
        <v>809</v>
      </c>
    </row>
    <row r="88" hidden="1" customHeight="1" spans="1:68">
      <c r="A88" s="82" t="s">
        <v>774</v>
      </c>
      <c r="B88" s="33" t="s">
        <v>733</v>
      </c>
      <c r="C88" s="34"/>
      <c r="D88" s="34"/>
      <c r="E88" s="34"/>
      <c r="F88" s="34"/>
      <c r="G88" s="34"/>
      <c r="H88" s="34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>
        <v>12000</v>
      </c>
      <c r="U88" s="35"/>
      <c r="V88" s="35">
        <v>12000</v>
      </c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6"/>
      <c r="AI88" s="36"/>
      <c r="AJ88" s="36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5"/>
      <c r="BE88" s="35"/>
      <c r="BF88" s="35"/>
      <c r="BG88" s="35"/>
      <c r="BH88" s="35"/>
      <c r="BI88" s="35"/>
      <c r="BJ88" s="35"/>
      <c r="BK88" s="35"/>
      <c r="BL88" s="35"/>
      <c r="BM88" s="35"/>
      <c r="BN88" s="86">
        <f t="shared" si="1"/>
        <v>24000</v>
      </c>
      <c r="BP88" s="88" t="s">
        <v>809</v>
      </c>
    </row>
    <row r="89" customHeight="1" spans="1:68">
      <c r="A89" s="82" t="s">
        <v>775</v>
      </c>
      <c r="B89" s="33" t="s">
        <v>738</v>
      </c>
      <c r="C89" s="34"/>
      <c r="D89" s="34"/>
      <c r="E89" s="34"/>
      <c r="F89" s="34"/>
      <c r="G89" s="34"/>
      <c r="H89" s="34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>
        <v>20000</v>
      </c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6"/>
      <c r="AI89" s="36"/>
      <c r="AJ89" s="36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5"/>
      <c r="BE89" s="35"/>
      <c r="BF89" s="35"/>
      <c r="BG89" s="35"/>
      <c r="BH89" s="35"/>
      <c r="BI89" s="35"/>
      <c r="BJ89" s="35"/>
      <c r="BK89" s="35"/>
      <c r="BL89" s="35"/>
      <c r="BM89" s="35"/>
      <c r="BN89" s="87">
        <f t="shared" si="1"/>
        <v>20000</v>
      </c>
      <c r="BO89">
        <v>60000</v>
      </c>
      <c r="BP89" s="88" t="s">
        <v>809</v>
      </c>
    </row>
    <row r="90" customHeight="1" spans="1:68">
      <c r="C90" s="39"/>
      <c r="D90" s="40"/>
      <c r="E90" s="40"/>
      <c r="F90" s="40"/>
      <c r="G90" s="40"/>
      <c r="H90" s="40"/>
      <c r="I90" s="3"/>
      <c r="J90" s="3"/>
      <c r="BN90" s="14"/>
    </row>
    <row r="91" customHeight="1" spans="1:68">
      <c r="C91" s="40"/>
      <c r="D91" s="40"/>
      <c r="E91" s="40"/>
      <c r="F91" s="40"/>
      <c r="G91" s="40"/>
      <c r="H91" s="40"/>
      <c r="I91" s="3"/>
      <c r="J91" s="3"/>
    </row>
  </sheetData>
  <mergeCells count="1">
    <mergeCell ref="A1:BN1"/>
  </mergeCells>
  <pageMargins left="0.7" right="0.7" top="0.75" bottom="0.75" header="0.3" footer="0.3"/>
  <pageSetup paperSize="9" scale="65" orientation="portrait"/>
  <headerFooter/>
  <rowBreaks count="1" manualBreakCount="1">
    <brk id="81" max="40" man="1"/>
  </rowBreaks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85"/>
  <sheetViews>
    <sheetView zoomScale="164" zoomScaleNormal="164" workbookViewId="0">
      <pane xSplit="2" ySplit="2" topLeftCell="C22" activePane="bottomRight" state="frozen"/>
      <selection/>
      <selection pane="topRight"/>
      <selection pane="bottomLeft"/>
      <selection pane="bottomRight" activeCell="A30" sqref="$A30:$XFD30"/>
    </sheetView>
  </sheetViews>
  <sheetFormatPr defaultColWidth="9" defaultRowHeight="20" customHeight="1"/>
  <cols>
    <col min="1" max="1" width="14.3333333333333" style="1" customWidth="1"/>
    <col min="2" max="2" width="23.1666666666667" style="1" customWidth="1"/>
    <col min="3" max="8" width="7.5" style="1" customWidth="1"/>
    <col min="9" max="10" width="8.33333333333333" customWidth="1"/>
    <col min="11" max="11" width="8.33333333333333" style="3" customWidth="1"/>
    <col min="12" max="12" width="6.66666666666667" style="3" customWidth="1"/>
    <col min="13" max="15" width="7" style="3" customWidth="1"/>
    <col min="16" max="16" width="7.83333333333333" style="3" hidden="1" customWidth="1"/>
    <col min="17" max="19" width="5.66666666666667" style="3" hidden="1" customWidth="1"/>
    <col min="20" max="20" width="6.66666666666667" style="3" hidden="1" customWidth="1"/>
    <col min="21" max="21" width="8.16666666666667" style="3" hidden="1" customWidth="1"/>
    <col min="22" max="22" width="7.66666666666667" style="3" hidden="1" customWidth="1"/>
    <col min="23" max="23" width="5.66666666666667" style="3" hidden="1" customWidth="1"/>
    <col min="24" max="24" width="7.66666666666667" style="3" hidden="1" customWidth="1"/>
    <col min="25" max="25" width="5.66666666666667" style="3" hidden="1" customWidth="1"/>
    <col min="26" max="26" width="6.66666666666667" style="3" hidden="1" customWidth="1"/>
    <col min="27" max="28" width="5.66666666666667" style="3" hidden="1" customWidth="1"/>
    <col min="29" max="30" width="7.33333333333333" style="3" hidden="1" customWidth="1"/>
    <col min="31" max="33" width="8.33333333333333" style="3" hidden="1" customWidth="1"/>
    <col min="34" max="36" width="7.66666666666667" style="41" hidden="1" customWidth="1"/>
    <col min="37" max="37" width="7.16666666666667" style="3" hidden="1" customWidth="1"/>
    <col min="38" max="38" width="6.83333333333333" style="3" hidden="1" customWidth="1"/>
    <col min="39" max="39" width="7.33333333333333" style="3" hidden="1" customWidth="1"/>
    <col min="40" max="40" width="7.66666666666667" style="3" hidden="1" customWidth="1"/>
    <col min="41" max="41" width="6.83333333333333" style="3" hidden="1" customWidth="1"/>
    <col min="42" max="42" width="8.5" style="3" hidden="1" customWidth="1"/>
    <col min="43" max="43" width="7.33333333333333" style="3" hidden="1" customWidth="1"/>
    <col min="44" max="44" width="8" style="3" hidden="1" customWidth="1"/>
    <col min="45" max="45" width="7.5" style="3" hidden="1" customWidth="1"/>
    <col min="46" max="50" width="5.66666666666667" style="3" hidden="1" customWidth="1"/>
    <col min="51" max="51" width="7.5" style="3" hidden="1" customWidth="1"/>
    <col min="52" max="52" width="5.66666666666667" style="3" hidden="1" customWidth="1"/>
    <col min="53" max="53" width="6.5" style="3" hidden="1" customWidth="1"/>
    <col min="54" max="61" width="5.66666666666667" style="3" hidden="1" customWidth="1"/>
    <col min="62" max="62" width="6.16666666666667" style="3" hidden="1" customWidth="1"/>
    <col min="63" max="65" width="5.66666666666667" style="3" hidden="1" customWidth="1"/>
    <col min="66" max="66" width="8" style="3" customWidth="1"/>
  </cols>
  <sheetData>
    <row r="1" customHeight="1" spans="1:67">
      <c r="A1" s="4" t="s">
        <v>810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</row>
    <row r="2" customHeight="1" spans="1:67">
      <c r="A2" s="47" t="s">
        <v>596</v>
      </c>
      <c r="B2" s="48" t="s">
        <v>597</v>
      </c>
      <c r="C2" s="49">
        <v>44809</v>
      </c>
      <c r="D2" s="49">
        <v>44811</v>
      </c>
      <c r="E2" s="49">
        <v>44813</v>
      </c>
      <c r="F2" s="49">
        <v>44820</v>
      </c>
      <c r="G2" s="49">
        <v>44821</v>
      </c>
      <c r="H2" s="49">
        <v>44822</v>
      </c>
      <c r="I2" s="50">
        <v>44823</v>
      </c>
      <c r="J2" s="50">
        <v>44825</v>
      </c>
      <c r="K2" s="50">
        <v>44827</v>
      </c>
      <c r="L2" s="50">
        <v>44828</v>
      </c>
      <c r="M2" s="50">
        <v>44830</v>
      </c>
      <c r="N2" s="50">
        <v>44833</v>
      </c>
      <c r="O2" s="50" t="s">
        <v>811</v>
      </c>
      <c r="P2" s="50"/>
      <c r="Q2" s="50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 t="s">
        <v>812</v>
      </c>
      <c r="AD2" s="51" t="s">
        <v>812</v>
      </c>
      <c r="AE2" s="51" t="s">
        <v>813</v>
      </c>
      <c r="AF2" s="51" t="s">
        <v>814</v>
      </c>
      <c r="AG2" s="51" t="s">
        <v>815</v>
      </c>
      <c r="AH2" s="52" t="s">
        <v>816</v>
      </c>
      <c r="AI2" s="52" t="s">
        <v>817</v>
      </c>
      <c r="AJ2" s="52" t="s">
        <v>818</v>
      </c>
      <c r="AK2" s="51" t="s">
        <v>819</v>
      </c>
      <c r="AL2" s="51" t="s">
        <v>819</v>
      </c>
      <c r="AM2" s="51" t="s">
        <v>820</v>
      </c>
      <c r="AN2" s="51" t="s">
        <v>821</v>
      </c>
      <c r="AO2" s="51" t="s">
        <v>822</v>
      </c>
      <c r="AP2" s="51" t="s">
        <v>823</v>
      </c>
      <c r="AQ2" s="51" t="s">
        <v>824</v>
      </c>
      <c r="AR2" s="51" t="s">
        <v>825</v>
      </c>
      <c r="AS2" s="51" t="s">
        <v>826</v>
      </c>
      <c r="AT2" s="51" t="s">
        <v>827</v>
      </c>
      <c r="AU2" s="51" t="s">
        <v>823</v>
      </c>
      <c r="AV2" s="51" t="s">
        <v>827</v>
      </c>
      <c r="AW2" s="51"/>
      <c r="AX2" s="51"/>
      <c r="AY2" s="51"/>
      <c r="AZ2" s="51"/>
      <c r="BA2" s="51"/>
      <c r="BB2" s="51"/>
      <c r="BC2" s="51"/>
      <c r="BD2" s="51"/>
      <c r="BE2" s="51"/>
      <c r="BF2" s="51"/>
      <c r="BG2" s="51"/>
      <c r="BH2" s="51"/>
      <c r="BI2" s="51"/>
      <c r="BJ2" s="51"/>
      <c r="BK2" s="51"/>
      <c r="BL2" s="51"/>
      <c r="BM2" s="51"/>
      <c r="BN2" s="53" t="s">
        <v>828</v>
      </c>
      <c r="BO2" s="25" t="s">
        <v>599</v>
      </c>
    </row>
    <row r="3" s="44" customFormat="1" customHeight="1" spans="1:67">
      <c r="A3" s="54" t="s">
        <v>192</v>
      </c>
      <c r="B3" s="55" t="s">
        <v>600</v>
      </c>
      <c r="C3" s="56"/>
      <c r="D3" s="56"/>
      <c r="E3" s="56"/>
      <c r="F3" s="56"/>
      <c r="G3" s="56"/>
      <c r="H3" s="56"/>
      <c r="I3" s="57"/>
      <c r="J3" s="57"/>
      <c r="K3" s="57"/>
      <c r="L3" s="57"/>
      <c r="M3" s="57"/>
      <c r="N3" s="57"/>
      <c r="O3" s="57"/>
      <c r="P3" s="57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9"/>
      <c r="AI3" s="59"/>
      <c r="AJ3" s="59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58"/>
      <c r="BL3" s="58"/>
      <c r="BM3" s="58"/>
      <c r="BN3" s="14">
        <f t="shared" ref="BN3:BN83" si="0">C3+D3+E3+F3+G3+H3+I3+J3+K3+L3+M3+N3+O3+P3+Q3</f>
        <v>0</v>
      </c>
    </row>
    <row r="4" s="44" customFormat="1" customHeight="1" spans="1:67">
      <c r="A4" s="54" t="s">
        <v>134</v>
      </c>
      <c r="B4" s="55" t="s">
        <v>601</v>
      </c>
      <c r="C4" s="56"/>
      <c r="D4" s="56"/>
      <c r="E4" s="56"/>
      <c r="F4" s="56"/>
      <c r="G4" s="56"/>
      <c r="H4" s="56"/>
      <c r="I4" s="57"/>
      <c r="J4" s="57"/>
      <c r="K4" s="57"/>
      <c r="L4" s="57"/>
      <c r="M4" s="57"/>
      <c r="N4" s="57"/>
      <c r="O4" s="57"/>
      <c r="P4" s="57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9"/>
      <c r="AI4" s="59"/>
      <c r="AJ4" s="59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8"/>
      <c r="BK4" s="58"/>
      <c r="BL4" s="58"/>
      <c r="BM4" s="58"/>
      <c r="BN4" s="14">
        <f t="shared" si="0"/>
        <v>0</v>
      </c>
    </row>
    <row r="5" s="44" customFormat="1" customHeight="1" spans="1:67">
      <c r="A5" s="54" t="s">
        <v>604</v>
      </c>
      <c r="B5" s="55" t="s">
        <v>605</v>
      </c>
      <c r="C5" s="56"/>
      <c r="D5" s="56"/>
      <c r="E5" s="56"/>
      <c r="F5" s="56"/>
      <c r="G5" s="56"/>
      <c r="H5" s="56"/>
      <c r="I5" s="57"/>
      <c r="J5" s="57"/>
      <c r="K5" s="57"/>
      <c r="L5" s="57"/>
      <c r="M5" s="57"/>
      <c r="N5" s="57"/>
      <c r="O5" s="57"/>
      <c r="P5" s="57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9"/>
      <c r="AI5" s="59"/>
      <c r="AJ5" s="59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8"/>
      <c r="BF5" s="58"/>
      <c r="BG5" s="58"/>
      <c r="BH5" s="58"/>
      <c r="BI5" s="58"/>
      <c r="BJ5" s="58"/>
      <c r="BK5" s="58"/>
      <c r="BL5" s="58"/>
      <c r="BM5" s="58"/>
      <c r="BN5" s="14">
        <f t="shared" si="0"/>
        <v>0</v>
      </c>
    </row>
    <row r="6" s="44" customFormat="1" customHeight="1" spans="1:67">
      <c r="A6" s="54" t="s">
        <v>59</v>
      </c>
      <c r="B6" s="55" t="s">
        <v>609</v>
      </c>
      <c r="C6" s="56"/>
      <c r="D6" s="56"/>
      <c r="E6" s="56"/>
      <c r="F6" s="56"/>
      <c r="G6" s="56"/>
      <c r="H6" s="56"/>
      <c r="I6" s="57"/>
      <c r="J6" s="57"/>
      <c r="K6" s="57"/>
      <c r="L6" s="57" t="s">
        <v>804</v>
      </c>
      <c r="M6" s="57"/>
      <c r="N6" s="57"/>
      <c r="O6" s="57"/>
      <c r="P6" s="57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9"/>
      <c r="AI6" s="59"/>
      <c r="AJ6" s="59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58"/>
      <c r="BL6" s="58"/>
      <c r="BM6" s="58"/>
      <c r="BN6" s="14">
        <f t="shared" si="0"/>
        <v>4000</v>
      </c>
    </row>
    <row r="7" s="44" customFormat="1" customHeight="1" spans="1:67">
      <c r="A7" s="54" t="s">
        <v>612</v>
      </c>
      <c r="B7" s="55" t="s">
        <v>613</v>
      </c>
      <c r="C7" s="56"/>
      <c r="D7" s="56"/>
      <c r="E7" s="56"/>
      <c r="F7" s="56"/>
      <c r="G7" s="56"/>
      <c r="H7" s="56"/>
      <c r="I7" s="57"/>
      <c r="J7" s="57"/>
      <c r="K7" s="57"/>
      <c r="L7" s="57"/>
      <c r="M7" s="57"/>
      <c r="N7" s="57"/>
      <c r="O7" s="57"/>
      <c r="P7" s="57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9"/>
      <c r="AI7" s="59"/>
      <c r="AJ7" s="59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58"/>
      <c r="BJ7" s="58"/>
      <c r="BK7" s="58"/>
      <c r="BL7" s="58"/>
      <c r="BM7" s="58"/>
      <c r="BN7" s="14">
        <f t="shared" si="0"/>
        <v>0</v>
      </c>
    </row>
    <row r="8" s="44" customFormat="1" customHeight="1" spans="1:67">
      <c r="A8" s="54" t="s">
        <v>616</v>
      </c>
      <c r="B8" s="55" t="s">
        <v>617</v>
      </c>
      <c r="C8" s="56"/>
      <c r="D8" s="56"/>
      <c r="E8" s="56"/>
      <c r="F8" s="56"/>
      <c r="G8" s="56"/>
      <c r="H8" s="56"/>
      <c r="I8" s="57"/>
      <c r="J8" s="57"/>
      <c r="K8" s="57"/>
      <c r="L8" s="57"/>
      <c r="M8" s="57"/>
      <c r="N8" s="57"/>
      <c r="O8" s="57"/>
      <c r="P8" s="57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9"/>
      <c r="AI8" s="59"/>
      <c r="AJ8" s="59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58"/>
      <c r="BF8" s="58"/>
      <c r="BG8" s="58"/>
      <c r="BH8" s="58"/>
      <c r="BI8" s="58"/>
      <c r="BJ8" s="58"/>
      <c r="BK8" s="58"/>
      <c r="BL8" s="58"/>
      <c r="BM8" s="58"/>
      <c r="BN8" s="14">
        <f t="shared" si="0"/>
        <v>0</v>
      </c>
    </row>
    <row r="9" s="45" customFormat="1" customHeight="1" spans="1:67">
      <c r="A9" s="54" t="s">
        <v>190</v>
      </c>
      <c r="B9" s="55" t="s">
        <v>759</v>
      </c>
      <c r="C9" s="56"/>
      <c r="D9" s="56"/>
      <c r="E9" s="56"/>
      <c r="F9" s="56"/>
      <c r="G9" s="56"/>
      <c r="H9" s="56"/>
      <c r="I9" s="57"/>
      <c r="J9" s="57"/>
      <c r="K9" s="57"/>
      <c r="L9" s="57"/>
      <c r="M9" s="57"/>
      <c r="N9" s="57"/>
      <c r="O9" s="57"/>
      <c r="P9" s="57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9"/>
      <c r="AI9" s="59"/>
      <c r="AJ9" s="59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58"/>
      <c r="BI9" s="58"/>
      <c r="BJ9" s="58"/>
      <c r="BK9" s="58"/>
      <c r="BL9" s="58"/>
      <c r="BM9" s="58"/>
      <c r="BN9" s="14">
        <f t="shared" si="0"/>
        <v>0</v>
      </c>
    </row>
    <row r="10" s="46" customFormat="1" customHeight="1" spans="1:67">
      <c r="A10" s="61" t="s">
        <v>224</v>
      </c>
      <c r="B10" s="62" t="s">
        <v>620</v>
      </c>
      <c r="C10" s="62"/>
      <c r="D10" s="62"/>
      <c r="E10" s="62"/>
      <c r="F10" s="62"/>
      <c r="G10" s="62"/>
      <c r="H10" s="62"/>
      <c r="I10" s="63"/>
      <c r="J10" s="63"/>
      <c r="K10" s="63"/>
      <c r="L10" s="63"/>
      <c r="M10" s="63"/>
      <c r="N10" s="63"/>
      <c r="O10" s="63"/>
      <c r="P10" s="63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5"/>
      <c r="AI10" s="65"/>
      <c r="AJ10" s="65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4"/>
      <c r="BK10" s="64"/>
      <c r="BL10" s="64"/>
      <c r="BM10" s="64"/>
      <c r="BN10" s="14">
        <f t="shared" si="0"/>
        <v>0</v>
      </c>
    </row>
    <row r="11" s="46" customFormat="1" customHeight="1" spans="1:67">
      <c r="A11" s="61" t="s">
        <v>623</v>
      </c>
      <c r="B11" s="77" t="s">
        <v>624</v>
      </c>
      <c r="C11" s="77"/>
      <c r="D11" s="77"/>
      <c r="E11" s="77" t="s">
        <v>829</v>
      </c>
      <c r="F11" s="77"/>
      <c r="G11" s="77"/>
      <c r="H11" s="77" t="s">
        <v>830</v>
      </c>
      <c r="I11" s="78"/>
      <c r="J11" s="78"/>
      <c r="K11" s="78"/>
      <c r="L11" s="78"/>
      <c r="M11" s="78"/>
      <c r="N11" s="78"/>
      <c r="O11" s="78"/>
      <c r="P11" s="78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80"/>
      <c r="AI11" s="80"/>
      <c r="AJ11" s="80"/>
      <c r="AK11" s="79"/>
      <c r="AL11" s="79"/>
      <c r="AM11" s="79"/>
      <c r="AN11" s="79"/>
      <c r="AO11" s="79"/>
      <c r="AP11" s="79"/>
      <c r="AQ11" s="79"/>
      <c r="AR11" s="79"/>
      <c r="AS11" s="79"/>
      <c r="AT11" s="79"/>
      <c r="AU11" s="79"/>
      <c r="AV11" s="79"/>
      <c r="AW11" s="79"/>
      <c r="AX11" s="79"/>
      <c r="AY11" s="79"/>
      <c r="AZ11" s="79"/>
      <c r="BA11" s="79"/>
      <c r="BB11" s="79"/>
      <c r="BC11" s="79"/>
      <c r="BD11" s="79"/>
      <c r="BE11" s="79"/>
      <c r="BF11" s="79"/>
      <c r="BG11" s="79"/>
      <c r="BH11" s="79"/>
      <c r="BI11" s="79"/>
      <c r="BJ11" s="79"/>
      <c r="BK11" s="79"/>
      <c r="BL11" s="79"/>
      <c r="BM11" s="79"/>
      <c r="BN11" s="14">
        <f t="shared" si="0"/>
        <v>0</v>
      </c>
    </row>
    <row r="12" s="3" customFormat="1" customHeight="1" spans="1:67">
      <c r="A12" s="66" t="s">
        <v>626</v>
      </c>
      <c r="B12" s="14" t="s">
        <v>627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5"/>
      <c r="AI12" s="15"/>
      <c r="AJ12" s="15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>
        <f t="shared" si="0"/>
        <v>0</v>
      </c>
    </row>
    <row r="13" s="3" customFormat="1" customHeight="1" spans="1:67">
      <c r="A13" s="42" t="s">
        <v>114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>
        <v>1000</v>
      </c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9"/>
      <c r="AI13" s="19"/>
      <c r="AJ13" s="19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43">
        <f t="shared" si="0"/>
        <v>1000</v>
      </c>
    </row>
    <row r="14" s="3" customFormat="1" customHeight="1" spans="1:67">
      <c r="A14" s="42" t="s">
        <v>106</v>
      </c>
      <c r="B14" s="18" t="s">
        <v>107</v>
      </c>
      <c r="C14" s="18"/>
      <c r="D14" s="18"/>
      <c r="E14" s="18">
        <v>1000</v>
      </c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9"/>
      <c r="AI14" s="19"/>
      <c r="AJ14" s="19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43">
        <f t="shared" si="0"/>
        <v>1000</v>
      </c>
    </row>
    <row r="15" s="3" customFormat="1" customHeight="1" spans="1:67">
      <c r="A15" s="42" t="s">
        <v>629</v>
      </c>
      <c r="B15" s="18" t="s">
        <v>630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9"/>
      <c r="AI15" s="19"/>
      <c r="AJ15" s="19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20"/>
      <c r="BK15" s="18"/>
      <c r="BL15" s="18"/>
      <c r="BM15" s="18"/>
      <c r="BN15" s="14">
        <f t="shared" si="0"/>
        <v>0</v>
      </c>
    </row>
    <row r="16" s="3" customFormat="1" customHeight="1" spans="1:67">
      <c r="A16" s="42" t="s">
        <v>18</v>
      </c>
      <c r="B16" s="18" t="s">
        <v>631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9"/>
      <c r="AI16" s="19"/>
      <c r="AJ16" s="19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20"/>
      <c r="BK16" s="18"/>
      <c r="BL16" s="18"/>
      <c r="BM16" s="18"/>
      <c r="BN16" s="14">
        <f t="shared" si="0"/>
        <v>0</v>
      </c>
    </row>
    <row r="17" customHeight="1" spans="1:67">
      <c r="A17" s="16" t="s">
        <v>33</v>
      </c>
      <c r="B17" s="17" t="s">
        <v>632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9"/>
      <c r="AI17" s="19"/>
      <c r="AJ17" s="19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20"/>
      <c r="BK17" s="18"/>
      <c r="BL17" s="18"/>
      <c r="BM17" s="18"/>
      <c r="BN17" s="14">
        <f t="shared" si="0"/>
        <v>0</v>
      </c>
    </row>
    <row r="18" customHeight="1" spans="1:67">
      <c r="A18" s="16" t="s">
        <v>69</v>
      </c>
      <c r="B18" s="17" t="s">
        <v>633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9"/>
      <c r="AI18" s="19"/>
      <c r="AJ18" s="19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20"/>
      <c r="BK18" s="18"/>
      <c r="BL18" s="18"/>
      <c r="BM18" s="18"/>
      <c r="BN18" s="14">
        <f t="shared" si="0"/>
        <v>0</v>
      </c>
    </row>
    <row r="19" customHeight="1" spans="1:67">
      <c r="A19" s="16" t="s">
        <v>634</v>
      </c>
      <c r="B19" s="17" t="s">
        <v>635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9"/>
      <c r="AI19" s="19"/>
      <c r="AJ19" s="19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20"/>
      <c r="BK19" s="18"/>
      <c r="BL19" s="18"/>
      <c r="BM19" s="18"/>
      <c r="BN19" s="14">
        <f t="shared" si="0"/>
        <v>0</v>
      </c>
    </row>
    <row r="20" customHeight="1" spans="1:67">
      <c r="A20" s="16" t="s">
        <v>155</v>
      </c>
      <c r="B20" s="17" t="s">
        <v>636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9"/>
      <c r="AI20" s="19"/>
      <c r="AJ20" s="19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20"/>
      <c r="BK20" s="18"/>
      <c r="BL20" s="18"/>
      <c r="BM20" s="18"/>
      <c r="BN20" s="14">
        <f t="shared" si="0"/>
        <v>0</v>
      </c>
    </row>
    <row r="21" customHeight="1" spans="1:67">
      <c r="A21" s="16" t="s">
        <v>234</v>
      </c>
      <c r="B21" s="17" t="s">
        <v>639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9"/>
      <c r="AI21" s="19"/>
      <c r="AJ21" s="19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20"/>
      <c r="BK21" s="18"/>
      <c r="BL21" s="18"/>
      <c r="BM21" s="18"/>
      <c r="BN21" s="14">
        <f t="shared" si="0"/>
        <v>0</v>
      </c>
    </row>
    <row r="22" customHeight="1" spans="1:67">
      <c r="A22" s="16" t="s">
        <v>109</v>
      </c>
      <c r="B22" s="17" t="s">
        <v>110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9"/>
      <c r="AI22" s="19"/>
      <c r="AJ22" s="19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4">
        <f t="shared" si="0"/>
        <v>0</v>
      </c>
    </row>
    <row r="23" customHeight="1" spans="1:67">
      <c r="A23" s="16" t="s">
        <v>103</v>
      </c>
      <c r="B23" s="17" t="s">
        <v>647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>
        <v>1000</v>
      </c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9"/>
      <c r="AI23" s="19"/>
      <c r="AJ23" s="19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43">
        <f t="shared" si="0"/>
        <v>1000</v>
      </c>
    </row>
    <row r="24" customHeight="1" spans="1:67">
      <c r="A24" s="16" t="s">
        <v>177</v>
      </c>
      <c r="B24" s="17" t="s">
        <v>648</v>
      </c>
      <c r="C24" s="18"/>
      <c r="D24" s="18"/>
      <c r="E24" s="18"/>
      <c r="F24" s="18"/>
      <c r="G24" s="18"/>
      <c r="H24" s="18"/>
      <c r="I24" s="18"/>
      <c r="J24" s="18"/>
      <c r="K24" s="18"/>
      <c r="L24" s="18">
        <v>50</v>
      </c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9"/>
      <c r="AI24" s="19"/>
      <c r="AJ24" s="19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43">
        <f t="shared" si="0"/>
        <v>50</v>
      </c>
    </row>
    <row r="25" customHeight="1" spans="1:67">
      <c r="A25" s="16" t="s">
        <v>37</v>
      </c>
      <c r="B25" s="17" t="s">
        <v>649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>
        <v>200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9"/>
      <c r="AI25" s="19"/>
      <c r="AJ25" s="19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43">
        <f t="shared" si="0"/>
        <v>200</v>
      </c>
    </row>
    <row r="26" customHeight="1" spans="1:67">
      <c r="A26" s="16" t="s">
        <v>173</v>
      </c>
      <c r="B26" s="17" t="s">
        <v>650</v>
      </c>
      <c r="C26" s="18"/>
      <c r="D26" s="18">
        <v>5000</v>
      </c>
      <c r="E26" s="18"/>
      <c r="F26" s="18"/>
      <c r="G26" s="18"/>
      <c r="H26" s="18">
        <v>3000</v>
      </c>
      <c r="I26" s="18"/>
      <c r="J26" s="18"/>
      <c r="K26" s="18"/>
      <c r="L26" s="18"/>
      <c r="M26" s="18">
        <v>2000</v>
      </c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9"/>
      <c r="AI26" s="19"/>
      <c r="AJ26" s="19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43">
        <f t="shared" si="0"/>
        <v>10000</v>
      </c>
    </row>
    <row r="27" customHeight="1" spans="1:67">
      <c r="A27" s="16" t="s">
        <v>651</v>
      </c>
      <c r="B27" s="21" t="s">
        <v>652</v>
      </c>
      <c r="C27" s="22"/>
      <c r="D27" s="22"/>
      <c r="E27" s="22"/>
      <c r="F27" s="22"/>
      <c r="G27" s="22"/>
      <c r="H27" s="22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9"/>
      <c r="AI27" s="19"/>
      <c r="AJ27" s="19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43">
        <f t="shared" si="0"/>
        <v>0</v>
      </c>
      <c r="BO27">
        <v>0</v>
      </c>
    </row>
    <row r="28" customHeight="1" spans="1:67">
      <c r="A28" s="16" t="s">
        <v>144</v>
      </c>
      <c r="B28" s="21" t="s">
        <v>653</v>
      </c>
      <c r="C28" s="22"/>
      <c r="D28" s="22"/>
      <c r="E28" s="22"/>
      <c r="F28" s="22"/>
      <c r="G28" s="22"/>
      <c r="H28" s="22"/>
      <c r="I28" s="18"/>
      <c r="J28" s="18"/>
      <c r="K28" s="18"/>
      <c r="L28" s="18">
        <v>1000</v>
      </c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9"/>
      <c r="AI28" s="19"/>
      <c r="AJ28" s="19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43">
        <f t="shared" si="0"/>
        <v>1000</v>
      </c>
      <c r="BO28">
        <v>0</v>
      </c>
    </row>
    <row r="29" customHeight="1" spans="1:67">
      <c r="A29" s="16" t="s">
        <v>187</v>
      </c>
      <c r="B29" s="17" t="s">
        <v>654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>
        <v>500</v>
      </c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9"/>
      <c r="AI29" s="19"/>
      <c r="AJ29" s="19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43">
        <f t="shared" si="0"/>
        <v>500</v>
      </c>
    </row>
    <row r="30" customHeight="1" spans="1:67">
      <c r="A30" s="16" t="s">
        <v>51</v>
      </c>
      <c r="B30" s="17" t="s">
        <v>656</v>
      </c>
      <c r="C30" s="18"/>
      <c r="D30" s="18"/>
      <c r="E30" s="18">
        <v>10000</v>
      </c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9"/>
      <c r="AI30" s="19"/>
      <c r="AJ30" s="19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81">
        <f t="shared" si="0"/>
        <v>10000</v>
      </c>
      <c r="BO30">
        <v>0</v>
      </c>
    </row>
    <row r="31" customHeight="1" spans="1:67">
      <c r="A31" s="16" t="s">
        <v>218</v>
      </c>
      <c r="B31" s="17" t="s">
        <v>658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9"/>
      <c r="AI31" s="19"/>
      <c r="AJ31" s="19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4">
        <f t="shared" si="0"/>
        <v>0</v>
      </c>
    </row>
    <row r="32" customHeight="1" spans="1:67">
      <c r="A32" s="16" t="s">
        <v>22</v>
      </c>
      <c r="B32" s="17" t="s">
        <v>652</v>
      </c>
      <c r="C32" s="18"/>
      <c r="D32" s="18"/>
      <c r="E32" s="18">
        <v>4000</v>
      </c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9"/>
      <c r="AI32" s="19"/>
      <c r="AJ32" s="19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81">
        <f t="shared" si="0"/>
        <v>4000</v>
      </c>
      <c r="BO32">
        <v>0</v>
      </c>
    </row>
    <row r="33" customHeight="1" spans="1:66">
      <c r="A33" s="16" t="s">
        <v>660</v>
      </c>
      <c r="B33" s="17" t="s">
        <v>655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9"/>
      <c r="AI33" s="19"/>
      <c r="AJ33" s="19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4">
        <f t="shared" si="0"/>
        <v>0</v>
      </c>
    </row>
    <row r="34" customHeight="1" spans="1:66">
      <c r="A34" s="16" t="s">
        <v>661</v>
      </c>
      <c r="B34" s="17" t="s">
        <v>653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9"/>
      <c r="AI34" s="19"/>
      <c r="AJ34" s="19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4">
        <f t="shared" si="0"/>
        <v>0</v>
      </c>
    </row>
    <row r="35" customHeight="1" spans="1:66">
      <c r="A35" s="16" t="s">
        <v>662</v>
      </c>
      <c r="B35" s="17" t="s">
        <v>663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9"/>
      <c r="AI35" s="19"/>
      <c r="AJ35" s="19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4">
        <f t="shared" si="0"/>
        <v>0</v>
      </c>
    </row>
    <row r="36" customHeight="1" spans="1:66">
      <c r="A36" s="16" t="s">
        <v>666</v>
      </c>
      <c r="B36" s="17" t="s">
        <v>667</v>
      </c>
      <c r="C36" s="18"/>
      <c r="D36" s="18"/>
      <c r="E36" s="18">
        <v>200</v>
      </c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9"/>
      <c r="AI36" s="19"/>
      <c r="AJ36" s="19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43">
        <f t="shared" si="0"/>
        <v>200</v>
      </c>
    </row>
    <row r="37" customHeight="1" spans="1:66">
      <c r="A37" s="16" t="s">
        <v>668</v>
      </c>
      <c r="B37" s="17" t="s">
        <v>669</v>
      </c>
      <c r="C37" s="18"/>
      <c r="D37" s="18"/>
      <c r="E37" s="18">
        <v>500</v>
      </c>
      <c r="F37" s="18"/>
      <c r="G37" s="18"/>
      <c r="H37" s="18">
        <v>1000</v>
      </c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9"/>
      <c r="AI37" s="19"/>
      <c r="AJ37" s="19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43">
        <f t="shared" si="0"/>
        <v>1500</v>
      </c>
    </row>
    <row r="38" customHeight="1" spans="1:66">
      <c r="A38" s="16" t="s">
        <v>670</v>
      </c>
      <c r="B38" s="17" t="s">
        <v>671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9"/>
      <c r="AI38" s="19"/>
      <c r="AJ38" s="19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4">
        <f t="shared" si="0"/>
        <v>0</v>
      </c>
    </row>
    <row r="39" customHeight="1" spans="1:66">
      <c r="A39" s="16" t="s">
        <v>672</v>
      </c>
      <c r="B39" s="17" t="s">
        <v>671</v>
      </c>
      <c r="C39" s="18"/>
      <c r="D39" s="18"/>
      <c r="E39" s="18"/>
      <c r="F39" s="18"/>
      <c r="G39" s="18"/>
      <c r="H39" s="18">
        <v>200</v>
      </c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9"/>
      <c r="AI39" s="19"/>
      <c r="AJ39" s="19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43">
        <f t="shared" si="0"/>
        <v>200</v>
      </c>
    </row>
    <row r="40" customHeight="1" spans="1:66">
      <c r="A40" s="16" t="s">
        <v>673</v>
      </c>
      <c r="B40" s="17" t="s">
        <v>674</v>
      </c>
      <c r="C40" s="18"/>
      <c r="D40" s="18"/>
      <c r="E40" s="18">
        <v>200</v>
      </c>
      <c r="F40" s="18"/>
      <c r="G40" s="18"/>
      <c r="H40" s="18"/>
      <c r="I40" s="18"/>
      <c r="J40" s="18"/>
      <c r="K40" s="18"/>
      <c r="L40" s="18"/>
      <c r="M40" s="18"/>
      <c r="N40" s="18">
        <v>200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9"/>
      <c r="AI40" s="19"/>
      <c r="AJ40" s="19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43">
        <f t="shared" si="0"/>
        <v>400</v>
      </c>
    </row>
    <row r="41" customHeight="1" spans="1:66">
      <c r="A41" s="16" t="s">
        <v>675</v>
      </c>
      <c r="B41" s="17" t="s">
        <v>676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9"/>
      <c r="AI41" s="19"/>
      <c r="AJ41" s="19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4">
        <f t="shared" si="0"/>
        <v>0</v>
      </c>
    </row>
    <row r="42" customHeight="1" spans="1:66">
      <c r="A42" s="16" t="s">
        <v>677</v>
      </c>
      <c r="B42" s="17" t="s">
        <v>678</v>
      </c>
      <c r="C42" s="18"/>
      <c r="D42" s="18"/>
      <c r="E42" s="18">
        <v>500</v>
      </c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9"/>
      <c r="AI42" s="19"/>
      <c r="AJ42" s="19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43">
        <f t="shared" si="0"/>
        <v>500</v>
      </c>
    </row>
    <row r="43" customHeight="1" spans="1:66">
      <c r="A43" s="16" t="s">
        <v>679</v>
      </c>
      <c r="B43" s="17" t="s">
        <v>680</v>
      </c>
      <c r="C43" s="18"/>
      <c r="D43" s="18"/>
      <c r="E43" s="18"/>
      <c r="F43" s="18"/>
      <c r="G43" s="18"/>
      <c r="H43" s="18">
        <v>500</v>
      </c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9"/>
      <c r="AI43" s="19"/>
      <c r="AJ43" s="19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43">
        <f t="shared" si="0"/>
        <v>500</v>
      </c>
    </row>
    <row r="44" customHeight="1" spans="1:66">
      <c r="A44" s="16" t="s">
        <v>682</v>
      </c>
      <c r="B44" s="17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9"/>
      <c r="AI44" s="19"/>
      <c r="AJ44" s="19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4">
        <f t="shared" si="0"/>
        <v>0</v>
      </c>
    </row>
    <row r="45" customHeight="1" spans="1:66">
      <c r="A45" s="16" t="s">
        <v>683</v>
      </c>
      <c r="B45" s="17" t="s">
        <v>684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9"/>
      <c r="AI45" s="19"/>
      <c r="AJ45" s="19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4">
        <f t="shared" si="0"/>
        <v>0</v>
      </c>
    </row>
    <row r="46" customHeight="1" spans="1:66">
      <c r="A46" s="16" t="s">
        <v>685</v>
      </c>
      <c r="B46" s="17" t="s">
        <v>686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9"/>
      <c r="AI46" s="19"/>
      <c r="AJ46" s="19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4">
        <f t="shared" si="0"/>
        <v>0</v>
      </c>
    </row>
    <row r="47" customHeight="1" spans="1:66">
      <c r="A47" s="16" t="s">
        <v>687</v>
      </c>
      <c r="B47" s="17" t="s">
        <v>688</v>
      </c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9"/>
      <c r="AI47" s="19"/>
      <c r="AJ47" s="19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4">
        <f t="shared" si="0"/>
        <v>0</v>
      </c>
    </row>
    <row r="48" customHeight="1" spans="1:66">
      <c r="A48" s="16" t="s">
        <v>691</v>
      </c>
      <c r="B48" s="17" t="s">
        <v>692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9"/>
      <c r="AI48" s="19"/>
      <c r="AJ48" s="19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4">
        <f t="shared" si="0"/>
        <v>0</v>
      </c>
    </row>
    <row r="49" customHeight="1" spans="1:67">
      <c r="A49" s="16" t="s">
        <v>694</v>
      </c>
      <c r="B49" s="17" t="s">
        <v>695</v>
      </c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9"/>
      <c r="AI49" s="19"/>
      <c r="AJ49" s="19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4">
        <f t="shared" si="0"/>
        <v>0</v>
      </c>
    </row>
    <row r="50" customHeight="1" spans="1:67">
      <c r="A50" s="16" t="s">
        <v>778</v>
      </c>
      <c r="B50" s="17" t="s">
        <v>779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9"/>
      <c r="AI50" s="19"/>
      <c r="AJ50" s="19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4">
        <f t="shared" si="0"/>
        <v>0</v>
      </c>
    </row>
    <row r="51" customHeight="1" spans="1:67">
      <c r="A51" s="16" t="s">
        <v>699</v>
      </c>
      <c r="B51" s="21" t="s">
        <v>700</v>
      </c>
      <c r="C51" s="22"/>
      <c r="D51" s="22"/>
      <c r="E51" s="22"/>
      <c r="F51" s="22"/>
      <c r="G51" s="22"/>
      <c r="H51" s="22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9"/>
      <c r="AI51" s="19"/>
      <c r="AJ51" s="19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4">
        <f t="shared" si="0"/>
        <v>0</v>
      </c>
    </row>
    <row r="52" customHeight="1" spans="1:67">
      <c r="A52" s="16" t="s">
        <v>701</v>
      </c>
      <c r="B52" s="17" t="s">
        <v>702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9"/>
      <c r="AI52" s="19"/>
      <c r="AJ52" s="19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4">
        <f t="shared" si="0"/>
        <v>0</v>
      </c>
    </row>
    <row r="53" customHeight="1" spans="1:67">
      <c r="A53" s="16" t="s">
        <v>701</v>
      </c>
      <c r="B53" s="21" t="s">
        <v>780</v>
      </c>
      <c r="C53" s="22"/>
      <c r="D53" s="22"/>
      <c r="E53" s="22"/>
      <c r="F53" s="22"/>
      <c r="G53" s="22"/>
      <c r="H53" s="22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9"/>
      <c r="AI53" s="19"/>
      <c r="AJ53" s="19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4">
        <f t="shared" si="0"/>
        <v>0</v>
      </c>
    </row>
    <row r="54" customHeight="1" spans="1:67">
      <c r="A54" s="16" t="s">
        <v>831</v>
      </c>
      <c r="B54" s="17" t="s">
        <v>730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9"/>
      <c r="AI54" s="19"/>
      <c r="AJ54" s="19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4">
        <f t="shared" si="0"/>
        <v>0</v>
      </c>
    </row>
    <row r="55" customHeight="1" spans="1:67">
      <c r="A55" s="16" t="s">
        <v>706</v>
      </c>
      <c r="B55" s="21" t="s">
        <v>707</v>
      </c>
      <c r="C55" s="22"/>
      <c r="D55" s="22"/>
      <c r="E55" s="22"/>
      <c r="F55" s="22"/>
      <c r="G55" s="22"/>
      <c r="H55" s="22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9"/>
      <c r="AI55" s="19"/>
      <c r="AJ55" s="19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4">
        <f t="shared" si="0"/>
        <v>0</v>
      </c>
    </row>
    <row r="56" customHeight="1" spans="1:67">
      <c r="A56" s="16" t="s">
        <v>123</v>
      </c>
      <c r="B56" s="21" t="s">
        <v>708</v>
      </c>
      <c r="C56" s="22">
        <v>11500</v>
      </c>
      <c r="D56" s="22"/>
      <c r="E56" s="22"/>
      <c r="F56" s="22"/>
      <c r="G56" s="22"/>
      <c r="H56" s="22"/>
      <c r="I56" s="18">
        <v>16100</v>
      </c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9"/>
      <c r="AI56" s="19"/>
      <c r="AJ56" s="19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43">
        <f t="shared" si="0"/>
        <v>27600</v>
      </c>
    </row>
    <row r="57" customHeight="1" spans="1:67">
      <c r="A57" s="16" t="s">
        <v>117</v>
      </c>
      <c r="B57" s="21" t="s">
        <v>709</v>
      </c>
      <c r="C57" s="22">
        <v>12000</v>
      </c>
      <c r="D57" s="22"/>
      <c r="E57" s="22"/>
      <c r="F57" s="22"/>
      <c r="G57" s="22"/>
      <c r="H57" s="22"/>
      <c r="I57" s="18">
        <v>15000</v>
      </c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9"/>
      <c r="AI57" s="19"/>
      <c r="AJ57" s="19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43">
        <f t="shared" si="0"/>
        <v>27000</v>
      </c>
    </row>
    <row r="58" customHeight="1" spans="1:67">
      <c r="A58" s="16" t="s">
        <v>120</v>
      </c>
      <c r="B58" s="21" t="s">
        <v>710</v>
      </c>
      <c r="C58" s="22">
        <v>10200</v>
      </c>
      <c r="D58" s="22"/>
      <c r="E58" s="22"/>
      <c r="F58" s="22"/>
      <c r="G58" s="22"/>
      <c r="H58" s="22"/>
      <c r="I58" s="18">
        <v>16200</v>
      </c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9"/>
      <c r="AI58" s="19"/>
      <c r="AJ58" s="19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43">
        <f t="shared" si="0"/>
        <v>26400</v>
      </c>
    </row>
    <row r="59" customHeight="1" spans="1:67">
      <c r="A59" s="16" t="s">
        <v>808</v>
      </c>
      <c r="B59" s="21" t="s">
        <v>714</v>
      </c>
      <c r="C59" s="22"/>
      <c r="D59" s="22"/>
      <c r="E59" s="22"/>
      <c r="F59" s="22"/>
      <c r="G59" s="22"/>
      <c r="H59" s="22"/>
      <c r="I59" s="18"/>
      <c r="J59" s="18">
        <v>2000</v>
      </c>
      <c r="K59" s="18">
        <v>15000</v>
      </c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9"/>
      <c r="AI59" s="19"/>
      <c r="AJ59" s="19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81">
        <f t="shared" si="0"/>
        <v>17000</v>
      </c>
      <c r="BO59">
        <v>15000</v>
      </c>
    </row>
    <row r="60" customHeight="1" spans="1:67">
      <c r="A60" s="16" t="s">
        <v>126</v>
      </c>
      <c r="B60" s="21"/>
      <c r="C60" s="22"/>
      <c r="D60" s="22"/>
      <c r="E60" s="22"/>
      <c r="F60" s="22"/>
      <c r="G60" s="22"/>
      <c r="H60" s="22"/>
      <c r="I60" s="18"/>
      <c r="J60" s="18">
        <v>5000</v>
      </c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9"/>
      <c r="AI60" s="19"/>
      <c r="AJ60" s="19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43">
        <f t="shared" si="0"/>
        <v>5000</v>
      </c>
    </row>
    <row r="61" customHeight="1" spans="1:67">
      <c r="A61" s="16" t="s">
        <v>181</v>
      </c>
      <c r="B61" s="21" t="s">
        <v>716</v>
      </c>
      <c r="C61" s="22"/>
      <c r="D61" s="22"/>
      <c r="E61" s="22"/>
      <c r="F61" s="22"/>
      <c r="G61" s="22"/>
      <c r="H61" s="22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9"/>
      <c r="AI61" s="19"/>
      <c r="AJ61" s="19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4">
        <f t="shared" si="0"/>
        <v>0</v>
      </c>
    </row>
    <row r="62" customHeight="1" spans="1:67">
      <c r="A62" s="16" t="s">
        <v>222</v>
      </c>
      <c r="B62" s="21" t="s">
        <v>718</v>
      </c>
      <c r="C62" s="22"/>
      <c r="D62" s="22"/>
      <c r="E62" s="22"/>
      <c r="F62" s="22"/>
      <c r="G62" s="22"/>
      <c r="H62" s="22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9"/>
      <c r="AI62" s="19"/>
      <c r="AJ62" s="19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4">
        <f t="shared" si="0"/>
        <v>0</v>
      </c>
    </row>
    <row r="63" customHeight="1" spans="1:67">
      <c r="A63" s="16" t="s">
        <v>785</v>
      </c>
      <c r="B63" s="17" t="s">
        <v>786</v>
      </c>
      <c r="C63" s="18"/>
      <c r="D63" s="18"/>
      <c r="E63" s="18"/>
      <c r="F63" s="18">
        <v>32000</v>
      </c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9"/>
      <c r="AI63" s="19"/>
      <c r="AJ63" s="19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43">
        <f t="shared" si="0"/>
        <v>32000</v>
      </c>
    </row>
    <row r="64" customHeight="1" spans="1:67">
      <c r="A64" s="16" t="s">
        <v>719</v>
      </c>
      <c r="B64" s="17" t="s">
        <v>720</v>
      </c>
      <c r="C64" s="18">
        <v>10000</v>
      </c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9"/>
      <c r="AI64" s="19"/>
      <c r="AJ64" s="19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43">
        <f t="shared" si="0"/>
        <v>10000</v>
      </c>
    </row>
    <row r="65" customHeight="1" spans="1:66">
      <c r="A65" s="16" t="s">
        <v>206</v>
      </c>
      <c r="B65" s="17"/>
      <c r="C65" s="18"/>
      <c r="D65" s="18"/>
      <c r="E65" s="18"/>
      <c r="F65" s="18"/>
      <c r="G65" s="18"/>
      <c r="H65" s="18"/>
      <c r="I65" s="18"/>
      <c r="J65" s="18">
        <v>15000</v>
      </c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9"/>
      <c r="AI65" s="19"/>
      <c r="AJ65" s="19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4">
        <f t="shared" si="0"/>
        <v>15000</v>
      </c>
    </row>
    <row r="66" customHeight="1" spans="1:66">
      <c r="A66" s="16" t="s">
        <v>202</v>
      </c>
      <c r="B66" s="17"/>
      <c r="C66" s="18"/>
      <c r="D66" s="18"/>
      <c r="E66" s="18"/>
      <c r="F66" s="18"/>
      <c r="G66" s="18"/>
      <c r="H66" s="18"/>
      <c r="I66" s="18"/>
      <c r="J66" s="18">
        <v>14000</v>
      </c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9"/>
      <c r="AI66" s="19"/>
      <c r="AJ66" s="19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43">
        <f t="shared" si="0"/>
        <v>14000</v>
      </c>
    </row>
    <row r="67" customHeight="1" spans="1:66">
      <c r="A67" s="16" t="s">
        <v>208</v>
      </c>
      <c r="B67" s="17"/>
      <c r="C67" s="18"/>
      <c r="D67" s="18"/>
      <c r="E67" s="18"/>
      <c r="F67" s="18"/>
      <c r="G67" s="18">
        <v>10000</v>
      </c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9"/>
      <c r="AI67" s="19"/>
      <c r="AJ67" s="19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43">
        <f t="shared" si="0"/>
        <v>10000</v>
      </c>
    </row>
    <row r="68" customHeight="1" spans="1:66">
      <c r="A68" s="16" t="s">
        <v>157</v>
      </c>
      <c r="B68" s="17" t="s">
        <v>725</v>
      </c>
      <c r="C68" s="18">
        <v>5000</v>
      </c>
      <c r="D68" s="18"/>
      <c r="E68" s="18"/>
      <c r="F68" s="18"/>
      <c r="G68" s="18"/>
      <c r="H68" s="18"/>
      <c r="I68" s="18"/>
      <c r="J68" s="18">
        <v>10000</v>
      </c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9"/>
      <c r="AI68" s="19"/>
      <c r="AJ68" s="19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43">
        <f t="shared" si="0"/>
        <v>15000</v>
      </c>
    </row>
    <row r="69" customHeight="1" spans="1:66">
      <c r="A69" s="16" t="s">
        <v>210</v>
      </c>
      <c r="B69" s="17"/>
      <c r="C69" s="18"/>
      <c r="D69" s="18"/>
      <c r="E69" s="18"/>
      <c r="F69" s="18"/>
      <c r="G69" s="18"/>
      <c r="H69" s="18"/>
      <c r="I69" s="18"/>
      <c r="J69" s="18">
        <v>11000</v>
      </c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9"/>
      <c r="AI69" s="19"/>
      <c r="AJ69" s="19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43">
        <f t="shared" si="0"/>
        <v>11000</v>
      </c>
    </row>
    <row r="70" customHeight="1" spans="1:66">
      <c r="A70" s="16" t="s">
        <v>112</v>
      </c>
      <c r="B70" s="17" t="s">
        <v>731</v>
      </c>
      <c r="C70" s="19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9"/>
      <c r="AI70" s="19"/>
      <c r="AJ70" s="19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23"/>
      <c r="BF70" s="23"/>
      <c r="BG70" s="18"/>
      <c r="BH70" s="18"/>
      <c r="BI70" s="18"/>
      <c r="BJ70" s="18"/>
      <c r="BK70" s="19"/>
      <c r="BL70" s="18"/>
      <c r="BM70" s="18"/>
      <c r="BN70" s="14">
        <f t="shared" si="0"/>
        <v>0</v>
      </c>
    </row>
    <row r="71" customHeight="1" spans="1:66">
      <c r="A71" s="16" t="s">
        <v>184</v>
      </c>
      <c r="B71" s="76">
        <v>3500438</v>
      </c>
      <c r="C71" s="19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9"/>
      <c r="AI71" s="19"/>
      <c r="AJ71" s="19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23"/>
      <c r="BF71" s="23"/>
      <c r="BG71" s="18"/>
      <c r="BH71" s="18"/>
      <c r="BI71" s="18"/>
      <c r="BJ71" s="18"/>
      <c r="BK71" s="19"/>
      <c r="BL71" s="18"/>
      <c r="BM71" s="18"/>
      <c r="BN71" s="14">
        <f t="shared" si="0"/>
        <v>0</v>
      </c>
    </row>
    <row r="72" customHeight="1" spans="1:66">
      <c r="A72" s="16" t="s">
        <v>129</v>
      </c>
      <c r="B72" s="76"/>
      <c r="C72" s="19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>
        <v>3000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9"/>
      <c r="AI72" s="19"/>
      <c r="AJ72" s="19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23"/>
      <c r="BF72" s="23"/>
      <c r="BG72" s="18"/>
      <c r="BH72" s="18"/>
      <c r="BI72" s="18"/>
      <c r="BJ72" s="18"/>
      <c r="BK72" s="19"/>
      <c r="BL72" s="18"/>
      <c r="BM72" s="18"/>
      <c r="BN72" s="43">
        <f t="shared" si="0"/>
        <v>3000</v>
      </c>
    </row>
    <row r="73" customHeight="1" spans="1:66">
      <c r="A73" s="16" t="s">
        <v>132</v>
      </c>
      <c r="B73" s="76"/>
      <c r="C73" s="19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>
        <v>3000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9"/>
      <c r="AI73" s="19"/>
      <c r="AJ73" s="19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23"/>
      <c r="BF73" s="23"/>
      <c r="BG73" s="18"/>
      <c r="BH73" s="18"/>
      <c r="BI73" s="18"/>
      <c r="BJ73" s="18"/>
      <c r="BK73" s="19"/>
      <c r="BL73" s="18"/>
      <c r="BM73" s="18"/>
      <c r="BN73" s="43">
        <f t="shared" si="0"/>
        <v>3000</v>
      </c>
    </row>
    <row r="74" customHeight="1" spans="1:66">
      <c r="A74" s="16" t="s">
        <v>800</v>
      </c>
      <c r="B74" s="17" t="s">
        <v>717</v>
      </c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24"/>
      <c r="AF74" s="24"/>
      <c r="AG74" s="24"/>
      <c r="AH74" s="19"/>
      <c r="AI74" s="19"/>
      <c r="AJ74" s="19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9"/>
      <c r="BL74" s="18"/>
      <c r="BM74" s="18"/>
      <c r="BN74" s="14">
        <f t="shared" si="0"/>
        <v>0</v>
      </c>
    </row>
    <row r="75" customHeight="1" spans="1:66">
      <c r="A75" s="16" t="s">
        <v>195</v>
      </c>
      <c r="B75" s="17" t="s">
        <v>801</v>
      </c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9"/>
      <c r="AI75" s="19"/>
      <c r="AJ75" s="19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4">
        <f t="shared" si="0"/>
        <v>0</v>
      </c>
    </row>
    <row r="76" customHeight="1" spans="1:66">
      <c r="A76" s="82" t="s">
        <v>769</v>
      </c>
      <c r="B76" s="33" t="s">
        <v>40</v>
      </c>
      <c r="C76" s="34"/>
      <c r="D76" s="34"/>
      <c r="E76" s="34"/>
      <c r="F76" s="34"/>
      <c r="G76" s="34"/>
      <c r="H76" s="34"/>
      <c r="I76" s="35">
        <v>16200</v>
      </c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6"/>
      <c r="AI76" s="36"/>
      <c r="AJ76" s="36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5"/>
      <c r="BE76" s="35"/>
      <c r="BF76" s="35"/>
      <c r="BG76" s="35"/>
      <c r="BH76" s="35"/>
      <c r="BI76" s="35"/>
      <c r="BJ76" s="37"/>
      <c r="BK76" s="35"/>
      <c r="BL76" s="35"/>
      <c r="BM76" s="35"/>
      <c r="BN76" s="14">
        <f t="shared" si="0"/>
        <v>16200</v>
      </c>
    </row>
    <row r="77" customHeight="1" spans="1:66">
      <c r="A77" s="82" t="s">
        <v>770</v>
      </c>
      <c r="B77" s="33" t="s">
        <v>42</v>
      </c>
      <c r="C77" s="34"/>
      <c r="D77" s="34"/>
      <c r="E77" s="34"/>
      <c r="F77" s="34"/>
      <c r="G77" s="34"/>
      <c r="H77" s="34"/>
      <c r="I77" s="35">
        <v>19800</v>
      </c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6"/>
      <c r="AI77" s="36"/>
      <c r="AJ77" s="36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5"/>
      <c r="BE77" s="35"/>
      <c r="BF77" s="35"/>
      <c r="BG77" s="35"/>
      <c r="BH77" s="35"/>
      <c r="BI77" s="35"/>
      <c r="BJ77" s="37"/>
      <c r="BK77" s="35"/>
      <c r="BL77" s="35"/>
      <c r="BM77" s="35"/>
      <c r="BN77" s="14">
        <f t="shared" si="0"/>
        <v>19800</v>
      </c>
    </row>
    <row r="78" customHeight="1" spans="1:66">
      <c r="A78" s="82" t="s">
        <v>771</v>
      </c>
      <c r="B78" s="33" t="s">
        <v>735</v>
      </c>
      <c r="C78" s="34"/>
      <c r="D78" s="34"/>
      <c r="E78" s="34"/>
      <c r="F78" s="34"/>
      <c r="G78" s="34">
        <v>4050</v>
      </c>
      <c r="H78" s="34"/>
      <c r="I78" s="35">
        <v>6300</v>
      </c>
      <c r="J78" s="35"/>
      <c r="K78" s="35"/>
      <c r="L78" s="35">
        <v>5850</v>
      </c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6"/>
      <c r="AI78" s="36"/>
      <c r="AJ78" s="36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5"/>
      <c r="BE78" s="35"/>
      <c r="BF78" s="35"/>
      <c r="BG78" s="35"/>
      <c r="BH78" s="35"/>
      <c r="BI78" s="35"/>
      <c r="BJ78" s="35"/>
      <c r="BK78" s="35"/>
      <c r="BL78" s="35"/>
      <c r="BM78" s="35"/>
      <c r="BN78" s="14">
        <f t="shared" si="0"/>
        <v>16200</v>
      </c>
    </row>
    <row r="79" customHeight="1" spans="1:66">
      <c r="A79" s="82" t="s">
        <v>772</v>
      </c>
      <c r="B79" s="33" t="s">
        <v>737</v>
      </c>
      <c r="C79" s="34"/>
      <c r="D79" s="34"/>
      <c r="E79" s="34"/>
      <c r="F79" s="34"/>
      <c r="G79" s="34"/>
      <c r="H79" s="34"/>
      <c r="I79" s="35"/>
      <c r="J79" s="35"/>
      <c r="K79" s="35"/>
      <c r="L79" s="35">
        <v>5000</v>
      </c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6"/>
      <c r="AI79" s="36"/>
      <c r="AJ79" s="36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5"/>
      <c r="BE79" s="35"/>
      <c r="BF79" s="35"/>
      <c r="BG79" s="35"/>
      <c r="BH79" s="35"/>
      <c r="BI79" s="35"/>
      <c r="BJ79" s="35"/>
      <c r="BK79" s="35"/>
      <c r="BL79" s="35"/>
      <c r="BM79" s="35"/>
      <c r="BN79" s="14">
        <f t="shared" si="0"/>
        <v>5000</v>
      </c>
    </row>
    <row r="80" customHeight="1" spans="1:66">
      <c r="A80" s="82" t="s">
        <v>797</v>
      </c>
      <c r="B80" s="33" t="s">
        <v>736</v>
      </c>
      <c r="C80" s="34"/>
      <c r="D80" s="34"/>
      <c r="E80" s="34"/>
      <c r="F80" s="34"/>
      <c r="G80" s="34"/>
      <c r="H80" s="34"/>
      <c r="I80" s="35"/>
      <c r="J80" s="35"/>
      <c r="K80" s="35"/>
      <c r="L80" s="35">
        <v>10800</v>
      </c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6"/>
      <c r="AI80" s="36"/>
      <c r="AJ80" s="36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35"/>
      <c r="BE80" s="35"/>
      <c r="BF80" s="35"/>
      <c r="BG80" s="35"/>
      <c r="BH80" s="35"/>
      <c r="BI80" s="35"/>
      <c r="BJ80" s="35"/>
      <c r="BK80" s="35"/>
      <c r="BL80" s="35"/>
      <c r="BM80" s="35"/>
      <c r="BN80" s="14">
        <f t="shared" si="0"/>
        <v>10800</v>
      </c>
    </row>
    <row r="81" customHeight="1" spans="1:66">
      <c r="A81" s="82" t="s">
        <v>55</v>
      </c>
      <c r="B81" s="33" t="s">
        <v>734</v>
      </c>
      <c r="C81" s="34"/>
      <c r="D81" s="34"/>
      <c r="E81" s="34"/>
      <c r="F81" s="34"/>
      <c r="G81" s="34"/>
      <c r="H81" s="34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6"/>
      <c r="AI81" s="36"/>
      <c r="AJ81" s="36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  <c r="BD81" s="35"/>
      <c r="BE81" s="35"/>
      <c r="BF81" s="35"/>
      <c r="BG81" s="35"/>
      <c r="BH81" s="35"/>
      <c r="BI81" s="35"/>
      <c r="BJ81" s="35"/>
      <c r="BK81" s="35"/>
      <c r="BL81" s="35"/>
      <c r="BM81" s="35"/>
      <c r="BN81" s="14">
        <f t="shared" si="0"/>
        <v>0</v>
      </c>
    </row>
    <row r="82" customHeight="1" spans="1:66">
      <c r="A82" s="82" t="s">
        <v>774</v>
      </c>
      <c r="B82" s="33" t="s">
        <v>733</v>
      </c>
      <c r="C82" s="34"/>
      <c r="D82" s="34"/>
      <c r="E82" s="34"/>
      <c r="F82" s="34"/>
      <c r="G82" s="34"/>
      <c r="H82" s="34"/>
      <c r="I82" s="35"/>
      <c r="J82" s="35"/>
      <c r="K82" s="35"/>
      <c r="L82" s="35">
        <v>12000</v>
      </c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6"/>
      <c r="AI82" s="36"/>
      <c r="AJ82" s="36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 s="35"/>
      <c r="BE82" s="35"/>
      <c r="BF82" s="35"/>
      <c r="BG82" s="35"/>
      <c r="BH82" s="35"/>
      <c r="BI82" s="35"/>
      <c r="BJ82" s="35"/>
      <c r="BK82" s="35"/>
      <c r="BL82" s="35"/>
      <c r="BM82" s="35"/>
      <c r="BN82" s="14">
        <f t="shared" si="0"/>
        <v>12000</v>
      </c>
    </row>
    <row r="83" customHeight="1" spans="1:66">
      <c r="A83" s="82" t="s">
        <v>775</v>
      </c>
      <c r="B83" s="33" t="s">
        <v>738</v>
      </c>
      <c r="C83" s="34"/>
      <c r="D83" s="34"/>
      <c r="E83" s="34"/>
      <c r="F83" s="34"/>
      <c r="G83" s="34"/>
      <c r="H83" s="34"/>
      <c r="I83" s="35"/>
      <c r="J83" s="35"/>
      <c r="K83" s="35"/>
      <c r="L83" s="35">
        <v>20000</v>
      </c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6"/>
      <c r="AI83" s="36"/>
      <c r="AJ83" s="36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5"/>
      <c r="BE83" s="35"/>
      <c r="BF83" s="35"/>
      <c r="BG83" s="35"/>
      <c r="BH83" s="35"/>
      <c r="BI83" s="35"/>
      <c r="BJ83" s="35"/>
      <c r="BK83" s="35"/>
      <c r="BL83" s="35"/>
      <c r="BM83" s="35"/>
      <c r="BN83" s="14">
        <f t="shared" si="0"/>
        <v>20000</v>
      </c>
    </row>
    <row r="84" customHeight="1" spans="1:66">
      <c r="C84" s="39"/>
      <c r="D84" s="40"/>
      <c r="E84" s="40"/>
      <c r="F84" s="40"/>
      <c r="G84" s="40"/>
      <c r="H84" s="40"/>
      <c r="I84" s="3"/>
      <c r="J84" s="3"/>
      <c r="BN84" s="14"/>
    </row>
    <row r="85" customHeight="1" spans="1:66">
      <c r="C85" s="40"/>
      <c r="D85" s="40"/>
      <c r="E85" s="40"/>
      <c r="F85" s="40"/>
      <c r="G85" s="40"/>
      <c r="H85" s="40"/>
      <c r="I85" s="3"/>
      <c r="J85" s="3"/>
    </row>
  </sheetData>
  <mergeCells count="1">
    <mergeCell ref="A1:BN1"/>
  </mergeCells>
  <pageMargins left="0.7" right="0.7" top="0.75" bottom="0.75" header="0.3" footer="0.3"/>
  <pageSetup paperSize="9" scale="65" orientation="portrait"/>
  <headerFooter/>
  <rowBreaks count="1" manualBreakCount="1">
    <brk id="75" max="40" man="1"/>
  </rowBreaks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71"/>
  <sheetViews>
    <sheetView zoomScale="116" zoomScaleNormal="116" workbookViewId="0">
      <pane xSplit="2" ySplit="2" topLeftCell="C4" activePane="bottomRight" state="frozen"/>
      <selection/>
      <selection pane="topRight"/>
      <selection pane="bottomLeft"/>
      <selection pane="bottomRight" activeCell="H64" sqref="$A64:$XFD69"/>
    </sheetView>
  </sheetViews>
  <sheetFormatPr defaultColWidth="9" defaultRowHeight="20" customHeight="1"/>
  <cols>
    <col min="1" max="1" width="13.6666666666667" style="1" customWidth="1"/>
    <col min="2" max="2" width="23.1666666666667" style="1" customWidth="1"/>
    <col min="3" max="8" width="7.5" style="1" customWidth="1"/>
    <col min="9" max="10" width="8.33333333333333" customWidth="1"/>
    <col min="11" max="11" width="8.33333333333333" style="3" customWidth="1"/>
    <col min="12" max="12" width="6.66666666666667" style="3" customWidth="1"/>
    <col min="13" max="15" width="7" style="3" customWidth="1"/>
    <col min="16" max="16" width="7.83333333333333" style="3" hidden="1" customWidth="1"/>
    <col min="17" max="19" width="5.66666666666667" style="3" hidden="1" customWidth="1"/>
    <col min="20" max="20" width="6.66666666666667" style="3" hidden="1" customWidth="1"/>
    <col min="21" max="21" width="8.16666666666667" style="3" hidden="1" customWidth="1"/>
    <col min="22" max="22" width="7.66666666666667" style="3" hidden="1" customWidth="1"/>
    <col min="23" max="23" width="5.66666666666667" style="3" hidden="1" customWidth="1"/>
    <col min="24" max="24" width="7.66666666666667" style="3" hidden="1" customWidth="1"/>
    <col min="25" max="25" width="5.66666666666667" style="3" hidden="1" customWidth="1"/>
    <col min="26" max="26" width="6.66666666666667" style="3" hidden="1" customWidth="1"/>
    <col min="27" max="28" width="5.66666666666667" style="3" hidden="1" customWidth="1"/>
    <col min="29" max="30" width="7.33333333333333" style="3" hidden="1" customWidth="1"/>
    <col min="31" max="33" width="8.33333333333333" style="3" hidden="1" customWidth="1"/>
    <col min="34" max="36" width="7.66666666666667" style="41" hidden="1" customWidth="1"/>
    <col min="37" max="37" width="7.16666666666667" style="3" hidden="1" customWidth="1"/>
    <col min="38" max="38" width="6.83333333333333" style="3" hidden="1" customWidth="1"/>
    <col min="39" max="39" width="7.33333333333333" style="3" hidden="1" customWidth="1"/>
    <col min="40" max="40" width="7.66666666666667" style="3" hidden="1" customWidth="1"/>
    <col min="41" max="41" width="6.83333333333333" style="3" hidden="1" customWidth="1"/>
    <col min="42" max="42" width="8.5" style="3" hidden="1" customWidth="1"/>
    <col min="43" max="43" width="7.33333333333333" style="3" hidden="1" customWidth="1"/>
    <col min="44" max="44" width="8" style="3" hidden="1" customWidth="1"/>
    <col min="45" max="45" width="7.5" style="3" hidden="1" customWidth="1"/>
    <col min="46" max="50" width="5.66666666666667" style="3" hidden="1" customWidth="1"/>
    <col min="51" max="51" width="7.5" style="3" hidden="1" customWidth="1"/>
    <col min="52" max="52" width="5.66666666666667" style="3" hidden="1" customWidth="1"/>
    <col min="53" max="53" width="6.5" style="3" hidden="1" customWidth="1"/>
    <col min="54" max="61" width="5.66666666666667" style="3" hidden="1" customWidth="1"/>
    <col min="62" max="62" width="6.16666666666667" style="3" hidden="1" customWidth="1"/>
    <col min="63" max="65" width="5.66666666666667" style="3" hidden="1" customWidth="1"/>
    <col min="66" max="66" width="8" style="3" customWidth="1"/>
  </cols>
  <sheetData>
    <row r="1" customHeight="1" spans="1:66">
      <c r="A1" s="4" t="s">
        <v>832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</row>
    <row r="2" customHeight="1" spans="1:66">
      <c r="A2" s="47" t="s">
        <v>596</v>
      </c>
      <c r="B2" s="48" t="s">
        <v>597</v>
      </c>
      <c r="C2" s="49">
        <v>44774</v>
      </c>
      <c r="D2" s="49">
        <v>44775</v>
      </c>
      <c r="E2" s="49">
        <v>44777</v>
      </c>
      <c r="F2" s="49">
        <v>44778</v>
      </c>
      <c r="G2" s="49">
        <v>44779</v>
      </c>
      <c r="H2" s="49">
        <v>44782</v>
      </c>
      <c r="I2" s="50">
        <v>44783</v>
      </c>
      <c r="J2" s="50">
        <v>44788</v>
      </c>
      <c r="K2" s="50">
        <v>44789</v>
      </c>
      <c r="L2" s="50">
        <v>44796</v>
      </c>
      <c r="M2" s="50">
        <v>44797</v>
      </c>
      <c r="N2" s="50">
        <v>44800</v>
      </c>
      <c r="O2" s="50">
        <v>44804</v>
      </c>
      <c r="P2" s="50"/>
      <c r="Q2" s="50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 t="s">
        <v>812</v>
      </c>
      <c r="AD2" s="51" t="s">
        <v>812</v>
      </c>
      <c r="AE2" s="51" t="s">
        <v>813</v>
      </c>
      <c r="AF2" s="51" t="s">
        <v>814</v>
      </c>
      <c r="AG2" s="51" t="s">
        <v>815</v>
      </c>
      <c r="AH2" s="52" t="s">
        <v>816</v>
      </c>
      <c r="AI2" s="52" t="s">
        <v>817</v>
      </c>
      <c r="AJ2" s="52" t="s">
        <v>818</v>
      </c>
      <c r="AK2" s="51" t="s">
        <v>819</v>
      </c>
      <c r="AL2" s="51" t="s">
        <v>819</v>
      </c>
      <c r="AM2" s="51" t="s">
        <v>820</v>
      </c>
      <c r="AN2" s="51" t="s">
        <v>821</v>
      </c>
      <c r="AO2" s="51" t="s">
        <v>822</v>
      </c>
      <c r="AP2" s="51" t="s">
        <v>823</v>
      </c>
      <c r="AQ2" s="51" t="s">
        <v>824</v>
      </c>
      <c r="AR2" s="51" t="s">
        <v>825</v>
      </c>
      <c r="AS2" s="51" t="s">
        <v>826</v>
      </c>
      <c r="AT2" s="51" t="s">
        <v>827</v>
      </c>
      <c r="AU2" s="51" t="s">
        <v>823</v>
      </c>
      <c r="AV2" s="51" t="s">
        <v>827</v>
      </c>
      <c r="AW2" s="51"/>
      <c r="AX2" s="51"/>
      <c r="AY2" s="51"/>
      <c r="AZ2" s="51"/>
      <c r="BA2" s="51"/>
      <c r="BB2" s="51"/>
      <c r="BC2" s="51"/>
      <c r="BD2" s="51"/>
      <c r="BE2" s="51"/>
      <c r="BF2" s="51"/>
      <c r="BG2" s="51"/>
      <c r="BH2" s="51"/>
      <c r="BI2" s="51"/>
      <c r="BJ2" s="51"/>
      <c r="BK2" s="51"/>
      <c r="BL2" s="51"/>
      <c r="BM2" s="51"/>
      <c r="BN2" s="53" t="s">
        <v>828</v>
      </c>
    </row>
    <row r="3" s="44" customFormat="1" customHeight="1" spans="1:66">
      <c r="A3" s="54" t="s">
        <v>192</v>
      </c>
      <c r="B3" s="55" t="s">
        <v>600</v>
      </c>
      <c r="C3" s="56"/>
      <c r="D3" s="56" t="s">
        <v>753</v>
      </c>
      <c r="E3" s="56"/>
      <c r="F3" s="56"/>
      <c r="G3" s="56"/>
      <c r="H3" s="56"/>
      <c r="I3" s="57"/>
      <c r="J3" s="57"/>
      <c r="K3" s="57"/>
      <c r="L3" s="57"/>
      <c r="M3" s="57"/>
      <c r="N3" s="57"/>
      <c r="O3" s="57"/>
      <c r="P3" s="57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9"/>
      <c r="AI3" s="59"/>
      <c r="AJ3" s="59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58"/>
      <c r="BL3" s="58"/>
      <c r="BM3" s="58"/>
      <c r="BN3" s="43">
        <f t="shared" ref="BN3:BN69" si="0">C3+D3+E3+F3+G3+H3+I3+J3+K3+L3+M3+N3+O3+P3+Q3</f>
        <v>400</v>
      </c>
    </row>
    <row r="4" s="44" customFormat="1" customHeight="1" spans="1:66">
      <c r="A4" s="54" t="s">
        <v>134</v>
      </c>
      <c r="B4" s="55" t="s">
        <v>601</v>
      </c>
      <c r="C4" s="56"/>
      <c r="D4" s="56" t="s">
        <v>761</v>
      </c>
      <c r="E4" s="56"/>
      <c r="F4" s="56"/>
      <c r="G4" s="56"/>
      <c r="H4" s="56"/>
      <c r="I4" s="57"/>
      <c r="J4" s="57"/>
      <c r="K4" s="57"/>
      <c r="L4" s="57"/>
      <c r="M4" s="57"/>
      <c r="N4" s="57"/>
      <c r="O4" s="57"/>
      <c r="P4" s="57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9"/>
      <c r="AI4" s="59"/>
      <c r="AJ4" s="59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8"/>
      <c r="BK4" s="58"/>
      <c r="BL4" s="58"/>
      <c r="BM4" s="58"/>
      <c r="BN4" s="14">
        <f t="shared" si="0"/>
        <v>150</v>
      </c>
    </row>
    <row r="5" s="44" customFormat="1" customHeight="1" spans="1:66">
      <c r="A5" s="54" t="s">
        <v>604</v>
      </c>
      <c r="B5" s="55" t="s">
        <v>605</v>
      </c>
      <c r="C5" s="56"/>
      <c r="D5" s="56"/>
      <c r="E5" s="56"/>
      <c r="F5" s="56"/>
      <c r="G5" s="56"/>
      <c r="H5" s="56"/>
      <c r="I5" s="57" t="s">
        <v>833</v>
      </c>
      <c r="J5" s="57"/>
      <c r="K5" s="57"/>
      <c r="L5" s="57"/>
      <c r="M5" s="57"/>
      <c r="N5" s="57"/>
      <c r="O5" s="57"/>
      <c r="P5" s="57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9"/>
      <c r="AI5" s="59"/>
      <c r="AJ5" s="59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8"/>
      <c r="BF5" s="58"/>
      <c r="BG5" s="58"/>
      <c r="BH5" s="58"/>
      <c r="BI5" s="58"/>
      <c r="BJ5" s="58"/>
      <c r="BK5" s="58"/>
      <c r="BL5" s="58"/>
      <c r="BM5" s="58"/>
      <c r="BN5" s="14">
        <f t="shared" si="0"/>
        <v>75</v>
      </c>
    </row>
    <row r="6" s="44" customFormat="1" customHeight="1" spans="1:66">
      <c r="A6" s="54" t="s">
        <v>59</v>
      </c>
      <c r="B6" s="55" t="s">
        <v>609</v>
      </c>
      <c r="C6" s="56"/>
      <c r="D6" s="56" t="s">
        <v>758</v>
      </c>
      <c r="E6" s="56"/>
      <c r="F6" s="56"/>
      <c r="G6" s="56"/>
      <c r="H6" s="56"/>
      <c r="I6" s="57"/>
      <c r="J6" s="57"/>
      <c r="K6" s="57"/>
      <c r="L6" s="57"/>
      <c r="M6" s="57"/>
      <c r="N6" s="57"/>
      <c r="O6" s="57"/>
      <c r="P6" s="57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9"/>
      <c r="AI6" s="59"/>
      <c r="AJ6" s="59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58"/>
      <c r="BL6" s="58"/>
      <c r="BM6" s="58"/>
      <c r="BN6" s="43">
        <f t="shared" si="0"/>
        <v>2400</v>
      </c>
    </row>
    <row r="7" s="44" customFormat="1" hidden="1" customHeight="1" spans="1:66">
      <c r="A7" s="54" t="s">
        <v>612</v>
      </c>
      <c r="B7" s="55" t="s">
        <v>613</v>
      </c>
      <c r="C7" s="56"/>
      <c r="D7" s="56"/>
      <c r="E7" s="56"/>
      <c r="F7" s="56"/>
      <c r="G7" s="56"/>
      <c r="H7" s="56"/>
      <c r="I7" s="57"/>
      <c r="J7" s="57"/>
      <c r="K7" s="57"/>
      <c r="L7" s="57"/>
      <c r="M7" s="57"/>
      <c r="N7" s="57"/>
      <c r="O7" s="57"/>
      <c r="P7" s="57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9"/>
      <c r="AI7" s="59"/>
      <c r="AJ7" s="59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58"/>
      <c r="BJ7" s="58"/>
      <c r="BK7" s="58"/>
      <c r="BL7" s="58"/>
      <c r="BM7" s="58"/>
      <c r="BN7" s="14">
        <f t="shared" si="0"/>
        <v>0</v>
      </c>
    </row>
    <row r="8" s="44" customFormat="1" customHeight="1" spans="1:66">
      <c r="A8" s="54" t="s">
        <v>616</v>
      </c>
      <c r="B8" s="55" t="s">
        <v>617</v>
      </c>
      <c r="C8" s="56"/>
      <c r="D8" s="56" t="s">
        <v>834</v>
      </c>
      <c r="E8" s="56"/>
      <c r="F8" s="56"/>
      <c r="G8" s="56"/>
      <c r="H8" s="56"/>
      <c r="I8" s="57"/>
      <c r="J8" s="57"/>
      <c r="K8" s="57"/>
      <c r="L8" s="57"/>
      <c r="M8" s="57"/>
      <c r="N8" s="57"/>
      <c r="O8" s="57"/>
      <c r="P8" s="57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9"/>
      <c r="AI8" s="59"/>
      <c r="AJ8" s="59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58"/>
      <c r="BF8" s="58"/>
      <c r="BG8" s="58"/>
      <c r="BH8" s="58"/>
      <c r="BI8" s="58"/>
      <c r="BJ8" s="58"/>
      <c r="BK8" s="58"/>
      <c r="BL8" s="58"/>
      <c r="BM8" s="58"/>
      <c r="BN8" s="43">
        <f t="shared" si="0"/>
        <v>13</v>
      </c>
    </row>
    <row r="9" s="45" customFormat="1" customHeight="1" spans="1:66">
      <c r="A9" s="54" t="s">
        <v>190</v>
      </c>
      <c r="B9" s="55" t="s">
        <v>759</v>
      </c>
      <c r="C9" s="56"/>
      <c r="D9" s="56" t="s">
        <v>835</v>
      </c>
      <c r="E9" s="56"/>
      <c r="F9" s="56"/>
      <c r="G9" s="56"/>
      <c r="H9" s="56"/>
      <c r="I9" s="57"/>
      <c r="J9" s="57"/>
      <c r="K9" s="57" t="s">
        <v>807</v>
      </c>
      <c r="L9" s="57"/>
      <c r="M9" s="57"/>
      <c r="N9" s="57"/>
      <c r="O9" s="57"/>
      <c r="P9" s="57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9"/>
      <c r="AI9" s="59"/>
      <c r="AJ9" s="59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58"/>
      <c r="BI9" s="58"/>
      <c r="BJ9" s="58"/>
      <c r="BK9" s="58"/>
      <c r="BL9" s="58"/>
      <c r="BM9" s="58"/>
      <c r="BN9" s="43">
        <f t="shared" si="0"/>
        <v>189</v>
      </c>
    </row>
    <row r="10" s="46" customFormat="1" customHeight="1" spans="1:66">
      <c r="A10" s="61" t="s">
        <v>224</v>
      </c>
      <c r="B10" s="62" t="s">
        <v>620</v>
      </c>
      <c r="C10" s="62"/>
      <c r="D10" s="62"/>
      <c r="E10" s="62"/>
      <c r="F10" s="62"/>
      <c r="G10" s="62"/>
      <c r="H10" s="62"/>
      <c r="I10" s="63"/>
      <c r="J10" s="63" t="s">
        <v>836</v>
      </c>
      <c r="K10" s="63"/>
      <c r="L10" s="63"/>
      <c r="M10" s="63"/>
      <c r="N10" s="63"/>
      <c r="O10" s="63"/>
      <c r="P10" s="63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5"/>
      <c r="AI10" s="65"/>
      <c r="AJ10" s="65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4"/>
      <c r="BK10" s="64"/>
      <c r="BL10" s="64"/>
      <c r="BM10" s="64"/>
      <c r="BN10" s="43">
        <f t="shared" si="0"/>
        <v>175</v>
      </c>
    </row>
    <row r="11" s="3" customFormat="1" hidden="1" customHeight="1" spans="1:66">
      <c r="A11" s="66" t="s">
        <v>626</v>
      </c>
      <c r="B11" s="14" t="s">
        <v>627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5"/>
      <c r="AI11" s="15"/>
      <c r="AJ11" s="15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>
        <f t="shared" si="0"/>
        <v>0</v>
      </c>
    </row>
    <row r="12" s="3" customFormat="1" customHeight="1" spans="1:66">
      <c r="A12" s="42" t="s">
        <v>106</v>
      </c>
      <c r="B12" s="18" t="s">
        <v>107</v>
      </c>
      <c r="C12" s="18"/>
      <c r="D12" s="18"/>
      <c r="E12" s="18">
        <v>4000</v>
      </c>
      <c r="F12" s="18"/>
      <c r="G12" s="18"/>
      <c r="H12" s="18"/>
      <c r="I12" s="18"/>
      <c r="J12" s="18"/>
      <c r="K12" s="18">
        <v>1000</v>
      </c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9"/>
      <c r="AI12" s="19"/>
      <c r="AJ12" s="19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4">
        <f t="shared" si="0"/>
        <v>5000</v>
      </c>
    </row>
    <row r="13" s="3" customFormat="1" hidden="1" customHeight="1" spans="1:66">
      <c r="A13" s="42" t="s">
        <v>629</v>
      </c>
      <c r="B13" s="18" t="s">
        <v>630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9"/>
      <c r="AI13" s="19"/>
      <c r="AJ13" s="19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20"/>
      <c r="BK13" s="18"/>
      <c r="BL13" s="18"/>
      <c r="BM13" s="18"/>
      <c r="BN13" s="14">
        <f t="shared" si="0"/>
        <v>0</v>
      </c>
    </row>
    <row r="14" s="3" customFormat="1" hidden="1" customHeight="1" spans="1:66">
      <c r="A14" s="42" t="s">
        <v>18</v>
      </c>
      <c r="B14" s="18" t="s">
        <v>631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9"/>
      <c r="AI14" s="19"/>
      <c r="AJ14" s="19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20"/>
      <c r="BK14" s="18"/>
      <c r="BL14" s="18"/>
      <c r="BM14" s="18"/>
      <c r="BN14" s="14">
        <f t="shared" si="0"/>
        <v>0</v>
      </c>
    </row>
    <row r="15" hidden="1" customHeight="1" spans="1:66">
      <c r="A15" s="16" t="s">
        <v>33</v>
      </c>
      <c r="B15" s="17" t="s">
        <v>632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9"/>
      <c r="AI15" s="19"/>
      <c r="AJ15" s="19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20"/>
      <c r="BK15" s="18"/>
      <c r="BL15" s="18"/>
      <c r="BM15" s="18"/>
      <c r="BN15" s="14">
        <f t="shared" si="0"/>
        <v>0</v>
      </c>
    </row>
    <row r="16" customHeight="1" spans="1:66">
      <c r="A16" s="16" t="s">
        <v>69</v>
      </c>
      <c r="B16" s="17" t="s">
        <v>633</v>
      </c>
      <c r="C16" s="18"/>
      <c r="D16" s="18"/>
      <c r="E16" s="18"/>
      <c r="F16" s="18"/>
      <c r="G16" s="18"/>
      <c r="H16" s="18"/>
      <c r="I16" s="18"/>
      <c r="J16" s="18"/>
      <c r="K16" s="18">
        <v>1000</v>
      </c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9"/>
      <c r="AI16" s="19"/>
      <c r="AJ16" s="19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20"/>
      <c r="BK16" s="18"/>
      <c r="BL16" s="18"/>
      <c r="BM16" s="18"/>
      <c r="BN16" s="43">
        <f t="shared" si="0"/>
        <v>1000</v>
      </c>
    </row>
    <row r="17" customHeight="1" spans="1:66">
      <c r="A17" s="16" t="s">
        <v>634</v>
      </c>
      <c r="B17" s="17" t="s">
        <v>635</v>
      </c>
      <c r="C17" s="18"/>
      <c r="D17" s="18">
        <v>1100</v>
      </c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9"/>
      <c r="AI17" s="19"/>
      <c r="AJ17" s="19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20"/>
      <c r="BK17" s="18"/>
      <c r="BL17" s="18"/>
      <c r="BM17" s="18"/>
      <c r="BN17" s="14">
        <f t="shared" si="0"/>
        <v>1100</v>
      </c>
    </row>
    <row r="18" hidden="1" customHeight="1" spans="1:66">
      <c r="A18" s="16" t="s">
        <v>155</v>
      </c>
      <c r="B18" s="17" t="s">
        <v>636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9"/>
      <c r="AI18" s="19"/>
      <c r="AJ18" s="19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20"/>
      <c r="BK18" s="18"/>
      <c r="BL18" s="18"/>
      <c r="BM18" s="18"/>
      <c r="BN18" s="14">
        <f t="shared" si="0"/>
        <v>0</v>
      </c>
    </row>
    <row r="19" customHeight="1" spans="1:66">
      <c r="A19" s="16" t="s">
        <v>234</v>
      </c>
      <c r="B19" s="17" t="s">
        <v>639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>
        <v>200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9"/>
      <c r="AI19" s="19"/>
      <c r="AJ19" s="19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20"/>
      <c r="BK19" s="18"/>
      <c r="BL19" s="18"/>
      <c r="BM19" s="18"/>
      <c r="BN19" s="14">
        <f t="shared" si="0"/>
        <v>200</v>
      </c>
    </row>
    <row r="20" hidden="1" customHeight="1" spans="1:66">
      <c r="A20" s="16" t="s">
        <v>109</v>
      </c>
      <c r="B20" s="17" t="s">
        <v>110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9"/>
      <c r="AI20" s="19"/>
      <c r="AJ20" s="19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4">
        <f t="shared" si="0"/>
        <v>0</v>
      </c>
    </row>
    <row r="21" customHeight="1" spans="1:66">
      <c r="A21" s="16" t="s">
        <v>103</v>
      </c>
      <c r="B21" s="17" t="s">
        <v>647</v>
      </c>
      <c r="C21" s="18"/>
      <c r="D21" s="18"/>
      <c r="E21" s="18"/>
      <c r="F21" s="18"/>
      <c r="G21" s="18">
        <v>2000</v>
      </c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9"/>
      <c r="AI21" s="19"/>
      <c r="AJ21" s="19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4">
        <f t="shared" si="0"/>
        <v>2000</v>
      </c>
    </row>
    <row r="22" customHeight="1" spans="1:66">
      <c r="A22" s="16" t="s">
        <v>177</v>
      </c>
      <c r="B22" s="17" t="s">
        <v>648</v>
      </c>
      <c r="C22" s="18"/>
      <c r="D22" s="18"/>
      <c r="E22" s="18"/>
      <c r="F22" s="18"/>
      <c r="G22" s="18">
        <v>200</v>
      </c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9"/>
      <c r="AI22" s="19"/>
      <c r="AJ22" s="19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43">
        <f t="shared" si="0"/>
        <v>200</v>
      </c>
    </row>
    <row r="23" customHeight="1" spans="1:66">
      <c r="A23" s="16" t="s">
        <v>37</v>
      </c>
      <c r="B23" s="17" t="s">
        <v>649</v>
      </c>
      <c r="C23" s="18"/>
      <c r="D23" s="18"/>
      <c r="E23" s="18">
        <v>200</v>
      </c>
      <c r="F23" s="18"/>
      <c r="G23" s="18">
        <v>300</v>
      </c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9"/>
      <c r="AI23" s="19"/>
      <c r="AJ23" s="19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43">
        <f t="shared" si="0"/>
        <v>500</v>
      </c>
    </row>
    <row r="24" hidden="1" customHeight="1" spans="1:66">
      <c r="A24" s="16" t="s">
        <v>651</v>
      </c>
      <c r="B24" s="21" t="s">
        <v>652</v>
      </c>
      <c r="C24" s="22"/>
      <c r="D24" s="22"/>
      <c r="E24" s="22"/>
      <c r="F24" s="22"/>
      <c r="G24" s="22"/>
      <c r="H24" s="22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9"/>
      <c r="AI24" s="19"/>
      <c r="AJ24" s="19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4">
        <f t="shared" si="0"/>
        <v>0</v>
      </c>
    </row>
    <row r="25" hidden="1" customHeight="1" spans="1:66">
      <c r="A25" s="16" t="s">
        <v>144</v>
      </c>
      <c r="B25" s="21" t="s">
        <v>653</v>
      </c>
      <c r="C25" s="22"/>
      <c r="D25" s="22"/>
      <c r="E25" s="22"/>
      <c r="F25" s="22"/>
      <c r="G25" s="22"/>
      <c r="H25" s="22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9"/>
      <c r="AI25" s="19"/>
      <c r="AJ25" s="19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4">
        <f t="shared" si="0"/>
        <v>0</v>
      </c>
    </row>
    <row r="26" hidden="1" customHeight="1" spans="1:66">
      <c r="A26" s="16" t="s">
        <v>187</v>
      </c>
      <c r="B26" s="17" t="s">
        <v>654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9"/>
      <c r="AI26" s="19"/>
      <c r="AJ26" s="19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4">
        <f t="shared" si="0"/>
        <v>0</v>
      </c>
    </row>
    <row r="27" customHeight="1" spans="1:66">
      <c r="A27" s="16" t="s">
        <v>51</v>
      </c>
      <c r="B27" s="17" t="s">
        <v>656</v>
      </c>
      <c r="C27" s="18"/>
      <c r="D27" s="18"/>
      <c r="E27" s="18"/>
      <c r="F27" s="18">
        <v>7000</v>
      </c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9"/>
      <c r="AI27" s="19"/>
      <c r="AJ27" s="19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43">
        <f t="shared" si="0"/>
        <v>7000</v>
      </c>
    </row>
    <row r="28" hidden="1" customHeight="1" spans="1:66">
      <c r="A28" s="16" t="s">
        <v>218</v>
      </c>
      <c r="B28" s="17" t="s">
        <v>658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9"/>
      <c r="AI28" s="19"/>
      <c r="AJ28" s="19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4">
        <f t="shared" si="0"/>
        <v>0</v>
      </c>
    </row>
    <row r="29" hidden="1" customHeight="1" spans="1:66">
      <c r="A29" s="16" t="s">
        <v>22</v>
      </c>
      <c r="B29" s="17" t="s">
        <v>652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9"/>
      <c r="AI29" s="19"/>
      <c r="AJ29" s="19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4">
        <f t="shared" si="0"/>
        <v>0</v>
      </c>
    </row>
    <row r="30" hidden="1" customHeight="1" spans="1:66">
      <c r="A30" s="16" t="s">
        <v>660</v>
      </c>
      <c r="B30" s="17" t="s">
        <v>655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9"/>
      <c r="AI30" s="19"/>
      <c r="AJ30" s="19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4">
        <f t="shared" si="0"/>
        <v>0</v>
      </c>
    </row>
    <row r="31" hidden="1" customHeight="1" spans="1:66">
      <c r="A31" s="16" t="s">
        <v>661</v>
      </c>
      <c r="B31" s="17" t="s">
        <v>653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9"/>
      <c r="AI31" s="19"/>
      <c r="AJ31" s="19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4">
        <f t="shared" si="0"/>
        <v>0</v>
      </c>
    </row>
    <row r="32" customHeight="1" spans="1:66">
      <c r="A32" s="16" t="s">
        <v>662</v>
      </c>
      <c r="B32" s="17" t="s">
        <v>663</v>
      </c>
      <c r="C32" s="18"/>
      <c r="D32" s="18"/>
      <c r="E32" s="18"/>
      <c r="F32" s="18"/>
      <c r="G32" s="18"/>
      <c r="H32" s="18"/>
      <c r="I32" s="18"/>
      <c r="J32" s="18"/>
      <c r="K32" s="18"/>
      <c r="L32" s="18">
        <v>25</v>
      </c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9"/>
      <c r="AI32" s="19"/>
      <c r="AJ32" s="19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43">
        <f t="shared" si="0"/>
        <v>25</v>
      </c>
    </row>
    <row r="33" customHeight="1" spans="1:66">
      <c r="A33" s="16" t="s">
        <v>173</v>
      </c>
      <c r="B33" s="17" t="s">
        <v>650</v>
      </c>
      <c r="C33" s="18"/>
      <c r="D33" s="18"/>
      <c r="E33" s="18"/>
      <c r="F33" s="18"/>
      <c r="G33" s="18"/>
      <c r="H33" s="18"/>
      <c r="I33" s="18"/>
      <c r="J33" s="18"/>
      <c r="K33" s="18">
        <v>4000</v>
      </c>
      <c r="L33" s="18"/>
      <c r="M33" s="18">
        <v>2000</v>
      </c>
      <c r="N33" s="18">
        <v>4000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9"/>
      <c r="AI33" s="19"/>
      <c r="AJ33" s="19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4">
        <f t="shared" si="0"/>
        <v>10000</v>
      </c>
    </row>
    <row r="34" hidden="1" customHeight="1" spans="1:66">
      <c r="A34" s="16" t="s">
        <v>666</v>
      </c>
      <c r="B34" s="17" t="s">
        <v>667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9"/>
      <c r="AI34" s="19"/>
      <c r="AJ34" s="19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4">
        <f t="shared" si="0"/>
        <v>0</v>
      </c>
    </row>
    <row r="35" customHeight="1" spans="1:66">
      <c r="A35" s="16" t="s">
        <v>668</v>
      </c>
      <c r="B35" s="17" t="s">
        <v>669</v>
      </c>
      <c r="C35" s="18"/>
      <c r="D35" s="18"/>
      <c r="E35" s="18"/>
      <c r="F35" s="18"/>
      <c r="G35" s="18"/>
      <c r="H35" s="18"/>
      <c r="I35" s="18"/>
      <c r="J35" s="18"/>
      <c r="K35" s="18">
        <v>650</v>
      </c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9"/>
      <c r="AI35" s="19"/>
      <c r="AJ35" s="19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4">
        <f t="shared" si="0"/>
        <v>650</v>
      </c>
    </row>
    <row r="36" customHeight="1" spans="1:66">
      <c r="A36" s="16" t="s">
        <v>670</v>
      </c>
      <c r="B36" s="17" t="s">
        <v>671</v>
      </c>
      <c r="C36" s="18"/>
      <c r="D36" s="18"/>
      <c r="E36" s="18"/>
      <c r="F36" s="18"/>
      <c r="G36" s="18"/>
      <c r="H36" s="18">
        <v>200</v>
      </c>
      <c r="I36" s="18"/>
      <c r="J36" s="18"/>
      <c r="K36" s="18"/>
      <c r="L36" s="18"/>
      <c r="M36" s="18"/>
      <c r="N36" s="18"/>
      <c r="O36" s="18">
        <v>125</v>
      </c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9"/>
      <c r="AI36" s="19"/>
      <c r="AJ36" s="19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4">
        <f t="shared" si="0"/>
        <v>325</v>
      </c>
    </row>
    <row r="37" hidden="1" customHeight="1" spans="1:66">
      <c r="A37" s="16" t="s">
        <v>672</v>
      </c>
      <c r="B37" s="17" t="s">
        <v>671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9"/>
      <c r="AI37" s="19"/>
      <c r="AJ37" s="19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4">
        <f t="shared" si="0"/>
        <v>0</v>
      </c>
    </row>
    <row r="38" hidden="1" customHeight="1" spans="1:66">
      <c r="A38" s="16" t="s">
        <v>673</v>
      </c>
      <c r="B38" s="17" t="s">
        <v>674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9"/>
      <c r="AI38" s="19"/>
      <c r="AJ38" s="19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4">
        <f t="shared" si="0"/>
        <v>0</v>
      </c>
    </row>
    <row r="39" customHeight="1" spans="1:66">
      <c r="A39" s="16" t="s">
        <v>675</v>
      </c>
      <c r="B39" s="17" t="s">
        <v>676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>
        <v>200</v>
      </c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9"/>
      <c r="AI39" s="19"/>
      <c r="AJ39" s="19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4">
        <f t="shared" si="0"/>
        <v>200</v>
      </c>
    </row>
    <row r="40" hidden="1" customHeight="1" spans="1:66">
      <c r="A40" s="16" t="s">
        <v>677</v>
      </c>
      <c r="B40" s="17" t="s">
        <v>678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9"/>
      <c r="AI40" s="19"/>
      <c r="AJ40" s="19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4">
        <f t="shared" si="0"/>
        <v>0</v>
      </c>
    </row>
    <row r="41" hidden="1" customHeight="1" spans="1:66">
      <c r="A41" s="16" t="s">
        <v>679</v>
      </c>
      <c r="B41" s="17" t="s">
        <v>680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9"/>
      <c r="AI41" s="19"/>
      <c r="AJ41" s="19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4">
        <f t="shared" si="0"/>
        <v>0</v>
      </c>
    </row>
    <row r="42" hidden="1" customHeight="1" spans="1:66">
      <c r="A42" s="16" t="s">
        <v>682</v>
      </c>
      <c r="B42" s="17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9"/>
      <c r="AI42" s="19"/>
      <c r="AJ42" s="19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4">
        <f t="shared" si="0"/>
        <v>0</v>
      </c>
    </row>
    <row r="43" hidden="1" customHeight="1" spans="1:66">
      <c r="A43" s="16" t="s">
        <v>683</v>
      </c>
      <c r="B43" s="17" t="s">
        <v>684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9"/>
      <c r="AI43" s="19"/>
      <c r="AJ43" s="19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4">
        <f t="shared" si="0"/>
        <v>0</v>
      </c>
    </row>
    <row r="44" hidden="1" customHeight="1" spans="1:66">
      <c r="A44" s="16" t="s">
        <v>685</v>
      </c>
      <c r="B44" s="17" t="s">
        <v>686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9"/>
      <c r="AI44" s="19"/>
      <c r="AJ44" s="19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4">
        <f t="shared" si="0"/>
        <v>0</v>
      </c>
    </row>
    <row r="45" hidden="1" customHeight="1" spans="1:66">
      <c r="A45" s="16" t="s">
        <v>687</v>
      </c>
      <c r="B45" s="17" t="s">
        <v>688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9"/>
      <c r="AI45" s="19"/>
      <c r="AJ45" s="19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4">
        <f t="shared" si="0"/>
        <v>0</v>
      </c>
    </row>
    <row r="46" hidden="1" customHeight="1" spans="1:66">
      <c r="A46" s="16" t="s">
        <v>691</v>
      </c>
      <c r="B46" s="17" t="s">
        <v>692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9"/>
      <c r="AI46" s="19"/>
      <c r="AJ46" s="19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4">
        <f t="shared" si="0"/>
        <v>0</v>
      </c>
    </row>
    <row r="47" hidden="1" customHeight="1" spans="1:66">
      <c r="A47" s="16" t="s">
        <v>694</v>
      </c>
      <c r="B47" s="17" t="s">
        <v>695</v>
      </c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9"/>
      <c r="AI47" s="19"/>
      <c r="AJ47" s="19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4">
        <f t="shared" si="0"/>
        <v>0</v>
      </c>
    </row>
    <row r="48" hidden="1" customHeight="1" spans="1:66">
      <c r="A48" s="16" t="s">
        <v>778</v>
      </c>
      <c r="B48" s="17" t="s">
        <v>779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9"/>
      <c r="AI48" s="19"/>
      <c r="AJ48" s="19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4">
        <f t="shared" si="0"/>
        <v>0</v>
      </c>
    </row>
    <row r="49" hidden="1" customHeight="1" spans="1:67">
      <c r="A49" s="16" t="s">
        <v>699</v>
      </c>
      <c r="B49" s="21" t="s">
        <v>700</v>
      </c>
      <c r="C49" s="22"/>
      <c r="D49" s="22"/>
      <c r="E49" s="22"/>
      <c r="F49" s="22"/>
      <c r="G49" s="22"/>
      <c r="H49" s="22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9"/>
      <c r="AI49" s="19"/>
      <c r="AJ49" s="19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4">
        <f t="shared" si="0"/>
        <v>0</v>
      </c>
    </row>
    <row r="50" hidden="1" customHeight="1" spans="1:67">
      <c r="A50" s="16" t="s">
        <v>701</v>
      </c>
      <c r="B50" s="17" t="s">
        <v>702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9"/>
      <c r="AI50" s="19"/>
      <c r="AJ50" s="19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4">
        <f t="shared" si="0"/>
        <v>0</v>
      </c>
    </row>
    <row r="51" hidden="1" customHeight="1" spans="1:67">
      <c r="A51" s="16" t="s">
        <v>701</v>
      </c>
      <c r="B51" s="21" t="s">
        <v>780</v>
      </c>
      <c r="C51" s="22"/>
      <c r="D51" s="22"/>
      <c r="E51" s="22"/>
      <c r="F51" s="22"/>
      <c r="G51" s="22"/>
      <c r="H51" s="22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9"/>
      <c r="AI51" s="19"/>
      <c r="AJ51" s="19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4">
        <f t="shared" si="0"/>
        <v>0</v>
      </c>
    </row>
    <row r="52" hidden="1" customHeight="1" spans="1:67">
      <c r="A52" s="16" t="s">
        <v>831</v>
      </c>
      <c r="B52" s="17" t="s">
        <v>730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9"/>
      <c r="AI52" s="19"/>
      <c r="AJ52" s="19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4">
        <f t="shared" si="0"/>
        <v>0</v>
      </c>
    </row>
    <row r="53" hidden="1" customHeight="1" spans="1:67">
      <c r="A53" s="16" t="s">
        <v>706</v>
      </c>
      <c r="B53" s="21" t="s">
        <v>707</v>
      </c>
      <c r="C53" s="22"/>
      <c r="D53" s="22"/>
      <c r="E53" s="22"/>
      <c r="F53" s="22"/>
      <c r="G53" s="22"/>
      <c r="H53" s="22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9"/>
      <c r="AI53" s="19"/>
      <c r="AJ53" s="19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4">
        <f t="shared" si="0"/>
        <v>0</v>
      </c>
    </row>
    <row r="54" hidden="1" customHeight="1" spans="1:67">
      <c r="A54" s="16" t="s">
        <v>181</v>
      </c>
      <c r="B54" s="21" t="s">
        <v>716</v>
      </c>
      <c r="C54" s="22"/>
      <c r="D54" s="22"/>
      <c r="E54" s="22"/>
      <c r="F54" s="22"/>
      <c r="G54" s="22"/>
      <c r="H54" s="22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9"/>
      <c r="AI54" s="19"/>
      <c r="AJ54" s="19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4">
        <f t="shared" si="0"/>
        <v>0</v>
      </c>
    </row>
    <row r="55" hidden="1" customHeight="1" spans="1:67">
      <c r="A55" s="16" t="s">
        <v>222</v>
      </c>
      <c r="B55" s="21" t="s">
        <v>718</v>
      </c>
      <c r="C55" s="22"/>
      <c r="D55" s="22"/>
      <c r="E55" s="22"/>
      <c r="F55" s="22"/>
      <c r="G55" s="22"/>
      <c r="H55" s="22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9"/>
      <c r="AI55" s="19"/>
      <c r="AJ55" s="19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4">
        <f t="shared" si="0"/>
        <v>0</v>
      </c>
    </row>
    <row r="56" hidden="1" customHeight="1" spans="1:67">
      <c r="A56" s="16" t="s">
        <v>837</v>
      </c>
      <c r="B56" s="17" t="s">
        <v>786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9"/>
      <c r="AI56" s="19"/>
      <c r="AJ56" s="19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4">
        <f t="shared" si="0"/>
        <v>0</v>
      </c>
    </row>
    <row r="57" hidden="1" customHeight="1" spans="1:67">
      <c r="A57" s="16" t="s">
        <v>112</v>
      </c>
      <c r="B57" s="17" t="s">
        <v>731</v>
      </c>
      <c r="C57" s="19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9"/>
      <c r="AI57" s="19"/>
      <c r="AJ57" s="19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23"/>
      <c r="BF57" s="23"/>
      <c r="BG57" s="18"/>
      <c r="BH57" s="18"/>
      <c r="BI57" s="18"/>
      <c r="BJ57" s="18"/>
      <c r="BK57" s="19"/>
      <c r="BL57" s="18"/>
      <c r="BM57" s="18"/>
      <c r="BN57" s="14">
        <f t="shared" si="0"/>
        <v>0</v>
      </c>
    </row>
    <row r="58" hidden="1" customHeight="1" spans="1:67">
      <c r="A58" s="16" t="s">
        <v>184</v>
      </c>
      <c r="B58" s="76">
        <v>3500438</v>
      </c>
      <c r="C58" s="19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9"/>
      <c r="AI58" s="19"/>
      <c r="AJ58" s="19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23"/>
      <c r="BF58" s="23"/>
      <c r="BG58" s="18"/>
      <c r="BH58" s="18"/>
      <c r="BI58" s="18"/>
      <c r="BJ58" s="18"/>
      <c r="BK58" s="19"/>
      <c r="BL58" s="18"/>
      <c r="BM58" s="18"/>
      <c r="BN58" s="14">
        <f t="shared" si="0"/>
        <v>0</v>
      </c>
    </row>
    <row r="59" hidden="1" customHeight="1" spans="1:67">
      <c r="A59" s="16" t="s">
        <v>719</v>
      </c>
      <c r="B59" s="76" t="s">
        <v>786</v>
      </c>
      <c r="C59" s="19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9"/>
      <c r="AI59" s="19"/>
      <c r="AJ59" s="19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23"/>
      <c r="BF59" s="23"/>
      <c r="BG59" s="18"/>
      <c r="BH59" s="18"/>
      <c r="BI59" s="18"/>
      <c r="BJ59" s="18"/>
      <c r="BK59" s="19"/>
      <c r="BL59" s="18"/>
      <c r="BM59" s="18"/>
      <c r="BN59" s="14">
        <f t="shared" si="0"/>
        <v>0</v>
      </c>
    </row>
    <row r="60" hidden="1" customHeight="1" spans="1:67">
      <c r="A60" s="16" t="s">
        <v>800</v>
      </c>
      <c r="B60" s="17" t="s">
        <v>717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24"/>
      <c r="AF60" s="24"/>
      <c r="AG60" s="24"/>
      <c r="AH60" s="19"/>
      <c r="AI60" s="19"/>
      <c r="AJ60" s="19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9"/>
      <c r="BL60" s="18"/>
      <c r="BM60" s="18"/>
      <c r="BN60" s="14">
        <f t="shared" si="0"/>
        <v>0</v>
      </c>
    </row>
    <row r="61" hidden="1" customHeight="1" spans="1:67">
      <c r="A61" s="16" t="s">
        <v>195</v>
      </c>
      <c r="B61" s="17" t="s">
        <v>801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9"/>
      <c r="AI61" s="19"/>
      <c r="AJ61" s="19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4">
        <f t="shared" si="0"/>
        <v>0</v>
      </c>
    </row>
    <row r="62" customHeight="1" spans="1:67">
      <c r="A62" s="33" t="s">
        <v>838</v>
      </c>
      <c r="B62" s="33" t="s">
        <v>40</v>
      </c>
      <c r="C62" s="34">
        <v>21600</v>
      </c>
      <c r="D62" s="34"/>
      <c r="E62" s="34"/>
      <c r="F62" s="34"/>
      <c r="G62" s="34"/>
      <c r="H62" s="34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6"/>
      <c r="AI62" s="36"/>
      <c r="AJ62" s="36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5"/>
      <c r="BH62" s="35"/>
      <c r="BI62" s="35"/>
      <c r="BJ62" s="37"/>
      <c r="BK62" s="35"/>
      <c r="BL62" s="35"/>
      <c r="BM62" s="35"/>
      <c r="BN62" s="43">
        <f t="shared" si="0"/>
        <v>21600</v>
      </c>
    </row>
    <row r="63" customHeight="1" spans="1:67">
      <c r="A63" s="33" t="s">
        <v>839</v>
      </c>
      <c r="B63" s="33" t="s">
        <v>42</v>
      </c>
      <c r="C63" s="34">
        <v>20700</v>
      </c>
      <c r="D63" s="34"/>
      <c r="E63" s="34"/>
      <c r="F63" s="34"/>
      <c r="G63" s="34"/>
      <c r="H63" s="34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6"/>
      <c r="AI63" s="36"/>
      <c r="AJ63" s="36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5"/>
      <c r="BE63" s="35"/>
      <c r="BF63" s="35"/>
      <c r="BG63" s="35"/>
      <c r="BH63" s="35"/>
      <c r="BI63" s="35"/>
      <c r="BJ63" s="37"/>
      <c r="BK63" s="35"/>
      <c r="BL63" s="35"/>
      <c r="BM63" s="35"/>
      <c r="BN63" s="43">
        <f t="shared" si="0"/>
        <v>20700</v>
      </c>
    </row>
    <row r="64" customHeight="1" spans="1:67">
      <c r="A64" s="33" t="s">
        <v>840</v>
      </c>
      <c r="B64" s="33" t="s">
        <v>735</v>
      </c>
      <c r="C64" s="34"/>
      <c r="D64" s="34"/>
      <c r="E64" s="34"/>
      <c r="F64" s="34"/>
      <c r="G64" s="34"/>
      <c r="H64" s="34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6"/>
      <c r="AI64" s="36"/>
      <c r="AJ64" s="36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5"/>
      <c r="BF64" s="35"/>
      <c r="BG64" s="35"/>
      <c r="BH64" s="35"/>
      <c r="BI64" s="35"/>
      <c r="BJ64" s="35"/>
      <c r="BK64" s="35"/>
      <c r="BL64" s="35"/>
      <c r="BM64" s="35"/>
      <c r="BN64" s="14">
        <f t="shared" si="0"/>
        <v>0</v>
      </c>
      <c r="BO64">
        <v>10080</v>
      </c>
    </row>
    <row r="65" customHeight="1" spans="1:67">
      <c r="A65" s="33" t="s">
        <v>841</v>
      </c>
      <c r="B65" s="33" t="s">
        <v>737</v>
      </c>
      <c r="C65" s="34"/>
      <c r="D65" s="34"/>
      <c r="E65" s="34">
        <v>1000</v>
      </c>
      <c r="F65" s="34"/>
      <c r="G65" s="34"/>
      <c r="H65" s="34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6"/>
      <c r="AI65" s="36"/>
      <c r="AJ65" s="36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5"/>
      <c r="BE65" s="35"/>
      <c r="BF65" s="35"/>
      <c r="BG65" s="35"/>
      <c r="BH65" s="35"/>
      <c r="BI65" s="35"/>
      <c r="BJ65" s="35"/>
      <c r="BK65" s="35"/>
      <c r="BL65" s="35"/>
      <c r="BM65" s="35"/>
      <c r="BN65" s="14">
        <f t="shared" si="0"/>
        <v>1000</v>
      </c>
      <c r="BO65">
        <v>21000</v>
      </c>
    </row>
    <row r="66" customHeight="1" spans="1:67">
      <c r="A66" s="38" t="s">
        <v>842</v>
      </c>
      <c r="B66" s="33" t="s">
        <v>736</v>
      </c>
      <c r="C66" s="34"/>
      <c r="D66" s="34"/>
      <c r="E66" s="34">
        <v>4800</v>
      </c>
      <c r="F66" s="34"/>
      <c r="G66" s="34"/>
      <c r="H66" s="34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6"/>
      <c r="AI66" s="36"/>
      <c r="AJ66" s="36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5"/>
      <c r="BE66" s="35"/>
      <c r="BF66" s="35"/>
      <c r="BG66" s="35"/>
      <c r="BH66" s="35"/>
      <c r="BI66" s="35"/>
      <c r="BJ66" s="35"/>
      <c r="BK66" s="35"/>
      <c r="BL66" s="35"/>
      <c r="BM66" s="35"/>
      <c r="BN66" s="14">
        <f t="shared" si="0"/>
        <v>4800</v>
      </c>
      <c r="BO66">
        <v>14880</v>
      </c>
    </row>
    <row r="67" customHeight="1" spans="1:67">
      <c r="A67" s="33" t="s">
        <v>55</v>
      </c>
      <c r="B67" s="33" t="s">
        <v>734</v>
      </c>
      <c r="C67" s="34"/>
      <c r="D67" s="34"/>
      <c r="E67" s="34">
        <v>18000</v>
      </c>
      <c r="F67" s="34"/>
      <c r="G67" s="34"/>
      <c r="H67" s="34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6"/>
      <c r="AI67" s="36"/>
      <c r="AJ67" s="36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5"/>
      <c r="BE67" s="35"/>
      <c r="BF67" s="35"/>
      <c r="BG67" s="35"/>
      <c r="BH67" s="35"/>
      <c r="BI67" s="35"/>
      <c r="BJ67" s="35"/>
      <c r="BK67" s="35"/>
      <c r="BL67" s="35"/>
      <c r="BM67" s="35"/>
      <c r="BN67" s="43">
        <f t="shared" si="0"/>
        <v>18000</v>
      </c>
    </row>
    <row r="68" customHeight="1" spans="1:67">
      <c r="A68" s="33" t="s">
        <v>843</v>
      </c>
      <c r="B68" s="33" t="s">
        <v>733</v>
      </c>
      <c r="C68" s="34"/>
      <c r="D68" s="34"/>
      <c r="E68" s="34"/>
      <c r="F68" s="34"/>
      <c r="G68" s="34"/>
      <c r="H68" s="34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6"/>
      <c r="AI68" s="36"/>
      <c r="AJ68" s="36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5"/>
      <c r="BF68" s="35"/>
      <c r="BG68" s="35"/>
      <c r="BH68" s="35"/>
      <c r="BI68" s="35"/>
      <c r="BJ68" s="35"/>
      <c r="BK68" s="35"/>
      <c r="BL68" s="35"/>
      <c r="BM68" s="35"/>
      <c r="BN68" s="14">
        <f t="shared" si="0"/>
        <v>0</v>
      </c>
      <c r="BO68">
        <v>12000</v>
      </c>
    </row>
    <row r="69" customHeight="1" spans="1:67">
      <c r="A69" s="33" t="s">
        <v>844</v>
      </c>
      <c r="B69" s="33" t="s">
        <v>738</v>
      </c>
      <c r="C69" s="34"/>
      <c r="D69" s="34"/>
      <c r="E69" s="34">
        <v>35000</v>
      </c>
      <c r="F69" s="34"/>
      <c r="G69" s="34"/>
      <c r="H69" s="34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6"/>
      <c r="AI69" s="36"/>
      <c r="AJ69" s="36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5"/>
      <c r="BE69" s="35"/>
      <c r="BF69" s="35"/>
      <c r="BG69" s="35"/>
      <c r="BH69" s="35"/>
      <c r="BI69" s="35"/>
      <c r="BJ69" s="35"/>
      <c r="BK69" s="35"/>
      <c r="BL69" s="35"/>
      <c r="BM69" s="35"/>
      <c r="BN69" s="14">
        <f t="shared" si="0"/>
        <v>35000</v>
      </c>
      <c r="BO69">
        <v>54800</v>
      </c>
    </row>
    <row r="70" customHeight="1" spans="1:67">
      <c r="C70" s="39"/>
      <c r="D70" s="40"/>
      <c r="E70" s="40"/>
      <c r="F70" s="40"/>
      <c r="G70" s="40"/>
      <c r="H70" s="40"/>
      <c r="I70" s="3"/>
      <c r="J70" s="3"/>
      <c r="BN70" s="14"/>
    </row>
    <row r="71" customHeight="1" spans="1:67">
      <c r="C71" s="40"/>
      <c r="D71" s="40"/>
      <c r="E71" s="40"/>
      <c r="F71" s="40"/>
      <c r="G71" s="40"/>
      <c r="H71" s="40"/>
      <c r="I71" s="3"/>
      <c r="J71" s="3"/>
    </row>
  </sheetData>
  <mergeCells count="1">
    <mergeCell ref="A1:BN1"/>
  </mergeCells>
  <pageMargins left="0.7" right="0.7" top="0.75" bottom="0.75" header="0.3" footer="0.3"/>
  <pageSetup paperSize="9" scale="65" orientation="portrait"/>
  <headerFooter/>
  <rowBreaks count="1" manualBreakCount="1">
    <brk id="61" max="40" man="1"/>
  </rowBreaks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67"/>
  <sheetViews>
    <sheetView zoomScale="116" zoomScaleNormal="116" workbookViewId="0">
      <pane xSplit="2" ySplit="2" topLeftCell="C3" activePane="bottomRight" state="frozen"/>
      <selection/>
      <selection pane="topRight"/>
      <selection pane="bottomLeft"/>
      <selection pane="bottomRight" activeCell="O60" sqref="O60"/>
    </sheetView>
  </sheetViews>
  <sheetFormatPr defaultColWidth="9" defaultRowHeight="20" customHeight="1"/>
  <cols>
    <col min="1" max="1" width="13.6666666666667" style="1" customWidth="1"/>
    <col min="2" max="2" width="23.1666666666667" style="1" customWidth="1"/>
    <col min="3" max="8" width="7.5" style="1" customWidth="1"/>
    <col min="9" max="10" width="8.33333333333333" customWidth="1"/>
    <col min="11" max="11" width="8.33333333333333" style="3" customWidth="1"/>
    <col min="12" max="12" width="6.66666666666667" style="3" customWidth="1"/>
    <col min="13" max="15" width="7" style="3" customWidth="1"/>
    <col min="16" max="16" width="7.83333333333333" style="3" customWidth="1"/>
    <col min="17" max="17" width="5.66666666666667" style="3" customWidth="1"/>
    <col min="18" max="19" width="5.66666666666667" style="3" hidden="1" customWidth="1"/>
    <col min="20" max="20" width="6.66666666666667" style="3" hidden="1" customWidth="1"/>
    <col min="21" max="21" width="8.16666666666667" style="3" hidden="1" customWidth="1"/>
    <col min="22" max="22" width="7.66666666666667" style="3" hidden="1" customWidth="1"/>
    <col min="23" max="23" width="5.66666666666667" style="3" hidden="1" customWidth="1"/>
    <col min="24" max="24" width="7.66666666666667" style="3" hidden="1" customWidth="1"/>
    <col min="25" max="25" width="5.66666666666667" style="3" hidden="1" customWidth="1"/>
    <col min="26" max="26" width="6.66666666666667" style="3" hidden="1" customWidth="1"/>
    <col min="27" max="28" width="5.66666666666667" style="3" hidden="1" customWidth="1"/>
    <col min="29" max="30" width="7.33333333333333" style="3" hidden="1" customWidth="1"/>
    <col min="31" max="33" width="8.33333333333333" style="3" hidden="1" customWidth="1"/>
    <col min="34" max="36" width="7.66666666666667" style="41" hidden="1" customWidth="1"/>
    <col min="37" max="37" width="7.16666666666667" style="3" hidden="1" customWidth="1"/>
    <col min="38" max="38" width="6.83333333333333" style="3" hidden="1" customWidth="1"/>
    <col min="39" max="39" width="7.33333333333333" style="3" hidden="1" customWidth="1"/>
    <col min="40" max="40" width="7.66666666666667" style="3" hidden="1" customWidth="1"/>
    <col min="41" max="41" width="6.83333333333333" style="3" hidden="1" customWidth="1"/>
    <col min="42" max="42" width="8.5" style="3" hidden="1" customWidth="1"/>
    <col min="43" max="43" width="7.33333333333333" style="3" hidden="1" customWidth="1"/>
    <col min="44" max="44" width="8" style="3" hidden="1" customWidth="1"/>
    <col min="45" max="45" width="7.5" style="3" hidden="1" customWidth="1"/>
    <col min="46" max="50" width="5.66666666666667" style="3" hidden="1" customWidth="1"/>
    <col min="51" max="51" width="7.5" style="3" hidden="1" customWidth="1"/>
    <col min="52" max="52" width="5.66666666666667" style="3" hidden="1" customWidth="1"/>
    <col min="53" max="53" width="6.5" style="3" hidden="1" customWidth="1"/>
    <col min="54" max="61" width="5.66666666666667" style="3" hidden="1" customWidth="1"/>
    <col min="62" max="62" width="6.16666666666667" style="3" hidden="1" customWidth="1"/>
    <col min="63" max="65" width="5.66666666666667" style="3" hidden="1" customWidth="1"/>
    <col min="66" max="66" width="8" style="3" customWidth="1"/>
  </cols>
  <sheetData>
    <row r="1" customHeight="1" spans="1:66">
      <c r="A1" s="4" t="s">
        <v>845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</row>
    <row r="2" customHeight="1" spans="1:66">
      <c r="A2" s="47" t="s">
        <v>596</v>
      </c>
      <c r="B2" s="48" t="s">
        <v>597</v>
      </c>
      <c r="C2" s="49">
        <v>44743</v>
      </c>
      <c r="D2" s="49">
        <v>44747</v>
      </c>
      <c r="E2" s="49">
        <v>44748</v>
      </c>
      <c r="F2" s="49">
        <v>44750</v>
      </c>
      <c r="G2" s="49">
        <v>44751</v>
      </c>
      <c r="H2" s="49">
        <v>44753</v>
      </c>
      <c r="I2" s="50">
        <v>44754</v>
      </c>
      <c r="J2" s="50">
        <v>44755</v>
      </c>
      <c r="K2" s="50">
        <v>44758</v>
      </c>
      <c r="L2" s="50">
        <v>44760</v>
      </c>
      <c r="M2" s="50">
        <v>44762</v>
      </c>
      <c r="N2" s="50">
        <v>44764</v>
      </c>
      <c r="O2" s="50">
        <v>44767</v>
      </c>
      <c r="P2" s="50">
        <v>44772</v>
      </c>
      <c r="Q2" s="50">
        <v>44743</v>
      </c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 t="s">
        <v>812</v>
      </c>
      <c r="AD2" s="51" t="s">
        <v>812</v>
      </c>
      <c r="AE2" s="51" t="s">
        <v>813</v>
      </c>
      <c r="AF2" s="51" t="s">
        <v>814</v>
      </c>
      <c r="AG2" s="51" t="s">
        <v>815</v>
      </c>
      <c r="AH2" s="52" t="s">
        <v>816</v>
      </c>
      <c r="AI2" s="52" t="s">
        <v>817</v>
      </c>
      <c r="AJ2" s="52" t="s">
        <v>818</v>
      </c>
      <c r="AK2" s="51" t="s">
        <v>819</v>
      </c>
      <c r="AL2" s="51" t="s">
        <v>819</v>
      </c>
      <c r="AM2" s="51" t="s">
        <v>820</v>
      </c>
      <c r="AN2" s="51" t="s">
        <v>821</v>
      </c>
      <c r="AO2" s="51" t="s">
        <v>822</v>
      </c>
      <c r="AP2" s="51" t="s">
        <v>823</v>
      </c>
      <c r="AQ2" s="51" t="s">
        <v>824</v>
      </c>
      <c r="AR2" s="51" t="s">
        <v>825</v>
      </c>
      <c r="AS2" s="51" t="s">
        <v>826</v>
      </c>
      <c r="AT2" s="51" t="s">
        <v>827</v>
      </c>
      <c r="AU2" s="51" t="s">
        <v>823</v>
      </c>
      <c r="AV2" s="51" t="s">
        <v>827</v>
      </c>
      <c r="AW2" s="51"/>
      <c r="AX2" s="51"/>
      <c r="AY2" s="51"/>
      <c r="AZ2" s="51"/>
      <c r="BA2" s="51"/>
      <c r="BB2" s="51"/>
      <c r="BC2" s="51"/>
      <c r="BD2" s="51"/>
      <c r="BE2" s="51"/>
      <c r="BF2" s="51"/>
      <c r="BG2" s="51"/>
      <c r="BH2" s="51"/>
      <c r="BI2" s="51"/>
      <c r="BJ2" s="51"/>
      <c r="BK2" s="51"/>
      <c r="BL2" s="51"/>
      <c r="BM2" s="51"/>
      <c r="BN2" s="53" t="s">
        <v>828</v>
      </c>
    </row>
    <row r="3" customHeight="1" spans="1:66">
      <c r="A3" s="69" t="s">
        <v>846</v>
      </c>
      <c r="B3" s="70" t="s">
        <v>609</v>
      </c>
      <c r="C3" s="71"/>
      <c r="D3" s="71"/>
      <c r="E3" s="71"/>
      <c r="F3" s="71"/>
      <c r="G3" s="71"/>
      <c r="H3" s="71"/>
      <c r="I3" s="72"/>
      <c r="J3" s="72"/>
      <c r="K3" s="72"/>
      <c r="L3" s="72"/>
      <c r="M3" s="72"/>
      <c r="N3" s="72"/>
      <c r="O3" s="72"/>
      <c r="P3" s="72"/>
      <c r="Q3" s="73">
        <v>3200</v>
      </c>
      <c r="R3" s="73"/>
      <c r="S3" s="73"/>
      <c r="T3" s="73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5"/>
      <c r="AI3" s="75"/>
      <c r="AJ3" s="75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4"/>
      <c r="BE3" s="74"/>
      <c r="BF3" s="74"/>
      <c r="BG3" s="74"/>
      <c r="BH3" s="74"/>
      <c r="BI3" s="74"/>
      <c r="BJ3" s="74"/>
      <c r="BK3" s="74"/>
      <c r="BL3" s="74"/>
      <c r="BM3" s="74"/>
      <c r="BN3" s="14">
        <f>C3+D3+E3+F3+G3+H3+I3+J3+K3+L3+M3+N3+O3+P3+Q3</f>
        <v>3200</v>
      </c>
    </row>
    <row r="4" s="44" customFormat="1" customHeight="1" spans="1:66">
      <c r="A4" s="54" t="s">
        <v>192</v>
      </c>
      <c r="B4" s="55" t="s">
        <v>600</v>
      </c>
      <c r="C4" s="56"/>
      <c r="D4" s="56"/>
      <c r="E4" s="56"/>
      <c r="F4" s="56"/>
      <c r="G4" s="56"/>
      <c r="H4" s="56"/>
      <c r="I4" s="57"/>
      <c r="J4" s="57"/>
      <c r="K4" s="57"/>
      <c r="L4" s="57"/>
      <c r="M4" s="57"/>
      <c r="N4" s="57"/>
      <c r="O4" s="57"/>
      <c r="P4" s="57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9"/>
      <c r="AI4" s="59"/>
      <c r="AJ4" s="59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8"/>
      <c r="BK4" s="58"/>
      <c r="BL4" s="58"/>
      <c r="BM4" s="58"/>
      <c r="BN4" s="14">
        <f t="shared" ref="BN4:BN65" si="0">C4+D4+E4+F4+G4+H4+I4+J4+K4+L4+M4+N4+O4+P4+Q4</f>
        <v>0</v>
      </c>
    </row>
    <row r="5" s="44" customFormat="1" customHeight="1" spans="1:66">
      <c r="A5" s="54" t="s">
        <v>59</v>
      </c>
      <c r="B5" s="55" t="s">
        <v>609</v>
      </c>
      <c r="C5" s="56"/>
      <c r="D5" s="56"/>
      <c r="E5" s="56"/>
      <c r="F5" s="56"/>
      <c r="G5" s="56"/>
      <c r="H5" s="56"/>
      <c r="I5" s="57"/>
      <c r="J5" s="57"/>
      <c r="K5" s="57"/>
      <c r="L5" s="57"/>
      <c r="M5" s="57"/>
      <c r="N5" s="57"/>
      <c r="O5" s="57"/>
      <c r="P5" s="57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9"/>
      <c r="AI5" s="59"/>
      <c r="AJ5" s="59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8"/>
      <c r="BF5" s="58"/>
      <c r="BG5" s="58"/>
      <c r="BH5" s="58"/>
      <c r="BI5" s="58"/>
      <c r="BJ5" s="58"/>
      <c r="BK5" s="58"/>
      <c r="BL5" s="58"/>
      <c r="BM5" s="58"/>
      <c r="BN5" s="14">
        <f t="shared" si="0"/>
        <v>0</v>
      </c>
    </row>
    <row r="6" s="44" customFormat="1" customHeight="1" spans="1:66">
      <c r="A6" s="54" t="s">
        <v>612</v>
      </c>
      <c r="B6" s="55" t="s">
        <v>613</v>
      </c>
      <c r="C6" s="56"/>
      <c r="D6" s="56"/>
      <c r="E6" s="56"/>
      <c r="F6" s="56"/>
      <c r="G6" s="56"/>
      <c r="H6" s="56"/>
      <c r="I6" s="57"/>
      <c r="J6" s="57"/>
      <c r="K6" s="57"/>
      <c r="L6" s="57"/>
      <c r="M6" s="57"/>
      <c r="N6" s="57"/>
      <c r="O6" s="57"/>
      <c r="P6" s="57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9"/>
      <c r="AI6" s="59"/>
      <c r="AJ6" s="59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58"/>
      <c r="BL6" s="58"/>
      <c r="BM6" s="58"/>
      <c r="BN6" s="14">
        <f t="shared" si="0"/>
        <v>0</v>
      </c>
    </row>
    <row r="7" s="45" customFormat="1" customHeight="1" spans="1:66">
      <c r="A7" s="54" t="s">
        <v>190</v>
      </c>
      <c r="B7" s="55" t="s">
        <v>759</v>
      </c>
      <c r="C7" s="56"/>
      <c r="D7" s="56"/>
      <c r="E7" s="56"/>
      <c r="F7" s="56"/>
      <c r="G7" s="56"/>
      <c r="H7" s="56"/>
      <c r="I7" s="57"/>
      <c r="J7" s="57"/>
      <c r="K7" s="57"/>
      <c r="L7" s="57"/>
      <c r="M7" s="57"/>
      <c r="N7" s="57"/>
      <c r="O7" s="57"/>
      <c r="P7" s="57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9"/>
      <c r="AI7" s="59"/>
      <c r="AJ7" s="59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58"/>
      <c r="BJ7" s="58"/>
      <c r="BK7" s="58"/>
      <c r="BL7" s="58"/>
      <c r="BM7" s="58"/>
      <c r="BN7" s="14">
        <f t="shared" si="0"/>
        <v>0</v>
      </c>
    </row>
    <row r="8" s="46" customFormat="1" customHeight="1" spans="1:66">
      <c r="A8" s="61" t="s">
        <v>224</v>
      </c>
      <c r="B8" s="62" t="s">
        <v>620</v>
      </c>
      <c r="C8" s="62"/>
      <c r="D8" s="62"/>
      <c r="E8" s="62"/>
      <c r="F8" s="62"/>
      <c r="G8" s="62"/>
      <c r="H8" s="62"/>
      <c r="I8" s="63"/>
      <c r="J8" s="63"/>
      <c r="K8" s="63"/>
      <c r="L8" s="63"/>
      <c r="M8" s="63"/>
      <c r="N8" s="63"/>
      <c r="O8" s="63"/>
      <c r="P8" s="63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5"/>
      <c r="AI8" s="65"/>
      <c r="AJ8" s="65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4"/>
      <c r="BK8" s="64"/>
      <c r="BL8" s="64"/>
      <c r="BM8" s="64"/>
      <c r="BN8" s="14">
        <f t="shared" si="0"/>
        <v>0</v>
      </c>
    </row>
    <row r="9" s="3" customFormat="1" customHeight="1" spans="1:66">
      <c r="A9" s="66" t="s">
        <v>626</v>
      </c>
      <c r="B9" s="14" t="s">
        <v>627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5"/>
      <c r="AI9" s="15"/>
      <c r="AJ9" s="15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>
        <f t="shared" si="0"/>
        <v>0</v>
      </c>
    </row>
    <row r="10" s="3" customFormat="1" customHeight="1" spans="1:66">
      <c r="A10" s="42" t="s">
        <v>106</v>
      </c>
      <c r="B10" s="18" t="s">
        <v>107</v>
      </c>
      <c r="C10" s="18"/>
      <c r="D10" s="18"/>
      <c r="E10" s="18"/>
      <c r="F10" s="18"/>
      <c r="G10" s="18"/>
      <c r="H10" s="18">
        <v>500</v>
      </c>
      <c r="I10" s="18"/>
      <c r="J10" s="18"/>
      <c r="K10" s="18"/>
      <c r="L10" s="18"/>
      <c r="M10" s="18">
        <v>1000</v>
      </c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9"/>
      <c r="AI10" s="19"/>
      <c r="AJ10" s="19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4">
        <f t="shared" si="0"/>
        <v>1500</v>
      </c>
    </row>
    <row r="11" s="3" customFormat="1" customHeight="1" spans="1:66">
      <c r="A11" s="42" t="s">
        <v>629</v>
      </c>
      <c r="B11" s="18" t="s">
        <v>630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9"/>
      <c r="AI11" s="19"/>
      <c r="AJ11" s="19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20"/>
      <c r="BK11" s="18"/>
      <c r="BL11" s="18"/>
      <c r="BM11" s="18"/>
      <c r="BN11" s="14">
        <f t="shared" si="0"/>
        <v>0</v>
      </c>
    </row>
    <row r="12" s="3" customFormat="1" customHeight="1" spans="1:66">
      <c r="A12" s="42" t="s">
        <v>18</v>
      </c>
      <c r="B12" s="18" t="s">
        <v>631</v>
      </c>
      <c r="C12" s="18"/>
      <c r="D12" s="18"/>
      <c r="E12" s="18"/>
      <c r="F12" s="18"/>
      <c r="G12" s="18"/>
      <c r="H12" s="18"/>
      <c r="I12" s="18"/>
      <c r="J12" s="18"/>
      <c r="K12" s="18"/>
      <c r="L12" s="18">
        <v>1000</v>
      </c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9"/>
      <c r="AI12" s="19"/>
      <c r="AJ12" s="19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20"/>
      <c r="BK12" s="18"/>
      <c r="BL12" s="18"/>
      <c r="BM12" s="18"/>
      <c r="BN12" s="14">
        <f t="shared" si="0"/>
        <v>1000</v>
      </c>
    </row>
    <row r="13" customHeight="1" spans="1:66">
      <c r="A13" s="16" t="s">
        <v>33</v>
      </c>
      <c r="B13" s="17" t="s">
        <v>632</v>
      </c>
      <c r="C13" s="18"/>
      <c r="D13" s="18"/>
      <c r="E13" s="18"/>
      <c r="F13" s="18"/>
      <c r="G13" s="18"/>
      <c r="H13" s="18">
        <v>475</v>
      </c>
      <c r="I13" s="18"/>
      <c r="J13" s="18"/>
      <c r="K13" s="18"/>
      <c r="L13" s="18"/>
      <c r="M13" s="18"/>
      <c r="N13" s="18"/>
      <c r="O13" s="18"/>
      <c r="P13" s="18">
        <v>1000</v>
      </c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9"/>
      <c r="AI13" s="19"/>
      <c r="AJ13" s="19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20"/>
      <c r="BK13" s="18"/>
      <c r="BL13" s="18"/>
      <c r="BM13" s="18"/>
      <c r="BN13" s="14">
        <f t="shared" si="0"/>
        <v>1475</v>
      </c>
    </row>
    <row r="14" customHeight="1" spans="1:66">
      <c r="A14" s="16" t="s">
        <v>69</v>
      </c>
      <c r="B14" s="17" t="s">
        <v>633</v>
      </c>
      <c r="C14" s="18"/>
      <c r="D14" s="18"/>
      <c r="E14" s="18"/>
      <c r="F14" s="18"/>
      <c r="G14" s="18"/>
      <c r="H14" s="18"/>
      <c r="I14" s="18"/>
      <c r="J14" s="18"/>
      <c r="K14" s="18"/>
      <c r="L14" s="18">
        <v>650</v>
      </c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9"/>
      <c r="AI14" s="19"/>
      <c r="AJ14" s="19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20"/>
      <c r="BK14" s="18"/>
      <c r="BL14" s="18"/>
      <c r="BM14" s="18"/>
      <c r="BN14" s="14">
        <f t="shared" si="0"/>
        <v>650</v>
      </c>
    </row>
    <row r="15" customHeight="1" spans="1:66">
      <c r="A15" s="16" t="s">
        <v>634</v>
      </c>
      <c r="B15" s="17" t="s">
        <v>635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9"/>
      <c r="AI15" s="19"/>
      <c r="AJ15" s="19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20"/>
      <c r="BK15" s="18"/>
      <c r="BL15" s="18"/>
      <c r="BM15" s="18"/>
      <c r="BN15" s="14">
        <f t="shared" si="0"/>
        <v>0</v>
      </c>
    </row>
    <row r="16" customHeight="1" spans="1:66">
      <c r="A16" s="16" t="s">
        <v>155</v>
      </c>
      <c r="B16" s="17" t="s">
        <v>636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9"/>
      <c r="AI16" s="19"/>
      <c r="AJ16" s="19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20"/>
      <c r="BK16" s="18"/>
      <c r="BL16" s="18"/>
      <c r="BM16" s="18"/>
      <c r="BN16" s="14">
        <f t="shared" si="0"/>
        <v>0</v>
      </c>
    </row>
    <row r="17" customHeight="1" spans="1:66">
      <c r="A17" s="16" t="s">
        <v>234</v>
      </c>
      <c r="B17" s="17" t="s">
        <v>639</v>
      </c>
      <c r="C17" s="18">
        <v>-50</v>
      </c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9"/>
      <c r="AI17" s="19"/>
      <c r="AJ17" s="19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20"/>
      <c r="BK17" s="18"/>
      <c r="BL17" s="18"/>
      <c r="BM17" s="18"/>
      <c r="BN17" s="14">
        <f t="shared" si="0"/>
        <v>-50</v>
      </c>
    </row>
    <row r="18" customHeight="1" spans="1:66">
      <c r="A18" s="16" t="s">
        <v>109</v>
      </c>
      <c r="B18" s="17" t="s">
        <v>110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9"/>
      <c r="AI18" s="19"/>
      <c r="AJ18" s="19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4">
        <f t="shared" si="0"/>
        <v>0</v>
      </c>
    </row>
    <row r="19" customHeight="1" spans="1:66">
      <c r="A19" s="16" t="s">
        <v>103</v>
      </c>
      <c r="B19" s="17" t="s">
        <v>647</v>
      </c>
      <c r="C19" s="18"/>
      <c r="D19" s="18"/>
      <c r="E19" s="18"/>
      <c r="F19" s="18">
        <v>2950</v>
      </c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9"/>
      <c r="AI19" s="19"/>
      <c r="AJ19" s="19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4">
        <f t="shared" si="0"/>
        <v>2950</v>
      </c>
    </row>
    <row r="20" customHeight="1" spans="1:66">
      <c r="A20" s="16" t="s">
        <v>177</v>
      </c>
      <c r="B20" s="17" t="s">
        <v>648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9"/>
      <c r="AI20" s="19"/>
      <c r="AJ20" s="19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4">
        <f t="shared" si="0"/>
        <v>0</v>
      </c>
    </row>
    <row r="21" customHeight="1" spans="1:66">
      <c r="A21" s="16" t="s">
        <v>37</v>
      </c>
      <c r="B21" s="17" t="s">
        <v>649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9"/>
      <c r="AI21" s="19"/>
      <c r="AJ21" s="19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4">
        <f t="shared" si="0"/>
        <v>0</v>
      </c>
    </row>
    <row r="22" customHeight="1" spans="1:66">
      <c r="A22" s="16" t="s">
        <v>651</v>
      </c>
      <c r="B22" s="21" t="s">
        <v>652</v>
      </c>
      <c r="C22" s="22"/>
      <c r="D22" s="22"/>
      <c r="E22" s="22"/>
      <c r="F22" s="22"/>
      <c r="G22" s="22"/>
      <c r="H22" s="22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9"/>
      <c r="AI22" s="19"/>
      <c r="AJ22" s="19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4">
        <f t="shared" si="0"/>
        <v>0</v>
      </c>
    </row>
    <row r="23" customHeight="1" spans="1:66">
      <c r="A23" s="16" t="s">
        <v>144</v>
      </c>
      <c r="B23" s="21" t="s">
        <v>653</v>
      </c>
      <c r="C23" s="22"/>
      <c r="D23" s="22"/>
      <c r="E23" s="22"/>
      <c r="F23" s="22"/>
      <c r="G23" s="22"/>
      <c r="H23" s="22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9"/>
      <c r="AI23" s="19"/>
      <c r="AJ23" s="19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4">
        <f t="shared" si="0"/>
        <v>0</v>
      </c>
    </row>
    <row r="24" customHeight="1" spans="1:66">
      <c r="A24" s="16" t="s">
        <v>187</v>
      </c>
      <c r="B24" s="17" t="s">
        <v>654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9"/>
      <c r="AI24" s="19"/>
      <c r="AJ24" s="19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4">
        <f t="shared" si="0"/>
        <v>0</v>
      </c>
    </row>
    <row r="25" customHeight="1" spans="1:66">
      <c r="A25" s="16" t="s">
        <v>51</v>
      </c>
      <c r="B25" s="17" t="s">
        <v>656</v>
      </c>
      <c r="C25" s="18"/>
      <c r="D25" s="18"/>
      <c r="E25" s="18"/>
      <c r="F25" s="18"/>
      <c r="G25" s="18"/>
      <c r="H25" s="18">
        <v>1000</v>
      </c>
      <c r="I25" s="18"/>
      <c r="J25" s="18"/>
      <c r="K25" s="18"/>
      <c r="L25" s="18"/>
      <c r="M25" s="18"/>
      <c r="N25" s="18"/>
      <c r="O25" s="18"/>
      <c r="P25" s="18"/>
      <c r="Q25" s="18">
        <v>15000</v>
      </c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9"/>
      <c r="AI25" s="19"/>
      <c r="AJ25" s="19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4">
        <f t="shared" si="0"/>
        <v>16000</v>
      </c>
    </row>
    <row r="26" customHeight="1" spans="1:66">
      <c r="A26" s="16" t="s">
        <v>218</v>
      </c>
      <c r="B26" s="17" t="s">
        <v>658</v>
      </c>
      <c r="C26" s="18"/>
      <c r="D26" s="18"/>
      <c r="E26" s="18"/>
      <c r="F26" s="18"/>
      <c r="G26" s="18"/>
      <c r="H26" s="18">
        <v>100</v>
      </c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9"/>
      <c r="AI26" s="19"/>
      <c r="AJ26" s="19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4">
        <f t="shared" si="0"/>
        <v>100</v>
      </c>
    </row>
    <row r="27" customHeight="1" spans="1:66">
      <c r="A27" s="16" t="s">
        <v>22</v>
      </c>
      <c r="B27" s="17" t="s">
        <v>652</v>
      </c>
      <c r="C27" s="18"/>
      <c r="D27" s="18"/>
      <c r="E27" s="18"/>
      <c r="F27" s="18"/>
      <c r="G27" s="18"/>
      <c r="H27" s="18"/>
      <c r="I27" s="18"/>
      <c r="J27" s="18"/>
      <c r="K27" s="18"/>
      <c r="L27" s="18">
        <v>400</v>
      </c>
      <c r="M27" s="18"/>
      <c r="N27" s="18"/>
      <c r="O27" s="18"/>
      <c r="P27" s="18"/>
      <c r="Q27" s="18">
        <v>4000</v>
      </c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9"/>
      <c r="AI27" s="19"/>
      <c r="AJ27" s="19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4">
        <f t="shared" si="0"/>
        <v>4400</v>
      </c>
    </row>
    <row r="28" customHeight="1" spans="1:66">
      <c r="A28" s="16" t="s">
        <v>660</v>
      </c>
      <c r="B28" s="17" t="s">
        <v>655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9"/>
      <c r="AI28" s="19"/>
      <c r="AJ28" s="19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4">
        <f t="shared" si="0"/>
        <v>0</v>
      </c>
    </row>
    <row r="29" customHeight="1" spans="1:66">
      <c r="A29" s="16" t="s">
        <v>661</v>
      </c>
      <c r="B29" s="17" t="s">
        <v>653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>
        <v>1000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9"/>
      <c r="AI29" s="19"/>
      <c r="AJ29" s="19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4">
        <f t="shared" si="0"/>
        <v>1000</v>
      </c>
    </row>
    <row r="30" customHeight="1" spans="1:66">
      <c r="A30" s="16" t="s">
        <v>666</v>
      </c>
      <c r="B30" s="17" t="s">
        <v>667</v>
      </c>
      <c r="C30" s="18"/>
      <c r="D30" s="18"/>
      <c r="E30" s="18"/>
      <c r="F30" s="18">
        <v>200</v>
      </c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9"/>
      <c r="AI30" s="19"/>
      <c r="AJ30" s="19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4">
        <f t="shared" si="0"/>
        <v>200</v>
      </c>
    </row>
    <row r="31" customHeight="1" spans="1:66">
      <c r="A31" s="16" t="s">
        <v>668</v>
      </c>
      <c r="B31" s="17" t="s">
        <v>669</v>
      </c>
      <c r="C31" s="18"/>
      <c r="D31" s="18"/>
      <c r="E31" s="18"/>
      <c r="F31" s="18"/>
      <c r="G31" s="18">
        <v>1000</v>
      </c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9"/>
      <c r="AI31" s="19"/>
      <c r="AJ31" s="19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4">
        <f t="shared" si="0"/>
        <v>1000</v>
      </c>
    </row>
    <row r="32" customHeight="1" spans="1:66">
      <c r="A32" s="16" t="s">
        <v>670</v>
      </c>
      <c r="B32" s="17" t="s">
        <v>671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9"/>
      <c r="AI32" s="19"/>
      <c r="AJ32" s="19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4">
        <f t="shared" si="0"/>
        <v>0</v>
      </c>
    </row>
    <row r="33" customHeight="1" spans="1:66">
      <c r="A33" s="16" t="s">
        <v>672</v>
      </c>
      <c r="B33" s="17" t="s">
        <v>671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9"/>
      <c r="AI33" s="19"/>
      <c r="AJ33" s="19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4">
        <f t="shared" si="0"/>
        <v>0</v>
      </c>
    </row>
    <row r="34" customHeight="1" spans="1:66">
      <c r="A34" s="16" t="s">
        <v>673</v>
      </c>
      <c r="B34" s="17" t="s">
        <v>674</v>
      </c>
      <c r="C34" s="18"/>
      <c r="D34" s="18"/>
      <c r="E34" s="18"/>
      <c r="F34" s="18">
        <v>100</v>
      </c>
      <c r="G34" s="18"/>
      <c r="H34" s="18"/>
      <c r="I34" s="18"/>
      <c r="J34" s="18"/>
      <c r="K34" s="18"/>
      <c r="L34" s="18"/>
      <c r="M34" s="18">
        <v>200</v>
      </c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9"/>
      <c r="AI34" s="19"/>
      <c r="AJ34" s="19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4">
        <f t="shared" si="0"/>
        <v>300</v>
      </c>
    </row>
    <row r="35" customHeight="1" spans="1:66">
      <c r="A35" s="16" t="s">
        <v>675</v>
      </c>
      <c r="B35" s="17" t="s">
        <v>676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9"/>
      <c r="AI35" s="19"/>
      <c r="AJ35" s="19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4">
        <f t="shared" si="0"/>
        <v>0</v>
      </c>
    </row>
    <row r="36" customHeight="1" spans="1:66">
      <c r="A36" s="16" t="s">
        <v>677</v>
      </c>
      <c r="B36" s="17" t="s">
        <v>678</v>
      </c>
      <c r="C36" s="18"/>
      <c r="D36" s="18"/>
      <c r="E36" s="18"/>
      <c r="F36" s="18"/>
      <c r="G36" s="18"/>
      <c r="H36" s="18"/>
      <c r="I36" s="18"/>
      <c r="J36" s="18">
        <v>400</v>
      </c>
      <c r="K36" s="18">
        <v>900</v>
      </c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9"/>
      <c r="AI36" s="19"/>
      <c r="AJ36" s="19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4">
        <f t="shared" si="0"/>
        <v>1300</v>
      </c>
    </row>
    <row r="37" customHeight="1" spans="1:66">
      <c r="A37" s="16" t="s">
        <v>679</v>
      </c>
      <c r="B37" s="17" t="s">
        <v>680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9"/>
      <c r="AI37" s="19"/>
      <c r="AJ37" s="19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4">
        <f t="shared" si="0"/>
        <v>0</v>
      </c>
    </row>
    <row r="38" customHeight="1" spans="1:66">
      <c r="A38" s="16" t="s">
        <v>682</v>
      </c>
      <c r="B38" s="17"/>
      <c r="C38" s="18"/>
      <c r="D38" s="18"/>
      <c r="E38" s="18"/>
      <c r="F38" s="18"/>
      <c r="G38" s="18"/>
      <c r="H38" s="18"/>
      <c r="I38" s="18"/>
      <c r="J38" s="18">
        <v>250</v>
      </c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9"/>
      <c r="AI38" s="19"/>
      <c r="AJ38" s="19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4">
        <f t="shared" si="0"/>
        <v>250</v>
      </c>
    </row>
    <row r="39" customHeight="1" spans="1:66">
      <c r="A39" s="16" t="s">
        <v>683</v>
      </c>
      <c r="B39" s="17" t="s">
        <v>684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9"/>
      <c r="AI39" s="19"/>
      <c r="AJ39" s="19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4">
        <f t="shared" si="0"/>
        <v>0</v>
      </c>
    </row>
    <row r="40" customHeight="1" spans="1:66">
      <c r="A40" s="16" t="s">
        <v>685</v>
      </c>
      <c r="B40" s="17" t="s">
        <v>686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9"/>
      <c r="AI40" s="19"/>
      <c r="AJ40" s="19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4">
        <f t="shared" si="0"/>
        <v>0</v>
      </c>
    </row>
    <row r="41" customHeight="1" spans="1:66">
      <c r="A41" s="16" t="s">
        <v>687</v>
      </c>
      <c r="B41" s="17" t="s">
        <v>688</v>
      </c>
      <c r="C41" s="18"/>
      <c r="D41" s="18"/>
      <c r="E41" s="18">
        <v>100</v>
      </c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9"/>
      <c r="AI41" s="19"/>
      <c r="AJ41" s="19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4">
        <f t="shared" si="0"/>
        <v>100</v>
      </c>
    </row>
    <row r="42" customHeight="1" spans="1:66">
      <c r="A42" s="16" t="s">
        <v>691</v>
      </c>
      <c r="B42" s="17" t="s">
        <v>692</v>
      </c>
      <c r="C42" s="18"/>
      <c r="D42" s="18"/>
      <c r="E42" s="18">
        <v>200</v>
      </c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9"/>
      <c r="AI42" s="19"/>
      <c r="AJ42" s="19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4">
        <f t="shared" si="0"/>
        <v>200</v>
      </c>
    </row>
    <row r="43" customHeight="1" spans="1:66">
      <c r="A43" s="16" t="s">
        <v>694</v>
      </c>
      <c r="B43" s="17" t="s">
        <v>695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>
        <v>25</v>
      </c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9"/>
      <c r="AI43" s="19"/>
      <c r="AJ43" s="19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4">
        <f t="shared" si="0"/>
        <v>25</v>
      </c>
    </row>
    <row r="44" customHeight="1" spans="1:66">
      <c r="A44" s="16" t="s">
        <v>778</v>
      </c>
      <c r="B44" s="17" t="s">
        <v>779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9"/>
      <c r="AI44" s="19"/>
      <c r="AJ44" s="19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4">
        <f t="shared" si="0"/>
        <v>0</v>
      </c>
    </row>
    <row r="45" customHeight="1" spans="1:66">
      <c r="A45" s="16" t="s">
        <v>699</v>
      </c>
      <c r="B45" s="21" t="s">
        <v>700</v>
      </c>
      <c r="C45" s="22"/>
      <c r="D45" s="22"/>
      <c r="E45" s="22"/>
      <c r="F45" s="22"/>
      <c r="G45" s="22"/>
      <c r="H45" s="22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9"/>
      <c r="AI45" s="19"/>
      <c r="AJ45" s="19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4">
        <f t="shared" si="0"/>
        <v>0</v>
      </c>
    </row>
    <row r="46" customHeight="1" spans="1:66">
      <c r="A46" s="16" t="s">
        <v>701</v>
      </c>
      <c r="B46" s="17" t="s">
        <v>702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9"/>
      <c r="AI46" s="19"/>
      <c r="AJ46" s="19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4">
        <f t="shared" si="0"/>
        <v>0</v>
      </c>
    </row>
    <row r="47" customHeight="1" spans="1:66">
      <c r="A47" s="16" t="s">
        <v>701</v>
      </c>
      <c r="B47" s="21" t="s">
        <v>780</v>
      </c>
      <c r="C47" s="22"/>
      <c r="D47" s="22"/>
      <c r="E47" s="22"/>
      <c r="F47" s="22"/>
      <c r="G47" s="22"/>
      <c r="H47" s="22"/>
      <c r="I47" s="18"/>
      <c r="J47" s="18"/>
      <c r="K47" s="18"/>
      <c r="L47" s="18"/>
      <c r="M47" s="18">
        <v>300</v>
      </c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9"/>
      <c r="AI47" s="19"/>
      <c r="AJ47" s="19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4">
        <f t="shared" si="0"/>
        <v>300</v>
      </c>
    </row>
    <row r="48" customHeight="1" spans="1:66">
      <c r="A48" s="16" t="s">
        <v>831</v>
      </c>
      <c r="B48" s="17" t="s">
        <v>730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9"/>
      <c r="AI48" s="19"/>
      <c r="AJ48" s="19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4">
        <f t="shared" si="0"/>
        <v>0</v>
      </c>
    </row>
    <row r="49" customHeight="1" spans="1:66">
      <c r="A49" s="16" t="s">
        <v>706</v>
      </c>
      <c r="B49" s="21" t="s">
        <v>707</v>
      </c>
      <c r="C49" s="22"/>
      <c r="D49" s="22"/>
      <c r="E49" s="22"/>
      <c r="F49" s="22"/>
      <c r="G49" s="22"/>
      <c r="H49" s="22"/>
      <c r="I49" s="18"/>
      <c r="J49" s="18"/>
      <c r="K49" s="18"/>
      <c r="L49" s="18"/>
      <c r="M49" s="18">
        <v>100</v>
      </c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9"/>
      <c r="AI49" s="19"/>
      <c r="AJ49" s="19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4">
        <f t="shared" si="0"/>
        <v>100</v>
      </c>
    </row>
    <row r="50" customHeight="1" spans="1:66">
      <c r="A50" s="16" t="s">
        <v>181</v>
      </c>
      <c r="B50" s="21" t="s">
        <v>716</v>
      </c>
      <c r="C50" s="22"/>
      <c r="D50" s="22"/>
      <c r="E50" s="22"/>
      <c r="F50" s="22"/>
      <c r="G50" s="22"/>
      <c r="H50" s="22"/>
      <c r="I50" s="18">
        <v>20000</v>
      </c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9"/>
      <c r="AI50" s="19"/>
      <c r="AJ50" s="19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4">
        <f t="shared" si="0"/>
        <v>20000</v>
      </c>
    </row>
    <row r="51" customHeight="1" spans="1:66">
      <c r="A51" s="16" t="s">
        <v>222</v>
      </c>
      <c r="B51" s="21" t="s">
        <v>718</v>
      </c>
      <c r="C51" s="22"/>
      <c r="D51" s="22"/>
      <c r="E51" s="22"/>
      <c r="F51" s="22"/>
      <c r="G51" s="22"/>
      <c r="H51" s="22"/>
      <c r="I51" s="18">
        <v>10000</v>
      </c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9"/>
      <c r="AI51" s="19"/>
      <c r="AJ51" s="19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4">
        <f t="shared" si="0"/>
        <v>10000</v>
      </c>
    </row>
    <row r="52" customHeight="1" spans="1:66">
      <c r="A52" s="16" t="s">
        <v>837</v>
      </c>
      <c r="B52" s="17" t="s">
        <v>786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9"/>
      <c r="AI52" s="19"/>
      <c r="AJ52" s="19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4">
        <f t="shared" si="0"/>
        <v>0</v>
      </c>
    </row>
    <row r="53" customHeight="1" spans="1:66">
      <c r="A53" s="16" t="s">
        <v>112</v>
      </c>
      <c r="B53" s="17" t="s">
        <v>731</v>
      </c>
      <c r="C53" s="19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>
        <v>16000</v>
      </c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9"/>
      <c r="AI53" s="19"/>
      <c r="AJ53" s="19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23"/>
      <c r="BF53" s="23"/>
      <c r="BG53" s="18"/>
      <c r="BH53" s="18"/>
      <c r="BI53" s="18"/>
      <c r="BJ53" s="18"/>
      <c r="BK53" s="19"/>
      <c r="BL53" s="18"/>
      <c r="BM53" s="18"/>
      <c r="BN53" s="14">
        <f t="shared" si="0"/>
        <v>16000</v>
      </c>
    </row>
    <row r="54" customHeight="1" spans="1:66">
      <c r="A54" s="16" t="s">
        <v>184</v>
      </c>
      <c r="B54" s="76">
        <v>3500438</v>
      </c>
      <c r="C54" s="19"/>
      <c r="D54" s="18">
        <v>13000</v>
      </c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9"/>
      <c r="AI54" s="19"/>
      <c r="AJ54" s="19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23"/>
      <c r="BF54" s="23"/>
      <c r="BG54" s="18"/>
      <c r="BH54" s="18"/>
      <c r="BI54" s="18"/>
      <c r="BJ54" s="18"/>
      <c r="BK54" s="19"/>
      <c r="BL54" s="18"/>
      <c r="BM54" s="18"/>
      <c r="BN54" s="14">
        <f t="shared" si="0"/>
        <v>13000</v>
      </c>
    </row>
    <row r="55" customHeight="1" spans="1:66">
      <c r="A55" s="16" t="s">
        <v>719</v>
      </c>
      <c r="B55" s="76" t="s">
        <v>786</v>
      </c>
      <c r="C55" s="19"/>
      <c r="D55" s="18"/>
      <c r="E55" s="18">
        <v>20000</v>
      </c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9"/>
      <c r="AI55" s="19"/>
      <c r="AJ55" s="19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23"/>
      <c r="BF55" s="23"/>
      <c r="BG55" s="18"/>
      <c r="BH55" s="18"/>
      <c r="BI55" s="18"/>
      <c r="BJ55" s="18"/>
      <c r="BK55" s="19"/>
      <c r="BL55" s="18"/>
      <c r="BM55" s="18"/>
      <c r="BN55" s="14">
        <f t="shared" si="0"/>
        <v>20000</v>
      </c>
    </row>
    <row r="56" customHeight="1" spans="1:66">
      <c r="A56" s="16" t="s">
        <v>800</v>
      </c>
      <c r="B56" s="17" t="s">
        <v>717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24"/>
      <c r="AF56" s="24"/>
      <c r="AG56" s="24"/>
      <c r="AH56" s="19"/>
      <c r="AI56" s="19"/>
      <c r="AJ56" s="19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9"/>
      <c r="BL56" s="18"/>
      <c r="BM56" s="18"/>
      <c r="BN56" s="14">
        <f t="shared" si="0"/>
        <v>0</v>
      </c>
    </row>
    <row r="57" customHeight="1" spans="1:66">
      <c r="A57" s="16" t="s">
        <v>195</v>
      </c>
      <c r="B57" s="17" t="s">
        <v>801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9"/>
      <c r="AI57" s="19"/>
      <c r="AJ57" s="19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4">
        <f t="shared" si="0"/>
        <v>0</v>
      </c>
    </row>
    <row r="58" customHeight="1" spans="1:66">
      <c r="A58" s="33" t="s">
        <v>838</v>
      </c>
      <c r="B58" s="33" t="s">
        <v>40</v>
      </c>
      <c r="C58" s="34"/>
      <c r="D58" s="34"/>
      <c r="E58" s="34"/>
      <c r="F58" s="34"/>
      <c r="G58" s="34"/>
      <c r="H58" s="34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6"/>
      <c r="AI58" s="36"/>
      <c r="AJ58" s="36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35"/>
      <c r="BI58" s="35"/>
      <c r="BJ58" s="37"/>
      <c r="BK58" s="35"/>
      <c r="BL58" s="35"/>
      <c r="BM58" s="35"/>
      <c r="BN58" s="14">
        <f t="shared" si="0"/>
        <v>0</v>
      </c>
    </row>
    <row r="59" customHeight="1" spans="1:66">
      <c r="A59" s="33" t="s">
        <v>839</v>
      </c>
      <c r="B59" s="33" t="s">
        <v>42</v>
      </c>
      <c r="C59" s="34"/>
      <c r="D59" s="34"/>
      <c r="E59" s="34"/>
      <c r="F59" s="34"/>
      <c r="G59" s="34"/>
      <c r="H59" s="34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6"/>
      <c r="AI59" s="36"/>
      <c r="AJ59" s="36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5"/>
      <c r="BH59" s="35"/>
      <c r="BI59" s="35"/>
      <c r="BJ59" s="37"/>
      <c r="BK59" s="35"/>
      <c r="BL59" s="35"/>
      <c r="BM59" s="35"/>
      <c r="BN59" s="14">
        <f t="shared" si="0"/>
        <v>0</v>
      </c>
    </row>
    <row r="60" customHeight="1" spans="1:66">
      <c r="A60" s="33" t="s">
        <v>840</v>
      </c>
      <c r="B60" s="33" t="s">
        <v>735</v>
      </c>
      <c r="C60" s="34"/>
      <c r="D60" s="34"/>
      <c r="E60" s="34"/>
      <c r="F60" s="34"/>
      <c r="G60" s="34"/>
      <c r="H60" s="34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6"/>
      <c r="AI60" s="36"/>
      <c r="AJ60" s="36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5"/>
      <c r="BF60" s="35"/>
      <c r="BG60" s="35"/>
      <c r="BH60" s="35"/>
      <c r="BI60" s="35"/>
      <c r="BJ60" s="35"/>
      <c r="BK60" s="35"/>
      <c r="BL60" s="35"/>
      <c r="BM60" s="35"/>
      <c r="BN60" s="14">
        <f t="shared" si="0"/>
        <v>0</v>
      </c>
    </row>
    <row r="61" customHeight="1" spans="1:66">
      <c r="A61" s="33" t="s">
        <v>841</v>
      </c>
      <c r="B61" s="33" t="s">
        <v>737</v>
      </c>
      <c r="C61" s="34"/>
      <c r="D61" s="34"/>
      <c r="E61" s="34"/>
      <c r="F61" s="34"/>
      <c r="G61" s="34"/>
      <c r="H61" s="34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6"/>
      <c r="AI61" s="36"/>
      <c r="AJ61" s="36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14">
        <f t="shared" si="0"/>
        <v>0</v>
      </c>
    </row>
    <row r="62" customHeight="1" spans="1:66">
      <c r="A62" s="38" t="s">
        <v>842</v>
      </c>
      <c r="B62" s="33" t="s">
        <v>736</v>
      </c>
      <c r="C62" s="34"/>
      <c r="D62" s="34"/>
      <c r="E62" s="34"/>
      <c r="F62" s="34"/>
      <c r="G62" s="34"/>
      <c r="H62" s="34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6"/>
      <c r="AI62" s="36"/>
      <c r="AJ62" s="36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5"/>
      <c r="BH62" s="35"/>
      <c r="BI62" s="35"/>
      <c r="BJ62" s="35"/>
      <c r="BK62" s="35"/>
      <c r="BL62" s="35"/>
      <c r="BM62" s="35"/>
      <c r="BN62" s="14">
        <f t="shared" si="0"/>
        <v>0</v>
      </c>
    </row>
    <row r="63" customHeight="1" spans="1:66">
      <c r="A63" s="33" t="s">
        <v>55</v>
      </c>
      <c r="B63" s="33" t="s">
        <v>734</v>
      </c>
      <c r="C63" s="34"/>
      <c r="D63" s="34"/>
      <c r="E63" s="34"/>
      <c r="F63" s="34"/>
      <c r="G63" s="34"/>
      <c r="H63" s="34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6"/>
      <c r="AI63" s="36"/>
      <c r="AJ63" s="36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5"/>
      <c r="BE63" s="35"/>
      <c r="BF63" s="35"/>
      <c r="BG63" s="35"/>
      <c r="BH63" s="35"/>
      <c r="BI63" s="35"/>
      <c r="BJ63" s="35"/>
      <c r="BK63" s="35"/>
      <c r="BL63" s="35"/>
      <c r="BM63" s="35"/>
      <c r="BN63" s="14">
        <f t="shared" si="0"/>
        <v>0</v>
      </c>
    </row>
    <row r="64" customHeight="1" spans="1:66">
      <c r="A64" s="33" t="s">
        <v>843</v>
      </c>
      <c r="B64" s="33" t="s">
        <v>733</v>
      </c>
      <c r="C64" s="34"/>
      <c r="D64" s="34"/>
      <c r="E64" s="34"/>
      <c r="F64" s="34"/>
      <c r="G64" s="34"/>
      <c r="H64" s="34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6"/>
      <c r="AI64" s="36"/>
      <c r="AJ64" s="36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5"/>
      <c r="BF64" s="35"/>
      <c r="BG64" s="35"/>
      <c r="BH64" s="35"/>
      <c r="BI64" s="35"/>
      <c r="BJ64" s="35"/>
      <c r="BK64" s="35"/>
      <c r="BL64" s="35"/>
      <c r="BM64" s="35"/>
      <c r="BN64" s="14">
        <f t="shared" si="0"/>
        <v>0</v>
      </c>
    </row>
    <row r="65" customHeight="1" spans="1:66">
      <c r="A65" s="33" t="s">
        <v>844</v>
      </c>
      <c r="B65" s="33" t="s">
        <v>738</v>
      </c>
      <c r="C65" s="34"/>
      <c r="D65" s="34"/>
      <c r="E65" s="34"/>
      <c r="F65" s="34"/>
      <c r="G65" s="34"/>
      <c r="H65" s="34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6"/>
      <c r="AI65" s="36"/>
      <c r="AJ65" s="36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5"/>
      <c r="BE65" s="35"/>
      <c r="BF65" s="35"/>
      <c r="BG65" s="35"/>
      <c r="BH65" s="35"/>
      <c r="BI65" s="35"/>
      <c r="BJ65" s="35"/>
      <c r="BK65" s="35"/>
      <c r="BL65" s="35"/>
      <c r="BM65" s="35"/>
      <c r="BN65" s="14">
        <f t="shared" si="0"/>
        <v>0</v>
      </c>
    </row>
    <row r="66" customHeight="1" spans="1:66">
      <c r="C66" s="39"/>
      <c r="D66" s="40"/>
      <c r="E66" s="40"/>
      <c r="F66" s="40"/>
      <c r="G66" s="40"/>
      <c r="H66" s="40"/>
      <c r="I66" s="3"/>
      <c r="J66" s="3"/>
    </row>
    <row r="67" customHeight="1" spans="1:66">
      <c r="C67" s="40"/>
      <c r="D67" s="40"/>
      <c r="E67" s="40"/>
      <c r="F67" s="40"/>
      <c r="G67" s="40"/>
      <c r="H67" s="40"/>
      <c r="I67" s="3"/>
      <c r="J67" s="3"/>
    </row>
  </sheetData>
  <mergeCells count="1">
    <mergeCell ref="A1:BN1"/>
  </mergeCells>
  <pageMargins left="0.7" right="0.7" top="0.75" bottom="0.75" header="0.3" footer="0.3"/>
  <pageSetup paperSize="9" scale="65" orientation="portrait"/>
  <headerFooter/>
  <rowBreaks count="1" manualBreakCount="1">
    <brk id="57" max="40" man="1"/>
  </rowBreaks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58"/>
  <sheetViews>
    <sheetView zoomScale="116" zoomScaleNormal="116" workbookViewId="0">
      <pane xSplit="2" ySplit="2" topLeftCell="C3" activePane="bottomRight" state="frozen"/>
      <selection/>
      <selection pane="topRight"/>
      <selection pane="bottomLeft"/>
      <selection pane="bottomRight" activeCell="BP44" sqref="BP44"/>
    </sheetView>
  </sheetViews>
  <sheetFormatPr defaultColWidth="9" defaultRowHeight="20" customHeight="1"/>
  <cols>
    <col min="1" max="1" width="13.6666666666667" style="1" customWidth="1"/>
    <col min="2" max="2" width="23.1666666666667" style="1" customWidth="1"/>
    <col min="3" max="8" width="7.5" style="1" customWidth="1"/>
    <col min="9" max="11" width="8.33333333333333" customWidth="1"/>
    <col min="12" max="12" width="6.66666666666667" hidden="1" customWidth="1"/>
    <col min="13" max="15" width="7" hidden="1" customWidth="1"/>
    <col min="16" max="16" width="7.83333333333333" hidden="1" customWidth="1"/>
    <col min="17" max="19" width="5.66666666666667" hidden="1" customWidth="1"/>
    <col min="20" max="20" width="6.66666666666667" hidden="1" customWidth="1"/>
    <col min="21" max="21" width="8.16666666666667" hidden="1" customWidth="1"/>
    <col min="22" max="22" width="7.66666666666667" hidden="1" customWidth="1"/>
    <col min="23" max="23" width="5.66666666666667" hidden="1" customWidth="1"/>
    <col min="24" max="24" width="7.66666666666667" hidden="1" customWidth="1"/>
    <col min="25" max="25" width="5.66666666666667" hidden="1" customWidth="1"/>
    <col min="26" max="26" width="6.66666666666667" hidden="1" customWidth="1"/>
    <col min="27" max="28" width="5.66666666666667" hidden="1" customWidth="1"/>
    <col min="29" max="30" width="7.33333333333333" hidden="1" customWidth="1"/>
    <col min="31" max="33" width="8.33333333333333" hidden="1" customWidth="1"/>
    <col min="34" max="36" width="7.66666666666667" style="2" hidden="1" customWidth="1"/>
    <col min="37" max="37" width="7.16666666666667" hidden="1" customWidth="1"/>
    <col min="38" max="38" width="6.83333333333333" hidden="1" customWidth="1"/>
    <col min="39" max="39" width="7.33333333333333" hidden="1" customWidth="1"/>
    <col min="40" max="40" width="7.66666666666667" hidden="1" customWidth="1"/>
    <col min="41" max="41" width="6.83333333333333" hidden="1" customWidth="1"/>
    <col min="42" max="42" width="8.5" hidden="1" customWidth="1"/>
    <col min="43" max="43" width="7.33333333333333" hidden="1" customWidth="1"/>
    <col min="44" max="44" width="8" hidden="1" customWidth="1"/>
    <col min="45" max="45" width="7.5" hidden="1" customWidth="1"/>
    <col min="46" max="50" width="5.66666666666667" hidden="1" customWidth="1"/>
    <col min="51" max="51" width="7.5" hidden="1" customWidth="1"/>
    <col min="52" max="52" width="5.66666666666667" hidden="1" customWidth="1"/>
    <col min="53" max="53" width="6.5" hidden="1" customWidth="1"/>
    <col min="54" max="61" width="5.66666666666667" hidden="1" customWidth="1"/>
    <col min="62" max="62" width="6.16666666666667" hidden="1" customWidth="1"/>
    <col min="63" max="65" width="5.66666666666667" hidden="1" customWidth="1"/>
    <col min="66" max="66" width="8" style="3" customWidth="1"/>
  </cols>
  <sheetData>
    <row r="1" customHeight="1" spans="1:66">
      <c r="A1" s="4" t="s">
        <v>847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</row>
    <row r="2" customHeight="1" spans="1:66">
      <c r="A2" s="47" t="s">
        <v>596</v>
      </c>
      <c r="B2" s="48" t="s">
        <v>597</v>
      </c>
      <c r="C2" s="49">
        <v>44722</v>
      </c>
      <c r="D2" s="49">
        <v>44726</v>
      </c>
      <c r="E2" s="49">
        <v>44727</v>
      </c>
      <c r="F2" s="49">
        <v>44733</v>
      </c>
      <c r="G2" s="49">
        <v>44735</v>
      </c>
      <c r="H2" s="49">
        <v>44732</v>
      </c>
      <c r="I2" s="50" t="s">
        <v>848</v>
      </c>
      <c r="J2" s="50"/>
      <c r="K2" s="50"/>
      <c r="L2" s="50"/>
      <c r="M2" s="50"/>
      <c r="N2" s="50"/>
      <c r="O2" s="50"/>
      <c r="P2" s="50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 t="s">
        <v>812</v>
      </c>
      <c r="AD2" s="51" t="s">
        <v>812</v>
      </c>
      <c r="AE2" s="51" t="s">
        <v>813</v>
      </c>
      <c r="AF2" s="51" t="s">
        <v>814</v>
      </c>
      <c r="AG2" s="51" t="s">
        <v>815</v>
      </c>
      <c r="AH2" s="52" t="s">
        <v>816</v>
      </c>
      <c r="AI2" s="52" t="s">
        <v>817</v>
      </c>
      <c r="AJ2" s="52" t="s">
        <v>818</v>
      </c>
      <c r="AK2" s="51" t="s">
        <v>819</v>
      </c>
      <c r="AL2" s="51" t="s">
        <v>819</v>
      </c>
      <c r="AM2" s="51" t="s">
        <v>820</v>
      </c>
      <c r="AN2" s="51" t="s">
        <v>821</v>
      </c>
      <c r="AO2" s="51" t="s">
        <v>822</v>
      </c>
      <c r="AP2" s="51" t="s">
        <v>823</v>
      </c>
      <c r="AQ2" s="51" t="s">
        <v>824</v>
      </c>
      <c r="AR2" s="51" t="s">
        <v>825</v>
      </c>
      <c r="AS2" s="51" t="s">
        <v>826</v>
      </c>
      <c r="AT2" s="51" t="s">
        <v>827</v>
      </c>
      <c r="AU2" s="51" t="s">
        <v>823</v>
      </c>
      <c r="AV2" s="51" t="s">
        <v>827</v>
      </c>
      <c r="AW2" s="51"/>
      <c r="AX2" s="51"/>
      <c r="AY2" s="51"/>
      <c r="AZ2" s="51"/>
      <c r="BA2" s="51"/>
      <c r="BB2" s="51"/>
      <c r="BC2" s="51"/>
      <c r="BD2" s="51"/>
      <c r="BE2" s="51"/>
      <c r="BF2" s="51"/>
      <c r="BG2" s="51"/>
      <c r="BH2" s="51"/>
      <c r="BI2" s="51"/>
      <c r="BJ2" s="51"/>
      <c r="BK2" s="51"/>
      <c r="BL2" s="51"/>
      <c r="BM2" s="51"/>
      <c r="BN2" s="53" t="s">
        <v>828</v>
      </c>
    </row>
    <row r="3" s="44" customFormat="1" customHeight="1" spans="1:66">
      <c r="A3" s="54" t="s">
        <v>192</v>
      </c>
      <c r="B3" s="55" t="s">
        <v>600</v>
      </c>
      <c r="C3" s="56"/>
      <c r="D3" s="56"/>
      <c r="E3" s="56"/>
      <c r="F3" s="56"/>
      <c r="G3" s="56"/>
      <c r="H3" s="56">
        <v>500</v>
      </c>
      <c r="I3" s="57"/>
      <c r="J3" s="57"/>
      <c r="K3" s="57"/>
      <c r="L3" s="57"/>
      <c r="M3" s="57"/>
      <c r="N3" s="57"/>
      <c r="O3" s="57"/>
      <c r="P3" s="57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9"/>
      <c r="AI3" s="59"/>
      <c r="AJ3" s="59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58"/>
      <c r="BL3" s="58"/>
      <c r="BM3" s="58"/>
      <c r="BN3" s="60">
        <f t="shared" ref="BN3:BN48" si="0">C3+D3+E3+F3+G3+H3+I3+J3+K3+L3+M3+N3+O3+P3</f>
        <v>500</v>
      </c>
    </row>
    <row r="4" s="44" customFormat="1" customHeight="1" spans="1:66">
      <c r="A4" s="54" t="s">
        <v>59</v>
      </c>
      <c r="B4" s="55" t="s">
        <v>609</v>
      </c>
      <c r="C4" s="56"/>
      <c r="D4" s="56"/>
      <c r="E4" s="56"/>
      <c r="F4" s="56"/>
      <c r="G4" s="56"/>
      <c r="H4" s="56"/>
      <c r="I4" s="57" t="s">
        <v>758</v>
      </c>
      <c r="J4" s="57"/>
      <c r="K4" s="57"/>
      <c r="L4" s="57"/>
      <c r="M4" s="57"/>
      <c r="N4" s="57"/>
      <c r="O4" s="57"/>
      <c r="P4" s="57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9"/>
      <c r="AI4" s="59"/>
      <c r="AJ4" s="59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8"/>
      <c r="BK4" s="58"/>
      <c r="BL4" s="58"/>
      <c r="BM4" s="58"/>
      <c r="BN4" s="60">
        <f t="shared" si="0"/>
        <v>2400</v>
      </c>
    </row>
    <row r="5" s="44" customFormat="1" customHeight="1" spans="1:66">
      <c r="A5" s="54" t="s">
        <v>612</v>
      </c>
      <c r="B5" s="55" t="s">
        <v>613</v>
      </c>
      <c r="C5" s="56"/>
      <c r="D5" s="56"/>
      <c r="E5" s="56"/>
      <c r="F5" s="56"/>
      <c r="G5" s="56"/>
      <c r="H5" s="56">
        <v>500</v>
      </c>
      <c r="I5" s="57"/>
      <c r="J5" s="57"/>
      <c r="K5" s="57"/>
      <c r="L5" s="57"/>
      <c r="M5" s="57"/>
      <c r="N5" s="57"/>
      <c r="O5" s="57"/>
      <c r="P5" s="57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9"/>
      <c r="AI5" s="59"/>
      <c r="AJ5" s="59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8"/>
      <c r="BF5" s="58"/>
      <c r="BG5" s="58"/>
      <c r="BH5" s="58"/>
      <c r="BI5" s="58"/>
      <c r="BJ5" s="58"/>
      <c r="BK5" s="58"/>
      <c r="BL5" s="58"/>
      <c r="BM5" s="58"/>
      <c r="BN5" s="60">
        <f t="shared" si="0"/>
        <v>500</v>
      </c>
    </row>
    <row r="6" s="45" customFormat="1" customHeight="1" spans="1:66">
      <c r="A6" s="54" t="s">
        <v>190</v>
      </c>
      <c r="B6" s="55" t="s">
        <v>759</v>
      </c>
      <c r="C6" s="56"/>
      <c r="D6" s="56"/>
      <c r="E6" s="56"/>
      <c r="F6" s="56"/>
      <c r="G6" s="56"/>
      <c r="H6" s="56">
        <v>10</v>
      </c>
      <c r="I6" s="57"/>
      <c r="J6" s="57"/>
      <c r="K6" s="57"/>
      <c r="L6" s="57"/>
      <c r="M6" s="57"/>
      <c r="N6" s="57"/>
      <c r="O6" s="57"/>
      <c r="P6" s="57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9"/>
      <c r="AI6" s="59"/>
      <c r="AJ6" s="59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58"/>
      <c r="BL6" s="58"/>
      <c r="BM6" s="58"/>
      <c r="BN6" s="60">
        <f t="shared" si="0"/>
        <v>10</v>
      </c>
    </row>
    <row r="7" s="46" customFormat="1" customHeight="1" spans="1:66">
      <c r="A7" s="61" t="s">
        <v>224</v>
      </c>
      <c r="B7" s="62" t="s">
        <v>620</v>
      </c>
      <c r="C7" s="62"/>
      <c r="D7" s="62"/>
      <c r="E7" s="62"/>
      <c r="F7" s="62"/>
      <c r="G7" s="62"/>
      <c r="H7" s="62">
        <v>740</v>
      </c>
      <c r="I7" s="63"/>
      <c r="J7" s="63"/>
      <c r="K7" s="63"/>
      <c r="L7" s="63"/>
      <c r="M7" s="63"/>
      <c r="N7" s="63"/>
      <c r="O7" s="63"/>
      <c r="P7" s="63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5"/>
      <c r="AI7" s="65"/>
      <c r="AJ7" s="65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4"/>
      <c r="BI7" s="64"/>
      <c r="BJ7" s="64"/>
      <c r="BK7" s="64"/>
      <c r="BL7" s="64"/>
      <c r="BM7" s="64"/>
      <c r="BN7" s="60">
        <f t="shared" si="0"/>
        <v>740</v>
      </c>
    </row>
    <row r="8" s="3" customFormat="1" hidden="1" customHeight="1" spans="1:66">
      <c r="A8" s="66" t="s">
        <v>626</v>
      </c>
      <c r="B8" s="14" t="s">
        <v>627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5"/>
      <c r="AI8" s="15"/>
      <c r="AJ8" s="15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60">
        <f t="shared" si="0"/>
        <v>0</v>
      </c>
    </row>
    <row r="9" s="3" customFormat="1" hidden="1" customHeight="1" spans="1:66">
      <c r="A9" s="42" t="s">
        <v>106</v>
      </c>
      <c r="B9" s="18" t="s">
        <v>107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9"/>
      <c r="AI9" s="19"/>
      <c r="AJ9" s="19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60">
        <f t="shared" si="0"/>
        <v>0</v>
      </c>
    </row>
    <row r="10" s="3" customFormat="1" hidden="1" customHeight="1" spans="1:66">
      <c r="A10" s="42" t="s">
        <v>629</v>
      </c>
      <c r="B10" s="18" t="s">
        <v>630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9"/>
      <c r="AI10" s="19"/>
      <c r="AJ10" s="19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20"/>
      <c r="BK10" s="18"/>
      <c r="BL10" s="18"/>
      <c r="BM10" s="18"/>
      <c r="BN10" s="60">
        <f t="shared" si="0"/>
        <v>0</v>
      </c>
    </row>
    <row r="11" s="3" customFormat="1" customHeight="1" spans="1:66">
      <c r="A11" s="42" t="s">
        <v>18</v>
      </c>
      <c r="B11" s="18" t="s">
        <v>631</v>
      </c>
      <c r="C11" s="18"/>
      <c r="D11" s="18"/>
      <c r="E11" s="18"/>
      <c r="F11" s="18">
        <v>800</v>
      </c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9"/>
      <c r="AI11" s="19"/>
      <c r="AJ11" s="19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20"/>
      <c r="BK11" s="18"/>
      <c r="BL11" s="18"/>
      <c r="BM11" s="18"/>
      <c r="BN11" s="60">
        <f t="shared" si="0"/>
        <v>800</v>
      </c>
    </row>
    <row r="12" hidden="1" customHeight="1" spans="1:66">
      <c r="A12" s="16" t="s">
        <v>33</v>
      </c>
      <c r="B12" s="17" t="s">
        <v>632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9"/>
      <c r="AI12" s="19"/>
      <c r="AJ12" s="19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20"/>
      <c r="BK12" s="18"/>
      <c r="BL12" s="18"/>
      <c r="BM12" s="18"/>
      <c r="BN12" s="60">
        <f t="shared" si="0"/>
        <v>0</v>
      </c>
    </row>
    <row r="13" customHeight="1" spans="1:66">
      <c r="A13" s="16" t="s">
        <v>69</v>
      </c>
      <c r="B13" s="17" t="s">
        <v>633</v>
      </c>
      <c r="C13" s="18"/>
      <c r="D13" s="18"/>
      <c r="E13" s="18"/>
      <c r="F13" s="18"/>
      <c r="G13" s="18"/>
      <c r="H13" s="18">
        <v>300</v>
      </c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9"/>
      <c r="AI13" s="19"/>
      <c r="AJ13" s="19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20"/>
      <c r="BK13" s="18"/>
      <c r="BL13" s="18"/>
      <c r="BM13" s="18"/>
      <c r="BN13" s="60">
        <f t="shared" si="0"/>
        <v>300</v>
      </c>
    </row>
    <row r="14" customHeight="1" spans="1:66">
      <c r="A14" s="16" t="s">
        <v>634</v>
      </c>
      <c r="B14" s="17" t="s">
        <v>635</v>
      </c>
      <c r="C14" s="18"/>
      <c r="D14" s="18"/>
      <c r="E14" s="18"/>
      <c r="F14" s="18"/>
      <c r="G14" s="18">
        <v>100</v>
      </c>
      <c r="H14" s="18">
        <v>50</v>
      </c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9"/>
      <c r="AI14" s="19"/>
      <c r="AJ14" s="19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20"/>
      <c r="BK14" s="18"/>
      <c r="BL14" s="18"/>
      <c r="BM14" s="18"/>
      <c r="BN14" s="60">
        <f t="shared" si="0"/>
        <v>150</v>
      </c>
    </row>
    <row r="15" customHeight="1" spans="1:66">
      <c r="A15" s="16" t="s">
        <v>155</v>
      </c>
      <c r="B15" s="17" t="s">
        <v>636</v>
      </c>
      <c r="C15" s="18"/>
      <c r="D15" s="18"/>
      <c r="E15" s="18"/>
      <c r="F15" s="18"/>
      <c r="G15" s="18"/>
      <c r="H15" s="18">
        <v>1700</v>
      </c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9"/>
      <c r="AI15" s="19"/>
      <c r="AJ15" s="19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20"/>
      <c r="BK15" s="18"/>
      <c r="BL15" s="18"/>
      <c r="BM15" s="18"/>
      <c r="BN15" s="60">
        <f t="shared" si="0"/>
        <v>1700</v>
      </c>
    </row>
    <row r="16" customHeight="1" spans="1:66">
      <c r="A16" s="16" t="s">
        <v>234</v>
      </c>
      <c r="B16" s="17" t="s">
        <v>639</v>
      </c>
      <c r="C16" s="18"/>
      <c r="D16" s="18"/>
      <c r="E16" s="18"/>
      <c r="F16" s="18"/>
      <c r="G16" s="18"/>
      <c r="H16" s="18">
        <v>212</v>
      </c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9"/>
      <c r="AI16" s="19"/>
      <c r="AJ16" s="19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20"/>
      <c r="BK16" s="18"/>
      <c r="BL16" s="18"/>
      <c r="BM16" s="18"/>
      <c r="BN16" s="60">
        <f t="shared" si="0"/>
        <v>212</v>
      </c>
    </row>
    <row r="17" customHeight="1" spans="1:66">
      <c r="A17" s="16" t="s">
        <v>109</v>
      </c>
      <c r="B17" s="17" t="s">
        <v>110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9"/>
      <c r="AI17" s="19"/>
      <c r="AJ17" s="19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4">
        <f t="shared" si="0"/>
        <v>0</v>
      </c>
    </row>
    <row r="18" customHeight="1" spans="1:66">
      <c r="A18" s="16" t="s">
        <v>103</v>
      </c>
      <c r="B18" s="17" t="s">
        <v>647</v>
      </c>
      <c r="C18" s="18">
        <v>3000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9"/>
      <c r="AI18" s="19"/>
      <c r="AJ18" s="19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60">
        <f t="shared" si="0"/>
        <v>3000</v>
      </c>
    </row>
    <row r="19" customHeight="1" spans="1:66">
      <c r="A19" s="16" t="s">
        <v>177</v>
      </c>
      <c r="B19" s="17" t="s">
        <v>648</v>
      </c>
      <c r="C19" s="18"/>
      <c r="D19" s="18"/>
      <c r="E19" s="18"/>
      <c r="F19" s="18"/>
      <c r="G19" s="18"/>
      <c r="H19" s="18">
        <v>50</v>
      </c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9"/>
      <c r="AI19" s="19"/>
      <c r="AJ19" s="19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60">
        <f t="shared" si="0"/>
        <v>50</v>
      </c>
    </row>
    <row r="20" customHeight="1" spans="1:66">
      <c r="A20" s="16" t="s">
        <v>37</v>
      </c>
      <c r="B20" s="17" t="s">
        <v>649</v>
      </c>
      <c r="C20" s="18"/>
      <c r="D20" s="18"/>
      <c r="E20" s="18"/>
      <c r="F20" s="18"/>
      <c r="G20" s="18"/>
      <c r="H20" s="18">
        <v>190</v>
      </c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9"/>
      <c r="AI20" s="19"/>
      <c r="AJ20" s="19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60">
        <f t="shared" si="0"/>
        <v>190</v>
      </c>
    </row>
    <row r="21" hidden="1" customHeight="1" spans="1:66">
      <c r="A21" s="16" t="s">
        <v>651</v>
      </c>
      <c r="B21" s="21" t="s">
        <v>652</v>
      </c>
      <c r="C21" s="22"/>
      <c r="D21" s="22"/>
      <c r="E21" s="22"/>
      <c r="F21" s="22"/>
      <c r="G21" s="22"/>
      <c r="H21" s="22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9"/>
      <c r="AI21" s="19"/>
      <c r="AJ21" s="19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4">
        <f t="shared" si="0"/>
        <v>0</v>
      </c>
    </row>
    <row r="22" customHeight="1" spans="1:66">
      <c r="A22" s="16" t="s">
        <v>144</v>
      </c>
      <c r="B22" s="21" t="s">
        <v>653</v>
      </c>
      <c r="C22" s="22"/>
      <c r="D22" s="22"/>
      <c r="E22" s="22"/>
      <c r="F22" s="22"/>
      <c r="G22" s="22"/>
      <c r="H22" s="22">
        <v>600</v>
      </c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9"/>
      <c r="AI22" s="19"/>
      <c r="AJ22" s="19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60">
        <f t="shared" si="0"/>
        <v>600</v>
      </c>
    </row>
    <row r="23" hidden="1" customHeight="1" spans="1:66">
      <c r="A23" s="16" t="s">
        <v>187</v>
      </c>
      <c r="B23" s="17" t="s">
        <v>654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9"/>
      <c r="AI23" s="19"/>
      <c r="AJ23" s="19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4">
        <f t="shared" si="0"/>
        <v>0</v>
      </c>
    </row>
    <row r="24" hidden="1" customHeight="1" spans="1:66">
      <c r="A24" s="16" t="s">
        <v>51</v>
      </c>
      <c r="B24" s="17" t="s">
        <v>656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9"/>
      <c r="AI24" s="19"/>
      <c r="AJ24" s="19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4">
        <f t="shared" si="0"/>
        <v>0</v>
      </c>
    </row>
    <row r="25" hidden="1" customHeight="1" spans="1:66">
      <c r="A25" s="16" t="s">
        <v>22</v>
      </c>
      <c r="B25" s="17" t="s">
        <v>652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9"/>
      <c r="AI25" s="19"/>
      <c r="AJ25" s="19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4">
        <f t="shared" si="0"/>
        <v>0</v>
      </c>
    </row>
    <row r="26" hidden="1" customHeight="1" spans="1:66">
      <c r="A26" s="16" t="s">
        <v>660</v>
      </c>
      <c r="B26" s="17" t="s">
        <v>655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9"/>
      <c r="AI26" s="19"/>
      <c r="AJ26" s="19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4">
        <f t="shared" si="0"/>
        <v>0</v>
      </c>
    </row>
    <row r="27" hidden="1" customHeight="1" spans="1:66">
      <c r="A27" s="16" t="s">
        <v>661</v>
      </c>
      <c r="B27" s="17" t="s">
        <v>653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9"/>
      <c r="AI27" s="19"/>
      <c r="AJ27" s="19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4">
        <f t="shared" si="0"/>
        <v>0</v>
      </c>
    </row>
    <row r="28" customHeight="1" spans="1:66">
      <c r="A28" s="16" t="s">
        <v>666</v>
      </c>
      <c r="B28" s="17" t="s">
        <v>667</v>
      </c>
      <c r="C28" s="18"/>
      <c r="D28" s="18"/>
      <c r="E28" s="18"/>
      <c r="F28" s="18"/>
      <c r="G28" s="18"/>
      <c r="H28" s="18">
        <v>200</v>
      </c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9"/>
      <c r="AI28" s="19"/>
      <c r="AJ28" s="19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60">
        <f t="shared" si="0"/>
        <v>200</v>
      </c>
    </row>
    <row r="29" customHeight="1" spans="1:66">
      <c r="A29" s="16" t="s">
        <v>668</v>
      </c>
      <c r="B29" s="17" t="s">
        <v>669</v>
      </c>
      <c r="C29" s="18"/>
      <c r="D29" s="18"/>
      <c r="E29" s="18"/>
      <c r="F29" s="18"/>
      <c r="G29" s="18">
        <v>500</v>
      </c>
      <c r="H29" s="18">
        <v>425</v>
      </c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9"/>
      <c r="AI29" s="19"/>
      <c r="AJ29" s="19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60">
        <f t="shared" si="0"/>
        <v>925</v>
      </c>
    </row>
    <row r="30" customHeight="1" spans="1:66">
      <c r="A30" s="16" t="s">
        <v>670</v>
      </c>
      <c r="B30" s="17" t="s">
        <v>671</v>
      </c>
      <c r="C30" s="18"/>
      <c r="D30" s="18"/>
      <c r="E30" s="18"/>
      <c r="F30" s="18"/>
      <c r="G30" s="18"/>
      <c r="H30" s="18">
        <v>350</v>
      </c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9"/>
      <c r="AI30" s="19"/>
      <c r="AJ30" s="19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60">
        <f t="shared" si="0"/>
        <v>350</v>
      </c>
    </row>
    <row r="31" customHeight="1" spans="1:66">
      <c r="A31" s="16" t="s">
        <v>672</v>
      </c>
      <c r="B31" s="17" t="s">
        <v>671</v>
      </c>
      <c r="C31" s="18"/>
      <c r="D31" s="18"/>
      <c r="E31" s="18"/>
      <c r="F31" s="18"/>
      <c r="G31" s="18"/>
      <c r="H31" s="18">
        <v>1050</v>
      </c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9"/>
      <c r="AI31" s="19"/>
      <c r="AJ31" s="19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60">
        <f t="shared" si="0"/>
        <v>1050</v>
      </c>
    </row>
    <row r="32" customHeight="1" spans="1:66">
      <c r="A32" s="16" t="s">
        <v>675</v>
      </c>
      <c r="B32" s="17" t="s">
        <v>676</v>
      </c>
      <c r="C32" s="18"/>
      <c r="D32" s="18"/>
      <c r="E32" s="18"/>
      <c r="F32" s="18"/>
      <c r="G32" s="18"/>
      <c r="H32" s="18">
        <v>200</v>
      </c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9"/>
      <c r="AI32" s="19"/>
      <c r="AJ32" s="19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60">
        <f t="shared" si="0"/>
        <v>200</v>
      </c>
    </row>
    <row r="33" customHeight="1" spans="1:66">
      <c r="A33" s="16" t="s">
        <v>677</v>
      </c>
      <c r="B33" s="17" t="s">
        <v>678</v>
      </c>
      <c r="C33" s="18">
        <v>300</v>
      </c>
      <c r="D33" s="18"/>
      <c r="E33" s="18">
        <v>325</v>
      </c>
      <c r="F33" s="18"/>
      <c r="G33" s="18">
        <v>400</v>
      </c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9"/>
      <c r="AI33" s="19"/>
      <c r="AJ33" s="19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60">
        <f t="shared" si="0"/>
        <v>1025</v>
      </c>
    </row>
    <row r="34" customHeight="1" spans="1:66">
      <c r="A34" s="16" t="s">
        <v>679</v>
      </c>
      <c r="B34" s="17" t="s">
        <v>680</v>
      </c>
      <c r="C34" s="18"/>
      <c r="D34" s="18"/>
      <c r="E34" s="18"/>
      <c r="F34" s="18"/>
      <c r="G34" s="18"/>
      <c r="H34" s="18">
        <v>350</v>
      </c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9"/>
      <c r="AI34" s="19"/>
      <c r="AJ34" s="19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60">
        <f t="shared" si="0"/>
        <v>350</v>
      </c>
    </row>
    <row r="35" customHeight="1" spans="1:66">
      <c r="A35" s="16" t="s">
        <v>683</v>
      </c>
      <c r="B35" s="17" t="s">
        <v>684</v>
      </c>
      <c r="C35" s="18"/>
      <c r="D35" s="18"/>
      <c r="E35" s="18">
        <v>100</v>
      </c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9"/>
      <c r="AI35" s="19"/>
      <c r="AJ35" s="19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60">
        <f t="shared" si="0"/>
        <v>100</v>
      </c>
    </row>
    <row r="36" customHeight="1" spans="1:66">
      <c r="A36" s="16" t="s">
        <v>685</v>
      </c>
      <c r="B36" s="17" t="s">
        <v>686</v>
      </c>
      <c r="C36" s="18"/>
      <c r="D36" s="18"/>
      <c r="E36" s="18">
        <v>200</v>
      </c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9"/>
      <c r="AI36" s="19"/>
      <c r="AJ36" s="19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60">
        <f t="shared" si="0"/>
        <v>200</v>
      </c>
    </row>
    <row r="37" hidden="1" customHeight="1" spans="1:66">
      <c r="A37" s="16"/>
      <c r="B37" s="17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9"/>
      <c r="AI37" s="19"/>
      <c r="AJ37" s="19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4">
        <f t="shared" si="0"/>
        <v>0</v>
      </c>
    </row>
    <row r="38" hidden="1" customHeight="1" spans="1:66">
      <c r="A38" s="16" t="s">
        <v>778</v>
      </c>
      <c r="B38" s="17" t="s">
        <v>779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9"/>
      <c r="AI38" s="19"/>
      <c r="AJ38" s="19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4">
        <f t="shared" si="0"/>
        <v>0</v>
      </c>
    </row>
    <row r="39" hidden="1" customHeight="1" spans="1:66">
      <c r="A39" s="16" t="s">
        <v>699</v>
      </c>
      <c r="B39" s="21" t="s">
        <v>700</v>
      </c>
      <c r="C39" s="22"/>
      <c r="D39" s="22"/>
      <c r="E39" s="22"/>
      <c r="F39" s="22"/>
      <c r="G39" s="22"/>
      <c r="H39" s="22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9"/>
      <c r="AI39" s="19"/>
      <c r="AJ39" s="19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4">
        <f t="shared" si="0"/>
        <v>0</v>
      </c>
    </row>
    <row r="40" hidden="1" customHeight="1" spans="1:66">
      <c r="A40" s="16" t="s">
        <v>701</v>
      </c>
      <c r="B40" s="17" t="s">
        <v>702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9"/>
      <c r="AI40" s="19"/>
      <c r="AJ40" s="19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4">
        <f t="shared" si="0"/>
        <v>0</v>
      </c>
    </row>
    <row r="41" customHeight="1" spans="1:66">
      <c r="A41" s="16" t="s">
        <v>701</v>
      </c>
      <c r="B41" s="21" t="s">
        <v>780</v>
      </c>
      <c r="C41" s="22"/>
      <c r="D41" s="22"/>
      <c r="E41" s="22">
        <v>2300</v>
      </c>
      <c r="F41" s="22"/>
      <c r="G41" s="22"/>
      <c r="H41" s="22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9"/>
      <c r="AI41" s="19"/>
      <c r="AJ41" s="19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67">
        <f t="shared" si="0"/>
        <v>2300</v>
      </c>
    </row>
    <row r="42" customHeight="1" spans="1:66">
      <c r="A42" s="16" t="s">
        <v>831</v>
      </c>
      <c r="B42" s="17" t="s">
        <v>730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9"/>
      <c r="AI42" s="19"/>
      <c r="AJ42" s="19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4">
        <f t="shared" si="0"/>
        <v>0</v>
      </c>
    </row>
    <row r="43" customHeight="1" spans="1:66">
      <c r="A43" s="16" t="s">
        <v>706</v>
      </c>
      <c r="B43" s="21" t="s">
        <v>707</v>
      </c>
      <c r="C43" s="22"/>
      <c r="D43" s="22"/>
      <c r="E43" s="22"/>
      <c r="F43" s="22">
        <v>240</v>
      </c>
      <c r="G43" s="22"/>
      <c r="H43" s="22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9"/>
      <c r="AI43" s="19"/>
      <c r="AJ43" s="19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60">
        <f t="shared" si="0"/>
        <v>240</v>
      </c>
    </row>
    <row r="44" customHeight="1" spans="1:66">
      <c r="A44" s="16" t="s">
        <v>181</v>
      </c>
      <c r="B44" s="21" t="s">
        <v>716</v>
      </c>
      <c r="C44" s="22"/>
      <c r="D44" s="22"/>
      <c r="E44" s="22"/>
      <c r="F44" s="22">
        <v>24000</v>
      </c>
      <c r="G44" s="22"/>
      <c r="H44" s="22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9"/>
      <c r="AI44" s="19"/>
      <c r="AJ44" s="19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60">
        <v>3900</v>
      </c>
    </row>
    <row r="45" customHeight="1" spans="1:66">
      <c r="A45" s="16" t="s">
        <v>837</v>
      </c>
      <c r="B45" s="17" t="s">
        <v>786</v>
      </c>
      <c r="C45" s="18"/>
      <c r="D45" s="18"/>
      <c r="E45" s="18"/>
      <c r="F45" s="18">
        <v>24000</v>
      </c>
      <c r="G45" s="18"/>
      <c r="H45" s="18"/>
      <c r="I45" s="18"/>
      <c r="J45" s="6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9"/>
      <c r="AI45" s="19"/>
      <c r="AJ45" s="19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60">
        <f t="shared" si="0"/>
        <v>24000</v>
      </c>
    </row>
    <row r="46" customHeight="1" spans="1:66">
      <c r="A46" s="16" t="s">
        <v>112</v>
      </c>
      <c r="B46" s="17" t="s">
        <v>731</v>
      </c>
      <c r="C46" s="19"/>
      <c r="D46" s="18"/>
      <c r="E46" s="18"/>
      <c r="F46" s="18"/>
      <c r="G46" s="18">
        <v>14000</v>
      </c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9"/>
      <c r="AI46" s="19"/>
      <c r="AJ46" s="19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23"/>
      <c r="BF46" s="23"/>
      <c r="BG46" s="18"/>
      <c r="BH46" s="18"/>
      <c r="BI46" s="18"/>
      <c r="BJ46" s="18"/>
      <c r="BK46" s="19"/>
      <c r="BL46" s="18"/>
      <c r="BM46" s="18"/>
      <c r="BN46" s="60">
        <v>24000</v>
      </c>
    </row>
    <row r="47" customHeight="1" spans="1:66">
      <c r="A47" s="16" t="s">
        <v>800</v>
      </c>
      <c r="B47" s="17" t="s">
        <v>717</v>
      </c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24"/>
      <c r="AF47" s="24"/>
      <c r="AG47" s="24"/>
      <c r="AH47" s="19"/>
      <c r="AI47" s="19"/>
      <c r="AJ47" s="19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9"/>
      <c r="BL47" s="18"/>
      <c r="BM47" s="18"/>
      <c r="BN47" s="14">
        <f t="shared" si="0"/>
        <v>0</v>
      </c>
    </row>
    <row r="48" customHeight="1" spans="1:66">
      <c r="A48" s="16" t="s">
        <v>195</v>
      </c>
      <c r="B48" s="17" t="s">
        <v>801</v>
      </c>
      <c r="C48" s="18"/>
      <c r="D48" s="18"/>
      <c r="E48" s="18"/>
      <c r="F48" s="18"/>
      <c r="G48" s="18">
        <v>2000</v>
      </c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9"/>
      <c r="AI48" s="19"/>
      <c r="AJ48" s="19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60">
        <f t="shared" si="0"/>
        <v>2000</v>
      </c>
    </row>
    <row r="49" hidden="1" customHeight="1" spans="1:66">
      <c r="A49" s="33" t="s">
        <v>838</v>
      </c>
      <c r="B49" s="33" t="s">
        <v>40</v>
      </c>
      <c r="C49" s="34"/>
      <c r="D49" s="34"/>
      <c r="E49" s="34"/>
      <c r="F49" s="34"/>
      <c r="G49" s="34"/>
      <c r="H49" s="34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6"/>
      <c r="AI49" s="36"/>
      <c r="AJ49" s="36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35"/>
      <c r="BI49" s="35"/>
      <c r="BJ49" s="37"/>
      <c r="BK49" s="35"/>
      <c r="BL49" s="35"/>
      <c r="BM49" s="35"/>
      <c r="BN49" s="14">
        <f t="shared" ref="BN49:BN53" si="1">C49+D49+E49+F49+G49+H49+I49+J49+K49+L49+M49+N49+O49+P49</f>
        <v>0</v>
      </c>
    </row>
    <row r="50" hidden="1" customHeight="1" spans="1:66">
      <c r="A50" s="33" t="s">
        <v>839</v>
      </c>
      <c r="B50" s="33" t="s">
        <v>42</v>
      </c>
      <c r="C50" s="34"/>
      <c r="D50" s="34"/>
      <c r="E50" s="34"/>
      <c r="F50" s="34"/>
      <c r="G50" s="34"/>
      <c r="H50" s="34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6"/>
      <c r="AI50" s="36"/>
      <c r="AJ50" s="36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5"/>
      <c r="BI50" s="35"/>
      <c r="BJ50" s="37"/>
      <c r="BK50" s="35"/>
      <c r="BL50" s="35"/>
      <c r="BM50" s="35"/>
      <c r="BN50" s="14">
        <f t="shared" si="1"/>
        <v>0</v>
      </c>
    </row>
    <row r="51" hidden="1" customHeight="1" spans="1:66">
      <c r="A51" s="33" t="s">
        <v>840</v>
      </c>
      <c r="B51" s="33" t="s">
        <v>735</v>
      </c>
      <c r="C51" s="34"/>
      <c r="D51" s="34"/>
      <c r="E51" s="34"/>
      <c r="F51" s="34"/>
      <c r="G51" s="34"/>
      <c r="H51" s="34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6"/>
      <c r="AI51" s="36"/>
      <c r="AJ51" s="36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5"/>
      <c r="BI51" s="35"/>
      <c r="BJ51" s="35"/>
      <c r="BK51" s="35"/>
      <c r="BL51" s="35"/>
      <c r="BM51" s="35"/>
      <c r="BN51" s="14">
        <f t="shared" si="1"/>
        <v>0</v>
      </c>
    </row>
    <row r="52" hidden="1" customHeight="1" spans="1:66">
      <c r="A52" s="33" t="s">
        <v>841</v>
      </c>
      <c r="B52" s="33" t="s">
        <v>737</v>
      </c>
      <c r="C52" s="34"/>
      <c r="D52" s="34"/>
      <c r="E52" s="34"/>
      <c r="F52" s="34"/>
      <c r="G52" s="34"/>
      <c r="H52" s="34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6"/>
      <c r="AI52" s="36"/>
      <c r="AJ52" s="36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5"/>
      <c r="BI52" s="35"/>
      <c r="BJ52" s="35"/>
      <c r="BK52" s="35"/>
      <c r="BL52" s="35"/>
      <c r="BM52" s="35"/>
      <c r="BN52" s="14">
        <f t="shared" si="1"/>
        <v>0</v>
      </c>
    </row>
    <row r="53" hidden="1" customHeight="1" spans="1:66">
      <c r="A53" s="38" t="s">
        <v>842</v>
      </c>
      <c r="B53" s="33" t="s">
        <v>736</v>
      </c>
      <c r="C53" s="34"/>
      <c r="D53" s="34"/>
      <c r="E53" s="34"/>
      <c r="F53" s="34"/>
      <c r="G53" s="34"/>
      <c r="H53" s="34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6"/>
      <c r="AI53" s="36"/>
      <c r="AJ53" s="36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  <c r="BL53" s="35"/>
      <c r="BM53" s="35"/>
      <c r="BN53" s="14">
        <f t="shared" si="1"/>
        <v>0</v>
      </c>
    </row>
    <row r="54" hidden="1" customHeight="1" spans="1:66">
      <c r="A54" s="33" t="s">
        <v>55</v>
      </c>
      <c r="B54" s="33" t="s">
        <v>734</v>
      </c>
      <c r="C54" s="34"/>
      <c r="D54" s="34"/>
      <c r="E54" s="34"/>
      <c r="F54" s="34"/>
      <c r="G54" s="34"/>
      <c r="H54" s="34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6"/>
      <c r="AI54" s="36"/>
      <c r="AJ54" s="36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35"/>
      <c r="BL54" s="35"/>
      <c r="BM54" s="35"/>
      <c r="BN54" s="14">
        <f t="shared" ref="BN54:BN56" si="2">C54+D54+E54+F54+G54+H54+I54+J54+K54+L54+M54+N54+O54+P54</f>
        <v>0</v>
      </c>
    </row>
    <row r="55" hidden="1" customHeight="1" spans="1:66">
      <c r="A55" s="33" t="s">
        <v>843</v>
      </c>
      <c r="B55" s="33" t="s">
        <v>733</v>
      </c>
      <c r="C55" s="34"/>
      <c r="D55" s="34"/>
      <c r="E55" s="34"/>
      <c r="F55" s="34"/>
      <c r="G55" s="34"/>
      <c r="H55" s="34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6"/>
      <c r="AI55" s="36"/>
      <c r="AJ55" s="36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35"/>
      <c r="BN55" s="14">
        <f t="shared" si="2"/>
        <v>0</v>
      </c>
    </row>
    <row r="56" hidden="1" customHeight="1" spans="1:66">
      <c r="A56" s="33" t="s">
        <v>844</v>
      </c>
      <c r="B56" s="33" t="s">
        <v>738</v>
      </c>
      <c r="C56" s="34"/>
      <c r="D56" s="34"/>
      <c r="E56" s="34"/>
      <c r="F56" s="34"/>
      <c r="G56" s="34"/>
      <c r="H56" s="34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6"/>
      <c r="AI56" s="36"/>
      <c r="AJ56" s="36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35"/>
      <c r="BN56" s="14">
        <f t="shared" si="2"/>
        <v>0</v>
      </c>
    </row>
    <row r="57" customHeight="1" spans="1:66">
      <c r="C57" s="39"/>
      <c r="D57" s="40"/>
      <c r="E57" s="40"/>
      <c r="F57" s="40"/>
      <c r="G57" s="40"/>
      <c r="H57" s="40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41"/>
      <c r="AI57" s="41"/>
      <c r="AJ57" s="41"/>
      <c r="AK57" s="3"/>
      <c r="AL57" s="3"/>
      <c r="AM57" s="3"/>
      <c r="AN57" s="3"/>
      <c r="AO57" s="3"/>
    </row>
    <row r="58" customHeight="1" spans="1:66">
      <c r="C58" s="40"/>
      <c r="D58" s="40"/>
      <c r="E58" s="40"/>
      <c r="F58" s="40"/>
      <c r="G58" s="40"/>
      <c r="H58" s="40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41"/>
      <c r="AI58" s="41"/>
      <c r="AJ58" s="41"/>
      <c r="AK58" s="3"/>
      <c r="AL58" s="3"/>
      <c r="AM58" s="3"/>
      <c r="AN58" s="3"/>
      <c r="AO58" s="3"/>
    </row>
  </sheetData>
  <mergeCells count="1">
    <mergeCell ref="A1:BN1"/>
  </mergeCells>
  <pageMargins left="0.7" right="0.7" top="0.75" bottom="0.75" header="0.3" footer="0.3"/>
  <pageSetup paperSize="9" scale="65" orientation="portrait"/>
  <headerFooter/>
  <rowBreaks count="1" manualBreakCount="1">
    <brk id="48" max="40" man="1"/>
  </rowBreaks>
  <colBreaks count="1" manualBreakCount="1">
    <brk id="66" max="1048575" man="1"/>
  </colBreaks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140"/>
  <sheetViews>
    <sheetView zoomScale="116" zoomScaleNormal="116" workbookViewId="0">
      <pane xSplit="2" ySplit="2" topLeftCell="C6" activePane="bottomRight" state="frozen"/>
      <selection/>
      <selection pane="topRight"/>
      <selection pane="bottomLeft"/>
      <selection pane="bottomRight" activeCell="A20" sqref="$A20:$XFD138"/>
    </sheetView>
  </sheetViews>
  <sheetFormatPr defaultColWidth="9" defaultRowHeight="20" customHeight="1"/>
  <cols>
    <col min="1" max="1" width="13.6666666666667" style="1" customWidth="1"/>
    <col min="2" max="2" width="23.1666666666667" style="1" customWidth="1"/>
    <col min="3" max="8" width="7.5" style="1" customWidth="1"/>
    <col min="9" max="11" width="8.33333333333333" customWidth="1"/>
    <col min="12" max="12" width="6.66666666666667" hidden="1" customWidth="1"/>
    <col min="13" max="15" width="7" hidden="1" customWidth="1"/>
    <col min="16" max="16" width="7.83333333333333" hidden="1" customWidth="1"/>
    <col min="17" max="19" width="5.66666666666667" hidden="1" customWidth="1"/>
    <col min="20" max="20" width="6.66666666666667" hidden="1" customWidth="1"/>
    <col min="21" max="21" width="8.16666666666667" hidden="1" customWidth="1"/>
    <col min="22" max="22" width="7.66666666666667" hidden="1" customWidth="1"/>
    <col min="23" max="23" width="5.66666666666667" hidden="1" customWidth="1"/>
    <col min="24" max="24" width="7.66666666666667" hidden="1" customWidth="1"/>
    <col min="25" max="25" width="5.66666666666667" hidden="1" customWidth="1"/>
    <col min="26" max="26" width="6.66666666666667" hidden="1" customWidth="1"/>
    <col min="27" max="28" width="5.66666666666667" hidden="1" customWidth="1"/>
    <col min="29" max="30" width="7.33333333333333" hidden="1" customWidth="1"/>
    <col min="31" max="33" width="8.33333333333333" hidden="1" customWidth="1"/>
    <col min="34" max="36" width="7.66666666666667" style="2" hidden="1" customWidth="1"/>
    <col min="37" max="37" width="7.16666666666667" hidden="1" customWidth="1"/>
    <col min="38" max="38" width="6.83333333333333" hidden="1" customWidth="1"/>
    <col min="39" max="39" width="7.33333333333333" hidden="1" customWidth="1"/>
    <col min="40" max="40" width="7.66666666666667" hidden="1" customWidth="1"/>
    <col min="41" max="41" width="6.83333333333333" hidden="1" customWidth="1"/>
    <col min="42" max="42" width="8.5" hidden="1" customWidth="1"/>
    <col min="43" max="43" width="7.33333333333333" hidden="1" customWidth="1"/>
    <col min="44" max="44" width="8" hidden="1" customWidth="1"/>
    <col min="45" max="45" width="7.5" hidden="1" customWidth="1"/>
    <col min="46" max="50" width="5.66666666666667" hidden="1" customWidth="1"/>
    <col min="51" max="51" width="7.5" hidden="1" customWidth="1"/>
    <col min="52" max="52" width="5.66666666666667" hidden="1" customWidth="1"/>
    <col min="53" max="53" width="6.5" hidden="1" customWidth="1"/>
    <col min="54" max="61" width="5.66666666666667" hidden="1" customWidth="1"/>
    <col min="62" max="62" width="6.16666666666667" hidden="1" customWidth="1"/>
    <col min="63" max="65" width="5.66666666666667" hidden="1" customWidth="1"/>
    <col min="66" max="66" width="8" style="3" customWidth="1"/>
  </cols>
  <sheetData>
    <row r="1" customHeight="1" spans="1:66">
      <c r="A1" s="4" t="s">
        <v>849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</row>
    <row r="2" customHeight="1" spans="1:66">
      <c r="A2" s="5" t="s">
        <v>596</v>
      </c>
      <c r="B2" s="6" t="s">
        <v>597</v>
      </c>
      <c r="C2" s="7">
        <v>44687</v>
      </c>
      <c r="D2" s="7">
        <v>44700</v>
      </c>
      <c r="E2" s="7"/>
      <c r="F2" s="7"/>
      <c r="G2" s="7"/>
      <c r="H2" s="7"/>
      <c r="I2" s="8"/>
      <c r="J2" s="8"/>
      <c r="K2" s="8"/>
      <c r="L2" s="8"/>
      <c r="M2" s="8"/>
      <c r="N2" s="8"/>
      <c r="O2" s="8"/>
      <c r="P2" s="8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 t="s">
        <v>812</v>
      </c>
      <c r="AD2" s="9" t="s">
        <v>812</v>
      </c>
      <c r="AE2" s="9" t="s">
        <v>813</v>
      </c>
      <c r="AF2" s="9" t="s">
        <v>814</v>
      </c>
      <c r="AG2" s="9" t="s">
        <v>815</v>
      </c>
      <c r="AH2" s="10" t="s">
        <v>816</v>
      </c>
      <c r="AI2" s="10" t="s">
        <v>817</v>
      </c>
      <c r="AJ2" s="10" t="s">
        <v>818</v>
      </c>
      <c r="AK2" s="9" t="s">
        <v>819</v>
      </c>
      <c r="AL2" s="9" t="s">
        <v>819</v>
      </c>
      <c r="AM2" s="9" t="s">
        <v>820</v>
      </c>
      <c r="AN2" s="9" t="s">
        <v>821</v>
      </c>
      <c r="AO2" s="9" t="s">
        <v>822</v>
      </c>
      <c r="AP2" s="9" t="s">
        <v>823</v>
      </c>
      <c r="AQ2" s="9" t="s">
        <v>824</v>
      </c>
      <c r="AR2" s="9" t="s">
        <v>825</v>
      </c>
      <c r="AS2" s="9" t="s">
        <v>826</v>
      </c>
      <c r="AT2" s="9" t="s">
        <v>827</v>
      </c>
      <c r="AU2" s="9" t="s">
        <v>823</v>
      </c>
      <c r="AV2" s="9" t="s">
        <v>827</v>
      </c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11" t="s">
        <v>828</v>
      </c>
    </row>
    <row r="3" hidden="1" customHeight="1" spans="1:66">
      <c r="A3" s="12" t="s">
        <v>626</v>
      </c>
      <c r="B3" s="13" t="s">
        <v>627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5"/>
      <c r="AI3" s="15"/>
      <c r="AJ3" s="15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>
        <f>C3+D3+E3+F3+G3+H3+I3+J3+K3+L3+M3+N3+O3+P3</f>
        <v>0</v>
      </c>
    </row>
    <row r="4" hidden="1" customHeight="1" spans="1:66">
      <c r="A4" s="16" t="s">
        <v>106</v>
      </c>
      <c r="B4" s="17" t="s">
        <v>107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9"/>
      <c r="AI4" s="19"/>
      <c r="AJ4" s="19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43">
        <f t="shared" ref="BN4:BN71" si="0">C4+D4+E4+F4+G4+H4+I4+J4+K4+L4+M4+N4+O4+P4</f>
        <v>0</v>
      </c>
    </row>
    <row r="5" hidden="1" customHeight="1" spans="1:66">
      <c r="A5" s="16" t="s">
        <v>629</v>
      </c>
      <c r="B5" s="17" t="s">
        <v>630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9"/>
      <c r="AI5" s="19"/>
      <c r="AJ5" s="19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20"/>
      <c r="BK5" s="18"/>
      <c r="BL5" s="18"/>
      <c r="BM5" s="18"/>
      <c r="BN5" s="43">
        <f t="shared" si="0"/>
        <v>0</v>
      </c>
    </row>
    <row r="6" customHeight="1" spans="1:66">
      <c r="A6" s="16" t="s">
        <v>33</v>
      </c>
      <c r="B6" s="17" t="s">
        <v>632</v>
      </c>
      <c r="C6" s="18">
        <v>1000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9"/>
      <c r="AI6" s="19"/>
      <c r="AJ6" s="19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20"/>
      <c r="BK6" s="18"/>
      <c r="BL6" s="18"/>
      <c r="BM6" s="18"/>
      <c r="BN6" s="43">
        <f t="shared" si="0"/>
        <v>1000</v>
      </c>
    </row>
    <row r="7" customHeight="1" spans="1:66">
      <c r="A7" s="16" t="s">
        <v>109</v>
      </c>
      <c r="B7" s="17" t="s">
        <v>110</v>
      </c>
      <c r="C7" s="18">
        <v>500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9"/>
      <c r="AI7" s="19"/>
      <c r="AJ7" s="19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43">
        <f t="shared" si="0"/>
        <v>500</v>
      </c>
    </row>
    <row r="8" customHeight="1" spans="1:66">
      <c r="A8" s="16" t="s">
        <v>103</v>
      </c>
      <c r="B8" s="17" t="s">
        <v>647</v>
      </c>
      <c r="C8" s="18">
        <v>1475</v>
      </c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9"/>
      <c r="AI8" s="19"/>
      <c r="AJ8" s="19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43">
        <f t="shared" si="0"/>
        <v>1475</v>
      </c>
    </row>
    <row r="9" hidden="1" customHeight="1" spans="1:66">
      <c r="A9" s="16" t="s">
        <v>651</v>
      </c>
      <c r="B9" s="21" t="s">
        <v>652</v>
      </c>
      <c r="C9" s="22"/>
      <c r="D9" s="22"/>
      <c r="E9" s="22"/>
      <c r="F9" s="22"/>
      <c r="G9" s="22"/>
      <c r="H9" s="22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9"/>
      <c r="AI9" s="19"/>
      <c r="AJ9" s="19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4">
        <f t="shared" si="0"/>
        <v>0</v>
      </c>
    </row>
    <row r="10" hidden="1" customHeight="1" spans="1:66">
      <c r="A10" s="16" t="s">
        <v>187</v>
      </c>
      <c r="B10" s="17" t="s">
        <v>654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9"/>
      <c r="AI10" s="19"/>
      <c r="AJ10" s="19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4">
        <f t="shared" si="0"/>
        <v>0</v>
      </c>
    </row>
    <row r="11" hidden="1" customHeight="1" spans="1:66">
      <c r="A11" s="16" t="s">
        <v>51</v>
      </c>
      <c r="B11" s="17" t="s">
        <v>656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9"/>
      <c r="AI11" s="19"/>
      <c r="AJ11" s="19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43">
        <f t="shared" si="0"/>
        <v>0</v>
      </c>
    </row>
    <row r="12" hidden="1" customHeight="1" spans="1:66">
      <c r="A12" s="16" t="s">
        <v>22</v>
      </c>
      <c r="B12" s="17" t="s">
        <v>652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9"/>
      <c r="AI12" s="19"/>
      <c r="AJ12" s="19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43">
        <f t="shared" si="0"/>
        <v>0</v>
      </c>
    </row>
    <row r="13" hidden="1" customHeight="1" spans="1:66">
      <c r="A13" s="16" t="s">
        <v>660</v>
      </c>
      <c r="B13" s="17" t="s">
        <v>655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9"/>
      <c r="AI13" s="19"/>
      <c r="AJ13" s="19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43">
        <f t="shared" si="0"/>
        <v>0</v>
      </c>
    </row>
    <row r="14" hidden="1" customHeight="1" spans="1:66">
      <c r="A14" s="16" t="s">
        <v>661</v>
      </c>
      <c r="B14" s="17" t="s">
        <v>653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9"/>
      <c r="AI14" s="19"/>
      <c r="AJ14" s="19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43">
        <f t="shared" si="0"/>
        <v>0</v>
      </c>
    </row>
    <row r="15" hidden="1" customHeight="1" spans="1:66">
      <c r="A15" s="16" t="s">
        <v>683</v>
      </c>
      <c r="B15" s="17" t="s">
        <v>684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9"/>
      <c r="AI15" s="19"/>
      <c r="AJ15" s="19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43">
        <f t="shared" si="0"/>
        <v>0</v>
      </c>
    </row>
    <row r="16" hidden="1" customHeight="1" spans="1:66">
      <c r="A16" s="16" t="s">
        <v>778</v>
      </c>
      <c r="B16" s="17" t="s">
        <v>779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9"/>
      <c r="AI16" s="19"/>
      <c r="AJ16" s="19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43">
        <f t="shared" si="0"/>
        <v>0</v>
      </c>
    </row>
    <row r="17" hidden="1" customHeight="1" spans="1:66">
      <c r="A17" s="16" t="s">
        <v>699</v>
      </c>
      <c r="B17" s="21" t="s">
        <v>700</v>
      </c>
      <c r="C17" s="22"/>
      <c r="D17" s="22"/>
      <c r="E17" s="22"/>
      <c r="F17" s="22"/>
      <c r="G17" s="22"/>
      <c r="H17" s="22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9"/>
      <c r="AI17" s="19"/>
      <c r="AJ17" s="19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43">
        <f t="shared" si="0"/>
        <v>0</v>
      </c>
    </row>
    <row r="18" hidden="1" customHeight="1" spans="1:66">
      <c r="A18" s="16" t="s">
        <v>701</v>
      </c>
      <c r="B18" s="17" t="s">
        <v>702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9"/>
      <c r="AI18" s="19"/>
      <c r="AJ18" s="19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43">
        <f t="shared" si="0"/>
        <v>0</v>
      </c>
    </row>
    <row r="19" customHeight="1" spans="1:66">
      <c r="A19" s="16" t="s">
        <v>701</v>
      </c>
      <c r="B19" s="21" t="s">
        <v>780</v>
      </c>
      <c r="C19" s="22"/>
      <c r="D19" s="22">
        <v>200</v>
      </c>
      <c r="E19" s="22"/>
      <c r="F19" s="22"/>
      <c r="G19" s="22"/>
      <c r="H19" s="22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9"/>
      <c r="AI19" s="19"/>
      <c r="AJ19" s="19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43">
        <f t="shared" si="0"/>
        <v>200</v>
      </c>
    </row>
    <row r="20" hidden="1" customHeight="1" spans="1:66">
      <c r="A20" s="16" t="s">
        <v>831</v>
      </c>
      <c r="B20" s="17" t="s">
        <v>730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9"/>
      <c r="AI20" s="19"/>
      <c r="AJ20" s="19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43">
        <f t="shared" si="0"/>
        <v>0</v>
      </c>
    </row>
    <row r="21" hidden="1" customHeight="1" spans="1:66">
      <c r="A21" s="16"/>
      <c r="B21" s="21"/>
      <c r="C21" s="22"/>
      <c r="D21" s="22"/>
      <c r="E21" s="22"/>
      <c r="F21" s="22"/>
      <c r="G21" s="22"/>
      <c r="H21" s="22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9"/>
      <c r="AI21" s="19"/>
      <c r="AJ21" s="19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4">
        <f t="shared" si="0"/>
        <v>0</v>
      </c>
    </row>
    <row r="22" hidden="1" customHeight="1" spans="1:66">
      <c r="A22" s="16"/>
      <c r="B22" s="21"/>
      <c r="C22" s="22"/>
      <c r="D22" s="22"/>
      <c r="E22" s="22"/>
      <c r="F22" s="22"/>
      <c r="G22" s="22"/>
      <c r="H22" s="22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9"/>
      <c r="AI22" s="19"/>
      <c r="AJ22" s="19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4">
        <f t="shared" si="0"/>
        <v>0</v>
      </c>
    </row>
    <row r="23" hidden="1" customHeight="1" spans="1:66">
      <c r="A23" s="16"/>
      <c r="B23" s="17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9"/>
      <c r="AI23" s="19"/>
      <c r="AJ23" s="19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4">
        <f t="shared" si="0"/>
        <v>0</v>
      </c>
    </row>
    <row r="24" hidden="1" customHeight="1" spans="1:66">
      <c r="A24" s="16"/>
      <c r="B24" s="17"/>
      <c r="C24" s="19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9"/>
      <c r="AI24" s="19"/>
      <c r="AJ24" s="19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23"/>
      <c r="BF24" s="23"/>
      <c r="BG24" s="18"/>
      <c r="BH24" s="18"/>
      <c r="BI24" s="18"/>
      <c r="BJ24" s="18"/>
      <c r="BK24" s="19"/>
      <c r="BL24" s="18"/>
      <c r="BM24" s="18"/>
      <c r="BN24" s="14">
        <f t="shared" si="0"/>
        <v>0</v>
      </c>
    </row>
    <row r="25" hidden="1" customHeight="1" spans="1:66">
      <c r="A25" s="16"/>
      <c r="B25" s="17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24"/>
      <c r="AF25" s="24"/>
      <c r="AG25" s="24"/>
      <c r="AH25" s="19"/>
      <c r="AI25" s="19"/>
      <c r="AJ25" s="19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9"/>
      <c r="BL25" s="18"/>
      <c r="BM25" s="18"/>
      <c r="BN25" s="14">
        <f t="shared" si="0"/>
        <v>0</v>
      </c>
    </row>
    <row r="26" hidden="1" customHeight="1" spans="1:66">
      <c r="A26" s="16"/>
      <c r="B26" s="17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9"/>
      <c r="AI26" s="19"/>
      <c r="AJ26" s="19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4">
        <f t="shared" si="0"/>
        <v>0</v>
      </c>
    </row>
    <row r="27" hidden="1" customHeight="1" spans="1:66">
      <c r="A27" s="16"/>
      <c r="B27" s="17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9"/>
      <c r="AI27" s="19"/>
      <c r="AJ27" s="19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4">
        <f t="shared" si="0"/>
        <v>0</v>
      </c>
    </row>
    <row r="28" hidden="1" customHeight="1" spans="1:66">
      <c r="A28" s="16"/>
      <c r="B28" s="17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9"/>
      <c r="AI28" s="19"/>
      <c r="AJ28" s="19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4">
        <f t="shared" si="0"/>
        <v>0</v>
      </c>
    </row>
    <row r="29" hidden="1" customHeight="1" spans="1:66">
      <c r="A29" s="16"/>
      <c r="B29" s="17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9"/>
      <c r="AI29" s="19"/>
      <c r="AJ29" s="19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4">
        <f t="shared" si="0"/>
        <v>0</v>
      </c>
    </row>
    <row r="30" hidden="1" customHeight="1" spans="1:66">
      <c r="A30" s="16"/>
      <c r="B30" s="17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9"/>
      <c r="AI30" s="19"/>
      <c r="AJ30" s="19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4">
        <f t="shared" si="0"/>
        <v>0</v>
      </c>
    </row>
    <row r="31" hidden="1" customHeight="1" spans="1:66">
      <c r="A31" s="16"/>
      <c r="B31" s="17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9"/>
      <c r="AI31" s="19"/>
      <c r="AJ31" s="19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4">
        <f t="shared" si="0"/>
        <v>0</v>
      </c>
    </row>
    <row r="32" hidden="1" customHeight="1" spans="1:66">
      <c r="A32" s="16"/>
      <c r="B32" s="17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9"/>
      <c r="AI32" s="19"/>
      <c r="AJ32" s="19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4">
        <f t="shared" si="0"/>
        <v>0</v>
      </c>
    </row>
    <row r="33" hidden="1" customHeight="1" spans="1:67">
      <c r="A33" s="16"/>
      <c r="B33" s="17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9"/>
      <c r="AI33" s="19"/>
      <c r="AJ33" s="19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4">
        <f t="shared" si="0"/>
        <v>0</v>
      </c>
    </row>
    <row r="34" hidden="1" customHeight="1" spans="1:67">
      <c r="A34" s="16"/>
      <c r="B34" s="17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20"/>
      <c r="AD34" s="20"/>
      <c r="AE34" s="18"/>
      <c r="AF34" s="18"/>
      <c r="AG34" s="18"/>
      <c r="AH34" s="19"/>
      <c r="AI34" s="19"/>
      <c r="AJ34" s="19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20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4">
        <f t="shared" si="0"/>
        <v>0</v>
      </c>
    </row>
    <row r="35" ht="28" hidden="1" customHeight="1" spans="1:67">
      <c r="A35" s="16"/>
      <c r="B35" s="21"/>
      <c r="C35" s="22"/>
      <c r="D35" s="22"/>
      <c r="E35" s="22"/>
      <c r="F35" s="22"/>
      <c r="G35" s="22"/>
      <c r="H35" s="22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9"/>
      <c r="AI35" s="19"/>
      <c r="AJ35" s="19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4">
        <f t="shared" si="0"/>
        <v>0</v>
      </c>
    </row>
    <row r="36" ht="28" hidden="1" customHeight="1" spans="1:67">
      <c r="A36" s="16"/>
      <c r="B36" s="21"/>
      <c r="C36" s="22"/>
      <c r="D36" s="22"/>
      <c r="E36" s="22"/>
      <c r="F36" s="22"/>
      <c r="G36" s="22"/>
      <c r="H36" s="22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9"/>
      <c r="AI36" s="19"/>
      <c r="AJ36" s="19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4">
        <f t="shared" si="0"/>
        <v>0</v>
      </c>
    </row>
    <row r="37" ht="28" hidden="1" customHeight="1" spans="1:67">
      <c r="A37" s="16"/>
      <c r="B37" s="21"/>
      <c r="C37" s="22"/>
      <c r="D37" s="22"/>
      <c r="E37" s="22"/>
      <c r="F37" s="22"/>
      <c r="G37" s="22"/>
      <c r="H37" s="22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9"/>
      <c r="AI37" s="19"/>
      <c r="AJ37" s="19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4">
        <f t="shared" si="0"/>
        <v>0</v>
      </c>
    </row>
    <row r="38" ht="29" hidden="1" customHeight="1" spans="1:67">
      <c r="A38" s="16"/>
      <c r="B38" s="21"/>
      <c r="C38" s="22"/>
      <c r="D38" s="22"/>
      <c r="E38" s="22"/>
      <c r="F38" s="22"/>
      <c r="G38" s="22"/>
      <c r="H38" s="22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9"/>
      <c r="AI38" s="19"/>
      <c r="AJ38" s="19"/>
      <c r="AK38" s="18"/>
      <c r="AL38" s="18"/>
      <c r="AM38" s="18"/>
      <c r="AN38" s="18"/>
      <c r="AO38" s="18"/>
      <c r="AP38" s="18"/>
      <c r="AQ38" s="20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20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4">
        <f t="shared" si="0"/>
        <v>0</v>
      </c>
    </row>
    <row r="39" hidden="1" customHeight="1" spans="1:67">
      <c r="A39" s="16"/>
      <c r="B39" s="21"/>
      <c r="C39" s="22"/>
      <c r="D39" s="22"/>
      <c r="E39" s="22"/>
      <c r="F39" s="22"/>
      <c r="G39" s="22"/>
      <c r="H39" s="22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20"/>
      <c r="AD39" s="20"/>
      <c r="AE39" s="18"/>
      <c r="AF39" s="18"/>
      <c r="AG39" s="18"/>
      <c r="AH39" s="19"/>
      <c r="AI39" s="19"/>
      <c r="AJ39" s="19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4">
        <f t="shared" si="0"/>
        <v>0</v>
      </c>
    </row>
    <row r="40" hidden="1" customHeight="1" spans="1:67">
      <c r="A40" s="16"/>
      <c r="B40" s="21"/>
      <c r="C40" s="22"/>
      <c r="D40" s="22"/>
      <c r="E40" s="22"/>
      <c r="F40" s="22"/>
      <c r="G40" s="22"/>
      <c r="H40" s="22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20"/>
      <c r="AD40" s="20"/>
      <c r="AE40" s="18"/>
      <c r="AF40" s="18"/>
      <c r="AG40" s="18"/>
      <c r="AH40" s="19"/>
      <c r="AI40" s="19"/>
      <c r="AJ40" s="19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4">
        <f t="shared" si="0"/>
        <v>0</v>
      </c>
    </row>
    <row r="41" hidden="1" customHeight="1" spans="1:67">
      <c r="A41" s="16"/>
      <c r="B41" s="21"/>
      <c r="C41" s="22"/>
      <c r="D41" s="22"/>
      <c r="E41" s="22"/>
      <c r="F41" s="22"/>
      <c r="G41" s="22"/>
      <c r="H41" s="22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20"/>
      <c r="AD41" s="20"/>
      <c r="AE41" s="18"/>
      <c r="AF41" s="18"/>
      <c r="AG41" s="18"/>
      <c r="AH41" s="19"/>
      <c r="AI41" s="19"/>
      <c r="AJ41" s="19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4">
        <f t="shared" si="0"/>
        <v>0</v>
      </c>
    </row>
    <row r="42" hidden="1" customHeight="1" spans="1:67">
      <c r="A42" s="16"/>
      <c r="B42" s="21"/>
      <c r="C42" s="22"/>
      <c r="D42" s="22"/>
      <c r="E42" s="22"/>
      <c r="F42" s="22"/>
      <c r="G42" s="22"/>
      <c r="H42" s="22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20"/>
      <c r="AD42" s="20"/>
      <c r="AE42" s="18"/>
      <c r="AF42" s="18"/>
      <c r="AG42" s="18"/>
      <c r="AH42" s="19"/>
      <c r="AI42" s="19"/>
      <c r="AJ42" s="19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4">
        <f t="shared" si="0"/>
        <v>0</v>
      </c>
    </row>
    <row r="43" hidden="1" customHeight="1" spans="1:67">
      <c r="A43" s="16"/>
      <c r="B43" s="21"/>
      <c r="C43" s="22"/>
      <c r="D43" s="22"/>
      <c r="E43" s="22"/>
      <c r="F43" s="22"/>
      <c r="G43" s="22"/>
      <c r="H43" s="22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20"/>
      <c r="AD43" s="20"/>
      <c r="AE43" s="18"/>
      <c r="AF43" s="18"/>
      <c r="AG43" s="18"/>
      <c r="AH43" s="19"/>
      <c r="AI43" s="19"/>
      <c r="AJ43" s="19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4">
        <f t="shared" si="0"/>
        <v>0</v>
      </c>
    </row>
    <row r="44" hidden="1" customHeight="1" spans="1:67">
      <c r="A44" s="16"/>
      <c r="B44" s="21"/>
      <c r="C44" s="22"/>
      <c r="D44" s="22"/>
      <c r="E44" s="22"/>
      <c r="F44" s="22"/>
      <c r="G44" s="22"/>
      <c r="H44" s="22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20"/>
      <c r="AD44" s="20"/>
      <c r="AE44" s="18"/>
      <c r="AF44" s="18"/>
      <c r="AG44" s="18"/>
      <c r="AH44" s="19"/>
      <c r="AI44" s="19"/>
      <c r="AJ44" s="19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4">
        <f t="shared" si="0"/>
        <v>0</v>
      </c>
    </row>
    <row r="45" hidden="1" customHeight="1" spans="1:67">
      <c r="A45" s="16"/>
      <c r="B45" s="21"/>
      <c r="C45" s="22"/>
      <c r="D45" s="22"/>
      <c r="E45" s="22"/>
      <c r="F45" s="22"/>
      <c r="G45" s="22"/>
      <c r="H45" s="22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20"/>
      <c r="AD45" s="20"/>
      <c r="AE45" s="18"/>
      <c r="AF45" s="18"/>
      <c r="AG45" s="18"/>
      <c r="AH45" s="19"/>
      <c r="AI45" s="19"/>
      <c r="AJ45" s="19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4">
        <f t="shared" si="0"/>
        <v>0</v>
      </c>
    </row>
    <row r="46" hidden="1" customHeight="1" spans="1:67">
      <c r="A46" s="16"/>
      <c r="B46" s="21"/>
      <c r="C46" s="22"/>
      <c r="D46" s="22"/>
      <c r="E46" s="22"/>
      <c r="F46" s="22"/>
      <c r="G46" s="22"/>
      <c r="H46" s="22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20"/>
      <c r="AD46" s="20"/>
      <c r="AE46" s="18"/>
      <c r="AF46" s="18"/>
      <c r="AG46" s="18"/>
      <c r="AH46" s="19"/>
      <c r="AI46" s="19"/>
      <c r="AJ46" s="19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4">
        <f t="shared" si="0"/>
        <v>0</v>
      </c>
      <c r="BO46" s="25"/>
    </row>
    <row r="47" hidden="1" customHeight="1" spans="1:67">
      <c r="A47" s="16"/>
      <c r="B47" s="21"/>
      <c r="C47" s="22"/>
      <c r="D47" s="22"/>
      <c r="E47" s="22"/>
      <c r="F47" s="22"/>
      <c r="G47" s="22"/>
      <c r="H47" s="22"/>
      <c r="I47" s="18"/>
      <c r="J47" s="26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20"/>
      <c r="AD47" s="20"/>
      <c r="AE47" s="18"/>
      <c r="AF47" s="18"/>
      <c r="AG47" s="18"/>
      <c r="AH47" s="19"/>
      <c r="AI47" s="19"/>
      <c r="AJ47" s="19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4">
        <f t="shared" si="0"/>
        <v>0</v>
      </c>
    </row>
    <row r="48" hidden="1" customHeight="1" spans="1:67">
      <c r="A48" s="16"/>
      <c r="B48" s="21"/>
      <c r="C48" s="22"/>
      <c r="D48" s="22"/>
      <c r="E48" s="22"/>
      <c r="F48" s="22"/>
      <c r="G48" s="22"/>
      <c r="H48" s="22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20"/>
      <c r="AD48" s="20"/>
      <c r="AE48" s="18"/>
      <c r="AF48" s="18"/>
      <c r="AG48" s="18"/>
      <c r="AH48" s="19"/>
      <c r="AI48" s="19"/>
      <c r="AJ48" s="19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4">
        <f t="shared" si="0"/>
        <v>0</v>
      </c>
    </row>
    <row r="49" hidden="1" customHeight="1" spans="1:66">
      <c r="A49" s="16"/>
      <c r="B49" s="21"/>
      <c r="C49" s="22"/>
      <c r="D49" s="22"/>
      <c r="E49" s="22"/>
      <c r="F49" s="22"/>
      <c r="G49" s="22"/>
      <c r="H49" s="22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20"/>
      <c r="AD49" s="20"/>
      <c r="AE49" s="18"/>
      <c r="AF49" s="18"/>
      <c r="AG49" s="18"/>
      <c r="AH49" s="19"/>
      <c r="AI49" s="19"/>
      <c r="AJ49" s="19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4">
        <f t="shared" si="0"/>
        <v>0</v>
      </c>
    </row>
    <row r="50" hidden="1" customHeight="1" spans="1:66">
      <c r="A50" s="16"/>
      <c r="B50" s="21"/>
      <c r="C50" s="22"/>
      <c r="D50" s="22"/>
      <c r="E50" s="22"/>
      <c r="F50" s="22"/>
      <c r="G50" s="22"/>
      <c r="H50" s="22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20"/>
      <c r="AD50" s="20"/>
      <c r="AE50" s="18"/>
      <c r="AF50" s="18"/>
      <c r="AG50" s="18"/>
      <c r="AH50" s="19"/>
      <c r="AI50" s="19"/>
      <c r="AJ50" s="19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4">
        <f t="shared" si="0"/>
        <v>0</v>
      </c>
    </row>
    <row r="51" hidden="1" customHeight="1" spans="1:66">
      <c r="A51" s="16"/>
      <c r="B51" s="21"/>
      <c r="C51" s="22"/>
      <c r="D51" s="22"/>
      <c r="E51" s="22"/>
      <c r="F51" s="22"/>
      <c r="G51" s="22"/>
      <c r="H51" s="22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20"/>
      <c r="AD51" s="20"/>
      <c r="AE51" s="18"/>
      <c r="AF51" s="18"/>
      <c r="AG51" s="18"/>
      <c r="AH51" s="19"/>
      <c r="AI51" s="19"/>
      <c r="AJ51" s="19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4">
        <f t="shared" si="0"/>
        <v>0</v>
      </c>
    </row>
    <row r="52" hidden="1" customHeight="1" spans="1:66">
      <c r="A52" s="16"/>
      <c r="B52" s="21"/>
      <c r="C52" s="22"/>
      <c r="D52" s="22"/>
      <c r="E52" s="22"/>
      <c r="F52" s="22"/>
      <c r="G52" s="22"/>
      <c r="H52" s="22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20"/>
      <c r="AD52" s="20"/>
      <c r="AE52" s="18"/>
      <c r="AF52" s="18"/>
      <c r="AG52" s="18"/>
      <c r="AH52" s="19"/>
      <c r="AI52" s="19"/>
      <c r="AJ52" s="19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4">
        <f t="shared" si="0"/>
        <v>0</v>
      </c>
    </row>
    <row r="53" hidden="1" customHeight="1" spans="1:66">
      <c r="A53" s="16"/>
      <c r="B53" s="21"/>
      <c r="C53" s="22"/>
      <c r="D53" s="22"/>
      <c r="E53" s="22"/>
      <c r="F53" s="22"/>
      <c r="G53" s="22"/>
      <c r="H53" s="22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20"/>
      <c r="AD53" s="20"/>
      <c r="AE53" s="18"/>
      <c r="AF53" s="18"/>
      <c r="AG53" s="18"/>
      <c r="AH53" s="19"/>
      <c r="AI53" s="19"/>
      <c r="AJ53" s="19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4">
        <f t="shared" si="0"/>
        <v>0</v>
      </c>
    </row>
    <row r="54" hidden="1" customHeight="1" spans="1:66">
      <c r="A54" s="16"/>
      <c r="B54" s="21"/>
      <c r="C54" s="22"/>
      <c r="D54" s="22"/>
      <c r="E54" s="22"/>
      <c r="F54" s="22"/>
      <c r="G54" s="22"/>
      <c r="H54" s="22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20"/>
      <c r="AD54" s="20"/>
      <c r="AE54" s="18"/>
      <c r="AF54" s="18"/>
      <c r="AG54" s="18"/>
      <c r="AH54" s="19"/>
      <c r="AI54" s="19"/>
      <c r="AJ54" s="19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4">
        <f t="shared" si="0"/>
        <v>0</v>
      </c>
    </row>
    <row r="55" hidden="1" customHeight="1" spans="1:66">
      <c r="A55" s="16"/>
      <c r="B55" s="21"/>
      <c r="C55" s="22"/>
      <c r="D55" s="22"/>
      <c r="E55" s="22"/>
      <c r="F55" s="22"/>
      <c r="G55" s="22"/>
      <c r="H55" s="22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20"/>
      <c r="AD55" s="20"/>
      <c r="AE55" s="18"/>
      <c r="AF55" s="18"/>
      <c r="AG55" s="18"/>
      <c r="AH55" s="19"/>
      <c r="AI55" s="19"/>
      <c r="AJ55" s="19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4">
        <f t="shared" si="0"/>
        <v>0</v>
      </c>
    </row>
    <row r="56" hidden="1" customHeight="1" spans="1:66">
      <c r="A56" s="16"/>
      <c r="B56" s="21"/>
      <c r="C56" s="22"/>
      <c r="D56" s="22"/>
      <c r="E56" s="22"/>
      <c r="F56" s="22"/>
      <c r="G56" s="22"/>
      <c r="H56" s="22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20"/>
      <c r="AD56" s="20"/>
      <c r="AE56" s="18"/>
      <c r="AF56" s="18"/>
      <c r="AG56" s="18"/>
      <c r="AH56" s="19"/>
      <c r="AI56" s="19"/>
      <c r="AJ56" s="19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4">
        <f t="shared" si="0"/>
        <v>0</v>
      </c>
    </row>
    <row r="57" hidden="1" customHeight="1" spans="1:66">
      <c r="A57" s="16"/>
      <c r="B57" s="21"/>
      <c r="C57" s="22"/>
      <c r="D57" s="22"/>
      <c r="E57" s="22"/>
      <c r="F57" s="22"/>
      <c r="G57" s="22"/>
      <c r="H57" s="22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20"/>
      <c r="AD57" s="20"/>
      <c r="AE57" s="18"/>
      <c r="AF57" s="18"/>
      <c r="AG57" s="18"/>
      <c r="AH57" s="19"/>
      <c r="AI57" s="19"/>
      <c r="AJ57" s="19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4">
        <f t="shared" si="0"/>
        <v>0</v>
      </c>
    </row>
    <row r="58" hidden="1" customHeight="1" spans="1:66">
      <c r="A58" s="16"/>
      <c r="B58" s="21"/>
      <c r="C58" s="22"/>
      <c r="D58" s="22"/>
      <c r="E58" s="22"/>
      <c r="F58" s="22"/>
      <c r="G58" s="22"/>
      <c r="H58" s="22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9"/>
      <c r="AI58" s="19"/>
      <c r="AJ58" s="19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4">
        <f t="shared" si="0"/>
        <v>0</v>
      </c>
    </row>
    <row r="59" hidden="1" customHeight="1" spans="1:66">
      <c r="A59" s="16"/>
      <c r="B59" s="17"/>
      <c r="C59" s="18"/>
      <c r="D59" s="18"/>
      <c r="E59" s="18"/>
      <c r="F59" s="18"/>
      <c r="G59" s="18"/>
      <c r="H59" s="18"/>
      <c r="I59" s="20"/>
      <c r="J59" s="20"/>
      <c r="K59" s="20"/>
      <c r="L59" s="18"/>
      <c r="M59" s="18"/>
      <c r="N59" s="18"/>
      <c r="O59" s="18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18"/>
      <c r="AC59" s="18"/>
      <c r="AD59" s="18"/>
      <c r="AE59" s="18"/>
      <c r="AF59" s="18"/>
      <c r="AG59" s="18"/>
      <c r="AH59" s="19"/>
      <c r="AI59" s="19"/>
      <c r="AJ59" s="19"/>
      <c r="AK59" s="18"/>
      <c r="AL59" s="18"/>
      <c r="AM59" s="18"/>
      <c r="AN59" s="18"/>
      <c r="AO59" s="18"/>
      <c r="AP59" s="20"/>
      <c r="AQ59" s="18"/>
      <c r="AR59" s="20"/>
      <c r="AS59" s="18"/>
      <c r="AT59" s="18"/>
      <c r="AU59" s="18"/>
      <c r="AV59" s="18"/>
      <c r="AW59" s="18"/>
      <c r="AX59" s="18"/>
      <c r="AY59" s="18"/>
      <c r="AZ59" s="20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4">
        <f t="shared" si="0"/>
        <v>0</v>
      </c>
    </row>
    <row r="60" hidden="1" customHeight="1" spans="1:66">
      <c r="A60" s="16"/>
      <c r="B60" s="17"/>
      <c r="C60" s="18"/>
      <c r="D60" s="18"/>
      <c r="E60" s="18"/>
      <c r="F60" s="18"/>
      <c r="G60" s="18"/>
      <c r="H60" s="18"/>
      <c r="I60" s="20"/>
      <c r="J60" s="20"/>
      <c r="K60" s="20"/>
      <c r="L60" s="18"/>
      <c r="M60" s="18"/>
      <c r="N60" s="18"/>
      <c r="O60" s="18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18"/>
      <c r="AC60" s="18"/>
      <c r="AD60" s="18"/>
      <c r="AE60" s="18"/>
      <c r="AF60" s="18"/>
      <c r="AG60" s="18"/>
      <c r="AH60" s="19"/>
      <c r="AI60" s="19"/>
      <c r="AJ60" s="19"/>
      <c r="AK60" s="18"/>
      <c r="AL60" s="18"/>
      <c r="AM60" s="18"/>
      <c r="AN60" s="18"/>
      <c r="AO60" s="18"/>
      <c r="AP60" s="20"/>
      <c r="AQ60" s="18"/>
      <c r="AR60" s="20"/>
      <c r="AS60" s="18"/>
      <c r="AT60" s="18"/>
      <c r="AU60" s="18"/>
      <c r="AV60" s="18"/>
      <c r="AW60" s="18"/>
      <c r="AX60" s="18"/>
      <c r="AY60" s="18"/>
      <c r="AZ60" s="20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4">
        <f t="shared" si="0"/>
        <v>0</v>
      </c>
    </row>
    <row r="61" hidden="1" customHeight="1" spans="1:66">
      <c r="A61" s="16"/>
      <c r="B61" s="17"/>
      <c r="C61" s="18"/>
      <c r="D61" s="18"/>
      <c r="E61" s="18"/>
      <c r="F61" s="18"/>
      <c r="G61" s="18"/>
      <c r="H61" s="18"/>
      <c r="I61" s="19"/>
      <c r="J61" s="20"/>
      <c r="K61" s="20"/>
      <c r="L61" s="18"/>
      <c r="M61" s="18"/>
      <c r="N61" s="18"/>
      <c r="O61" s="18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18"/>
      <c r="AC61" s="18"/>
      <c r="AD61" s="18"/>
      <c r="AE61" s="18"/>
      <c r="AF61" s="18"/>
      <c r="AG61" s="18"/>
      <c r="AH61" s="19"/>
      <c r="AI61" s="19"/>
      <c r="AJ61" s="19"/>
      <c r="AK61" s="18"/>
      <c r="AL61" s="18"/>
      <c r="AM61" s="18"/>
      <c r="AN61" s="18"/>
      <c r="AO61" s="18"/>
      <c r="AP61" s="20"/>
      <c r="AQ61" s="18"/>
      <c r="AR61" s="20"/>
      <c r="AS61" s="18"/>
      <c r="AT61" s="18"/>
      <c r="AU61" s="18"/>
      <c r="AV61" s="18"/>
      <c r="AW61" s="18"/>
      <c r="AX61" s="18"/>
      <c r="AY61" s="18"/>
      <c r="AZ61" s="20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4">
        <f t="shared" si="0"/>
        <v>0</v>
      </c>
    </row>
    <row r="62" s="3" customFormat="1" hidden="1" customHeight="1" spans="1:66">
      <c r="A62" s="42"/>
      <c r="B62" s="18"/>
      <c r="C62" s="18"/>
      <c r="D62" s="18"/>
      <c r="E62" s="18"/>
      <c r="F62" s="18"/>
      <c r="G62" s="18"/>
      <c r="H62" s="18"/>
      <c r="I62" s="19"/>
      <c r="J62" s="20"/>
      <c r="K62" s="19"/>
      <c r="L62" s="18"/>
      <c r="M62" s="18"/>
      <c r="N62" s="18"/>
      <c r="O62" s="18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18"/>
      <c r="AC62" s="18"/>
      <c r="AD62" s="18"/>
      <c r="AE62" s="18"/>
      <c r="AF62" s="18"/>
      <c r="AG62" s="18"/>
      <c r="AH62" s="19"/>
      <c r="AI62" s="19"/>
      <c r="AJ62" s="19"/>
      <c r="AK62" s="18"/>
      <c r="AL62" s="18"/>
      <c r="AM62" s="18"/>
      <c r="AN62" s="18"/>
      <c r="AO62" s="18"/>
      <c r="AP62" s="20"/>
      <c r="AQ62" s="18"/>
      <c r="AR62" s="20"/>
      <c r="AS62" s="18"/>
      <c r="AT62" s="18"/>
      <c r="AU62" s="18"/>
      <c r="AV62" s="18"/>
      <c r="AW62" s="18"/>
      <c r="AX62" s="18"/>
      <c r="AY62" s="18"/>
      <c r="AZ62" s="20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4">
        <f t="shared" si="0"/>
        <v>0</v>
      </c>
    </row>
    <row r="63" s="3" customFormat="1" hidden="1" customHeight="1" spans="1:66">
      <c r="A63" s="42"/>
      <c r="B63" s="18"/>
      <c r="C63" s="18"/>
      <c r="D63" s="18"/>
      <c r="E63" s="18"/>
      <c r="F63" s="18"/>
      <c r="G63" s="18"/>
      <c r="H63" s="18"/>
      <c r="I63" s="19"/>
      <c r="J63" s="20"/>
      <c r="K63" s="19"/>
      <c r="L63" s="18"/>
      <c r="M63" s="18"/>
      <c r="N63" s="18"/>
      <c r="O63" s="18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18"/>
      <c r="AC63" s="18"/>
      <c r="AD63" s="18"/>
      <c r="AE63" s="18"/>
      <c r="AF63" s="18"/>
      <c r="AG63" s="18"/>
      <c r="AH63" s="19"/>
      <c r="AI63" s="19"/>
      <c r="AJ63" s="19"/>
      <c r="AK63" s="18"/>
      <c r="AL63" s="18"/>
      <c r="AM63" s="18"/>
      <c r="AN63" s="18"/>
      <c r="AO63" s="18"/>
      <c r="AP63" s="20"/>
      <c r="AQ63" s="18"/>
      <c r="AR63" s="20"/>
      <c r="AS63" s="18"/>
      <c r="AT63" s="18"/>
      <c r="AU63" s="18"/>
      <c r="AV63" s="18"/>
      <c r="AW63" s="18"/>
      <c r="AX63" s="18"/>
      <c r="AY63" s="18"/>
      <c r="AZ63" s="20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4">
        <f t="shared" si="0"/>
        <v>0</v>
      </c>
    </row>
    <row r="64" hidden="1" customHeight="1" spans="1:66">
      <c r="A64" s="16"/>
      <c r="B64" s="17"/>
      <c r="C64" s="18"/>
      <c r="D64" s="18"/>
      <c r="E64" s="18"/>
      <c r="F64" s="18"/>
      <c r="G64" s="18"/>
      <c r="H64" s="18"/>
      <c r="I64" s="19"/>
      <c r="J64" s="19"/>
      <c r="K64" s="19"/>
      <c r="L64" s="18"/>
      <c r="M64" s="18"/>
      <c r="N64" s="18"/>
      <c r="O64" s="18"/>
      <c r="P64" s="19"/>
      <c r="Q64" s="20"/>
      <c r="R64" s="20"/>
      <c r="S64" s="20"/>
      <c r="T64" s="20"/>
      <c r="U64" s="20"/>
      <c r="V64" s="20"/>
      <c r="W64" s="19"/>
      <c r="X64" s="20"/>
      <c r="Y64" s="20"/>
      <c r="Z64" s="20"/>
      <c r="AA64" s="20"/>
      <c r="AB64" s="18"/>
      <c r="AC64" s="18"/>
      <c r="AD64" s="18"/>
      <c r="AE64" s="18"/>
      <c r="AF64" s="18"/>
      <c r="AG64" s="18"/>
      <c r="AH64" s="19"/>
      <c r="AI64" s="19"/>
      <c r="AJ64" s="19"/>
      <c r="AK64" s="18"/>
      <c r="AL64" s="18"/>
      <c r="AM64" s="18"/>
      <c r="AN64" s="18"/>
      <c r="AO64" s="18"/>
      <c r="AP64" s="27"/>
      <c r="AQ64" s="18"/>
      <c r="AR64" s="19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4">
        <f t="shared" si="0"/>
        <v>0</v>
      </c>
    </row>
    <row r="65" hidden="1" customHeight="1" spans="1:66">
      <c r="A65" s="16"/>
      <c r="B65" s="17"/>
      <c r="C65" s="18"/>
      <c r="D65" s="18"/>
      <c r="E65" s="18"/>
      <c r="F65" s="18"/>
      <c r="G65" s="18"/>
      <c r="H65" s="18"/>
      <c r="I65" s="19"/>
      <c r="J65" s="19"/>
      <c r="K65" s="19"/>
      <c r="L65" s="18"/>
      <c r="M65" s="18"/>
      <c r="N65" s="18"/>
      <c r="O65" s="18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18"/>
      <c r="AC65" s="18"/>
      <c r="AD65" s="18"/>
      <c r="AE65" s="18"/>
      <c r="AF65" s="18"/>
      <c r="AG65" s="18"/>
      <c r="AH65" s="19"/>
      <c r="AI65" s="19"/>
      <c r="AJ65" s="19"/>
      <c r="AK65" s="18"/>
      <c r="AL65" s="18"/>
      <c r="AM65" s="18"/>
      <c r="AN65" s="18"/>
      <c r="AO65" s="18"/>
      <c r="AP65" s="20"/>
      <c r="AQ65" s="18"/>
      <c r="AR65" s="20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4">
        <f t="shared" si="0"/>
        <v>0</v>
      </c>
    </row>
    <row r="66" hidden="1" customHeight="1" spans="1:66">
      <c r="A66" s="16"/>
      <c r="B66" s="17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9"/>
      <c r="AI66" s="19"/>
      <c r="AJ66" s="19"/>
      <c r="AK66" s="18"/>
      <c r="AL66" s="18"/>
      <c r="AM66" s="18"/>
      <c r="AN66" s="18"/>
      <c r="AO66" s="18"/>
      <c r="AP66" s="18"/>
      <c r="AQ66" s="18"/>
      <c r="AR66" s="20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4">
        <f t="shared" si="0"/>
        <v>0</v>
      </c>
    </row>
    <row r="67" hidden="1" customHeight="1" spans="1:66">
      <c r="A67" s="16"/>
      <c r="B67" s="21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9"/>
      <c r="AI67" s="19"/>
      <c r="AJ67" s="19"/>
      <c r="AK67" s="18"/>
      <c r="AL67" s="18"/>
      <c r="AM67" s="18"/>
      <c r="AN67" s="18"/>
      <c r="AO67" s="18"/>
      <c r="AP67" s="18"/>
      <c r="AQ67" s="18"/>
      <c r="AR67" s="20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4">
        <f t="shared" si="0"/>
        <v>0</v>
      </c>
    </row>
    <row r="68" hidden="1" customHeight="1" spans="1:66">
      <c r="A68" s="16"/>
      <c r="B68" s="21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9"/>
      <c r="AI68" s="19"/>
      <c r="AJ68" s="19"/>
      <c r="AK68" s="18"/>
      <c r="AL68" s="18"/>
      <c r="AM68" s="18"/>
      <c r="AN68" s="18"/>
      <c r="AO68" s="18"/>
      <c r="AP68" s="18"/>
      <c r="AQ68" s="18"/>
      <c r="AR68" s="20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4">
        <f t="shared" si="0"/>
        <v>0</v>
      </c>
    </row>
    <row r="69" hidden="1" customHeight="1" spans="1:66">
      <c r="A69" s="16"/>
      <c r="B69" s="21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9"/>
      <c r="AI69" s="19"/>
      <c r="AJ69" s="19"/>
      <c r="AK69" s="18"/>
      <c r="AL69" s="18"/>
      <c r="AM69" s="18"/>
      <c r="AN69" s="18"/>
      <c r="AO69" s="18"/>
      <c r="AP69" s="18"/>
      <c r="AQ69" s="18"/>
      <c r="AR69" s="20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4">
        <f t="shared" si="0"/>
        <v>0</v>
      </c>
    </row>
    <row r="70" hidden="1" customHeight="1" spans="1:66">
      <c r="A70" s="16"/>
      <c r="B70" s="21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9"/>
      <c r="AI70" s="19"/>
      <c r="AJ70" s="19"/>
      <c r="AK70" s="18"/>
      <c r="AL70" s="18"/>
      <c r="AM70" s="18"/>
      <c r="AN70" s="18"/>
      <c r="AO70" s="18"/>
      <c r="AP70" s="18"/>
      <c r="AQ70" s="18"/>
      <c r="AR70" s="20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4">
        <f t="shared" si="0"/>
        <v>0</v>
      </c>
    </row>
    <row r="71" hidden="1" customHeight="1" spans="1:66">
      <c r="A71" s="16"/>
      <c r="B71" s="17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9"/>
      <c r="AI71" s="19"/>
      <c r="AJ71" s="19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4">
        <f t="shared" si="0"/>
        <v>0</v>
      </c>
    </row>
    <row r="72" hidden="1" customHeight="1" spans="1:66">
      <c r="A72" s="16"/>
      <c r="B72" s="21"/>
      <c r="C72" s="22"/>
      <c r="D72" s="22"/>
      <c r="E72" s="22"/>
      <c r="F72" s="22"/>
      <c r="G72" s="22"/>
      <c r="H72" s="22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9"/>
      <c r="AI72" s="19"/>
      <c r="AJ72" s="19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4">
        <f t="shared" ref="BN72:BN135" si="1">C72+D72+E72+F72+G72+H72+I72+J72+K72+L72+M72+N72+O72+P72</f>
        <v>0</v>
      </c>
    </row>
    <row r="73" hidden="1" customHeight="1" spans="1:66">
      <c r="A73" s="16"/>
      <c r="B73" s="21"/>
      <c r="C73" s="22"/>
      <c r="D73" s="22"/>
      <c r="E73" s="22"/>
      <c r="F73" s="22"/>
      <c r="G73" s="22"/>
      <c r="H73" s="22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9"/>
      <c r="AI73" s="19"/>
      <c r="AJ73" s="19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4">
        <f t="shared" si="1"/>
        <v>0</v>
      </c>
    </row>
    <row r="74" hidden="1" customHeight="1" spans="1:66">
      <c r="A74" s="16"/>
      <c r="B74" s="21"/>
      <c r="C74" s="22"/>
      <c r="D74" s="22"/>
      <c r="E74" s="22"/>
      <c r="F74" s="22"/>
      <c r="G74" s="22"/>
      <c r="H74" s="22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9"/>
      <c r="AI74" s="19"/>
      <c r="AJ74" s="19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4">
        <f t="shared" si="1"/>
        <v>0</v>
      </c>
    </row>
    <row r="75" hidden="1" customHeight="1" spans="1:66">
      <c r="A75" s="16"/>
      <c r="B75" s="21"/>
      <c r="C75" s="22"/>
      <c r="D75" s="22"/>
      <c r="E75" s="22"/>
      <c r="F75" s="22"/>
      <c r="G75" s="22"/>
      <c r="H75" s="22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9"/>
      <c r="AI75" s="19"/>
      <c r="AJ75" s="19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4">
        <f t="shared" si="1"/>
        <v>0</v>
      </c>
    </row>
    <row r="76" hidden="1" customHeight="1" spans="1:66">
      <c r="A76" s="16"/>
      <c r="B76" s="21"/>
      <c r="C76" s="22"/>
      <c r="D76" s="22"/>
      <c r="E76" s="22"/>
      <c r="F76" s="22"/>
      <c r="G76" s="22"/>
      <c r="H76" s="22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9"/>
      <c r="AI76" s="19"/>
      <c r="AJ76" s="19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4">
        <f t="shared" si="1"/>
        <v>0</v>
      </c>
    </row>
    <row r="77" hidden="1" customHeight="1" spans="1:66">
      <c r="A77" s="16"/>
      <c r="B77" s="21"/>
      <c r="C77" s="22"/>
      <c r="D77" s="22"/>
      <c r="E77" s="22"/>
      <c r="F77" s="22"/>
      <c r="G77" s="22"/>
      <c r="H77" s="22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9"/>
      <c r="AI77" s="19"/>
      <c r="AJ77" s="19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4">
        <f t="shared" si="1"/>
        <v>0</v>
      </c>
    </row>
    <row r="78" hidden="1" customHeight="1" spans="1:66">
      <c r="A78" s="16"/>
      <c r="B78" s="21"/>
      <c r="C78" s="22"/>
      <c r="D78" s="22"/>
      <c r="E78" s="22"/>
      <c r="F78" s="22"/>
      <c r="G78" s="22"/>
      <c r="H78" s="22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9"/>
      <c r="AI78" s="19"/>
      <c r="AJ78" s="19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4">
        <f t="shared" si="1"/>
        <v>0</v>
      </c>
    </row>
    <row r="79" hidden="1" customHeight="1" spans="1:66">
      <c r="A79" s="16"/>
      <c r="B79" s="21"/>
      <c r="C79" s="22"/>
      <c r="D79" s="22"/>
      <c r="E79" s="22"/>
      <c r="F79" s="22"/>
      <c r="G79" s="22"/>
      <c r="H79" s="22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9"/>
      <c r="AI79" s="19"/>
      <c r="AJ79" s="19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4">
        <f t="shared" si="1"/>
        <v>0</v>
      </c>
    </row>
    <row r="80" hidden="1" customHeight="1" spans="1:66">
      <c r="A80" s="16"/>
      <c r="B80" s="21"/>
      <c r="C80" s="22"/>
      <c r="D80" s="22"/>
      <c r="E80" s="22"/>
      <c r="F80" s="22"/>
      <c r="G80" s="22"/>
      <c r="H80" s="22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9"/>
      <c r="AI80" s="19"/>
      <c r="AJ80" s="19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4">
        <f t="shared" si="1"/>
        <v>0</v>
      </c>
    </row>
    <row r="81" hidden="1" customHeight="1" spans="1:66">
      <c r="A81" s="16"/>
      <c r="B81" s="21"/>
      <c r="C81" s="22"/>
      <c r="D81" s="22"/>
      <c r="E81" s="22"/>
      <c r="F81" s="22"/>
      <c r="G81" s="22"/>
      <c r="H81" s="22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9"/>
      <c r="AI81" s="19"/>
      <c r="AJ81" s="19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4">
        <f t="shared" si="1"/>
        <v>0</v>
      </c>
    </row>
    <row r="82" hidden="1" customHeight="1" spans="1:66">
      <c r="A82" s="16"/>
      <c r="B82" s="21"/>
      <c r="C82" s="22"/>
      <c r="D82" s="22"/>
      <c r="E82" s="22"/>
      <c r="F82" s="22"/>
      <c r="G82" s="22"/>
      <c r="H82" s="22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9"/>
      <c r="AI82" s="19"/>
      <c r="AJ82" s="19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4">
        <f t="shared" si="1"/>
        <v>0</v>
      </c>
    </row>
    <row r="83" hidden="1" customHeight="1" spans="1:66">
      <c r="A83" s="16"/>
      <c r="B83" s="21"/>
      <c r="C83" s="22"/>
      <c r="D83" s="22"/>
      <c r="E83" s="22"/>
      <c r="F83" s="22"/>
      <c r="G83" s="22"/>
      <c r="H83" s="22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9"/>
      <c r="AI83" s="19"/>
      <c r="AJ83" s="19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4">
        <f t="shared" si="1"/>
        <v>0</v>
      </c>
    </row>
    <row r="84" hidden="1" customHeight="1" spans="1:66">
      <c r="A84" s="16"/>
      <c r="B84" s="21"/>
      <c r="C84" s="22"/>
      <c r="D84" s="22"/>
      <c r="E84" s="22"/>
      <c r="F84" s="22"/>
      <c r="G84" s="22"/>
      <c r="H84" s="22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9"/>
      <c r="AI84" s="19"/>
      <c r="AJ84" s="19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4">
        <f t="shared" si="1"/>
        <v>0</v>
      </c>
    </row>
    <row r="85" hidden="1" customHeight="1" spans="1:66">
      <c r="A85" s="16"/>
      <c r="B85" s="21"/>
      <c r="C85" s="22"/>
      <c r="D85" s="22"/>
      <c r="E85" s="22"/>
      <c r="F85" s="22"/>
      <c r="G85" s="22"/>
      <c r="H85" s="22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9"/>
      <c r="AI85" s="19"/>
      <c r="AJ85" s="19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4">
        <f t="shared" si="1"/>
        <v>0</v>
      </c>
    </row>
    <row r="86" hidden="1" customHeight="1" spans="1:66">
      <c r="A86" s="16"/>
      <c r="B86" s="21"/>
      <c r="C86" s="22"/>
      <c r="D86" s="22"/>
      <c r="E86" s="22"/>
      <c r="F86" s="22"/>
      <c r="G86" s="22"/>
      <c r="H86" s="22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9"/>
      <c r="AI86" s="19"/>
      <c r="AJ86" s="19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4">
        <f t="shared" si="1"/>
        <v>0</v>
      </c>
    </row>
    <row r="87" hidden="1" customHeight="1" spans="1:66">
      <c r="A87" s="16"/>
      <c r="B87" s="21"/>
      <c r="C87" s="22"/>
      <c r="D87" s="22"/>
      <c r="E87" s="22"/>
      <c r="F87" s="22"/>
      <c r="G87" s="22"/>
      <c r="H87" s="22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9"/>
      <c r="AI87" s="19"/>
      <c r="AJ87" s="19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4">
        <f t="shared" si="1"/>
        <v>0</v>
      </c>
    </row>
    <row r="88" hidden="1" customHeight="1" spans="1:66">
      <c r="A88" s="16"/>
      <c r="B88" s="21"/>
      <c r="C88" s="22"/>
      <c r="D88" s="22"/>
      <c r="E88" s="22"/>
      <c r="F88" s="22"/>
      <c r="G88" s="22"/>
      <c r="H88" s="22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9"/>
      <c r="AI88" s="19"/>
      <c r="AJ88" s="19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4">
        <f t="shared" si="1"/>
        <v>0</v>
      </c>
    </row>
    <row r="89" hidden="1" customHeight="1" spans="1:66">
      <c r="A89" s="16"/>
      <c r="B89" s="21"/>
      <c r="C89" s="22"/>
      <c r="D89" s="22"/>
      <c r="E89" s="22"/>
      <c r="F89" s="22"/>
      <c r="G89" s="22"/>
      <c r="H89" s="22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9"/>
      <c r="AI89" s="19"/>
      <c r="AJ89" s="19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4">
        <f t="shared" si="1"/>
        <v>0</v>
      </c>
    </row>
    <row r="90" hidden="1" customHeight="1" spans="1:66">
      <c r="A90" s="16"/>
      <c r="B90" s="21"/>
      <c r="C90" s="22"/>
      <c r="D90" s="22"/>
      <c r="E90" s="22"/>
      <c r="F90" s="22"/>
      <c r="G90" s="22"/>
      <c r="H90" s="22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9"/>
      <c r="AI90" s="19"/>
      <c r="AJ90" s="19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4">
        <f t="shared" si="1"/>
        <v>0</v>
      </c>
    </row>
    <row r="91" hidden="1" customHeight="1" spans="1:66">
      <c r="A91" s="16"/>
      <c r="B91" s="21"/>
      <c r="C91" s="22"/>
      <c r="D91" s="22"/>
      <c r="E91" s="22"/>
      <c r="F91" s="22"/>
      <c r="G91" s="22"/>
      <c r="H91" s="22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9"/>
      <c r="AI91" s="19"/>
      <c r="AJ91" s="19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4">
        <f t="shared" si="1"/>
        <v>0</v>
      </c>
    </row>
    <row r="92" hidden="1" customHeight="1" spans="1:66">
      <c r="A92" s="16"/>
      <c r="B92" s="21"/>
      <c r="C92" s="22"/>
      <c r="D92" s="22"/>
      <c r="E92" s="22"/>
      <c r="F92" s="22"/>
      <c r="G92" s="22"/>
      <c r="H92" s="22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9"/>
      <c r="AI92" s="19"/>
      <c r="AJ92" s="19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4">
        <f t="shared" si="1"/>
        <v>0</v>
      </c>
    </row>
    <row r="93" hidden="1" customHeight="1" spans="1:66">
      <c r="A93" s="16"/>
      <c r="B93" s="21"/>
      <c r="C93" s="22"/>
      <c r="D93" s="22"/>
      <c r="E93" s="22"/>
      <c r="F93" s="22"/>
      <c r="G93" s="22"/>
      <c r="H93" s="22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9"/>
      <c r="AI93" s="19"/>
      <c r="AJ93" s="19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4">
        <f t="shared" si="1"/>
        <v>0</v>
      </c>
    </row>
    <row r="94" hidden="1" customHeight="1" spans="1:66">
      <c r="A94" s="16"/>
      <c r="B94" s="21"/>
      <c r="C94" s="22"/>
      <c r="D94" s="22"/>
      <c r="E94" s="22"/>
      <c r="F94" s="22"/>
      <c r="G94" s="22"/>
      <c r="H94" s="22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9"/>
      <c r="AI94" s="19"/>
      <c r="AJ94" s="19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4">
        <f t="shared" si="1"/>
        <v>0</v>
      </c>
    </row>
    <row r="95" hidden="1" customHeight="1" spans="1:66">
      <c r="A95" s="16"/>
      <c r="B95" s="17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9"/>
      <c r="AI95" s="19"/>
      <c r="AJ95" s="19"/>
      <c r="AK95" s="18"/>
      <c r="AL95" s="20"/>
      <c r="AM95" s="20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4">
        <f t="shared" si="1"/>
        <v>0</v>
      </c>
    </row>
    <row r="96" hidden="1" customHeight="1" spans="1:66">
      <c r="A96" s="16"/>
      <c r="B96" s="17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20"/>
      <c r="AF96" s="20"/>
      <c r="AG96" s="20"/>
      <c r="AH96" s="19"/>
      <c r="AI96" s="19"/>
      <c r="AJ96" s="19"/>
      <c r="AK96" s="18"/>
      <c r="AL96" s="20"/>
      <c r="AM96" s="20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4">
        <f t="shared" si="1"/>
        <v>0</v>
      </c>
    </row>
    <row r="97" hidden="1" customHeight="1" spans="1:66">
      <c r="A97" s="16"/>
      <c r="B97" s="17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20"/>
      <c r="AF97" s="20"/>
      <c r="AG97" s="20"/>
      <c r="AH97" s="19"/>
      <c r="AI97" s="19"/>
      <c r="AJ97" s="19"/>
      <c r="AK97" s="18"/>
      <c r="AL97" s="20"/>
      <c r="AM97" s="20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4">
        <f t="shared" si="1"/>
        <v>0</v>
      </c>
    </row>
    <row r="98" hidden="1" customHeight="1" spans="1:66">
      <c r="A98" s="16"/>
      <c r="B98" s="17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20"/>
      <c r="AF98" s="20"/>
      <c r="AG98" s="20"/>
      <c r="AH98" s="19"/>
      <c r="AI98" s="19"/>
      <c r="AJ98" s="19"/>
      <c r="AK98" s="18"/>
      <c r="AL98" s="20"/>
      <c r="AM98" s="20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4">
        <f t="shared" si="1"/>
        <v>0</v>
      </c>
    </row>
    <row r="99" hidden="1" customHeight="1" spans="1:66">
      <c r="A99" s="16"/>
      <c r="B99" s="17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20"/>
      <c r="AF99" s="20"/>
      <c r="AG99" s="20"/>
      <c r="AH99" s="19"/>
      <c r="AI99" s="19"/>
      <c r="AJ99" s="19"/>
      <c r="AK99" s="18"/>
      <c r="AL99" s="20"/>
      <c r="AM99" s="20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4">
        <f t="shared" si="1"/>
        <v>0</v>
      </c>
    </row>
    <row r="100" hidden="1" customHeight="1" spans="1:66">
      <c r="A100" s="16"/>
      <c r="B100" s="17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28"/>
      <c r="Z100" s="18"/>
      <c r="AA100" s="18"/>
      <c r="AB100" s="18"/>
      <c r="AC100" s="18"/>
      <c r="AD100" s="18"/>
      <c r="AE100" s="19"/>
      <c r="AF100" s="19"/>
      <c r="AG100" s="19"/>
      <c r="AH100" s="19"/>
      <c r="AI100" s="19"/>
      <c r="AJ100" s="19"/>
      <c r="AK100" s="18"/>
      <c r="AL100" s="20"/>
      <c r="AM100" s="20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4">
        <f t="shared" si="1"/>
        <v>0</v>
      </c>
    </row>
    <row r="101" hidden="1" customHeight="1" spans="1:66">
      <c r="A101" s="16"/>
      <c r="B101" s="17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9"/>
      <c r="AI101" s="19"/>
      <c r="AJ101" s="19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4">
        <f t="shared" si="1"/>
        <v>0</v>
      </c>
    </row>
    <row r="102" hidden="1" customHeight="1" spans="1:66">
      <c r="A102" s="16"/>
      <c r="B102" s="17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9"/>
      <c r="AI102" s="19"/>
      <c r="AJ102" s="19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4">
        <f t="shared" si="1"/>
        <v>0</v>
      </c>
    </row>
    <row r="103" hidden="1" customHeight="1" spans="1:66">
      <c r="A103" s="16"/>
      <c r="B103" s="17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9"/>
      <c r="AI103" s="19"/>
      <c r="AJ103" s="19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4">
        <f t="shared" si="1"/>
        <v>0</v>
      </c>
    </row>
    <row r="104" hidden="1" customHeight="1" spans="1:66">
      <c r="A104" s="16"/>
      <c r="B104" s="17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9"/>
      <c r="AI104" s="19"/>
      <c r="AJ104" s="19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4">
        <f t="shared" si="1"/>
        <v>0</v>
      </c>
    </row>
    <row r="105" hidden="1" customHeight="1" spans="1:66">
      <c r="A105" s="29"/>
      <c r="B105" s="30"/>
      <c r="C105" s="31"/>
      <c r="D105" s="31"/>
      <c r="E105" s="31"/>
      <c r="F105" s="31"/>
      <c r="G105" s="31"/>
      <c r="H105" s="31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7"/>
      <c r="AI105" s="27"/>
      <c r="AJ105" s="27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14">
        <f t="shared" si="1"/>
        <v>0</v>
      </c>
    </row>
    <row r="106" hidden="1" customHeight="1" spans="1:66">
      <c r="A106" s="29"/>
      <c r="B106" s="32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7"/>
      <c r="AI106" s="27"/>
      <c r="AJ106" s="27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14">
        <f t="shared" si="1"/>
        <v>0</v>
      </c>
    </row>
    <row r="107" hidden="1" customHeight="1" spans="1:66">
      <c r="A107" s="29"/>
      <c r="B107" s="32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7"/>
      <c r="AI107" s="27"/>
      <c r="AJ107" s="27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14">
        <f t="shared" si="1"/>
        <v>0</v>
      </c>
    </row>
    <row r="108" hidden="1" customHeight="1" spans="1:66">
      <c r="A108" s="29"/>
      <c r="B108" s="32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7"/>
      <c r="AI108" s="27"/>
      <c r="AJ108" s="27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14">
        <f t="shared" si="1"/>
        <v>0</v>
      </c>
    </row>
    <row r="109" hidden="1" customHeight="1" spans="1:66">
      <c r="A109" s="29"/>
      <c r="B109" s="32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7"/>
      <c r="AI109" s="27"/>
      <c r="AJ109" s="27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14">
        <f t="shared" si="1"/>
        <v>0</v>
      </c>
    </row>
    <row r="110" hidden="1" customHeight="1" spans="1:66">
      <c r="A110" s="29"/>
      <c r="B110" s="32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7"/>
      <c r="AI110" s="27"/>
      <c r="AJ110" s="27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14">
        <f t="shared" si="1"/>
        <v>0</v>
      </c>
    </row>
    <row r="111" hidden="1" customHeight="1" spans="1:66">
      <c r="A111" s="29"/>
      <c r="B111" s="32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7"/>
      <c r="AI111" s="27"/>
      <c r="AJ111" s="27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14">
        <f t="shared" si="1"/>
        <v>0</v>
      </c>
    </row>
    <row r="112" hidden="1" customHeight="1" spans="1:66">
      <c r="A112" s="29"/>
      <c r="B112" s="32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7"/>
      <c r="AI112" s="27"/>
      <c r="AJ112" s="27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14">
        <f t="shared" si="1"/>
        <v>0</v>
      </c>
    </row>
    <row r="113" hidden="1" customHeight="1" spans="1:66">
      <c r="A113" s="29"/>
      <c r="B113" s="32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7"/>
      <c r="AI113" s="27"/>
      <c r="AJ113" s="27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14">
        <f t="shared" si="1"/>
        <v>0</v>
      </c>
    </row>
    <row r="114" hidden="1" customHeight="1" spans="1:66">
      <c r="A114" s="29"/>
      <c r="B114" s="32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7"/>
      <c r="AI114" s="27"/>
      <c r="AJ114" s="27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14">
        <f t="shared" si="1"/>
        <v>0</v>
      </c>
    </row>
    <row r="115" hidden="1" customHeight="1" spans="1:66">
      <c r="A115" s="29"/>
      <c r="B115" s="32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7"/>
      <c r="AI115" s="27"/>
      <c r="AJ115" s="27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  <c r="BK115" s="26"/>
      <c r="BL115" s="26"/>
      <c r="BM115" s="26"/>
      <c r="BN115" s="14">
        <f t="shared" si="1"/>
        <v>0</v>
      </c>
    </row>
    <row r="116" hidden="1" customHeight="1" spans="1:66">
      <c r="A116" s="29"/>
      <c r="B116" s="32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7"/>
      <c r="AI116" s="27"/>
      <c r="AJ116" s="27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14">
        <f t="shared" si="1"/>
        <v>0</v>
      </c>
    </row>
    <row r="117" hidden="1" customHeight="1" spans="1:66">
      <c r="A117" s="29"/>
      <c r="B117" s="32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7"/>
      <c r="AI117" s="27"/>
      <c r="AJ117" s="27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26"/>
      <c r="BK117" s="26"/>
      <c r="BL117" s="26"/>
      <c r="BM117" s="26"/>
      <c r="BN117" s="14">
        <f t="shared" si="1"/>
        <v>0</v>
      </c>
    </row>
    <row r="118" hidden="1" customHeight="1" spans="1:66">
      <c r="A118" s="29"/>
      <c r="B118" s="32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7"/>
      <c r="AI118" s="27"/>
      <c r="AJ118" s="27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  <c r="BL118" s="26"/>
      <c r="BM118" s="26"/>
      <c r="BN118" s="14">
        <f t="shared" si="1"/>
        <v>0</v>
      </c>
    </row>
    <row r="119" hidden="1" customHeight="1" spans="1:66">
      <c r="A119" s="29"/>
      <c r="B119" s="32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7"/>
      <c r="AI119" s="27"/>
      <c r="AJ119" s="27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26"/>
      <c r="BK119" s="26"/>
      <c r="BL119" s="26"/>
      <c r="BM119" s="26"/>
      <c r="BN119" s="14">
        <f t="shared" si="1"/>
        <v>0</v>
      </c>
    </row>
    <row r="120" hidden="1" customHeight="1" spans="1:66">
      <c r="A120" s="29"/>
      <c r="B120" s="32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7"/>
      <c r="AI120" s="27"/>
      <c r="AJ120" s="27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  <c r="BL120" s="26"/>
      <c r="BM120" s="26"/>
      <c r="BN120" s="14">
        <f t="shared" si="1"/>
        <v>0</v>
      </c>
    </row>
    <row r="121" hidden="1" customHeight="1" spans="1:66">
      <c r="A121" s="29"/>
      <c r="B121" s="32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7"/>
      <c r="AI121" s="27"/>
      <c r="AJ121" s="27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  <c r="BK121" s="26"/>
      <c r="BL121" s="26"/>
      <c r="BM121" s="26"/>
      <c r="BN121" s="14">
        <f t="shared" si="1"/>
        <v>0</v>
      </c>
    </row>
    <row r="122" hidden="1" customHeight="1" spans="1:66">
      <c r="A122" s="29"/>
      <c r="B122" s="32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7"/>
      <c r="AI122" s="27"/>
      <c r="AJ122" s="27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  <c r="BL122" s="26"/>
      <c r="BM122" s="26"/>
      <c r="BN122" s="14">
        <f t="shared" si="1"/>
        <v>0</v>
      </c>
    </row>
    <row r="123" hidden="1" customHeight="1" spans="1:66">
      <c r="A123" s="29"/>
      <c r="B123" s="32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7"/>
      <c r="AI123" s="27"/>
      <c r="AJ123" s="27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  <c r="BM123" s="26"/>
      <c r="BN123" s="14">
        <f t="shared" si="1"/>
        <v>0</v>
      </c>
    </row>
    <row r="124" hidden="1" customHeight="1" spans="1:66">
      <c r="A124" s="29"/>
      <c r="B124" s="32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7"/>
      <c r="AI124" s="27"/>
      <c r="AJ124" s="27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26"/>
      <c r="BK124" s="26"/>
      <c r="BL124" s="26"/>
      <c r="BM124" s="26"/>
      <c r="BN124" s="14">
        <f t="shared" si="1"/>
        <v>0</v>
      </c>
    </row>
    <row r="125" hidden="1" customHeight="1" spans="1:66">
      <c r="A125" s="29"/>
      <c r="B125" s="32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7"/>
      <c r="AI125" s="27"/>
      <c r="AJ125" s="27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26"/>
      <c r="BK125" s="26"/>
      <c r="BL125" s="26"/>
      <c r="BM125" s="26"/>
      <c r="BN125" s="14">
        <f t="shared" si="1"/>
        <v>0</v>
      </c>
    </row>
    <row r="126" hidden="1" customHeight="1" spans="1:66">
      <c r="A126" s="29"/>
      <c r="B126" s="32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7"/>
      <c r="AI126" s="27"/>
      <c r="AJ126" s="27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  <c r="BK126" s="26"/>
      <c r="BL126" s="26"/>
      <c r="BM126" s="26"/>
      <c r="BN126" s="14">
        <f t="shared" si="1"/>
        <v>0</v>
      </c>
    </row>
    <row r="127" hidden="1" customHeight="1" spans="1:66">
      <c r="A127" s="29"/>
      <c r="B127" s="32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7"/>
      <c r="AI127" s="27"/>
      <c r="AJ127" s="27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26"/>
      <c r="BK127" s="26"/>
      <c r="BL127" s="26"/>
      <c r="BM127" s="26"/>
      <c r="BN127" s="14">
        <f t="shared" si="1"/>
        <v>0</v>
      </c>
    </row>
    <row r="128" hidden="1" customHeight="1" spans="1:66">
      <c r="A128" s="29"/>
      <c r="B128" s="32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7"/>
      <c r="AI128" s="27"/>
      <c r="AJ128" s="27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26"/>
      <c r="BK128" s="26"/>
      <c r="BL128" s="26"/>
      <c r="BM128" s="26"/>
      <c r="BN128" s="14">
        <f t="shared" si="1"/>
        <v>0</v>
      </c>
    </row>
    <row r="129" hidden="1" customHeight="1" spans="1:66">
      <c r="A129" s="29"/>
      <c r="B129" s="32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7"/>
      <c r="AI129" s="27"/>
      <c r="AJ129" s="27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  <c r="BJ129" s="26"/>
      <c r="BK129" s="26"/>
      <c r="BL129" s="26"/>
      <c r="BM129" s="26"/>
      <c r="BN129" s="14">
        <f t="shared" si="1"/>
        <v>0</v>
      </c>
    </row>
    <row r="130" hidden="1" customHeight="1" spans="1:66">
      <c r="A130" s="29"/>
      <c r="B130" s="32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7"/>
      <c r="AI130" s="27"/>
      <c r="AJ130" s="27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  <c r="BL130" s="26"/>
      <c r="BM130" s="26"/>
      <c r="BN130" s="14">
        <f t="shared" si="1"/>
        <v>0</v>
      </c>
    </row>
    <row r="131" hidden="1" customHeight="1" spans="1:66">
      <c r="A131" s="33" t="s">
        <v>838</v>
      </c>
      <c r="B131" s="33" t="s">
        <v>40</v>
      </c>
      <c r="C131" s="34"/>
      <c r="D131" s="34"/>
      <c r="E131" s="34"/>
      <c r="F131" s="34"/>
      <c r="G131" s="34"/>
      <c r="H131" s="34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6"/>
      <c r="AI131" s="36"/>
      <c r="AJ131" s="36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  <c r="AZ131" s="35"/>
      <c r="BA131" s="35"/>
      <c r="BB131" s="35"/>
      <c r="BC131" s="35"/>
      <c r="BD131" s="35"/>
      <c r="BE131" s="35"/>
      <c r="BF131" s="35"/>
      <c r="BG131" s="35"/>
      <c r="BH131" s="35"/>
      <c r="BI131" s="35"/>
      <c r="BJ131" s="37"/>
      <c r="BK131" s="35"/>
      <c r="BL131" s="35"/>
      <c r="BM131" s="35"/>
      <c r="BN131" s="14">
        <f t="shared" si="1"/>
        <v>0</v>
      </c>
    </row>
    <row r="132" hidden="1" customHeight="1" spans="1:66">
      <c r="A132" s="33" t="s">
        <v>839</v>
      </c>
      <c r="B132" s="33" t="s">
        <v>42</v>
      </c>
      <c r="C132" s="34"/>
      <c r="D132" s="34"/>
      <c r="E132" s="34"/>
      <c r="F132" s="34"/>
      <c r="G132" s="34"/>
      <c r="H132" s="34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6"/>
      <c r="AI132" s="36"/>
      <c r="AJ132" s="36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  <c r="AZ132" s="35"/>
      <c r="BA132" s="35"/>
      <c r="BB132" s="35"/>
      <c r="BC132" s="35"/>
      <c r="BD132" s="35"/>
      <c r="BE132" s="35"/>
      <c r="BF132" s="35"/>
      <c r="BG132" s="35"/>
      <c r="BH132" s="35"/>
      <c r="BI132" s="35"/>
      <c r="BJ132" s="37"/>
      <c r="BK132" s="35"/>
      <c r="BL132" s="35"/>
      <c r="BM132" s="35"/>
      <c r="BN132" s="14">
        <f t="shared" si="1"/>
        <v>0</v>
      </c>
    </row>
    <row r="133" hidden="1" customHeight="1" spans="1:66">
      <c r="A133" s="33" t="s">
        <v>840</v>
      </c>
      <c r="B133" s="33" t="s">
        <v>735</v>
      </c>
      <c r="C133" s="34"/>
      <c r="D133" s="34"/>
      <c r="E133" s="34"/>
      <c r="F133" s="34"/>
      <c r="G133" s="34"/>
      <c r="H133" s="34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6"/>
      <c r="AI133" s="36"/>
      <c r="AJ133" s="36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  <c r="BC133" s="35"/>
      <c r="BD133" s="35"/>
      <c r="BE133" s="35"/>
      <c r="BF133" s="35"/>
      <c r="BG133" s="35"/>
      <c r="BH133" s="35"/>
      <c r="BI133" s="35"/>
      <c r="BJ133" s="35"/>
      <c r="BK133" s="35"/>
      <c r="BL133" s="35"/>
      <c r="BM133" s="35"/>
      <c r="BN133" s="14">
        <f t="shared" si="1"/>
        <v>0</v>
      </c>
    </row>
    <row r="134" hidden="1" customHeight="1" spans="1:66">
      <c r="A134" s="33" t="s">
        <v>841</v>
      </c>
      <c r="B134" s="33" t="s">
        <v>737</v>
      </c>
      <c r="C134" s="34"/>
      <c r="D134" s="34"/>
      <c r="E134" s="34"/>
      <c r="F134" s="34"/>
      <c r="G134" s="34"/>
      <c r="H134" s="34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6"/>
      <c r="AI134" s="36"/>
      <c r="AJ134" s="36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  <c r="AZ134" s="35"/>
      <c r="BA134" s="35"/>
      <c r="BB134" s="35"/>
      <c r="BC134" s="35"/>
      <c r="BD134" s="35"/>
      <c r="BE134" s="35"/>
      <c r="BF134" s="35"/>
      <c r="BG134" s="35"/>
      <c r="BH134" s="35"/>
      <c r="BI134" s="35"/>
      <c r="BJ134" s="35"/>
      <c r="BK134" s="35"/>
      <c r="BL134" s="35"/>
      <c r="BM134" s="35"/>
      <c r="BN134" s="14">
        <f t="shared" si="1"/>
        <v>0</v>
      </c>
    </row>
    <row r="135" hidden="1" customHeight="1" spans="1:66">
      <c r="A135" s="38" t="s">
        <v>842</v>
      </c>
      <c r="B135" s="33" t="s">
        <v>736</v>
      </c>
      <c r="C135" s="34"/>
      <c r="D135" s="34"/>
      <c r="E135" s="34"/>
      <c r="F135" s="34"/>
      <c r="G135" s="34"/>
      <c r="H135" s="34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6"/>
      <c r="AI135" s="36"/>
      <c r="AJ135" s="36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5"/>
      <c r="BA135" s="35"/>
      <c r="BB135" s="35"/>
      <c r="BC135" s="35"/>
      <c r="BD135" s="35"/>
      <c r="BE135" s="35"/>
      <c r="BF135" s="35"/>
      <c r="BG135" s="35"/>
      <c r="BH135" s="35"/>
      <c r="BI135" s="35"/>
      <c r="BJ135" s="35"/>
      <c r="BK135" s="35"/>
      <c r="BL135" s="35"/>
      <c r="BM135" s="35"/>
      <c r="BN135" s="14">
        <f t="shared" si="1"/>
        <v>0</v>
      </c>
    </row>
    <row r="136" hidden="1" customHeight="1" spans="1:66">
      <c r="A136" s="33" t="s">
        <v>55</v>
      </c>
      <c r="B136" s="33" t="s">
        <v>734</v>
      </c>
      <c r="C136" s="34"/>
      <c r="D136" s="34"/>
      <c r="E136" s="34"/>
      <c r="F136" s="34"/>
      <c r="G136" s="34"/>
      <c r="H136" s="34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6"/>
      <c r="AI136" s="36"/>
      <c r="AJ136" s="36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  <c r="AZ136" s="35"/>
      <c r="BA136" s="35"/>
      <c r="BB136" s="35"/>
      <c r="BC136" s="35"/>
      <c r="BD136" s="35"/>
      <c r="BE136" s="35"/>
      <c r="BF136" s="35"/>
      <c r="BG136" s="35"/>
      <c r="BH136" s="35"/>
      <c r="BI136" s="35"/>
      <c r="BJ136" s="35"/>
      <c r="BK136" s="35"/>
      <c r="BL136" s="35"/>
      <c r="BM136" s="35"/>
      <c r="BN136" s="14">
        <f t="shared" ref="BN136:BN138" si="2">C136+D136+E136+F136+G136+H136+I136+J136+K136+L136+M136+N136+O136+P136</f>
        <v>0</v>
      </c>
    </row>
    <row r="137" hidden="1" customHeight="1" spans="1:66">
      <c r="A137" s="33" t="s">
        <v>843</v>
      </c>
      <c r="B137" s="33" t="s">
        <v>733</v>
      </c>
      <c r="C137" s="34"/>
      <c r="D137" s="34"/>
      <c r="E137" s="34"/>
      <c r="F137" s="34"/>
      <c r="G137" s="34"/>
      <c r="H137" s="34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6"/>
      <c r="AI137" s="36"/>
      <c r="AJ137" s="36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  <c r="AZ137" s="35"/>
      <c r="BA137" s="35"/>
      <c r="BB137" s="35"/>
      <c r="BC137" s="35"/>
      <c r="BD137" s="35"/>
      <c r="BE137" s="35"/>
      <c r="BF137" s="35"/>
      <c r="BG137" s="35"/>
      <c r="BH137" s="35"/>
      <c r="BI137" s="35"/>
      <c r="BJ137" s="35"/>
      <c r="BK137" s="35"/>
      <c r="BL137" s="35"/>
      <c r="BM137" s="35"/>
      <c r="BN137" s="14">
        <f t="shared" si="2"/>
        <v>0</v>
      </c>
    </row>
    <row r="138" hidden="1" customHeight="1" spans="1:66">
      <c r="A138" s="33" t="s">
        <v>844</v>
      </c>
      <c r="B138" s="33" t="s">
        <v>738</v>
      </c>
      <c r="C138" s="34"/>
      <c r="D138" s="34"/>
      <c r="E138" s="34"/>
      <c r="F138" s="34"/>
      <c r="G138" s="34"/>
      <c r="H138" s="34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6"/>
      <c r="AI138" s="36"/>
      <c r="AJ138" s="36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  <c r="AZ138" s="35"/>
      <c r="BA138" s="35"/>
      <c r="BB138" s="35"/>
      <c r="BC138" s="35"/>
      <c r="BD138" s="35"/>
      <c r="BE138" s="35"/>
      <c r="BF138" s="35"/>
      <c r="BG138" s="35"/>
      <c r="BH138" s="35"/>
      <c r="BI138" s="35"/>
      <c r="BJ138" s="35"/>
      <c r="BK138" s="35"/>
      <c r="BL138" s="35"/>
      <c r="BM138" s="35"/>
      <c r="BN138" s="14">
        <f t="shared" si="2"/>
        <v>0</v>
      </c>
    </row>
    <row r="139" customHeight="1" spans="1:66">
      <c r="C139" s="39"/>
      <c r="D139" s="40"/>
      <c r="E139" s="40"/>
      <c r="F139" s="40"/>
      <c r="G139" s="40"/>
      <c r="H139" s="40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41"/>
      <c r="AI139" s="41"/>
      <c r="AJ139" s="41"/>
      <c r="AK139" s="3"/>
      <c r="AL139" s="3"/>
      <c r="AM139" s="3"/>
      <c r="AN139" s="3"/>
      <c r="AO139" s="3"/>
    </row>
    <row r="140" customHeight="1" spans="1:66">
      <c r="C140" s="40"/>
      <c r="D140" s="40"/>
      <c r="E140" s="40"/>
      <c r="F140" s="40"/>
      <c r="G140" s="40"/>
      <c r="H140" s="40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41"/>
      <c r="AI140" s="41"/>
      <c r="AJ140" s="41"/>
      <c r="AK140" s="3"/>
      <c r="AL140" s="3"/>
      <c r="AM140" s="3"/>
      <c r="AN140" s="3"/>
      <c r="AO140" s="3"/>
    </row>
  </sheetData>
  <mergeCells count="1">
    <mergeCell ref="A1:BN1"/>
  </mergeCells>
  <pageMargins left="0.7" right="0.7" top="0.75" bottom="0.75" header="0.3" footer="0.3"/>
  <pageSetup paperSize="9" scale="65" orientation="portrait"/>
  <headerFooter/>
  <rowBreaks count="1" manualBreakCount="1">
    <brk id="130" max="40" man="1"/>
  </rowBreaks>
  <colBreaks count="1" manualBreakCount="1">
    <brk id="66" max="1048575" man="1"/>
  </colBreaks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139"/>
  <sheetViews>
    <sheetView zoomScale="116" zoomScaleNormal="116" workbookViewId="0">
      <pane xSplit="2" ySplit="2" topLeftCell="C13" activePane="bottomRight" state="frozen"/>
      <selection/>
      <selection pane="topRight"/>
      <selection pane="bottomLeft"/>
      <selection pane="bottomRight" activeCell="BS12" sqref="BS12"/>
    </sheetView>
  </sheetViews>
  <sheetFormatPr defaultColWidth="9" defaultRowHeight="20" customHeight="1"/>
  <cols>
    <col min="1" max="1" width="13.6666666666667" style="1" customWidth="1"/>
    <col min="2" max="2" width="23.1666666666667" style="1" customWidth="1"/>
    <col min="3" max="8" width="7.5" style="1" customWidth="1"/>
    <col min="9" max="11" width="8.33333333333333" customWidth="1"/>
    <col min="12" max="12" width="6.66666666666667" hidden="1" customWidth="1"/>
    <col min="13" max="15" width="7" hidden="1" customWidth="1"/>
    <col min="16" max="16" width="7.83333333333333" hidden="1" customWidth="1"/>
    <col min="17" max="19" width="5.66666666666667" hidden="1" customWidth="1"/>
    <col min="20" max="20" width="6.66666666666667" hidden="1" customWidth="1"/>
    <col min="21" max="21" width="8.16666666666667" hidden="1" customWidth="1"/>
    <col min="22" max="22" width="7.66666666666667" hidden="1" customWidth="1"/>
    <col min="23" max="23" width="5.66666666666667" hidden="1" customWidth="1"/>
    <col min="24" max="24" width="7.66666666666667" hidden="1" customWidth="1"/>
    <col min="25" max="25" width="5.66666666666667" hidden="1" customWidth="1"/>
    <col min="26" max="26" width="6.66666666666667" hidden="1" customWidth="1"/>
    <col min="27" max="28" width="5.66666666666667" hidden="1" customWidth="1"/>
    <col min="29" max="30" width="7.33333333333333" hidden="1" customWidth="1"/>
    <col min="31" max="33" width="8.33333333333333" hidden="1" customWidth="1"/>
    <col min="34" max="36" width="7.66666666666667" style="2" hidden="1" customWidth="1"/>
    <col min="37" max="37" width="7.16666666666667" hidden="1" customWidth="1"/>
    <col min="38" max="38" width="6.83333333333333" hidden="1" customWidth="1"/>
    <col min="39" max="39" width="7.33333333333333" hidden="1" customWidth="1"/>
    <col min="40" max="40" width="7.66666666666667" hidden="1" customWidth="1"/>
    <col min="41" max="41" width="6.83333333333333" hidden="1" customWidth="1"/>
    <col min="42" max="42" width="8.5" hidden="1" customWidth="1"/>
    <col min="43" max="43" width="7.33333333333333" hidden="1" customWidth="1"/>
    <col min="44" max="44" width="8" hidden="1" customWidth="1"/>
    <col min="45" max="45" width="7.5" hidden="1" customWidth="1"/>
    <col min="46" max="50" width="5.66666666666667" hidden="1" customWidth="1"/>
    <col min="51" max="51" width="7.5" hidden="1" customWidth="1"/>
    <col min="52" max="52" width="5.66666666666667" hidden="1" customWidth="1"/>
    <col min="53" max="53" width="6.5" hidden="1" customWidth="1"/>
    <col min="54" max="61" width="5.66666666666667" hidden="1" customWidth="1"/>
    <col min="62" max="62" width="6.16666666666667" hidden="1" customWidth="1"/>
    <col min="63" max="65" width="5.66666666666667" hidden="1" customWidth="1"/>
    <col min="66" max="66" width="8" style="3" customWidth="1"/>
  </cols>
  <sheetData>
    <row r="1" customHeight="1" spans="1:66">
      <c r="A1" s="4" t="s">
        <v>850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</row>
    <row r="2" customHeight="1" spans="1:66">
      <c r="A2" s="5" t="s">
        <v>596</v>
      </c>
      <c r="B2" s="6" t="s">
        <v>597</v>
      </c>
      <c r="C2" s="7">
        <v>44664</v>
      </c>
      <c r="D2" s="7">
        <v>44665</v>
      </c>
      <c r="E2" s="7">
        <v>44671</v>
      </c>
      <c r="F2" s="7">
        <v>44672</v>
      </c>
      <c r="G2" s="7">
        <v>44652</v>
      </c>
      <c r="H2" s="7"/>
      <c r="I2" s="8"/>
      <c r="J2" s="8"/>
      <c r="K2" s="8"/>
      <c r="L2" s="8"/>
      <c r="M2" s="8"/>
      <c r="N2" s="8"/>
      <c r="O2" s="8"/>
      <c r="P2" s="8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 t="s">
        <v>812</v>
      </c>
      <c r="AD2" s="9" t="s">
        <v>812</v>
      </c>
      <c r="AE2" s="9" t="s">
        <v>813</v>
      </c>
      <c r="AF2" s="9" t="s">
        <v>814</v>
      </c>
      <c r="AG2" s="9" t="s">
        <v>815</v>
      </c>
      <c r="AH2" s="10" t="s">
        <v>816</v>
      </c>
      <c r="AI2" s="10" t="s">
        <v>817</v>
      </c>
      <c r="AJ2" s="10" t="s">
        <v>818</v>
      </c>
      <c r="AK2" s="9" t="s">
        <v>819</v>
      </c>
      <c r="AL2" s="9" t="s">
        <v>819</v>
      </c>
      <c r="AM2" s="9" t="s">
        <v>820</v>
      </c>
      <c r="AN2" s="9" t="s">
        <v>821</v>
      </c>
      <c r="AO2" s="9" t="s">
        <v>822</v>
      </c>
      <c r="AP2" s="9" t="s">
        <v>823</v>
      </c>
      <c r="AQ2" s="9" t="s">
        <v>824</v>
      </c>
      <c r="AR2" s="9" t="s">
        <v>825</v>
      </c>
      <c r="AS2" s="9" t="s">
        <v>826</v>
      </c>
      <c r="AT2" s="9" t="s">
        <v>827</v>
      </c>
      <c r="AU2" s="9" t="s">
        <v>823</v>
      </c>
      <c r="AV2" s="9" t="s">
        <v>827</v>
      </c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11" t="s">
        <v>828</v>
      </c>
    </row>
    <row r="3" hidden="1" customHeight="1" spans="1:66">
      <c r="A3" s="12" t="s">
        <v>626</v>
      </c>
      <c r="B3" s="13" t="s">
        <v>627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5"/>
      <c r="AI3" s="15"/>
      <c r="AJ3" s="15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>
        <f>C3+D3+E3+F3+G3+H3+I3+J3+K3+L3+M3+N3+O3+P3</f>
        <v>0</v>
      </c>
    </row>
    <row r="4" customHeight="1" spans="1:66">
      <c r="A4" s="16" t="s">
        <v>106</v>
      </c>
      <c r="B4" s="17" t="s">
        <v>107</v>
      </c>
      <c r="C4" s="18">
        <v>4000</v>
      </c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9"/>
      <c r="AI4" s="19"/>
      <c r="AJ4" s="19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43">
        <f t="shared" ref="BN4:BN70" si="0">C4+D4+E4+F4+G4+H4+I4+J4+K4+L4+M4+N4+O4+P4</f>
        <v>4000</v>
      </c>
    </row>
    <row r="5" hidden="1" customHeight="1" spans="1:66">
      <c r="A5" s="16" t="s">
        <v>629</v>
      </c>
      <c r="B5" s="17" t="s">
        <v>630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9"/>
      <c r="AI5" s="19"/>
      <c r="AJ5" s="19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20"/>
      <c r="BK5" s="18"/>
      <c r="BL5" s="18"/>
      <c r="BM5" s="18"/>
      <c r="BN5" s="43">
        <f t="shared" si="0"/>
        <v>0</v>
      </c>
    </row>
    <row r="6" hidden="1" customHeight="1" spans="1:66">
      <c r="A6" s="16" t="s">
        <v>109</v>
      </c>
      <c r="B6" s="17" t="s">
        <v>110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9"/>
      <c r="AI6" s="19"/>
      <c r="AJ6" s="19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43">
        <f t="shared" si="0"/>
        <v>0</v>
      </c>
    </row>
    <row r="7" customHeight="1" spans="1:66">
      <c r="A7" s="16" t="s">
        <v>103</v>
      </c>
      <c r="B7" s="17" t="s">
        <v>647</v>
      </c>
      <c r="C7" s="18">
        <v>1575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9"/>
      <c r="AI7" s="19"/>
      <c r="AJ7" s="19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43">
        <f t="shared" si="0"/>
        <v>1575</v>
      </c>
    </row>
    <row r="8" hidden="1" customHeight="1" spans="1:66">
      <c r="A8" s="16" t="s">
        <v>651</v>
      </c>
      <c r="B8" s="21" t="s">
        <v>652</v>
      </c>
      <c r="C8" s="22"/>
      <c r="D8" s="22"/>
      <c r="E8" s="22"/>
      <c r="F8" s="22"/>
      <c r="G8" s="22"/>
      <c r="H8" s="22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9"/>
      <c r="AI8" s="19"/>
      <c r="AJ8" s="19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4">
        <f t="shared" si="0"/>
        <v>0</v>
      </c>
    </row>
    <row r="9" hidden="1" customHeight="1" spans="1:66">
      <c r="A9" s="16" t="s">
        <v>187</v>
      </c>
      <c r="B9" s="17" t="s">
        <v>654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9"/>
      <c r="AI9" s="19"/>
      <c r="AJ9" s="19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4">
        <f t="shared" si="0"/>
        <v>0</v>
      </c>
    </row>
    <row r="10" customHeight="1" spans="1:66">
      <c r="A10" s="16" t="s">
        <v>51</v>
      </c>
      <c r="B10" s="17" t="s">
        <v>656</v>
      </c>
      <c r="C10" s="18">
        <v>15000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9"/>
      <c r="AI10" s="19"/>
      <c r="AJ10" s="19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43">
        <f t="shared" si="0"/>
        <v>15000</v>
      </c>
    </row>
    <row r="11" customHeight="1" spans="1:66">
      <c r="A11" s="16" t="s">
        <v>22</v>
      </c>
      <c r="B11" s="17" t="s">
        <v>652</v>
      </c>
      <c r="C11" s="18"/>
      <c r="D11" s="18"/>
      <c r="E11" s="18"/>
      <c r="F11" s="18"/>
      <c r="G11" s="18">
        <v>3000</v>
      </c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9"/>
      <c r="AI11" s="19"/>
      <c r="AJ11" s="19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43">
        <f t="shared" si="0"/>
        <v>3000</v>
      </c>
    </row>
    <row r="12" customHeight="1" spans="1:66">
      <c r="A12" s="16" t="s">
        <v>660</v>
      </c>
      <c r="B12" s="17" t="s">
        <v>655</v>
      </c>
      <c r="C12" s="18"/>
      <c r="D12" s="18">
        <v>50</v>
      </c>
      <c r="E12" s="18">
        <v>75</v>
      </c>
      <c r="F12" s="18">
        <v>100</v>
      </c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9"/>
      <c r="AI12" s="19"/>
      <c r="AJ12" s="19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43">
        <f t="shared" si="0"/>
        <v>225</v>
      </c>
    </row>
    <row r="13" customHeight="1" spans="1:66">
      <c r="A13" s="16" t="s">
        <v>661</v>
      </c>
      <c r="B13" s="17" t="s">
        <v>653</v>
      </c>
      <c r="C13" s="18"/>
      <c r="D13" s="18"/>
      <c r="E13" s="18"/>
      <c r="F13" s="18">
        <v>1000</v>
      </c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9"/>
      <c r="AI13" s="19"/>
      <c r="AJ13" s="19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43">
        <f t="shared" si="0"/>
        <v>1000</v>
      </c>
    </row>
    <row r="14" hidden="1" customHeight="1" spans="1:66">
      <c r="A14" s="16" t="s">
        <v>683</v>
      </c>
      <c r="B14" s="17" t="s">
        <v>684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9"/>
      <c r="AI14" s="19"/>
      <c r="AJ14" s="19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43">
        <f t="shared" si="0"/>
        <v>0</v>
      </c>
    </row>
    <row r="15" hidden="1" customHeight="1" spans="1:66">
      <c r="A15" s="16" t="s">
        <v>778</v>
      </c>
      <c r="B15" s="17" t="s">
        <v>779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9"/>
      <c r="AI15" s="19"/>
      <c r="AJ15" s="19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43">
        <f t="shared" si="0"/>
        <v>0</v>
      </c>
    </row>
    <row r="16" customHeight="1" spans="1:66">
      <c r="A16" s="16" t="s">
        <v>699</v>
      </c>
      <c r="B16" s="21" t="s">
        <v>700</v>
      </c>
      <c r="C16" s="22"/>
      <c r="D16" s="22">
        <v>30</v>
      </c>
      <c r="E16" s="22"/>
      <c r="F16" s="22"/>
      <c r="G16" s="22"/>
      <c r="H16" s="22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9"/>
      <c r="AI16" s="19"/>
      <c r="AJ16" s="19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43">
        <f t="shared" si="0"/>
        <v>30</v>
      </c>
    </row>
    <row r="17" hidden="1" customHeight="1" spans="1:66">
      <c r="A17" s="16" t="s">
        <v>701</v>
      </c>
      <c r="B17" s="17" t="s">
        <v>702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9"/>
      <c r="AI17" s="19"/>
      <c r="AJ17" s="19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43">
        <f t="shared" si="0"/>
        <v>0</v>
      </c>
    </row>
    <row r="18" customHeight="1" spans="1:66">
      <c r="A18" s="16" t="s">
        <v>701</v>
      </c>
      <c r="B18" s="21" t="s">
        <v>780</v>
      </c>
      <c r="C18" s="22"/>
      <c r="D18" s="22"/>
      <c r="E18" s="22">
        <v>400</v>
      </c>
      <c r="F18" s="22"/>
      <c r="G18" s="22"/>
      <c r="H18" s="22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9"/>
      <c r="AI18" s="19"/>
      <c r="AJ18" s="19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43">
        <f t="shared" si="0"/>
        <v>400</v>
      </c>
    </row>
    <row r="19" customHeight="1" spans="1:66">
      <c r="A19" s="16" t="s">
        <v>831</v>
      </c>
      <c r="B19" s="17" t="s">
        <v>730</v>
      </c>
      <c r="C19" s="18">
        <v>16000</v>
      </c>
      <c r="D19" s="18"/>
      <c r="E19" s="18">
        <v>16000</v>
      </c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9"/>
      <c r="AI19" s="19"/>
      <c r="AJ19" s="19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43">
        <f t="shared" si="0"/>
        <v>32000</v>
      </c>
    </row>
    <row r="20" hidden="1" customHeight="1" spans="1:66">
      <c r="A20" s="16"/>
      <c r="B20" s="21"/>
      <c r="C20" s="22"/>
      <c r="D20" s="22"/>
      <c r="E20" s="22"/>
      <c r="F20" s="22"/>
      <c r="G20" s="22"/>
      <c r="H20" s="22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9"/>
      <c r="AI20" s="19"/>
      <c r="AJ20" s="19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4">
        <f t="shared" si="0"/>
        <v>0</v>
      </c>
    </row>
    <row r="21" hidden="1" customHeight="1" spans="1:66">
      <c r="A21" s="16"/>
      <c r="B21" s="21"/>
      <c r="C21" s="22"/>
      <c r="D21" s="22"/>
      <c r="E21" s="22"/>
      <c r="F21" s="22"/>
      <c r="G21" s="22"/>
      <c r="H21" s="22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9"/>
      <c r="AI21" s="19"/>
      <c r="AJ21" s="19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4">
        <f t="shared" si="0"/>
        <v>0</v>
      </c>
    </row>
    <row r="22" hidden="1" customHeight="1" spans="1:66">
      <c r="A22" s="16"/>
      <c r="B22" s="17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9"/>
      <c r="AI22" s="19"/>
      <c r="AJ22" s="19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4">
        <f t="shared" si="0"/>
        <v>0</v>
      </c>
    </row>
    <row r="23" hidden="1" customHeight="1" spans="1:66">
      <c r="A23" s="16"/>
      <c r="B23" s="17"/>
      <c r="C23" s="19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9"/>
      <c r="AI23" s="19"/>
      <c r="AJ23" s="19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23"/>
      <c r="BF23" s="23"/>
      <c r="BG23" s="18"/>
      <c r="BH23" s="18"/>
      <c r="BI23" s="18"/>
      <c r="BJ23" s="18"/>
      <c r="BK23" s="19"/>
      <c r="BL23" s="18"/>
      <c r="BM23" s="18"/>
      <c r="BN23" s="14">
        <f t="shared" si="0"/>
        <v>0</v>
      </c>
    </row>
    <row r="24" hidden="1" customHeight="1" spans="1:66">
      <c r="A24" s="16"/>
      <c r="B24" s="17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24"/>
      <c r="AF24" s="24"/>
      <c r="AG24" s="24"/>
      <c r="AH24" s="19"/>
      <c r="AI24" s="19"/>
      <c r="AJ24" s="19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9"/>
      <c r="BL24" s="18"/>
      <c r="BM24" s="18"/>
      <c r="BN24" s="14">
        <f t="shared" si="0"/>
        <v>0</v>
      </c>
    </row>
    <row r="25" hidden="1" customHeight="1" spans="1:66">
      <c r="A25" s="16"/>
      <c r="B25" s="17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9"/>
      <c r="AI25" s="19"/>
      <c r="AJ25" s="19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4">
        <f t="shared" si="0"/>
        <v>0</v>
      </c>
    </row>
    <row r="26" hidden="1" customHeight="1" spans="1:66">
      <c r="A26" s="16"/>
      <c r="B26" s="17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9"/>
      <c r="AI26" s="19"/>
      <c r="AJ26" s="19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4">
        <f t="shared" si="0"/>
        <v>0</v>
      </c>
    </row>
    <row r="27" hidden="1" customHeight="1" spans="1:66">
      <c r="A27" s="16"/>
      <c r="B27" s="17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9"/>
      <c r="AI27" s="19"/>
      <c r="AJ27" s="19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4">
        <f t="shared" si="0"/>
        <v>0</v>
      </c>
    </row>
    <row r="28" hidden="1" customHeight="1" spans="1:66">
      <c r="A28" s="16"/>
      <c r="B28" s="17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9"/>
      <c r="AI28" s="19"/>
      <c r="AJ28" s="19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4">
        <f t="shared" si="0"/>
        <v>0</v>
      </c>
    </row>
    <row r="29" hidden="1" customHeight="1" spans="1:66">
      <c r="A29" s="16"/>
      <c r="B29" s="17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9"/>
      <c r="AI29" s="19"/>
      <c r="AJ29" s="19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4">
        <f t="shared" si="0"/>
        <v>0</v>
      </c>
    </row>
    <row r="30" hidden="1" customHeight="1" spans="1:66">
      <c r="A30" s="16"/>
      <c r="B30" s="17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9"/>
      <c r="AI30" s="19"/>
      <c r="AJ30" s="19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4">
        <f t="shared" si="0"/>
        <v>0</v>
      </c>
    </row>
    <row r="31" hidden="1" customHeight="1" spans="1:66">
      <c r="A31" s="16"/>
      <c r="B31" s="17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9"/>
      <c r="AI31" s="19"/>
      <c r="AJ31" s="19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4">
        <f t="shared" si="0"/>
        <v>0</v>
      </c>
    </row>
    <row r="32" hidden="1" customHeight="1" spans="1:66">
      <c r="A32" s="16"/>
      <c r="B32" s="17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9"/>
      <c r="AI32" s="19"/>
      <c r="AJ32" s="19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4">
        <f t="shared" si="0"/>
        <v>0</v>
      </c>
    </row>
    <row r="33" hidden="1" customHeight="1" spans="1:67">
      <c r="A33" s="16"/>
      <c r="B33" s="17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20"/>
      <c r="AD33" s="20"/>
      <c r="AE33" s="18"/>
      <c r="AF33" s="18"/>
      <c r="AG33" s="18"/>
      <c r="AH33" s="19"/>
      <c r="AI33" s="19"/>
      <c r="AJ33" s="19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20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4">
        <f t="shared" si="0"/>
        <v>0</v>
      </c>
    </row>
    <row r="34" ht="28" hidden="1" customHeight="1" spans="1:67">
      <c r="A34" s="16"/>
      <c r="B34" s="21"/>
      <c r="C34" s="22"/>
      <c r="D34" s="22"/>
      <c r="E34" s="22"/>
      <c r="F34" s="22"/>
      <c r="G34" s="22"/>
      <c r="H34" s="22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9"/>
      <c r="AI34" s="19"/>
      <c r="AJ34" s="19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4">
        <f t="shared" si="0"/>
        <v>0</v>
      </c>
    </row>
    <row r="35" ht="28" hidden="1" customHeight="1" spans="1:67">
      <c r="A35" s="16"/>
      <c r="B35" s="21"/>
      <c r="C35" s="22"/>
      <c r="D35" s="22"/>
      <c r="E35" s="22"/>
      <c r="F35" s="22"/>
      <c r="G35" s="22"/>
      <c r="H35" s="22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9"/>
      <c r="AI35" s="19"/>
      <c r="AJ35" s="19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4">
        <f t="shared" si="0"/>
        <v>0</v>
      </c>
    </row>
    <row r="36" ht="28" hidden="1" customHeight="1" spans="1:67">
      <c r="A36" s="16"/>
      <c r="B36" s="21"/>
      <c r="C36" s="22"/>
      <c r="D36" s="22"/>
      <c r="E36" s="22"/>
      <c r="F36" s="22"/>
      <c r="G36" s="22"/>
      <c r="H36" s="22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9"/>
      <c r="AI36" s="19"/>
      <c r="AJ36" s="19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4">
        <f t="shared" si="0"/>
        <v>0</v>
      </c>
    </row>
    <row r="37" ht="29" hidden="1" customHeight="1" spans="1:67">
      <c r="A37" s="16"/>
      <c r="B37" s="21"/>
      <c r="C37" s="22"/>
      <c r="D37" s="22"/>
      <c r="E37" s="22"/>
      <c r="F37" s="22"/>
      <c r="G37" s="22"/>
      <c r="H37" s="22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9"/>
      <c r="AI37" s="19"/>
      <c r="AJ37" s="19"/>
      <c r="AK37" s="18"/>
      <c r="AL37" s="18"/>
      <c r="AM37" s="18"/>
      <c r="AN37" s="18"/>
      <c r="AO37" s="18"/>
      <c r="AP37" s="18"/>
      <c r="AQ37" s="20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20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4">
        <f t="shared" si="0"/>
        <v>0</v>
      </c>
    </row>
    <row r="38" hidden="1" customHeight="1" spans="1:67">
      <c r="A38" s="16"/>
      <c r="B38" s="21"/>
      <c r="C38" s="22"/>
      <c r="D38" s="22"/>
      <c r="E38" s="22"/>
      <c r="F38" s="22"/>
      <c r="G38" s="22"/>
      <c r="H38" s="22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20"/>
      <c r="AD38" s="20"/>
      <c r="AE38" s="18"/>
      <c r="AF38" s="18"/>
      <c r="AG38" s="18"/>
      <c r="AH38" s="19"/>
      <c r="AI38" s="19"/>
      <c r="AJ38" s="19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4">
        <f t="shared" si="0"/>
        <v>0</v>
      </c>
    </row>
    <row r="39" hidden="1" customHeight="1" spans="1:67">
      <c r="A39" s="16"/>
      <c r="B39" s="21"/>
      <c r="C39" s="22"/>
      <c r="D39" s="22"/>
      <c r="E39" s="22"/>
      <c r="F39" s="22"/>
      <c r="G39" s="22"/>
      <c r="H39" s="22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20"/>
      <c r="AD39" s="20"/>
      <c r="AE39" s="18"/>
      <c r="AF39" s="18"/>
      <c r="AG39" s="18"/>
      <c r="AH39" s="19"/>
      <c r="AI39" s="19"/>
      <c r="AJ39" s="19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4">
        <f t="shared" si="0"/>
        <v>0</v>
      </c>
    </row>
    <row r="40" hidden="1" customHeight="1" spans="1:67">
      <c r="A40" s="16"/>
      <c r="B40" s="21"/>
      <c r="C40" s="22"/>
      <c r="D40" s="22"/>
      <c r="E40" s="22"/>
      <c r="F40" s="22"/>
      <c r="G40" s="22"/>
      <c r="H40" s="22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20"/>
      <c r="AD40" s="20"/>
      <c r="AE40" s="18"/>
      <c r="AF40" s="18"/>
      <c r="AG40" s="18"/>
      <c r="AH40" s="19"/>
      <c r="AI40" s="19"/>
      <c r="AJ40" s="19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4">
        <f t="shared" si="0"/>
        <v>0</v>
      </c>
    </row>
    <row r="41" hidden="1" customHeight="1" spans="1:67">
      <c r="A41" s="16"/>
      <c r="B41" s="21"/>
      <c r="C41" s="22"/>
      <c r="D41" s="22"/>
      <c r="E41" s="22"/>
      <c r="F41" s="22"/>
      <c r="G41" s="22"/>
      <c r="H41" s="22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20"/>
      <c r="AD41" s="20"/>
      <c r="AE41" s="18"/>
      <c r="AF41" s="18"/>
      <c r="AG41" s="18"/>
      <c r="AH41" s="19"/>
      <c r="AI41" s="19"/>
      <c r="AJ41" s="19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4">
        <f t="shared" si="0"/>
        <v>0</v>
      </c>
    </row>
    <row r="42" hidden="1" customHeight="1" spans="1:67">
      <c r="A42" s="16"/>
      <c r="B42" s="21"/>
      <c r="C42" s="22"/>
      <c r="D42" s="22"/>
      <c r="E42" s="22"/>
      <c r="F42" s="22"/>
      <c r="G42" s="22"/>
      <c r="H42" s="22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20"/>
      <c r="AD42" s="20"/>
      <c r="AE42" s="18"/>
      <c r="AF42" s="18"/>
      <c r="AG42" s="18"/>
      <c r="AH42" s="19"/>
      <c r="AI42" s="19"/>
      <c r="AJ42" s="19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4">
        <f t="shared" si="0"/>
        <v>0</v>
      </c>
    </row>
    <row r="43" hidden="1" customHeight="1" spans="1:67">
      <c r="A43" s="16"/>
      <c r="B43" s="21"/>
      <c r="C43" s="22"/>
      <c r="D43" s="22"/>
      <c r="E43" s="22"/>
      <c r="F43" s="22"/>
      <c r="G43" s="22"/>
      <c r="H43" s="22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20"/>
      <c r="AD43" s="20"/>
      <c r="AE43" s="18"/>
      <c r="AF43" s="18"/>
      <c r="AG43" s="18"/>
      <c r="AH43" s="19"/>
      <c r="AI43" s="19"/>
      <c r="AJ43" s="19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4">
        <f t="shared" si="0"/>
        <v>0</v>
      </c>
    </row>
    <row r="44" hidden="1" customHeight="1" spans="1:67">
      <c r="A44" s="16"/>
      <c r="B44" s="21"/>
      <c r="C44" s="22"/>
      <c r="D44" s="22"/>
      <c r="E44" s="22"/>
      <c r="F44" s="22"/>
      <c r="G44" s="22"/>
      <c r="H44" s="22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20"/>
      <c r="AD44" s="20"/>
      <c r="AE44" s="18"/>
      <c r="AF44" s="18"/>
      <c r="AG44" s="18"/>
      <c r="AH44" s="19"/>
      <c r="AI44" s="19"/>
      <c r="AJ44" s="19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4">
        <f t="shared" si="0"/>
        <v>0</v>
      </c>
    </row>
    <row r="45" hidden="1" customHeight="1" spans="1:67">
      <c r="A45" s="16"/>
      <c r="B45" s="21"/>
      <c r="C45" s="22"/>
      <c r="D45" s="22"/>
      <c r="E45" s="22"/>
      <c r="F45" s="22"/>
      <c r="G45" s="22"/>
      <c r="H45" s="22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20"/>
      <c r="AD45" s="20"/>
      <c r="AE45" s="18"/>
      <c r="AF45" s="18"/>
      <c r="AG45" s="18"/>
      <c r="AH45" s="19"/>
      <c r="AI45" s="19"/>
      <c r="AJ45" s="19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4">
        <f t="shared" si="0"/>
        <v>0</v>
      </c>
      <c r="BO45" s="25"/>
    </row>
    <row r="46" hidden="1" customHeight="1" spans="1:67">
      <c r="A46" s="16"/>
      <c r="B46" s="21"/>
      <c r="C46" s="22"/>
      <c r="D46" s="22"/>
      <c r="E46" s="22"/>
      <c r="F46" s="22"/>
      <c r="G46" s="22"/>
      <c r="H46" s="22"/>
      <c r="I46" s="18"/>
      <c r="J46" s="26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20"/>
      <c r="AD46" s="20"/>
      <c r="AE46" s="18"/>
      <c r="AF46" s="18"/>
      <c r="AG46" s="18"/>
      <c r="AH46" s="19"/>
      <c r="AI46" s="19"/>
      <c r="AJ46" s="19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4">
        <f t="shared" si="0"/>
        <v>0</v>
      </c>
    </row>
    <row r="47" hidden="1" customHeight="1" spans="1:67">
      <c r="A47" s="16"/>
      <c r="B47" s="21"/>
      <c r="C47" s="22"/>
      <c r="D47" s="22"/>
      <c r="E47" s="22"/>
      <c r="F47" s="22"/>
      <c r="G47" s="22"/>
      <c r="H47" s="22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20"/>
      <c r="AD47" s="20"/>
      <c r="AE47" s="18"/>
      <c r="AF47" s="18"/>
      <c r="AG47" s="18"/>
      <c r="AH47" s="19"/>
      <c r="AI47" s="19"/>
      <c r="AJ47" s="19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4">
        <f t="shared" si="0"/>
        <v>0</v>
      </c>
    </row>
    <row r="48" hidden="1" customHeight="1" spans="1:67">
      <c r="A48" s="16"/>
      <c r="B48" s="21"/>
      <c r="C48" s="22"/>
      <c r="D48" s="22"/>
      <c r="E48" s="22"/>
      <c r="F48" s="22"/>
      <c r="G48" s="22"/>
      <c r="H48" s="22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20"/>
      <c r="AD48" s="20"/>
      <c r="AE48" s="18"/>
      <c r="AF48" s="18"/>
      <c r="AG48" s="18"/>
      <c r="AH48" s="19"/>
      <c r="AI48" s="19"/>
      <c r="AJ48" s="19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4">
        <f t="shared" si="0"/>
        <v>0</v>
      </c>
    </row>
    <row r="49" hidden="1" customHeight="1" spans="1:66">
      <c r="A49" s="16"/>
      <c r="B49" s="21"/>
      <c r="C49" s="22"/>
      <c r="D49" s="22"/>
      <c r="E49" s="22"/>
      <c r="F49" s="22"/>
      <c r="G49" s="22"/>
      <c r="H49" s="22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20"/>
      <c r="AD49" s="20"/>
      <c r="AE49" s="18"/>
      <c r="AF49" s="18"/>
      <c r="AG49" s="18"/>
      <c r="AH49" s="19"/>
      <c r="AI49" s="19"/>
      <c r="AJ49" s="19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4">
        <f t="shared" si="0"/>
        <v>0</v>
      </c>
    </row>
    <row r="50" hidden="1" customHeight="1" spans="1:66">
      <c r="A50" s="16"/>
      <c r="B50" s="21"/>
      <c r="C50" s="22"/>
      <c r="D50" s="22"/>
      <c r="E50" s="22"/>
      <c r="F50" s="22"/>
      <c r="G50" s="22"/>
      <c r="H50" s="22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20"/>
      <c r="AD50" s="20"/>
      <c r="AE50" s="18"/>
      <c r="AF50" s="18"/>
      <c r="AG50" s="18"/>
      <c r="AH50" s="19"/>
      <c r="AI50" s="19"/>
      <c r="AJ50" s="19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4">
        <f t="shared" si="0"/>
        <v>0</v>
      </c>
    </row>
    <row r="51" hidden="1" customHeight="1" spans="1:66">
      <c r="A51" s="16"/>
      <c r="B51" s="21"/>
      <c r="C51" s="22"/>
      <c r="D51" s="22"/>
      <c r="E51" s="22"/>
      <c r="F51" s="22"/>
      <c r="G51" s="22"/>
      <c r="H51" s="22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20"/>
      <c r="AD51" s="20"/>
      <c r="AE51" s="18"/>
      <c r="AF51" s="18"/>
      <c r="AG51" s="18"/>
      <c r="AH51" s="19"/>
      <c r="AI51" s="19"/>
      <c r="AJ51" s="19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4">
        <f t="shared" si="0"/>
        <v>0</v>
      </c>
    </row>
    <row r="52" hidden="1" customHeight="1" spans="1:66">
      <c r="A52" s="16"/>
      <c r="B52" s="21"/>
      <c r="C52" s="22"/>
      <c r="D52" s="22"/>
      <c r="E52" s="22"/>
      <c r="F52" s="22"/>
      <c r="G52" s="22"/>
      <c r="H52" s="22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20"/>
      <c r="AD52" s="20"/>
      <c r="AE52" s="18"/>
      <c r="AF52" s="18"/>
      <c r="AG52" s="18"/>
      <c r="AH52" s="19"/>
      <c r="AI52" s="19"/>
      <c r="AJ52" s="19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4">
        <f t="shared" si="0"/>
        <v>0</v>
      </c>
    </row>
    <row r="53" hidden="1" customHeight="1" spans="1:66">
      <c r="A53" s="16"/>
      <c r="B53" s="21"/>
      <c r="C53" s="22"/>
      <c r="D53" s="22"/>
      <c r="E53" s="22"/>
      <c r="F53" s="22"/>
      <c r="G53" s="22"/>
      <c r="H53" s="22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20"/>
      <c r="AD53" s="20"/>
      <c r="AE53" s="18"/>
      <c r="AF53" s="18"/>
      <c r="AG53" s="18"/>
      <c r="AH53" s="19"/>
      <c r="AI53" s="19"/>
      <c r="AJ53" s="19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4">
        <f t="shared" si="0"/>
        <v>0</v>
      </c>
    </row>
    <row r="54" hidden="1" customHeight="1" spans="1:66">
      <c r="A54" s="16"/>
      <c r="B54" s="21"/>
      <c r="C54" s="22"/>
      <c r="D54" s="22"/>
      <c r="E54" s="22"/>
      <c r="F54" s="22"/>
      <c r="G54" s="22"/>
      <c r="H54" s="22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20"/>
      <c r="AD54" s="20"/>
      <c r="AE54" s="18"/>
      <c r="AF54" s="18"/>
      <c r="AG54" s="18"/>
      <c r="AH54" s="19"/>
      <c r="AI54" s="19"/>
      <c r="AJ54" s="19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4">
        <f t="shared" si="0"/>
        <v>0</v>
      </c>
    </row>
    <row r="55" hidden="1" customHeight="1" spans="1:66">
      <c r="A55" s="16"/>
      <c r="B55" s="21"/>
      <c r="C55" s="22"/>
      <c r="D55" s="22"/>
      <c r="E55" s="22"/>
      <c r="F55" s="22"/>
      <c r="G55" s="22"/>
      <c r="H55" s="22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20"/>
      <c r="AD55" s="20"/>
      <c r="AE55" s="18"/>
      <c r="AF55" s="18"/>
      <c r="AG55" s="18"/>
      <c r="AH55" s="19"/>
      <c r="AI55" s="19"/>
      <c r="AJ55" s="19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4">
        <f t="shared" si="0"/>
        <v>0</v>
      </c>
    </row>
    <row r="56" hidden="1" customHeight="1" spans="1:66">
      <c r="A56" s="16"/>
      <c r="B56" s="21"/>
      <c r="C56" s="22"/>
      <c r="D56" s="22"/>
      <c r="E56" s="22"/>
      <c r="F56" s="22"/>
      <c r="G56" s="22"/>
      <c r="H56" s="22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20"/>
      <c r="AD56" s="20"/>
      <c r="AE56" s="18"/>
      <c r="AF56" s="18"/>
      <c r="AG56" s="18"/>
      <c r="AH56" s="19"/>
      <c r="AI56" s="19"/>
      <c r="AJ56" s="19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4">
        <f t="shared" si="0"/>
        <v>0</v>
      </c>
    </row>
    <row r="57" hidden="1" customHeight="1" spans="1:66">
      <c r="A57" s="16"/>
      <c r="B57" s="21"/>
      <c r="C57" s="22"/>
      <c r="D57" s="22"/>
      <c r="E57" s="22"/>
      <c r="F57" s="22"/>
      <c r="G57" s="22"/>
      <c r="H57" s="22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9"/>
      <c r="AI57" s="19"/>
      <c r="AJ57" s="19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4">
        <f t="shared" si="0"/>
        <v>0</v>
      </c>
    </row>
    <row r="58" hidden="1" customHeight="1" spans="1:66">
      <c r="A58" s="16"/>
      <c r="B58" s="17"/>
      <c r="C58" s="18"/>
      <c r="D58" s="18"/>
      <c r="E58" s="18"/>
      <c r="F58" s="18"/>
      <c r="G58" s="18"/>
      <c r="H58" s="18"/>
      <c r="I58" s="20"/>
      <c r="J58" s="20"/>
      <c r="K58" s="20"/>
      <c r="L58" s="18"/>
      <c r="M58" s="18"/>
      <c r="N58" s="18"/>
      <c r="O58" s="18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18"/>
      <c r="AC58" s="18"/>
      <c r="AD58" s="18"/>
      <c r="AE58" s="18"/>
      <c r="AF58" s="18"/>
      <c r="AG58" s="18"/>
      <c r="AH58" s="19"/>
      <c r="AI58" s="19"/>
      <c r="AJ58" s="19"/>
      <c r="AK58" s="18"/>
      <c r="AL58" s="18"/>
      <c r="AM58" s="18"/>
      <c r="AN58" s="18"/>
      <c r="AO58" s="18"/>
      <c r="AP58" s="20"/>
      <c r="AQ58" s="18"/>
      <c r="AR58" s="20"/>
      <c r="AS58" s="18"/>
      <c r="AT58" s="18"/>
      <c r="AU58" s="18"/>
      <c r="AV58" s="18"/>
      <c r="AW58" s="18"/>
      <c r="AX58" s="18"/>
      <c r="AY58" s="18"/>
      <c r="AZ58" s="20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4">
        <f t="shared" si="0"/>
        <v>0</v>
      </c>
    </row>
    <row r="59" hidden="1" customHeight="1" spans="1:66">
      <c r="A59" s="16"/>
      <c r="B59" s="17"/>
      <c r="C59" s="18"/>
      <c r="D59" s="18"/>
      <c r="E59" s="18"/>
      <c r="F59" s="18"/>
      <c r="G59" s="18"/>
      <c r="H59" s="18"/>
      <c r="I59" s="20"/>
      <c r="J59" s="20"/>
      <c r="K59" s="20"/>
      <c r="L59" s="18"/>
      <c r="M59" s="18"/>
      <c r="N59" s="18"/>
      <c r="O59" s="18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18"/>
      <c r="AC59" s="18"/>
      <c r="AD59" s="18"/>
      <c r="AE59" s="18"/>
      <c r="AF59" s="18"/>
      <c r="AG59" s="18"/>
      <c r="AH59" s="19"/>
      <c r="AI59" s="19"/>
      <c r="AJ59" s="19"/>
      <c r="AK59" s="18"/>
      <c r="AL59" s="18"/>
      <c r="AM59" s="18"/>
      <c r="AN59" s="18"/>
      <c r="AO59" s="18"/>
      <c r="AP59" s="20"/>
      <c r="AQ59" s="18"/>
      <c r="AR59" s="20"/>
      <c r="AS59" s="18"/>
      <c r="AT59" s="18"/>
      <c r="AU59" s="18"/>
      <c r="AV59" s="18"/>
      <c r="AW59" s="18"/>
      <c r="AX59" s="18"/>
      <c r="AY59" s="18"/>
      <c r="AZ59" s="20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4">
        <f t="shared" si="0"/>
        <v>0</v>
      </c>
    </row>
    <row r="60" hidden="1" customHeight="1" spans="1:66">
      <c r="A60" s="16"/>
      <c r="B60" s="17"/>
      <c r="C60" s="18"/>
      <c r="D60" s="18"/>
      <c r="E60" s="18"/>
      <c r="F60" s="18"/>
      <c r="G60" s="18"/>
      <c r="H60" s="18"/>
      <c r="I60" s="19"/>
      <c r="J60" s="20"/>
      <c r="K60" s="20"/>
      <c r="L60" s="18"/>
      <c r="M60" s="18"/>
      <c r="N60" s="18"/>
      <c r="O60" s="18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18"/>
      <c r="AC60" s="18"/>
      <c r="AD60" s="18"/>
      <c r="AE60" s="18"/>
      <c r="AF60" s="18"/>
      <c r="AG60" s="18"/>
      <c r="AH60" s="19"/>
      <c r="AI60" s="19"/>
      <c r="AJ60" s="19"/>
      <c r="AK60" s="18"/>
      <c r="AL60" s="18"/>
      <c r="AM60" s="18"/>
      <c r="AN60" s="18"/>
      <c r="AO60" s="18"/>
      <c r="AP60" s="20"/>
      <c r="AQ60" s="18"/>
      <c r="AR60" s="20"/>
      <c r="AS60" s="18"/>
      <c r="AT60" s="18"/>
      <c r="AU60" s="18"/>
      <c r="AV60" s="18"/>
      <c r="AW60" s="18"/>
      <c r="AX60" s="18"/>
      <c r="AY60" s="18"/>
      <c r="AZ60" s="20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4">
        <f t="shared" si="0"/>
        <v>0</v>
      </c>
    </row>
    <row r="61" s="3" customFormat="1" hidden="1" customHeight="1" spans="1:66">
      <c r="A61" s="42"/>
      <c r="B61" s="18"/>
      <c r="C61" s="18"/>
      <c r="D61" s="18"/>
      <c r="E61" s="18"/>
      <c r="F61" s="18"/>
      <c r="G61" s="18"/>
      <c r="H61" s="18"/>
      <c r="I61" s="19"/>
      <c r="J61" s="20"/>
      <c r="K61" s="19"/>
      <c r="L61" s="18"/>
      <c r="M61" s="18"/>
      <c r="N61" s="18"/>
      <c r="O61" s="18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18"/>
      <c r="AC61" s="18"/>
      <c r="AD61" s="18"/>
      <c r="AE61" s="18"/>
      <c r="AF61" s="18"/>
      <c r="AG61" s="18"/>
      <c r="AH61" s="19"/>
      <c r="AI61" s="19"/>
      <c r="AJ61" s="19"/>
      <c r="AK61" s="18"/>
      <c r="AL61" s="18"/>
      <c r="AM61" s="18"/>
      <c r="AN61" s="18"/>
      <c r="AO61" s="18"/>
      <c r="AP61" s="20"/>
      <c r="AQ61" s="18"/>
      <c r="AR61" s="20"/>
      <c r="AS61" s="18"/>
      <c r="AT61" s="18"/>
      <c r="AU61" s="18"/>
      <c r="AV61" s="18"/>
      <c r="AW61" s="18"/>
      <c r="AX61" s="18"/>
      <c r="AY61" s="18"/>
      <c r="AZ61" s="20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4">
        <f t="shared" si="0"/>
        <v>0</v>
      </c>
    </row>
    <row r="62" s="3" customFormat="1" hidden="1" customHeight="1" spans="1:66">
      <c r="A62" s="42"/>
      <c r="B62" s="18"/>
      <c r="C62" s="18"/>
      <c r="D62" s="18"/>
      <c r="E62" s="18"/>
      <c r="F62" s="18"/>
      <c r="G62" s="18"/>
      <c r="H62" s="18"/>
      <c r="I62" s="19"/>
      <c r="J62" s="20"/>
      <c r="K62" s="19"/>
      <c r="L62" s="18"/>
      <c r="M62" s="18"/>
      <c r="N62" s="18"/>
      <c r="O62" s="18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18"/>
      <c r="AC62" s="18"/>
      <c r="AD62" s="18"/>
      <c r="AE62" s="18"/>
      <c r="AF62" s="18"/>
      <c r="AG62" s="18"/>
      <c r="AH62" s="19"/>
      <c r="AI62" s="19"/>
      <c r="AJ62" s="19"/>
      <c r="AK62" s="18"/>
      <c r="AL62" s="18"/>
      <c r="AM62" s="18"/>
      <c r="AN62" s="18"/>
      <c r="AO62" s="18"/>
      <c r="AP62" s="20"/>
      <c r="AQ62" s="18"/>
      <c r="AR62" s="20"/>
      <c r="AS62" s="18"/>
      <c r="AT62" s="18"/>
      <c r="AU62" s="18"/>
      <c r="AV62" s="18"/>
      <c r="AW62" s="18"/>
      <c r="AX62" s="18"/>
      <c r="AY62" s="18"/>
      <c r="AZ62" s="20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4">
        <f t="shared" si="0"/>
        <v>0</v>
      </c>
    </row>
    <row r="63" hidden="1" customHeight="1" spans="1:66">
      <c r="A63" s="16"/>
      <c r="B63" s="17"/>
      <c r="C63" s="18"/>
      <c r="D63" s="18"/>
      <c r="E63" s="18"/>
      <c r="F63" s="18"/>
      <c r="G63" s="18"/>
      <c r="H63" s="18"/>
      <c r="I63" s="19"/>
      <c r="J63" s="19"/>
      <c r="K63" s="19"/>
      <c r="L63" s="18"/>
      <c r="M63" s="18"/>
      <c r="N63" s="18"/>
      <c r="O63" s="18"/>
      <c r="P63" s="19"/>
      <c r="Q63" s="20"/>
      <c r="R63" s="20"/>
      <c r="S63" s="20"/>
      <c r="T63" s="20"/>
      <c r="U63" s="20"/>
      <c r="V63" s="20"/>
      <c r="W63" s="19"/>
      <c r="X63" s="20"/>
      <c r="Y63" s="20"/>
      <c r="Z63" s="20"/>
      <c r="AA63" s="20"/>
      <c r="AB63" s="18"/>
      <c r="AC63" s="18"/>
      <c r="AD63" s="18"/>
      <c r="AE63" s="18"/>
      <c r="AF63" s="18"/>
      <c r="AG63" s="18"/>
      <c r="AH63" s="19"/>
      <c r="AI63" s="19"/>
      <c r="AJ63" s="19"/>
      <c r="AK63" s="18"/>
      <c r="AL63" s="18"/>
      <c r="AM63" s="18"/>
      <c r="AN63" s="18"/>
      <c r="AO63" s="18"/>
      <c r="AP63" s="27"/>
      <c r="AQ63" s="18"/>
      <c r="AR63" s="19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4">
        <f t="shared" si="0"/>
        <v>0</v>
      </c>
    </row>
    <row r="64" hidden="1" customHeight="1" spans="1:66">
      <c r="A64" s="16"/>
      <c r="B64" s="17"/>
      <c r="C64" s="18"/>
      <c r="D64" s="18"/>
      <c r="E64" s="18"/>
      <c r="F64" s="18"/>
      <c r="G64" s="18"/>
      <c r="H64" s="18"/>
      <c r="I64" s="19"/>
      <c r="J64" s="19"/>
      <c r="K64" s="19"/>
      <c r="L64" s="18"/>
      <c r="M64" s="18"/>
      <c r="N64" s="18"/>
      <c r="O64" s="18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18"/>
      <c r="AC64" s="18"/>
      <c r="AD64" s="18"/>
      <c r="AE64" s="18"/>
      <c r="AF64" s="18"/>
      <c r="AG64" s="18"/>
      <c r="AH64" s="19"/>
      <c r="AI64" s="19"/>
      <c r="AJ64" s="19"/>
      <c r="AK64" s="18"/>
      <c r="AL64" s="18"/>
      <c r="AM64" s="18"/>
      <c r="AN64" s="18"/>
      <c r="AO64" s="18"/>
      <c r="AP64" s="20"/>
      <c r="AQ64" s="18"/>
      <c r="AR64" s="20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4">
        <f t="shared" si="0"/>
        <v>0</v>
      </c>
    </row>
    <row r="65" hidden="1" customHeight="1" spans="1:66">
      <c r="A65" s="16"/>
      <c r="B65" s="17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9"/>
      <c r="AI65" s="19"/>
      <c r="AJ65" s="19"/>
      <c r="AK65" s="18"/>
      <c r="AL65" s="18"/>
      <c r="AM65" s="18"/>
      <c r="AN65" s="18"/>
      <c r="AO65" s="18"/>
      <c r="AP65" s="18"/>
      <c r="AQ65" s="18"/>
      <c r="AR65" s="20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4">
        <f t="shared" si="0"/>
        <v>0</v>
      </c>
    </row>
    <row r="66" hidden="1" customHeight="1" spans="1:66">
      <c r="A66" s="16"/>
      <c r="B66" s="21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9"/>
      <c r="AI66" s="19"/>
      <c r="AJ66" s="19"/>
      <c r="AK66" s="18"/>
      <c r="AL66" s="18"/>
      <c r="AM66" s="18"/>
      <c r="AN66" s="18"/>
      <c r="AO66" s="18"/>
      <c r="AP66" s="18"/>
      <c r="AQ66" s="18"/>
      <c r="AR66" s="20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4">
        <f t="shared" si="0"/>
        <v>0</v>
      </c>
    </row>
    <row r="67" hidden="1" customHeight="1" spans="1:66">
      <c r="A67" s="16"/>
      <c r="B67" s="21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9"/>
      <c r="AI67" s="19"/>
      <c r="AJ67" s="19"/>
      <c r="AK67" s="18"/>
      <c r="AL67" s="18"/>
      <c r="AM67" s="18"/>
      <c r="AN67" s="18"/>
      <c r="AO67" s="18"/>
      <c r="AP67" s="18"/>
      <c r="AQ67" s="18"/>
      <c r="AR67" s="20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4">
        <f t="shared" si="0"/>
        <v>0</v>
      </c>
    </row>
    <row r="68" hidden="1" customHeight="1" spans="1:66">
      <c r="A68" s="16"/>
      <c r="B68" s="21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9"/>
      <c r="AI68" s="19"/>
      <c r="AJ68" s="19"/>
      <c r="AK68" s="18"/>
      <c r="AL68" s="18"/>
      <c r="AM68" s="18"/>
      <c r="AN68" s="18"/>
      <c r="AO68" s="18"/>
      <c r="AP68" s="18"/>
      <c r="AQ68" s="18"/>
      <c r="AR68" s="20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4">
        <f t="shared" si="0"/>
        <v>0</v>
      </c>
    </row>
    <row r="69" hidden="1" customHeight="1" spans="1:66">
      <c r="A69" s="16"/>
      <c r="B69" s="21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9"/>
      <c r="AI69" s="19"/>
      <c r="AJ69" s="19"/>
      <c r="AK69" s="18"/>
      <c r="AL69" s="18"/>
      <c r="AM69" s="18"/>
      <c r="AN69" s="18"/>
      <c r="AO69" s="18"/>
      <c r="AP69" s="18"/>
      <c r="AQ69" s="18"/>
      <c r="AR69" s="20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4">
        <f t="shared" si="0"/>
        <v>0</v>
      </c>
    </row>
    <row r="70" hidden="1" customHeight="1" spans="1:66">
      <c r="A70" s="16"/>
      <c r="B70" s="17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9"/>
      <c r="AI70" s="19"/>
      <c r="AJ70" s="19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4">
        <f t="shared" si="0"/>
        <v>0</v>
      </c>
    </row>
    <row r="71" hidden="1" customHeight="1" spans="1:66">
      <c r="A71" s="16"/>
      <c r="B71" s="21"/>
      <c r="C71" s="22"/>
      <c r="D71" s="22"/>
      <c r="E71" s="22"/>
      <c r="F71" s="22"/>
      <c r="G71" s="22"/>
      <c r="H71" s="22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9"/>
      <c r="AI71" s="19"/>
      <c r="AJ71" s="19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4">
        <f t="shared" ref="BN71:BN134" si="1">C71+D71+E71+F71+G71+H71+I71+J71+K71+L71+M71+N71+O71+P71</f>
        <v>0</v>
      </c>
    </row>
    <row r="72" hidden="1" customHeight="1" spans="1:66">
      <c r="A72" s="16"/>
      <c r="B72" s="21"/>
      <c r="C72" s="22"/>
      <c r="D72" s="22"/>
      <c r="E72" s="22"/>
      <c r="F72" s="22"/>
      <c r="G72" s="22"/>
      <c r="H72" s="22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9"/>
      <c r="AI72" s="19"/>
      <c r="AJ72" s="19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4">
        <f t="shared" si="1"/>
        <v>0</v>
      </c>
    </row>
    <row r="73" hidden="1" customHeight="1" spans="1:66">
      <c r="A73" s="16"/>
      <c r="B73" s="21"/>
      <c r="C73" s="22"/>
      <c r="D73" s="22"/>
      <c r="E73" s="22"/>
      <c r="F73" s="22"/>
      <c r="G73" s="22"/>
      <c r="H73" s="22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9"/>
      <c r="AI73" s="19"/>
      <c r="AJ73" s="19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4">
        <f t="shared" si="1"/>
        <v>0</v>
      </c>
    </row>
    <row r="74" hidden="1" customHeight="1" spans="1:66">
      <c r="A74" s="16"/>
      <c r="B74" s="21"/>
      <c r="C74" s="22"/>
      <c r="D74" s="22"/>
      <c r="E74" s="22"/>
      <c r="F74" s="22"/>
      <c r="G74" s="22"/>
      <c r="H74" s="22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9"/>
      <c r="AI74" s="19"/>
      <c r="AJ74" s="19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4">
        <f t="shared" si="1"/>
        <v>0</v>
      </c>
    </row>
    <row r="75" hidden="1" customHeight="1" spans="1:66">
      <c r="A75" s="16"/>
      <c r="B75" s="21"/>
      <c r="C75" s="22"/>
      <c r="D75" s="22"/>
      <c r="E75" s="22"/>
      <c r="F75" s="22"/>
      <c r="G75" s="22"/>
      <c r="H75" s="22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9"/>
      <c r="AI75" s="19"/>
      <c r="AJ75" s="19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4">
        <f t="shared" si="1"/>
        <v>0</v>
      </c>
    </row>
    <row r="76" hidden="1" customHeight="1" spans="1:66">
      <c r="A76" s="16"/>
      <c r="B76" s="21"/>
      <c r="C76" s="22"/>
      <c r="D76" s="22"/>
      <c r="E76" s="22"/>
      <c r="F76" s="22"/>
      <c r="G76" s="22"/>
      <c r="H76" s="22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9"/>
      <c r="AI76" s="19"/>
      <c r="AJ76" s="19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4">
        <f t="shared" si="1"/>
        <v>0</v>
      </c>
    </row>
    <row r="77" hidden="1" customHeight="1" spans="1:66">
      <c r="A77" s="16"/>
      <c r="B77" s="21"/>
      <c r="C77" s="22"/>
      <c r="D77" s="22"/>
      <c r="E77" s="22"/>
      <c r="F77" s="22"/>
      <c r="G77" s="22"/>
      <c r="H77" s="22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9"/>
      <c r="AI77" s="19"/>
      <c r="AJ77" s="19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4">
        <f t="shared" si="1"/>
        <v>0</v>
      </c>
    </row>
    <row r="78" hidden="1" customHeight="1" spans="1:66">
      <c r="A78" s="16"/>
      <c r="B78" s="21"/>
      <c r="C78" s="22"/>
      <c r="D78" s="22"/>
      <c r="E78" s="22"/>
      <c r="F78" s="22"/>
      <c r="G78" s="22"/>
      <c r="H78" s="22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9"/>
      <c r="AI78" s="19"/>
      <c r="AJ78" s="19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4">
        <f t="shared" si="1"/>
        <v>0</v>
      </c>
    </row>
    <row r="79" hidden="1" customHeight="1" spans="1:66">
      <c r="A79" s="16"/>
      <c r="B79" s="21"/>
      <c r="C79" s="22"/>
      <c r="D79" s="22"/>
      <c r="E79" s="22"/>
      <c r="F79" s="22"/>
      <c r="G79" s="22"/>
      <c r="H79" s="22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9"/>
      <c r="AI79" s="19"/>
      <c r="AJ79" s="19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4">
        <f t="shared" si="1"/>
        <v>0</v>
      </c>
    </row>
    <row r="80" hidden="1" customHeight="1" spans="1:66">
      <c r="A80" s="16"/>
      <c r="B80" s="21"/>
      <c r="C80" s="22"/>
      <c r="D80" s="22"/>
      <c r="E80" s="22"/>
      <c r="F80" s="22"/>
      <c r="G80" s="22"/>
      <c r="H80" s="22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9"/>
      <c r="AI80" s="19"/>
      <c r="AJ80" s="19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4">
        <f t="shared" si="1"/>
        <v>0</v>
      </c>
    </row>
    <row r="81" hidden="1" customHeight="1" spans="1:66">
      <c r="A81" s="16"/>
      <c r="B81" s="21"/>
      <c r="C81" s="22"/>
      <c r="D81" s="22"/>
      <c r="E81" s="22"/>
      <c r="F81" s="22"/>
      <c r="G81" s="22"/>
      <c r="H81" s="22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9"/>
      <c r="AI81" s="19"/>
      <c r="AJ81" s="19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4">
        <f t="shared" si="1"/>
        <v>0</v>
      </c>
    </row>
    <row r="82" hidden="1" customHeight="1" spans="1:66">
      <c r="A82" s="16"/>
      <c r="B82" s="21"/>
      <c r="C82" s="22"/>
      <c r="D82" s="22"/>
      <c r="E82" s="22"/>
      <c r="F82" s="22"/>
      <c r="G82" s="22"/>
      <c r="H82" s="22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9"/>
      <c r="AI82" s="19"/>
      <c r="AJ82" s="19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4">
        <f t="shared" si="1"/>
        <v>0</v>
      </c>
    </row>
    <row r="83" hidden="1" customHeight="1" spans="1:66">
      <c r="A83" s="16"/>
      <c r="B83" s="21"/>
      <c r="C83" s="22"/>
      <c r="D83" s="22"/>
      <c r="E83" s="22"/>
      <c r="F83" s="22"/>
      <c r="G83" s="22"/>
      <c r="H83" s="22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9"/>
      <c r="AI83" s="19"/>
      <c r="AJ83" s="19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4">
        <f t="shared" si="1"/>
        <v>0</v>
      </c>
    </row>
    <row r="84" hidden="1" customHeight="1" spans="1:66">
      <c r="A84" s="16"/>
      <c r="B84" s="21"/>
      <c r="C84" s="22"/>
      <c r="D84" s="22"/>
      <c r="E84" s="22"/>
      <c r="F84" s="22"/>
      <c r="G84" s="22"/>
      <c r="H84" s="22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9"/>
      <c r="AI84" s="19"/>
      <c r="AJ84" s="19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4">
        <f t="shared" si="1"/>
        <v>0</v>
      </c>
    </row>
    <row r="85" hidden="1" customHeight="1" spans="1:66">
      <c r="A85" s="16"/>
      <c r="B85" s="21"/>
      <c r="C85" s="22"/>
      <c r="D85" s="22"/>
      <c r="E85" s="22"/>
      <c r="F85" s="22"/>
      <c r="G85" s="22"/>
      <c r="H85" s="22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9"/>
      <c r="AI85" s="19"/>
      <c r="AJ85" s="19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4">
        <f t="shared" si="1"/>
        <v>0</v>
      </c>
    </row>
    <row r="86" hidden="1" customHeight="1" spans="1:66">
      <c r="A86" s="16"/>
      <c r="B86" s="21"/>
      <c r="C86" s="22"/>
      <c r="D86" s="22"/>
      <c r="E86" s="22"/>
      <c r="F86" s="22"/>
      <c r="G86" s="22"/>
      <c r="H86" s="22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9"/>
      <c r="AI86" s="19"/>
      <c r="AJ86" s="19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4">
        <f t="shared" si="1"/>
        <v>0</v>
      </c>
    </row>
    <row r="87" hidden="1" customHeight="1" spans="1:66">
      <c r="A87" s="16"/>
      <c r="B87" s="21"/>
      <c r="C87" s="22"/>
      <c r="D87" s="22"/>
      <c r="E87" s="22"/>
      <c r="F87" s="22"/>
      <c r="G87" s="22"/>
      <c r="H87" s="22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9"/>
      <c r="AI87" s="19"/>
      <c r="AJ87" s="19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4">
        <f t="shared" si="1"/>
        <v>0</v>
      </c>
    </row>
    <row r="88" hidden="1" customHeight="1" spans="1:66">
      <c r="A88" s="16"/>
      <c r="B88" s="21"/>
      <c r="C88" s="22"/>
      <c r="D88" s="22"/>
      <c r="E88" s="22"/>
      <c r="F88" s="22"/>
      <c r="G88" s="22"/>
      <c r="H88" s="22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9"/>
      <c r="AI88" s="19"/>
      <c r="AJ88" s="19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4">
        <f t="shared" si="1"/>
        <v>0</v>
      </c>
    </row>
    <row r="89" hidden="1" customHeight="1" spans="1:66">
      <c r="A89" s="16"/>
      <c r="B89" s="21"/>
      <c r="C89" s="22"/>
      <c r="D89" s="22"/>
      <c r="E89" s="22"/>
      <c r="F89" s="22"/>
      <c r="G89" s="22"/>
      <c r="H89" s="22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9"/>
      <c r="AI89" s="19"/>
      <c r="AJ89" s="19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4">
        <f t="shared" si="1"/>
        <v>0</v>
      </c>
    </row>
    <row r="90" hidden="1" customHeight="1" spans="1:66">
      <c r="A90" s="16"/>
      <c r="B90" s="21"/>
      <c r="C90" s="22"/>
      <c r="D90" s="22"/>
      <c r="E90" s="22"/>
      <c r="F90" s="22"/>
      <c r="G90" s="22"/>
      <c r="H90" s="22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9"/>
      <c r="AI90" s="19"/>
      <c r="AJ90" s="19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4">
        <f t="shared" si="1"/>
        <v>0</v>
      </c>
    </row>
    <row r="91" hidden="1" customHeight="1" spans="1:66">
      <c r="A91" s="16"/>
      <c r="B91" s="21"/>
      <c r="C91" s="22"/>
      <c r="D91" s="22"/>
      <c r="E91" s="22"/>
      <c r="F91" s="22"/>
      <c r="G91" s="22"/>
      <c r="H91" s="22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9"/>
      <c r="AI91" s="19"/>
      <c r="AJ91" s="19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4">
        <f t="shared" si="1"/>
        <v>0</v>
      </c>
    </row>
    <row r="92" hidden="1" customHeight="1" spans="1:66">
      <c r="A92" s="16"/>
      <c r="B92" s="21"/>
      <c r="C92" s="22"/>
      <c r="D92" s="22"/>
      <c r="E92" s="22"/>
      <c r="F92" s="22"/>
      <c r="G92" s="22"/>
      <c r="H92" s="22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9"/>
      <c r="AI92" s="19"/>
      <c r="AJ92" s="19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4">
        <f t="shared" si="1"/>
        <v>0</v>
      </c>
    </row>
    <row r="93" hidden="1" customHeight="1" spans="1:66">
      <c r="A93" s="16"/>
      <c r="B93" s="21"/>
      <c r="C93" s="22"/>
      <c r="D93" s="22"/>
      <c r="E93" s="22"/>
      <c r="F93" s="22"/>
      <c r="G93" s="22"/>
      <c r="H93" s="22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9"/>
      <c r="AI93" s="19"/>
      <c r="AJ93" s="19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4">
        <f t="shared" si="1"/>
        <v>0</v>
      </c>
    </row>
    <row r="94" hidden="1" customHeight="1" spans="1:66">
      <c r="A94" s="16"/>
      <c r="B94" s="17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9"/>
      <c r="AI94" s="19"/>
      <c r="AJ94" s="19"/>
      <c r="AK94" s="18"/>
      <c r="AL94" s="20"/>
      <c r="AM94" s="20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4">
        <f t="shared" si="1"/>
        <v>0</v>
      </c>
    </row>
    <row r="95" hidden="1" customHeight="1" spans="1:66">
      <c r="A95" s="16"/>
      <c r="B95" s="17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20"/>
      <c r="AF95" s="20"/>
      <c r="AG95" s="20"/>
      <c r="AH95" s="19"/>
      <c r="AI95" s="19"/>
      <c r="AJ95" s="19"/>
      <c r="AK95" s="18"/>
      <c r="AL95" s="20"/>
      <c r="AM95" s="20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4">
        <f t="shared" si="1"/>
        <v>0</v>
      </c>
    </row>
    <row r="96" hidden="1" customHeight="1" spans="1:66">
      <c r="A96" s="16"/>
      <c r="B96" s="17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20"/>
      <c r="AF96" s="20"/>
      <c r="AG96" s="20"/>
      <c r="AH96" s="19"/>
      <c r="AI96" s="19"/>
      <c r="AJ96" s="19"/>
      <c r="AK96" s="18"/>
      <c r="AL96" s="20"/>
      <c r="AM96" s="20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4">
        <f t="shared" si="1"/>
        <v>0</v>
      </c>
    </row>
    <row r="97" hidden="1" customHeight="1" spans="1:66">
      <c r="A97" s="16"/>
      <c r="B97" s="17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20"/>
      <c r="AF97" s="20"/>
      <c r="AG97" s="20"/>
      <c r="AH97" s="19"/>
      <c r="AI97" s="19"/>
      <c r="AJ97" s="19"/>
      <c r="AK97" s="18"/>
      <c r="AL97" s="20"/>
      <c r="AM97" s="20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4">
        <f t="shared" si="1"/>
        <v>0</v>
      </c>
    </row>
    <row r="98" hidden="1" customHeight="1" spans="1:66">
      <c r="A98" s="16"/>
      <c r="B98" s="17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20"/>
      <c r="AF98" s="20"/>
      <c r="AG98" s="20"/>
      <c r="AH98" s="19"/>
      <c r="AI98" s="19"/>
      <c r="AJ98" s="19"/>
      <c r="AK98" s="18"/>
      <c r="AL98" s="20"/>
      <c r="AM98" s="20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4">
        <f t="shared" si="1"/>
        <v>0</v>
      </c>
    </row>
    <row r="99" hidden="1" customHeight="1" spans="1:66">
      <c r="A99" s="16"/>
      <c r="B99" s="17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28"/>
      <c r="Z99" s="18"/>
      <c r="AA99" s="18"/>
      <c r="AB99" s="18"/>
      <c r="AC99" s="18"/>
      <c r="AD99" s="18"/>
      <c r="AE99" s="19"/>
      <c r="AF99" s="19"/>
      <c r="AG99" s="19"/>
      <c r="AH99" s="19"/>
      <c r="AI99" s="19"/>
      <c r="AJ99" s="19"/>
      <c r="AK99" s="18"/>
      <c r="AL99" s="20"/>
      <c r="AM99" s="20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4">
        <f t="shared" si="1"/>
        <v>0</v>
      </c>
    </row>
    <row r="100" hidden="1" customHeight="1" spans="1:66">
      <c r="A100" s="16"/>
      <c r="B100" s="17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9"/>
      <c r="AI100" s="19"/>
      <c r="AJ100" s="19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4">
        <f t="shared" si="1"/>
        <v>0</v>
      </c>
    </row>
    <row r="101" hidden="1" customHeight="1" spans="1:66">
      <c r="A101" s="16"/>
      <c r="B101" s="17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9"/>
      <c r="AI101" s="19"/>
      <c r="AJ101" s="19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4">
        <f t="shared" si="1"/>
        <v>0</v>
      </c>
    </row>
    <row r="102" hidden="1" customHeight="1" spans="1:66">
      <c r="A102" s="16"/>
      <c r="B102" s="17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9"/>
      <c r="AI102" s="19"/>
      <c r="AJ102" s="19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4">
        <f t="shared" si="1"/>
        <v>0</v>
      </c>
    </row>
    <row r="103" hidden="1" customHeight="1" spans="1:66">
      <c r="A103" s="16"/>
      <c r="B103" s="17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9"/>
      <c r="AI103" s="19"/>
      <c r="AJ103" s="19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4">
        <f t="shared" si="1"/>
        <v>0</v>
      </c>
    </row>
    <row r="104" hidden="1" customHeight="1" spans="1:66">
      <c r="A104" s="29"/>
      <c r="B104" s="30"/>
      <c r="C104" s="31"/>
      <c r="D104" s="31"/>
      <c r="E104" s="31"/>
      <c r="F104" s="31"/>
      <c r="G104" s="31"/>
      <c r="H104" s="31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7"/>
      <c r="AI104" s="27"/>
      <c r="AJ104" s="27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14">
        <f t="shared" si="1"/>
        <v>0</v>
      </c>
    </row>
    <row r="105" hidden="1" customHeight="1" spans="1:66">
      <c r="A105" s="29"/>
      <c r="B105" s="32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7"/>
      <c r="AI105" s="27"/>
      <c r="AJ105" s="27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14">
        <f t="shared" si="1"/>
        <v>0</v>
      </c>
    </row>
    <row r="106" hidden="1" customHeight="1" spans="1:66">
      <c r="A106" s="29"/>
      <c r="B106" s="32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7"/>
      <c r="AI106" s="27"/>
      <c r="AJ106" s="27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14">
        <f t="shared" si="1"/>
        <v>0</v>
      </c>
    </row>
    <row r="107" hidden="1" customHeight="1" spans="1:66">
      <c r="A107" s="29"/>
      <c r="B107" s="32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7"/>
      <c r="AI107" s="27"/>
      <c r="AJ107" s="27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14">
        <f t="shared" si="1"/>
        <v>0</v>
      </c>
    </row>
    <row r="108" hidden="1" customHeight="1" spans="1:66">
      <c r="A108" s="29"/>
      <c r="B108" s="32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7"/>
      <c r="AI108" s="27"/>
      <c r="AJ108" s="27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14">
        <f t="shared" si="1"/>
        <v>0</v>
      </c>
    </row>
    <row r="109" hidden="1" customHeight="1" spans="1:66">
      <c r="A109" s="29"/>
      <c r="B109" s="32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7"/>
      <c r="AI109" s="27"/>
      <c r="AJ109" s="27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14">
        <f t="shared" si="1"/>
        <v>0</v>
      </c>
    </row>
    <row r="110" hidden="1" customHeight="1" spans="1:66">
      <c r="A110" s="29"/>
      <c r="B110" s="32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7"/>
      <c r="AI110" s="27"/>
      <c r="AJ110" s="27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14">
        <f t="shared" si="1"/>
        <v>0</v>
      </c>
    </row>
    <row r="111" hidden="1" customHeight="1" spans="1:66">
      <c r="A111" s="29"/>
      <c r="B111" s="32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7"/>
      <c r="AI111" s="27"/>
      <c r="AJ111" s="27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14">
        <f t="shared" si="1"/>
        <v>0</v>
      </c>
    </row>
    <row r="112" hidden="1" customHeight="1" spans="1:66">
      <c r="A112" s="29"/>
      <c r="B112" s="32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7"/>
      <c r="AI112" s="27"/>
      <c r="AJ112" s="27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14">
        <f t="shared" si="1"/>
        <v>0</v>
      </c>
    </row>
    <row r="113" hidden="1" customHeight="1" spans="1:66">
      <c r="A113" s="29"/>
      <c r="B113" s="32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7"/>
      <c r="AI113" s="27"/>
      <c r="AJ113" s="27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14">
        <f t="shared" si="1"/>
        <v>0</v>
      </c>
    </row>
    <row r="114" hidden="1" customHeight="1" spans="1:66">
      <c r="A114" s="29"/>
      <c r="B114" s="32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7"/>
      <c r="AI114" s="27"/>
      <c r="AJ114" s="27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14">
        <f t="shared" si="1"/>
        <v>0</v>
      </c>
    </row>
    <row r="115" hidden="1" customHeight="1" spans="1:66">
      <c r="A115" s="29"/>
      <c r="B115" s="32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7"/>
      <c r="AI115" s="27"/>
      <c r="AJ115" s="27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  <c r="BK115" s="26"/>
      <c r="BL115" s="26"/>
      <c r="BM115" s="26"/>
      <c r="BN115" s="14">
        <f t="shared" si="1"/>
        <v>0</v>
      </c>
    </row>
    <row r="116" hidden="1" customHeight="1" spans="1:66">
      <c r="A116" s="29"/>
      <c r="B116" s="32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7"/>
      <c r="AI116" s="27"/>
      <c r="AJ116" s="27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14">
        <f t="shared" si="1"/>
        <v>0</v>
      </c>
    </row>
    <row r="117" hidden="1" customHeight="1" spans="1:66">
      <c r="A117" s="29"/>
      <c r="B117" s="32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7"/>
      <c r="AI117" s="27"/>
      <c r="AJ117" s="27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26"/>
      <c r="BK117" s="26"/>
      <c r="BL117" s="26"/>
      <c r="BM117" s="26"/>
      <c r="BN117" s="14">
        <f t="shared" si="1"/>
        <v>0</v>
      </c>
    </row>
    <row r="118" hidden="1" customHeight="1" spans="1:66">
      <c r="A118" s="29"/>
      <c r="B118" s="32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7"/>
      <c r="AI118" s="27"/>
      <c r="AJ118" s="27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  <c r="BL118" s="26"/>
      <c r="BM118" s="26"/>
      <c r="BN118" s="14">
        <f t="shared" si="1"/>
        <v>0</v>
      </c>
    </row>
    <row r="119" hidden="1" customHeight="1" spans="1:66">
      <c r="A119" s="29"/>
      <c r="B119" s="32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7"/>
      <c r="AI119" s="27"/>
      <c r="AJ119" s="27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26"/>
      <c r="BK119" s="26"/>
      <c r="BL119" s="26"/>
      <c r="BM119" s="26"/>
      <c r="BN119" s="14">
        <f t="shared" si="1"/>
        <v>0</v>
      </c>
    </row>
    <row r="120" hidden="1" customHeight="1" spans="1:66">
      <c r="A120" s="29"/>
      <c r="B120" s="32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7"/>
      <c r="AI120" s="27"/>
      <c r="AJ120" s="27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  <c r="BL120" s="26"/>
      <c r="BM120" s="26"/>
      <c r="BN120" s="14">
        <f t="shared" si="1"/>
        <v>0</v>
      </c>
    </row>
    <row r="121" hidden="1" customHeight="1" spans="1:66">
      <c r="A121" s="29"/>
      <c r="B121" s="32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7"/>
      <c r="AI121" s="27"/>
      <c r="AJ121" s="27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  <c r="BK121" s="26"/>
      <c r="BL121" s="26"/>
      <c r="BM121" s="26"/>
      <c r="BN121" s="14">
        <f t="shared" si="1"/>
        <v>0</v>
      </c>
    </row>
    <row r="122" hidden="1" customHeight="1" spans="1:66">
      <c r="A122" s="29"/>
      <c r="B122" s="32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7"/>
      <c r="AI122" s="27"/>
      <c r="AJ122" s="27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  <c r="BL122" s="26"/>
      <c r="BM122" s="26"/>
      <c r="BN122" s="14">
        <f t="shared" si="1"/>
        <v>0</v>
      </c>
    </row>
    <row r="123" hidden="1" customHeight="1" spans="1:66">
      <c r="A123" s="29"/>
      <c r="B123" s="32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7"/>
      <c r="AI123" s="27"/>
      <c r="AJ123" s="27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  <c r="BM123" s="26"/>
      <c r="BN123" s="14">
        <f t="shared" si="1"/>
        <v>0</v>
      </c>
    </row>
    <row r="124" hidden="1" customHeight="1" spans="1:66">
      <c r="A124" s="29"/>
      <c r="B124" s="32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7"/>
      <c r="AI124" s="27"/>
      <c r="AJ124" s="27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26"/>
      <c r="BK124" s="26"/>
      <c r="BL124" s="26"/>
      <c r="BM124" s="26"/>
      <c r="BN124" s="14">
        <f t="shared" si="1"/>
        <v>0</v>
      </c>
    </row>
    <row r="125" hidden="1" customHeight="1" spans="1:66">
      <c r="A125" s="29"/>
      <c r="B125" s="32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7"/>
      <c r="AI125" s="27"/>
      <c r="AJ125" s="27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26"/>
      <c r="BK125" s="26"/>
      <c r="BL125" s="26"/>
      <c r="BM125" s="26"/>
      <c r="BN125" s="14">
        <f t="shared" si="1"/>
        <v>0</v>
      </c>
    </row>
    <row r="126" hidden="1" customHeight="1" spans="1:66">
      <c r="A126" s="29"/>
      <c r="B126" s="32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7"/>
      <c r="AI126" s="27"/>
      <c r="AJ126" s="27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  <c r="BK126" s="26"/>
      <c r="BL126" s="26"/>
      <c r="BM126" s="26"/>
      <c r="BN126" s="14">
        <f t="shared" si="1"/>
        <v>0</v>
      </c>
    </row>
    <row r="127" hidden="1" customHeight="1" spans="1:66">
      <c r="A127" s="29"/>
      <c r="B127" s="32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7"/>
      <c r="AI127" s="27"/>
      <c r="AJ127" s="27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26"/>
      <c r="BK127" s="26"/>
      <c r="BL127" s="26"/>
      <c r="BM127" s="26"/>
      <c r="BN127" s="14">
        <f t="shared" si="1"/>
        <v>0</v>
      </c>
    </row>
    <row r="128" hidden="1" customHeight="1" spans="1:66">
      <c r="A128" s="29"/>
      <c r="B128" s="32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7"/>
      <c r="AI128" s="27"/>
      <c r="AJ128" s="27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26"/>
      <c r="BK128" s="26"/>
      <c r="BL128" s="26"/>
      <c r="BM128" s="26"/>
      <c r="BN128" s="14">
        <f t="shared" si="1"/>
        <v>0</v>
      </c>
    </row>
    <row r="129" hidden="1" customHeight="1" spans="1:66">
      <c r="A129" s="29"/>
      <c r="B129" s="32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7"/>
      <c r="AI129" s="27"/>
      <c r="AJ129" s="27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  <c r="BJ129" s="26"/>
      <c r="BK129" s="26"/>
      <c r="BL129" s="26"/>
      <c r="BM129" s="26"/>
      <c r="BN129" s="14">
        <f t="shared" si="1"/>
        <v>0</v>
      </c>
    </row>
    <row r="130" customHeight="1" spans="1:66">
      <c r="A130" s="33" t="s">
        <v>838</v>
      </c>
      <c r="B130" s="33" t="s">
        <v>40</v>
      </c>
      <c r="C130" s="34"/>
      <c r="D130" s="34"/>
      <c r="E130" s="34"/>
      <c r="F130" s="34"/>
      <c r="G130" s="34"/>
      <c r="H130" s="34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6"/>
      <c r="AI130" s="36"/>
      <c r="AJ130" s="36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  <c r="AZ130" s="35"/>
      <c r="BA130" s="35"/>
      <c r="BB130" s="35"/>
      <c r="BC130" s="35"/>
      <c r="BD130" s="35"/>
      <c r="BE130" s="35"/>
      <c r="BF130" s="35"/>
      <c r="BG130" s="35"/>
      <c r="BH130" s="35"/>
      <c r="BI130" s="35"/>
      <c r="BJ130" s="37"/>
      <c r="BK130" s="35"/>
      <c r="BL130" s="35"/>
      <c r="BM130" s="35"/>
      <c r="BN130" s="14">
        <f t="shared" si="1"/>
        <v>0</v>
      </c>
    </row>
    <row r="131" customHeight="1" spans="1:66">
      <c r="A131" s="33" t="s">
        <v>839</v>
      </c>
      <c r="B131" s="33" t="s">
        <v>42</v>
      </c>
      <c r="C131" s="34"/>
      <c r="D131" s="34"/>
      <c r="E131" s="34"/>
      <c r="F131" s="34"/>
      <c r="G131" s="34"/>
      <c r="H131" s="34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6"/>
      <c r="AI131" s="36"/>
      <c r="AJ131" s="36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  <c r="AZ131" s="35"/>
      <c r="BA131" s="35"/>
      <c r="BB131" s="35"/>
      <c r="BC131" s="35"/>
      <c r="BD131" s="35"/>
      <c r="BE131" s="35"/>
      <c r="BF131" s="35"/>
      <c r="BG131" s="35"/>
      <c r="BH131" s="35"/>
      <c r="BI131" s="35"/>
      <c r="BJ131" s="37"/>
      <c r="BK131" s="35"/>
      <c r="BL131" s="35"/>
      <c r="BM131" s="35"/>
      <c r="BN131" s="14">
        <f t="shared" si="1"/>
        <v>0</v>
      </c>
    </row>
    <row r="132" customHeight="1" spans="1:66">
      <c r="A132" s="33" t="s">
        <v>840</v>
      </c>
      <c r="B132" s="33" t="s">
        <v>735</v>
      </c>
      <c r="C132" s="34"/>
      <c r="D132" s="34"/>
      <c r="E132" s="34"/>
      <c r="F132" s="34"/>
      <c r="G132" s="34"/>
      <c r="H132" s="34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6"/>
      <c r="AI132" s="36"/>
      <c r="AJ132" s="36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  <c r="AZ132" s="35"/>
      <c r="BA132" s="35"/>
      <c r="BB132" s="35"/>
      <c r="BC132" s="35"/>
      <c r="BD132" s="35"/>
      <c r="BE132" s="35"/>
      <c r="BF132" s="35"/>
      <c r="BG132" s="35"/>
      <c r="BH132" s="35"/>
      <c r="BI132" s="35"/>
      <c r="BJ132" s="35"/>
      <c r="BK132" s="35"/>
      <c r="BL132" s="35"/>
      <c r="BM132" s="35"/>
      <c r="BN132" s="14">
        <f t="shared" si="1"/>
        <v>0</v>
      </c>
    </row>
    <row r="133" customHeight="1" spans="1:66">
      <c r="A133" s="33" t="s">
        <v>841</v>
      </c>
      <c r="B133" s="33" t="s">
        <v>737</v>
      </c>
      <c r="C133" s="34"/>
      <c r="D133" s="34"/>
      <c r="E133" s="34"/>
      <c r="F133" s="34"/>
      <c r="G133" s="34"/>
      <c r="H133" s="34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6"/>
      <c r="AI133" s="36"/>
      <c r="AJ133" s="36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  <c r="BC133" s="35"/>
      <c r="BD133" s="35"/>
      <c r="BE133" s="35"/>
      <c r="BF133" s="35"/>
      <c r="BG133" s="35"/>
      <c r="BH133" s="35"/>
      <c r="BI133" s="35"/>
      <c r="BJ133" s="35"/>
      <c r="BK133" s="35"/>
      <c r="BL133" s="35"/>
      <c r="BM133" s="35"/>
      <c r="BN133" s="14">
        <f t="shared" si="1"/>
        <v>0</v>
      </c>
    </row>
    <row r="134" customHeight="1" spans="1:66">
      <c r="A134" s="38" t="s">
        <v>842</v>
      </c>
      <c r="B134" s="33" t="s">
        <v>736</v>
      </c>
      <c r="C134" s="34"/>
      <c r="D134" s="34"/>
      <c r="E134" s="34"/>
      <c r="F134" s="34"/>
      <c r="G134" s="34"/>
      <c r="H134" s="34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6"/>
      <c r="AI134" s="36"/>
      <c r="AJ134" s="36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  <c r="AZ134" s="35"/>
      <c r="BA134" s="35"/>
      <c r="BB134" s="35"/>
      <c r="BC134" s="35"/>
      <c r="BD134" s="35"/>
      <c r="BE134" s="35"/>
      <c r="BF134" s="35"/>
      <c r="BG134" s="35"/>
      <c r="BH134" s="35"/>
      <c r="BI134" s="35"/>
      <c r="BJ134" s="35"/>
      <c r="BK134" s="35"/>
      <c r="BL134" s="35"/>
      <c r="BM134" s="35"/>
      <c r="BN134" s="14">
        <f t="shared" si="1"/>
        <v>0</v>
      </c>
    </row>
    <row r="135" customHeight="1" spans="1:66">
      <c r="A135" s="33" t="s">
        <v>55</v>
      </c>
      <c r="B135" s="33" t="s">
        <v>734</v>
      </c>
      <c r="C135" s="34"/>
      <c r="D135" s="34"/>
      <c r="E135" s="34"/>
      <c r="F135" s="34"/>
      <c r="G135" s="34"/>
      <c r="H135" s="34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6"/>
      <c r="AI135" s="36"/>
      <c r="AJ135" s="36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5"/>
      <c r="BA135" s="35"/>
      <c r="BB135" s="35"/>
      <c r="BC135" s="35"/>
      <c r="BD135" s="35"/>
      <c r="BE135" s="35"/>
      <c r="BF135" s="35"/>
      <c r="BG135" s="35"/>
      <c r="BH135" s="35"/>
      <c r="BI135" s="35"/>
      <c r="BJ135" s="35"/>
      <c r="BK135" s="35"/>
      <c r="BL135" s="35"/>
      <c r="BM135" s="35"/>
      <c r="BN135" s="14">
        <f t="shared" ref="BN135:BN137" si="2">C135+D135+E135+F135+G135+H135+I135+J135+K135+L135+M135+N135+O135+P135</f>
        <v>0</v>
      </c>
    </row>
    <row r="136" customHeight="1" spans="1:66">
      <c r="A136" s="33" t="s">
        <v>843</v>
      </c>
      <c r="B136" s="33" t="s">
        <v>733</v>
      </c>
      <c r="C136" s="34"/>
      <c r="D136" s="34"/>
      <c r="E136" s="34"/>
      <c r="F136" s="34"/>
      <c r="G136" s="34"/>
      <c r="H136" s="34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6"/>
      <c r="AI136" s="36"/>
      <c r="AJ136" s="36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  <c r="AZ136" s="35"/>
      <c r="BA136" s="35"/>
      <c r="BB136" s="35"/>
      <c r="BC136" s="35"/>
      <c r="BD136" s="35"/>
      <c r="BE136" s="35"/>
      <c r="BF136" s="35"/>
      <c r="BG136" s="35"/>
      <c r="BH136" s="35"/>
      <c r="BI136" s="35"/>
      <c r="BJ136" s="35"/>
      <c r="BK136" s="35"/>
      <c r="BL136" s="35"/>
      <c r="BM136" s="35"/>
      <c r="BN136" s="14">
        <f t="shared" si="2"/>
        <v>0</v>
      </c>
    </row>
    <row r="137" customHeight="1" spans="1:66">
      <c r="A137" s="33" t="s">
        <v>844</v>
      </c>
      <c r="B137" s="33" t="s">
        <v>738</v>
      </c>
      <c r="C137" s="34"/>
      <c r="D137" s="34"/>
      <c r="E137" s="34"/>
      <c r="F137" s="34"/>
      <c r="G137" s="34"/>
      <c r="H137" s="34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6"/>
      <c r="AI137" s="36"/>
      <c r="AJ137" s="36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  <c r="AZ137" s="35"/>
      <c r="BA137" s="35"/>
      <c r="BB137" s="35"/>
      <c r="BC137" s="35"/>
      <c r="BD137" s="35"/>
      <c r="BE137" s="35"/>
      <c r="BF137" s="35"/>
      <c r="BG137" s="35"/>
      <c r="BH137" s="35"/>
      <c r="BI137" s="35"/>
      <c r="BJ137" s="35"/>
      <c r="BK137" s="35"/>
      <c r="BL137" s="35"/>
      <c r="BM137" s="35"/>
      <c r="BN137" s="14">
        <f t="shared" si="2"/>
        <v>0</v>
      </c>
    </row>
    <row r="138" customHeight="1" spans="1:66">
      <c r="C138" s="39"/>
      <c r="D138" s="40"/>
      <c r="E138" s="40"/>
      <c r="F138" s="40"/>
      <c r="G138" s="40"/>
      <c r="H138" s="40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41"/>
      <c r="AI138" s="41"/>
      <c r="AJ138" s="41"/>
      <c r="AK138" s="3"/>
      <c r="AL138" s="3"/>
      <c r="AM138" s="3"/>
      <c r="AN138" s="3"/>
      <c r="AO138" s="3"/>
    </row>
    <row r="139" customHeight="1" spans="1:66">
      <c r="C139" s="40"/>
      <c r="D139" s="40"/>
      <c r="E139" s="40"/>
      <c r="F139" s="40"/>
      <c r="G139" s="40"/>
      <c r="H139" s="40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41"/>
      <c r="AI139" s="41"/>
      <c r="AJ139" s="41"/>
      <c r="AK139" s="3"/>
      <c r="AL139" s="3"/>
      <c r="AM139" s="3"/>
      <c r="AN139" s="3"/>
      <c r="AO139" s="3"/>
    </row>
  </sheetData>
  <mergeCells count="1">
    <mergeCell ref="A1:BN1"/>
  </mergeCells>
  <pageMargins left="0.7" right="0.7" top="0.75" bottom="0.75" header="0.3" footer="0.3"/>
  <pageSetup paperSize="9" scale="65" orientation="portrait"/>
  <headerFooter/>
  <rowBreaks count="1" manualBreakCount="1">
    <brk id="129" max="40" man="1"/>
  </rowBreaks>
  <colBreaks count="1" manualBreakCount="1">
    <brk id="66" max="1048575" man="1"/>
  </colBreaks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137"/>
  <sheetViews>
    <sheetView zoomScale="116" zoomScaleNormal="116" workbookViewId="0">
      <pane xSplit="2" ySplit="2" topLeftCell="C8" activePane="bottomRight" state="frozen"/>
      <selection/>
      <selection pane="topRight"/>
      <selection pane="bottomLeft"/>
      <selection pane="bottomRight" activeCell="F16" sqref="F16"/>
    </sheetView>
  </sheetViews>
  <sheetFormatPr defaultColWidth="9" defaultRowHeight="20" customHeight="1"/>
  <cols>
    <col min="1" max="1" width="9" style="1"/>
    <col min="2" max="2" width="23.1666666666667" style="1" customWidth="1"/>
    <col min="3" max="8" width="7.5" style="1" customWidth="1"/>
    <col min="9" max="11" width="8.33333333333333" customWidth="1"/>
    <col min="12" max="12" width="6.66666666666667" hidden="1" customWidth="1"/>
    <col min="13" max="15" width="7" hidden="1" customWidth="1"/>
    <col min="16" max="16" width="7.83333333333333" hidden="1" customWidth="1"/>
    <col min="17" max="19" width="5.66666666666667" hidden="1" customWidth="1"/>
    <col min="20" max="20" width="6.66666666666667" hidden="1" customWidth="1"/>
    <col min="21" max="21" width="8.16666666666667" hidden="1" customWidth="1"/>
    <col min="22" max="22" width="7.66666666666667" hidden="1" customWidth="1"/>
    <col min="23" max="23" width="5.66666666666667" hidden="1" customWidth="1"/>
    <col min="24" max="24" width="7.66666666666667" hidden="1" customWidth="1"/>
    <col min="25" max="25" width="5.66666666666667" hidden="1" customWidth="1"/>
    <col min="26" max="26" width="6.66666666666667" hidden="1" customWidth="1"/>
    <col min="27" max="28" width="5.66666666666667" hidden="1" customWidth="1"/>
    <col min="29" max="30" width="7.33333333333333" hidden="1" customWidth="1"/>
    <col min="31" max="33" width="8.33333333333333" hidden="1" customWidth="1"/>
    <col min="34" max="36" width="7.66666666666667" style="2" hidden="1" customWidth="1"/>
    <col min="37" max="37" width="7.16666666666667" hidden="1" customWidth="1"/>
    <col min="38" max="38" width="6.83333333333333" hidden="1" customWidth="1"/>
    <col min="39" max="39" width="7.33333333333333" hidden="1" customWidth="1"/>
    <col min="40" max="40" width="7.66666666666667" hidden="1" customWidth="1"/>
    <col min="41" max="41" width="6.83333333333333" hidden="1" customWidth="1"/>
    <col min="42" max="42" width="8.5" hidden="1" customWidth="1"/>
    <col min="43" max="43" width="7.33333333333333" hidden="1" customWidth="1"/>
    <col min="44" max="44" width="8" hidden="1" customWidth="1"/>
    <col min="45" max="45" width="7.5" hidden="1" customWidth="1"/>
    <col min="46" max="50" width="5.66666666666667" hidden="1" customWidth="1"/>
    <col min="51" max="51" width="7.5" hidden="1" customWidth="1"/>
    <col min="52" max="52" width="5.66666666666667" hidden="1" customWidth="1"/>
    <col min="53" max="53" width="6.5" hidden="1" customWidth="1"/>
    <col min="54" max="61" width="5.66666666666667" hidden="1" customWidth="1"/>
    <col min="62" max="62" width="6.16666666666667" hidden="1" customWidth="1"/>
    <col min="63" max="65" width="5.66666666666667" hidden="1" customWidth="1"/>
    <col min="66" max="66" width="8" style="3" customWidth="1"/>
  </cols>
  <sheetData>
    <row r="1" customHeight="1" spans="1:68">
      <c r="A1" s="4" t="s">
        <v>851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</row>
    <row r="2" customHeight="1" spans="1:68">
      <c r="A2" s="5" t="s">
        <v>596</v>
      </c>
      <c r="B2" s="6" t="s">
        <v>597</v>
      </c>
      <c r="C2" s="7">
        <v>44627</v>
      </c>
      <c r="D2" s="7">
        <v>44628</v>
      </c>
      <c r="E2" s="7">
        <v>44629</v>
      </c>
      <c r="F2" s="7">
        <v>44630</v>
      </c>
      <c r="G2" s="7">
        <v>44631</v>
      </c>
      <c r="H2" s="7">
        <v>44642</v>
      </c>
      <c r="I2" s="8">
        <v>44648</v>
      </c>
      <c r="J2" s="8" t="s">
        <v>852</v>
      </c>
      <c r="K2" s="8">
        <v>44637</v>
      </c>
      <c r="L2" s="8"/>
      <c r="M2" s="8"/>
      <c r="N2" s="8"/>
      <c r="O2" s="8"/>
      <c r="P2" s="8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 t="s">
        <v>812</v>
      </c>
      <c r="AD2" s="9" t="s">
        <v>812</v>
      </c>
      <c r="AE2" s="9" t="s">
        <v>813</v>
      </c>
      <c r="AF2" s="9" t="s">
        <v>814</v>
      </c>
      <c r="AG2" s="9" t="s">
        <v>815</v>
      </c>
      <c r="AH2" s="10" t="s">
        <v>816</v>
      </c>
      <c r="AI2" s="10" t="s">
        <v>817</v>
      </c>
      <c r="AJ2" s="10" t="s">
        <v>818</v>
      </c>
      <c r="AK2" s="9" t="s">
        <v>819</v>
      </c>
      <c r="AL2" s="9" t="s">
        <v>819</v>
      </c>
      <c r="AM2" s="9" t="s">
        <v>820</v>
      </c>
      <c r="AN2" s="9" t="s">
        <v>821</v>
      </c>
      <c r="AO2" s="9" t="s">
        <v>822</v>
      </c>
      <c r="AP2" s="9" t="s">
        <v>823</v>
      </c>
      <c r="AQ2" s="9" t="s">
        <v>824</v>
      </c>
      <c r="AR2" s="9" t="s">
        <v>825</v>
      </c>
      <c r="AS2" s="9" t="s">
        <v>826</v>
      </c>
      <c r="AT2" s="9" t="s">
        <v>827</v>
      </c>
      <c r="AU2" s="9" t="s">
        <v>823</v>
      </c>
      <c r="AV2" s="9" t="s">
        <v>827</v>
      </c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11" t="s">
        <v>828</v>
      </c>
    </row>
    <row r="3" customHeight="1" spans="1:68">
      <c r="A3" s="12" t="s">
        <v>626</v>
      </c>
      <c r="B3" s="13" t="s">
        <v>627</v>
      </c>
      <c r="C3" s="14"/>
      <c r="D3" s="14">
        <v>225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5"/>
      <c r="AI3" s="15"/>
      <c r="AJ3" s="15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>
        <f>C3+D3+E3+F3+G3+H3+I3+J3+K3+L3+M3+N3+O3+P3</f>
        <v>225</v>
      </c>
      <c r="BP3">
        <f>BN3*BO3</f>
        <v>0</v>
      </c>
    </row>
    <row r="4" customHeight="1" spans="1:68">
      <c r="A4" s="16" t="s">
        <v>106</v>
      </c>
      <c r="B4" s="17" t="s">
        <v>107</v>
      </c>
      <c r="C4" s="18"/>
      <c r="D4" s="18"/>
      <c r="E4" s="18">
        <v>750</v>
      </c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9"/>
      <c r="AI4" s="19"/>
      <c r="AJ4" s="19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4">
        <f t="shared" ref="BN4:BN68" si="0">C4+D4+E4+F4+G4+H4+I4+J4+K4+L4+M4+N4+O4+P4</f>
        <v>750</v>
      </c>
      <c r="BP4">
        <f t="shared" ref="BP4:BP77" si="1">BN4*BO4</f>
        <v>0</v>
      </c>
    </row>
    <row r="5" customHeight="1" spans="1:68">
      <c r="A5" s="16" t="s">
        <v>629</v>
      </c>
      <c r="B5" s="17" t="s">
        <v>630</v>
      </c>
      <c r="C5" s="18"/>
      <c r="D5" s="18"/>
      <c r="E5" s="18">
        <v>50</v>
      </c>
      <c r="F5" s="18"/>
      <c r="G5" s="18">
        <v>50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9"/>
      <c r="AI5" s="19"/>
      <c r="AJ5" s="19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20"/>
      <c r="BK5" s="18"/>
      <c r="BL5" s="18"/>
      <c r="BM5" s="18"/>
      <c r="BN5" s="14">
        <f t="shared" si="0"/>
        <v>100</v>
      </c>
      <c r="BP5">
        <f t="shared" si="1"/>
        <v>0</v>
      </c>
    </row>
    <row r="6" customHeight="1" spans="1:68">
      <c r="A6" s="16" t="s">
        <v>853</v>
      </c>
      <c r="B6" s="17" t="s">
        <v>110</v>
      </c>
      <c r="C6" s="18"/>
      <c r="D6" s="18"/>
      <c r="E6" s="18"/>
      <c r="F6" s="18"/>
      <c r="G6" s="18"/>
      <c r="H6" s="18">
        <v>63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9"/>
      <c r="AI6" s="19"/>
      <c r="AJ6" s="19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4">
        <f t="shared" si="0"/>
        <v>63</v>
      </c>
      <c r="BP6">
        <f t="shared" si="1"/>
        <v>0</v>
      </c>
    </row>
    <row r="7" customHeight="1" spans="1:68">
      <c r="A7" s="16" t="s">
        <v>103</v>
      </c>
      <c r="B7" s="17" t="s">
        <v>647</v>
      </c>
      <c r="C7" s="18"/>
      <c r="D7" s="18"/>
      <c r="E7" s="18"/>
      <c r="F7" s="18"/>
      <c r="G7" s="18"/>
      <c r="H7" s="18">
        <v>550</v>
      </c>
      <c r="I7" s="18">
        <v>1000</v>
      </c>
      <c r="J7" s="18">
        <v>1000</v>
      </c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9"/>
      <c r="AI7" s="19"/>
      <c r="AJ7" s="19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4">
        <f t="shared" si="0"/>
        <v>2550</v>
      </c>
      <c r="BP7">
        <f t="shared" si="1"/>
        <v>0</v>
      </c>
    </row>
    <row r="8" customHeight="1" spans="1:68">
      <c r="A8" s="16" t="s">
        <v>651</v>
      </c>
      <c r="B8" s="21" t="s">
        <v>652</v>
      </c>
      <c r="C8" s="22">
        <v>3000</v>
      </c>
      <c r="D8" s="22"/>
      <c r="E8" s="22"/>
      <c r="F8" s="22"/>
      <c r="G8" s="22"/>
      <c r="H8" s="22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9"/>
      <c r="AI8" s="19"/>
      <c r="AJ8" s="19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4">
        <f t="shared" si="0"/>
        <v>3000</v>
      </c>
      <c r="BP8">
        <f t="shared" si="1"/>
        <v>0</v>
      </c>
    </row>
    <row r="9" customHeight="1" spans="1:68">
      <c r="A9" s="16" t="s">
        <v>187</v>
      </c>
      <c r="B9" s="17" t="s">
        <v>654</v>
      </c>
      <c r="C9" s="18">
        <v>500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9"/>
      <c r="AI9" s="19"/>
      <c r="AJ9" s="19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4">
        <f t="shared" si="0"/>
        <v>500</v>
      </c>
      <c r="BP9">
        <f t="shared" si="1"/>
        <v>0</v>
      </c>
    </row>
    <row r="10" customHeight="1" spans="1:68">
      <c r="A10" s="16" t="s">
        <v>51</v>
      </c>
      <c r="B10" s="17" t="s">
        <v>656</v>
      </c>
      <c r="C10" s="18"/>
      <c r="D10" s="18"/>
      <c r="E10" s="18">
        <v>10000</v>
      </c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9"/>
      <c r="AI10" s="19"/>
      <c r="AJ10" s="19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4">
        <f t="shared" si="0"/>
        <v>10000</v>
      </c>
      <c r="BP10">
        <f t="shared" si="1"/>
        <v>0</v>
      </c>
    </row>
    <row r="11" customHeight="1" spans="1:68">
      <c r="A11" s="16" t="s">
        <v>22</v>
      </c>
      <c r="B11" s="17" t="s">
        <v>652</v>
      </c>
      <c r="C11" s="18">
        <v>3000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9"/>
      <c r="AI11" s="19"/>
      <c r="AJ11" s="19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4">
        <f t="shared" si="0"/>
        <v>3000</v>
      </c>
      <c r="BP11">
        <f t="shared" si="1"/>
        <v>0</v>
      </c>
    </row>
    <row r="12" customHeight="1" spans="1:68">
      <c r="A12" s="16" t="s">
        <v>683</v>
      </c>
      <c r="B12" s="17" t="s">
        <v>684</v>
      </c>
      <c r="C12" s="18">
        <v>100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9"/>
      <c r="AI12" s="19"/>
      <c r="AJ12" s="19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4">
        <f t="shared" si="0"/>
        <v>100</v>
      </c>
      <c r="BP12">
        <f t="shared" si="1"/>
        <v>0</v>
      </c>
    </row>
    <row r="13" customHeight="1" spans="1:68">
      <c r="A13" s="16" t="s">
        <v>778</v>
      </c>
      <c r="B13" s="17" t="s">
        <v>779</v>
      </c>
      <c r="C13" s="18"/>
      <c r="D13" s="18"/>
      <c r="E13" s="18">
        <v>10</v>
      </c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9"/>
      <c r="AI13" s="19"/>
      <c r="AJ13" s="19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4">
        <f t="shared" si="0"/>
        <v>10</v>
      </c>
      <c r="BP13">
        <f t="shared" si="1"/>
        <v>0</v>
      </c>
    </row>
    <row r="14" customHeight="1" spans="1:68">
      <c r="A14" s="16" t="s">
        <v>854</v>
      </c>
      <c r="B14" s="21" t="s">
        <v>855</v>
      </c>
      <c r="C14" s="22"/>
      <c r="D14" s="22"/>
      <c r="E14" s="22"/>
      <c r="F14" s="22"/>
      <c r="G14" s="22"/>
      <c r="H14" s="22"/>
      <c r="I14" s="18"/>
      <c r="J14" s="18"/>
      <c r="K14" s="18">
        <v>300</v>
      </c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9"/>
      <c r="AI14" s="19"/>
      <c r="AJ14" s="19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4">
        <f t="shared" si="0"/>
        <v>300</v>
      </c>
      <c r="BP14">
        <f t="shared" si="1"/>
        <v>0</v>
      </c>
    </row>
    <row r="15" customHeight="1" spans="1:68">
      <c r="A15" s="16" t="s">
        <v>701</v>
      </c>
      <c r="B15" s="17" t="s">
        <v>702</v>
      </c>
      <c r="C15" s="18"/>
      <c r="D15" s="18"/>
      <c r="E15" s="18"/>
      <c r="F15" s="18"/>
      <c r="G15" s="18"/>
      <c r="H15" s="18"/>
      <c r="I15" s="18">
        <v>360</v>
      </c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9"/>
      <c r="AI15" s="19"/>
      <c r="AJ15" s="19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4">
        <f t="shared" si="0"/>
        <v>360</v>
      </c>
      <c r="BP15">
        <f t="shared" si="1"/>
        <v>0</v>
      </c>
    </row>
    <row r="16" customHeight="1" spans="1:68">
      <c r="A16" s="16" t="s">
        <v>701</v>
      </c>
      <c r="B16" s="21" t="s">
        <v>780</v>
      </c>
      <c r="C16" s="22"/>
      <c r="D16" s="22"/>
      <c r="E16" s="22"/>
      <c r="F16" s="22"/>
      <c r="G16" s="22"/>
      <c r="H16" s="22"/>
      <c r="I16" s="18"/>
      <c r="J16" s="18">
        <v>300</v>
      </c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9"/>
      <c r="AI16" s="19"/>
      <c r="AJ16" s="19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4">
        <f t="shared" si="0"/>
        <v>300</v>
      </c>
      <c r="BP16">
        <f t="shared" si="1"/>
        <v>0</v>
      </c>
    </row>
    <row r="17" hidden="1" customHeight="1" spans="1:68">
      <c r="A17" s="16"/>
      <c r="B17" s="17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9"/>
      <c r="AI17" s="19"/>
      <c r="AJ17" s="19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4">
        <f t="shared" si="0"/>
        <v>0</v>
      </c>
      <c r="BO17">
        <v>11.97</v>
      </c>
      <c r="BP17">
        <f t="shared" si="1"/>
        <v>0</v>
      </c>
    </row>
    <row r="18" hidden="1" customHeight="1" spans="1:68">
      <c r="A18" s="16"/>
      <c r="B18" s="21"/>
      <c r="C18" s="22"/>
      <c r="D18" s="22"/>
      <c r="E18" s="22"/>
      <c r="F18" s="22"/>
      <c r="G18" s="22"/>
      <c r="H18" s="22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9"/>
      <c r="AI18" s="19"/>
      <c r="AJ18" s="19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4">
        <f t="shared" si="0"/>
        <v>0</v>
      </c>
      <c r="BP18">
        <f t="shared" si="1"/>
        <v>0</v>
      </c>
    </row>
    <row r="19" hidden="1" customHeight="1" spans="1:68">
      <c r="A19" s="16"/>
      <c r="B19" s="21"/>
      <c r="C19" s="22"/>
      <c r="D19" s="22"/>
      <c r="E19" s="22"/>
      <c r="F19" s="22"/>
      <c r="G19" s="22"/>
      <c r="H19" s="22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9"/>
      <c r="AI19" s="19"/>
      <c r="AJ19" s="19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4">
        <f t="shared" si="0"/>
        <v>0</v>
      </c>
      <c r="BP19">
        <f t="shared" si="1"/>
        <v>0</v>
      </c>
    </row>
    <row r="20" hidden="1" customHeight="1" spans="1:68">
      <c r="A20" s="16"/>
      <c r="B20" s="17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9"/>
      <c r="AI20" s="19"/>
      <c r="AJ20" s="19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4">
        <f t="shared" si="0"/>
        <v>0</v>
      </c>
      <c r="BP20">
        <f t="shared" si="1"/>
        <v>0</v>
      </c>
    </row>
    <row r="21" hidden="1" customHeight="1" spans="1:68">
      <c r="A21" s="16"/>
      <c r="B21" s="17"/>
      <c r="C21" s="19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9"/>
      <c r="AI21" s="19"/>
      <c r="AJ21" s="19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23"/>
      <c r="BF21" s="23"/>
      <c r="BG21" s="18"/>
      <c r="BH21" s="18"/>
      <c r="BI21" s="18"/>
      <c r="BJ21" s="18"/>
      <c r="BK21" s="19"/>
      <c r="BL21" s="18"/>
      <c r="BM21" s="18"/>
      <c r="BN21" s="14">
        <f t="shared" si="0"/>
        <v>0</v>
      </c>
      <c r="BO21">
        <v>19.3</v>
      </c>
      <c r="BP21">
        <f t="shared" si="1"/>
        <v>0</v>
      </c>
    </row>
    <row r="22" hidden="1" customHeight="1" spans="1:68">
      <c r="A22" s="16"/>
      <c r="B22" s="17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24"/>
      <c r="AF22" s="24"/>
      <c r="AG22" s="24"/>
      <c r="AH22" s="19"/>
      <c r="AI22" s="19"/>
      <c r="AJ22" s="19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9"/>
      <c r="BL22" s="18"/>
      <c r="BM22" s="18"/>
      <c r="BN22" s="14">
        <f t="shared" si="0"/>
        <v>0</v>
      </c>
      <c r="BO22">
        <v>10.9</v>
      </c>
      <c r="BP22">
        <f t="shared" si="1"/>
        <v>0</v>
      </c>
    </row>
    <row r="23" hidden="1" customHeight="1" spans="1:68">
      <c r="A23" s="16"/>
      <c r="B23" s="17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9"/>
      <c r="AI23" s="19"/>
      <c r="AJ23" s="19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4">
        <f t="shared" si="0"/>
        <v>0</v>
      </c>
      <c r="BP23">
        <f t="shared" si="1"/>
        <v>0</v>
      </c>
    </row>
    <row r="24" hidden="1" customHeight="1" spans="1:68">
      <c r="A24" s="16"/>
      <c r="B24" s="17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9"/>
      <c r="AI24" s="19"/>
      <c r="AJ24" s="19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4">
        <f t="shared" si="0"/>
        <v>0</v>
      </c>
      <c r="BP24">
        <f t="shared" si="1"/>
        <v>0</v>
      </c>
    </row>
    <row r="25" hidden="1" customHeight="1" spans="1:68">
      <c r="A25" s="16"/>
      <c r="B25" s="17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9"/>
      <c r="AI25" s="19"/>
      <c r="AJ25" s="19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4">
        <f t="shared" si="0"/>
        <v>0</v>
      </c>
      <c r="BP25">
        <f t="shared" si="1"/>
        <v>0</v>
      </c>
    </row>
    <row r="26" hidden="1" customHeight="1" spans="1:68">
      <c r="A26" s="16"/>
      <c r="B26" s="17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9"/>
      <c r="AI26" s="19"/>
      <c r="AJ26" s="19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4">
        <f t="shared" si="0"/>
        <v>0</v>
      </c>
      <c r="BP26">
        <f t="shared" si="1"/>
        <v>0</v>
      </c>
    </row>
    <row r="27" hidden="1" customHeight="1" spans="1:68">
      <c r="A27" s="16"/>
      <c r="B27" s="17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9"/>
      <c r="AI27" s="19"/>
      <c r="AJ27" s="19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4">
        <f t="shared" si="0"/>
        <v>0</v>
      </c>
      <c r="BO27">
        <v>43.16</v>
      </c>
      <c r="BP27">
        <f t="shared" si="1"/>
        <v>0</v>
      </c>
    </row>
    <row r="28" hidden="1" customHeight="1" spans="1:68">
      <c r="A28" s="16"/>
      <c r="B28" s="17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9"/>
      <c r="AI28" s="19"/>
      <c r="AJ28" s="19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4">
        <f t="shared" si="0"/>
        <v>0</v>
      </c>
    </row>
    <row r="29" hidden="1" customHeight="1" spans="1:68">
      <c r="A29" s="16"/>
      <c r="B29" s="17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9"/>
      <c r="AI29" s="19"/>
      <c r="AJ29" s="19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4">
        <f t="shared" si="0"/>
        <v>0</v>
      </c>
      <c r="BO29">
        <v>21</v>
      </c>
      <c r="BP29">
        <f t="shared" si="1"/>
        <v>0</v>
      </c>
    </row>
    <row r="30" hidden="1" customHeight="1" spans="1:68">
      <c r="A30" s="16"/>
      <c r="B30" s="17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9"/>
      <c r="AI30" s="19"/>
      <c r="AJ30" s="19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4">
        <f t="shared" si="0"/>
        <v>0</v>
      </c>
      <c r="BP30">
        <f t="shared" si="1"/>
        <v>0</v>
      </c>
    </row>
    <row r="31" hidden="1" customHeight="1" spans="1:68">
      <c r="A31" s="16"/>
      <c r="B31" s="17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20"/>
      <c r="AD31" s="20"/>
      <c r="AE31" s="18"/>
      <c r="AF31" s="18"/>
      <c r="AG31" s="18"/>
      <c r="AH31" s="19"/>
      <c r="AI31" s="19"/>
      <c r="AJ31" s="19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20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4">
        <f t="shared" si="0"/>
        <v>0</v>
      </c>
      <c r="BP31">
        <f t="shared" si="1"/>
        <v>0</v>
      </c>
    </row>
    <row r="32" ht="28" hidden="1" customHeight="1" spans="1:68">
      <c r="A32" s="16"/>
      <c r="B32" s="21"/>
      <c r="C32" s="22"/>
      <c r="D32" s="22"/>
      <c r="E32" s="22"/>
      <c r="F32" s="22"/>
      <c r="G32" s="22"/>
      <c r="H32" s="22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9"/>
      <c r="AI32" s="19"/>
      <c r="AJ32" s="19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4">
        <f t="shared" si="0"/>
        <v>0</v>
      </c>
      <c r="BP32">
        <f t="shared" si="1"/>
        <v>0</v>
      </c>
    </row>
    <row r="33" ht="28" hidden="1" customHeight="1" spans="1:68">
      <c r="A33" s="16"/>
      <c r="B33" s="21"/>
      <c r="C33" s="22"/>
      <c r="D33" s="22"/>
      <c r="E33" s="22"/>
      <c r="F33" s="22"/>
      <c r="G33" s="22"/>
      <c r="H33" s="22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9"/>
      <c r="AI33" s="19"/>
      <c r="AJ33" s="19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4">
        <f t="shared" si="0"/>
        <v>0</v>
      </c>
      <c r="BP33">
        <f t="shared" si="1"/>
        <v>0</v>
      </c>
    </row>
    <row r="34" ht="28" hidden="1" customHeight="1" spans="1:68">
      <c r="A34" s="16"/>
      <c r="B34" s="21"/>
      <c r="C34" s="22"/>
      <c r="D34" s="22"/>
      <c r="E34" s="22"/>
      <c r="F34" s="22"/>
      <c r="G34" s="22"/>
      <c r="H34" s="22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9"/>
      <c r="AI34" s="19"/>
      <c r="AJ34" s="19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4">
        <f t="shared" si="0"/>
        <v>0</v>
      </c>
      <c r="BP34">
        <f t="shared" si="1"/>
        <v>0</v>
      </c>
    </row>
    <row r="35" ht="29" hidden="1" customHeight="1" spans="1:68">
      <c r="A35" s="16"/>
      <c r="B35" s="21"/>
      <c r="C35" s="22"/>
      <c r="D35" s="22"/>
      <c r="E35" s="22"/>
      <c r="F35" s="22"/>
      <c r="G35" s="22"/>
      <c r="H35" s="22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9"/>
      <c r="AI35" s="19"/>
      <c r="AJ35" s="19"/>
      <c r="AK35" s="18"/>
      <c r="AL35" s="18"/>
      <c r="AM35" s="18"/>
      <c r="AN35" s="18"/>
      <c r="AO35" s="18"/>
      <c r="AP35" s="18"/>
      <c r="AQ35" s="20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20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4">
        <f t="shared" si="0"/>
        <v>0</v>
      </c>
      <c r="BP35">
        <f t="shared" si="1"/>
        <v>0</v>
      </c>
    </row>
    <row r="36" hidden="1" customHeight="1" spans="1:68">
      <c r="A36" s="16"/>
      <c r="B36" s="21"/>
      <c r="C36" s="22"/>
      <c r="D36" s="22"/>
      <c r="E36" s="22"/>
      <c r="F36" s="22"/>
      <c r="G36" s="22"/>
      <c r="H36" s="22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20"/>
      <c r="AD36" s="20"/>
      <c r="AE36" s="18"/>
      <c r="AF36" s="18"/>
      <c r="AG36" s="18"/>
      <c r="AH36" s="19"/>
      <c r="AI36" s="19"/>
      <c r="AJ36" s="19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4">
        <f t="shared" si="0"/>
        <v>0</v>
      </c>
      <c r="BP36">
        <f t="shared" si="1"/>
        <v>0</v>
      </c>
    </row>
    <row r="37" hidden="1" customHeight="1" spans="1:68">
      <c r="A37" s="16"/>
      <c r="B37" s="21"/>
      <c r="C37" s="22"/>
      <c r="D37" s="22"/>
      <c r="E37" s="22"/>
      <c r="F37" s="22"/>
      <c r="G37" s="22"/>
      <c r="H37" s="22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20"/>
      <c r="AD37" s="20"/>
      <c r="AE37" s="18"/>
      <c r="AF37" s="18"/>
      <c r="AG37" s="18"/>
      <c r="AH37" s="19"/>
      <c r="AI37" s="19"/>
      <c r="AJ37" s="19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4">
        <f t="shared" si="0"/>
        <v>0</v>
      </c>
      <c r="BP37">
        <f t="shared" si="1"/>
        <v>0</v>
      </c>
    </row>
    <row r="38" hidden="1" customHeight="1" spans="1:68">
      <c r="A38" s="16"/>
      <c r="B38" s="21"/>
      <c r="C38" s="22"/>
      <c r="D38" s="22"/>
      <c r="E38" s="22"/>
      <c r="F38" s="22"/>
      <c r="G38" s="22"/>
      <c r="H38" s="22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20"/>
      <c r="AD38" s="20"/>
      <c r="AE38" s="18"/>
      <c r="AF38" s="18"/>
      <c r="AG38" s="18"/>
      <c r="AH38" s="19"/>
      <c r="AI38" s="19"/>
      <c r="AJ38" s="19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4">
        <f t="shared" si="0"/>
        <v>0</v>
      </c>
      <c r="BP38">
        <f t="shared" si="1"/>
        <v>0</v>
      </c>
    </row>
    <row r="39" hidden="1" customHeight="1" spans="1:68">
      <c r="A39" s="16"/>
      <c r="B39" s="21"/>
      <c r="C39" s="22"/>
      <c r="D39" s="22"/>
      <c r="E39" s="22"/>
      <c r="F39" s="22"/>
      <c r="G39" s="22"/>
      <c r="H39" s="22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20"/>
      <c r="AD39" s="20"/>
      <c r="AE39" s="18"/>
      <c r="AF39" s="18"/>
      <c r="AG39" s="18"/>
      <c r="AH39" s="19"/>
      <c r="AI39" s="19"/>
      <c r="AJ39" s="19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4">
        <f t="shared" si="0"/>
        <v>0</v>
      </c>
    </row>
    <row r="40" hidden="1" customHeight="1" spans="1:68">
      <c r="A40" s="16"/>
      <c r="B40" s="21"/>
      <c r="C40" s="22"/>
      <c r="D40" s="22"/>
      <c r="E40" s="22"/>
      <c r="F40" s="22"/>
      <c r="G40" s="22"/>
      <c r="H40" s="22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20"/>
      <c r="AD40" s="20"/>
      <c r="AE40" s="18"/>
      <c r="AF40" s="18"/>
      <c r="AG40" s="18"/>
      <c r="AH40" s="19"/>
      <c r="AI40" s="19"/>
      <c r="AJ40" s="19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4">
        <f t="shared" si="0"/>
        <v>0</v>
      </c>
    </row>
    <row r="41" hidden="1" customHeight="1" spans="1:68">
      <c r="A41" s="16"/>
      <c r="B41" s="21"/>
      <c r="C41" s="22"/>
      <c r="D41" s="22"/>
      <c r="E41" s="22"/>
      <c r="F41" s="22"/>
      <c r="G41" s="22"/>
      <c r="H41" s="22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20"/>
      <c r="AD41" s="20"/>
      <c r="AE41" s="18"/>
      <c r="AF41" s="18"/>
      <c r="AG41" s="18"/>
      <c r="AH41" s="19"/>
      <c r="AI41" s="19"/>
      <c r="AJ41" s="19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4">
        <f t="shared" si="0"/>
        <v>0</v>
      </c>
    </row>
    <row r="42" hidden="1" customHeight="1" spans="1:68">
      <c r="A42" s="16"/>
      <c r="B42" s="21"/>
      <c r="C42" s="22"/>
      <c r="D42" s="22"/>
      <c r="E42" s="22"/>
      <c r="F42" s="22"/>
      <c r="G42" s="22"/>
      <c r="H42" s="22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20"/>
      <c r="AD42" s="20"/>
      <c r="AE42" s="18"/>
      <c r="AF42" s="18"/>
      <c r="AG42" s="18"/>
      <c r="AH42" s="19"/>
      <c r="AI42" s="19"/>
      <c r="AJ42" s="19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4">
        <f t="shared" si="0"/>
        <v>0</v>
      </c>
      <c r="BP42">
        <f t="shared" si="1"/>
        <v>0</v>
      </c>
    </row>
    <row r="43" hidden="1" customHeight="1" spans="1:68">
      <c r="A43" s="16"/>
      <c r="B43" s="21"/>
      <c r="C43" s="22"/>
      <c r="D43" s="22"/>
      <c r="E43" s="22"/>
      <c r="F43" s="22"/>
      <c r="G43" s="22"/>
      <c r="H43" s="22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20"/>
      <c r="AD43" s="20"/>
      <c r="AE43" s="18"/>
      <c r="AF43" s="18"/>
      <c r="AG43" s="18"/>
      <c r="AH43" s="19"/>
      <c r="AI43" s="19"/>
      <c r="AJ43" s="19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4">
        <f t="shared" si="0"/>
        <v>0</v>
      </c>
      <c r="BO43" s="25"/>
    </row>
    <row r="44" hidden="1" customHeight="1" spans="1:68">
      <c r="A44" s="16"/>
      <c r="B44" s="21"/>
      <c r="C44" s="22"/>
      <c r="D44" s="22"/>
      <c r="E44" s="22"/>
      <c r="F44" s="22"/>
      <c r="G44" s="22"/>
      <c r="H44" s="22"/>
      <c r="I44" s="18"/>
      <c r="J44" s="26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20"/>
      <c r="AD44" s="20"/>
      <c r="AE44" s="18"/>
      <c r="AF44" s="18"/>
      <c r="AG44" s="18"/>
      <c r="AH44" s="19"/>
      <c r="AI44" s="19"/>
      <c r="AJ44" s="19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4">
        <f t="shared" si="0"/>
        <v>0</v>
      </c>
      <c r="BP44">
        <f t="shared" si="1"/>
        <v>0</v>
      </c>
    </row>
    <row r="45" hidden="1" customHeight="1" spans="1:68">
      <c r="A45" s="16"/>
      <c r="B45" s="21"/>
      <c r="C45" s="22"/>
      <c r="D45" s="22"/>
      <c r="E45" s="22"/>
      <c r="F45" s="22"/>
      <c r="G45" s="22"/>
      <c r="H45" s="22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20"/>
      <c r="AD45" s="20"/>
      <c r="AE45" s="18"/>
      <c r="AF45" s="18"/>
      <c r="AG45" s="18"/>
      <c r="AH45" s="19"/>
      <c r="AI45" s="19"/>
      <c r="AJ45" s="19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4">
        <f t="shared" si="0"/>
        <v>0</v>
      </c>
      <c r="BP45">
        <f t="shared" si="1"/>
        <v>0</v>
      </c>
    </row>
    <row r="46" hidden="1" customHeight="1" spans="1:68">
      <c r="A46" s="16"/>
      <c r="B46" s="21"/>
      <c r="C46" s="22"/>
      <c r="D46" s="22"/>
      <c r="E46" s="22"/>
      <c r="F46" s="22"/>
      <c r="G46" s="22"/>
      <c r="H46" s="22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20"/>
      <c r="AD46" s="20"/>
      <c r="AE46" s="18"/>
      <c r="AF46" s="18"/>
      <c r="AG46" s="18"/>
      <c r="AH46" s="19"/>
      <c r="AI46" s="19"/>
      <c r="AJ46" s="19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4">
        <f t="shared" si="0"/>
        <v>0</v>
      </c>
      <c r="BP46">
        <f t="shared" si="1"/>
        <v>0</v>
      </c>
    </row>
    <row r="47" hidden="1" customHeight="1" spans="1:68">
      <c r="A47" s="16"/>
      <c r="B47" s="21"/>
      <c r="C47" s="22"/>
      <c r="D47" s="22"/>
      <c r="E47" s="22"/>
      <c r="F47" s="22"/>
      <c r="G47" s="22"/>
      <c r="H47" s="22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20"/>
      <c r="AD47" s="20"/>
      <c r="AE47" s="18"/>
      <c r="AF47" s="18"/>
      <c r="AG47" s="18"/>
      <c r="AH47" s="19"/>
      <c r="AI47" s="19"/>
      <c r="AJ47" s="19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4">
        <f t="shared" si="0"/>
        <v>0</v>
      </c>
      <c r="BP47">
        <f t="shared" si="1"/>
        <v>0</v>
      </c>
    </row>
    <row r="48" hidden="1" customHeight="1" spans="1:68">
      <c r="A48" s="16"/>
      <c r="B48" s="21"/>
      <c r="C48" s="22"/>
      <c r="D48" s="22"/>
      <c r="E48" s="22"/>
      <c r="F48" s="22"/>
      <c r="G48" s="22"/>
      <c r="H48" s="22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20"/>
      <c r="AD48" s="20"/>
      <c r="AE48" s="18"/>
      <c r="AF48" s="18"/>
      <c r="AG48" s="18"/>
      <c r="AH48" s="19"/>
      <c r="AI48" s="19"/>
      <c r="AJ48" s="19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4">
        <f t="shared" si="0"/>
        <v>0</v>
      </c>
      <c r="BP48">
        <f t="shared" si="1"/>
        <v>0</v>
      </c>
    </row>
    <row r="49" hidden="1" customHeight="1" spans="1:68">
      <c r="A49" s="16"/>
      <c r="B49" s="21"/>
      <c r="C49" s="22"/>
      <c r="D49" s="22"/>
      <c r="E49" s="22"/>
      <c r="F49" s="22"/>
      <c r="G49" s="22"/>
      <c r="H49" s="22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20"/>
      <c r="AD49" s="20"/>
      <c r="AE49" s="18"/>
      <c r="AF49" s="18"/>
      <c r="AG49" s="18"/>
      <c r="AH49" s="19"/>
      <c r="AI49" s="19"/>
      <c r="AJ49" s="19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4">
        <f t="shared" si="0"/>
        <v>0</v>
      </c>
      <c r="BP49">
        <f t="shared" si="1"/>
        <v>0</v>
      </c>
    </row>
    <row r="50" hidden="1" customHeight="1" spans="1:68">
      <c r="A50" s="16"/>
      <c r="B50" s="21"/>
      <c r="C50" s="22"/>
      <c r="D50" s="22"/>
      <c r="E50" s="22"/>
      <c r="F50" s="22"/>
      <c r="G50" s="22"/>
      <c r="H50" s="22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20"/>
      <c r="AD50" s="20"/>
      <c r="AE50" s="18"/>
      <c r="AF50" s="18"/>
      <c r="AG50" s="18"/>
      <c r="AH50" s="19"/>
      <c r="AI50" s="19"/>
      <c r="AJ50" s="19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4">
        <f t="shared" si="0"/>
        <v>0</v>
      </c>
      <c r="BP50">
        <f t="shared" si="1"/>
        <v>0</v>
      </c>
    </row>
    <row r="51" hidden="1" customHeight="1" spans="1:68">
      <c r="A51" s="16"/>
      <c r="B51" s="21"/>
      <c r="C51" s="22"/>
      <c r="D51" s="22"/>
      <c r="E51" s="22"/>
      <c r="F51" s="22"/>
      <c r="G51" s="22"/>
      <c r="H51" s="22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20"/>
      <c r="AD51" s="20"/>
      <c r="AE51" s="18"/>
      <c r="AF51" s="18"/>
      <c r="AG51" s="18"/>
      <c r="AH51" s="19"/>
      <c r="AI51" s="19"/>
      <c r="AJ51" s="19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4">
        <f t="shared" si="0"/>
        <v>0</v>
      </c>
    </row>
    <row r="52" hidden="1" customHeight="1" spans="1:68">
      <c r="A52" s="16"/>
      <c r="B52" s="21"/>
      <c r="C52" s="22"/>
      <c r="D52" s="22"/>
      <c r="E52" s="22"/>
      <c r="F52" s="22"/>
      <c r="G52" s="22"/>
      <c r="H52" s="22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20"/>
      <c r="AD52" s="20"/>
      <c r="AE52" s="18"/>
      <c r="AF52" s="18"/>
      <c r="AG52" s="18"/>
      <c r="AH52" s="19"/>
      <c r="AI52" s="19"/>
      <c r="AJ52" s="19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4">
        <f t="shared" si="0"/>
        <v>0</v>
      </c>
      <c r="BP52">
        <f t="shared" si="1"/>
        <v>0</v>
      </c>
    </row>
    <row r="53" hidden="1" customHeight="1" spans="1:68">
      <c r="A53" s="16"/>
      <c r="B53" s="21"/>
      <c r="C53" s="22"/>
      <c r="D53" s="22"/>
      <c r="E53" s="22"/>
      <c r="F53" s="22"/>
      <c r="G53" s="22"/>
      <c r="H53" s="22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20"/>
      <c r="AD53" s="20"/>
      <c r="AE53" s="18"/>
      <c r="AF53" s="18"/>
      <c r="AG53" s="18"/>
      <c r="AH53" s="19"/>
      <c r="AI53" s="19"/>
      <c r="AJ53" s="19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4">
        <f t="shared" si="0"/>
        <v>0</v>
      </c>
      <c r="BP53">
        <f t="shared" si="1"/>
        <v>0</v>
      </c>
    </row>
    <row r="54" hidden="1" customHeight="1" spans="1:68">
      <c r="A54" s="16"/>
      <c r="B54" s="21"/>
      <c r="C54" s="22"/>
      <c r="D54" s="22"/>
      <c r="E54" s="22"/>
      <c r="F54" s="22"/>
      <c r="G54" s="22"/>
      <c r="H54" s="22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20"/>
      <c r="AD54" s="20"/>
      <c r="AE54" s="18"/>
      <c r="AF54" s="18"/>
      <c r="AG54" s="18"/>
      <c r="AH54" s="19"/>
      <c r="AI54" s="19"/>
      <c r="AJ54" s="19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4">
        <f t="shared" si="0"/>
        <v>0</v>
      </c>
      <c r="BP54">
        <f t="shared" si="1"/>
        <v>0</v>
      </c>
    </row>
    <row r="55" hidden="1" customHeight="1" spans="1:68">
      <c r="A55" s="16"/>
      <c r="B55" s="21"/>
      <c r="C55" s="22"/>
      <c r="D55" s="22"/>
      <c r="E55" s="22"/>
      <c r="F55" s="22"/>
      <c r="G55" s="22"/>
      <c r="H55" s="22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9"/>
      <c r="AI55" s="19"/>
      <c r="AJ55" s="19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4">
        <f t="shared" si="0"/>
        <v>0</v>
      </c>
      <c r="BP55">
        <f t="shared" si="1"/>
        <v>0</v>
      </c>
    </row>
    <row r="56" hidden="1" customHeight="1" spans="1:68">
      <c r="A56" s="16"/>
      <c r="B56" s="17"/>
      <c r="C56" s="18"/>
      <c r="D56" s="18"/>
      <c r="E56" s="18"/>
      <c r="F56" s="18"/>
      <c r="G56" s="18"/>
      <c r="H56" s="18"/>
      <c r="I56" s="20"/>
      <c r="J56" s="20"/>
      <c r="K56" s="20"/>
      <c r="L56" s="18"/>
      <c r="M56" s="18"/>
      <c r="N56" s="18"/>
      <c r="O56" s="18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18"/>
      <c r="AC56" s="18"/>
      <c r="AD56" s="18"/>
      <c r="AE56" s="18"/>
      <c r="AF56" s="18"/>
      <c r="AG56" s="18"/>
      <c r="AH56" s="19"/>
      <c r="AI56" s="19"/>
      <c r="AJ56" s="19"/>
      <c r="AK56" s="18"/>
      <c r="AL56" s="18"/>
      <c r="AM56" s="18"/>
      <c r="AN56" s="18"/>
      <c r="AO56" s="18"/>
      <c r="AP56" s="20"/>
      <c r="AQ56" s="18"/>
      <c r="AR56" s="20"/>
      <c r="AS56" s="18"/>
      <c r="AT56" s="18"/>
      <c r="AU56" s="18"/>
      <c r="AV56" s="18"/>
      <c r="AW56" s="18"/>
      <c r="AX56" s="18"/>
      <c r="AY56" s="18"/>
      <c r="AZ56" s="20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4">
        <f t="shared" si="0"/>
        <v>0</v>
      </c>
      <c r="BP56">
        <f t="shared" si="1"/>
        <v>0</v>
      </c>
    </row>
    <row r="57" hidden="1" customHeight="1" spans="1:68">
      <c r="A57" s="16"/>
      <c r="B57" s="17"/>
      <c r="C57" s="18"/>
      <c r="D57" s="18"/>
      <c r="E57" s="18"/>
      <c r="F57" s="18"/>
      <c r="G57" s="18"/>
      <c r="H57" s="18"/>
      <c r="I57" s="20"/>
      <c r="J57" s="20"/>
      <c r="K57" s="20"/>
      <c r="L57" s="18"/>
      <c r="M57" s="18"/>
      <c r="N57" s="18"/>
      <c r="O57" s="18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18"/>
      <c r="AC57" s="18"/>
      <c r="AD57" s="18"/>
      <c r="AE57" s="18"/>
      <c r="AF57" s="18"/>
      <c r="AG57" s="18"/>
      <c r="AH57" s="19"/>
      <c r="AI57" s="19"/>
      <c r="AJ57" s="19"/>
      <c r="AK57" s="18"/>
      <c r="AL57" s="18"/>
      <c r="AM57" s="18"/>
      <c r="AN57" s="18"/>
      <c r="AO57" s="18"/>
      <c r="AP57" s="20"/>
      <c r="AQ57" s="18"/>
      <c r="AR57" s="20"/>
      <c r="AS57" s="18"/>
      <c r="AT57" s="18"/>
      <c r="AU57" s="18"/>
      <c r="AV57" s="18"/>
      <c r="AW57" s="18"/>
      <c r="AX57" s="18"/>
      <c r="AY57" s="18"/>
      <c r="AZ57" s="20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4">
        <f t="shared" si="0"/>
        <v>0</v>
      </c>
    </row>
    <row r="58" hidden="1" customHeight="1" spans="1:68">
      <c r="A58" s="16"/>
      <c r="B58" s="17"/>
      <c r="C58" s="18"/>
      <c r="D58" s="18"/>
      <c r="E58" s="18"/>
      <c r="F58" s="18"/>
      <c r="G58" s="18"/>
      <c r="H58" s="18"/>
      <c r="I58" s="19"/>
      <c r="J58" s="20"/>
      <c r="K58" s="20"/>
      <c r="L58" s="18"/>
      <c r="M58" s="18"/>
      <c r="N58" s="18"/>
      <c r="O58" s="18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18"/>
      <c r="AC58" s="18"/>
      <c r="AD58" s="18"/>
      <c r="AE58" s="18"/>
      <c r="AF58" s="18"/>
      <c r="AG58" s="18"/>
      <c r="AH58" s="19"/>
      <c r="AI58" s="19"/>
      <c r="AJ58" s="19"/>
      <c r="AK58" s="18"/>
      <c r="AL58" s="18"/>
      <c r="AM58" s="18"/>
      <c r="AN58" s="18"/>
      <c r="AO58" s="18"/>
      <c r="AP58" s="20"/>
      <c r="AQ58" s="18"/>
      <c r="AR58" s="20"/>
      <c r="AS58" s="18"/>
      <c r="AT58" s="18"/>
      <c r="AU58" s="18"/>
      <c r="AV58" s="18"/>
      <c r="AW58" s="18"/>
      <c r="AX58" s="18"/>
      <c r="AY58" s="18"/>
      <c r="AZ58" s="20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4">
        <f t="shared" si="0"/>
        <v>0</v>
      </c>
    </row>
    <row r="59" s="3" customFormat="1" hidden="1" customHeight="1" spans="1:68">
      <c r="A59" s="42"/>
      <c r="B59" s="18"/>
      <c r="C59" s="18"/>
      <c r="D59" s="18"/>
      <c r="E59" s="18"/>
      <c r="F59" s="18"/>
      <c r="G59" s="18"/>
      <c r="H59" s="18"/>
      <c r="I59" s="19"/>
      <c r="J59" s="20"/>
      <c r="K59" s="19"/>
      <c r="L59" s="18"/>
      <c r="M59" s="18"/>
      <c r="N59" s="18"/>
      <c r="O59" s="18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18"/>
      <c r="AC59" s="18"/>
      <c r="AD59" s="18"/>
      <c r="AE59" s="18"/>
      <c r="AF59" s="18"/>
      <c r="AG59" s="18"/>
      <c r="AH59" s="19"/>
      <c r="AI59" s="19"/>
      <c r="AJ59" s="19"/>
      <c r="AK59" s="18"/>
      <c r="AL59" s="18"/>
      <c r="AM59" s="18"/>
      <c r="AN59" s="18"/>
      <c r="AO59" s="18"/>
      <c r="AP59" s="20"/>
      <c r="AQ59" s="18"/>
      <c r="AR59" s="20"/>
      <c r="AS59" s="18"/>
      <c r="AT59" s="18"/>
      <c r="AU59" s="18"/>
      <c r="AV59" s="18"/>
      <c r="AW59" s="18"/>
      <c r="AX59" s="18"/>
      <c r="AY59" s="18"/>
      <c r="AZ59" s="20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4">
        <f t="shared" si="0"/>
        <v>0</v>
      </c>
    </row>
    <row r="60" s="3" customFormat="1" hidden="1" customHeight="1" spans="1:68">
      <c r="A60" s="42"/>
      <c r="B60" s="18"/>
      <c r="C60" s="18"/>
      <c r="D60" s="18"/>
      <c r="E60" s="18"/>
      <c r="F60" s="18"/>
      <c r="G60" s="18"/>
      <c r="H60" s="18"/>
      <c r="I60" s="19"/>
      <c r="J60" s="20"/>
      <c r="K60" s="19"/>
      <c r="L60" s="18"/>
      <c r="M60" s="18"/>
      <c r="N60" s="18"/>
      <c r="O60" s="18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18"/>
      <c r="AC60" s="18"/>
      <c r="AD60" s="18"/>
      <c r="AE60" s="18"/>
      <c r="AF60" s="18"/>
      <c r="AG60" s="18"/>
      <c r="AH60" s="19"/>
      <c r="AI60" s="19"/>
      <c r="AJ60" s="19"/>
      <c r="AK60" s="18"/>
      <c r="AL60" s="18"/>
      <c r="AM60" s="18"/>
      <c r="AN60" s="18"/>
      <c r="AO60" s="18"/>
      <c r="AP60" s="20"/>
      <c r="AQ60" s="18"/>
      <c r="AR60" s="20"/>
      <c r="AS60" s="18"/>
      <c r="AT60" s="18"/>
      <c r="AU60" s="18"/>
      <c r="AV60" s="18"/>
      <c r="AW60" s="18"/>
      <c r="AX60" s="18"/>
      <c r="AY60" s="18"/>
      <c r="AZ60" s="20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4">
        <f t="shared" si="0"/>
        <v>0</v>
      </c>
    </row>
    <row r="61" hidden="1" customHeight="1" spans="1:68">
      <c r="A61" s="16"/>
      <c r="B61" s="17"/>
      <c r="C61" s="18"/>
      <c r="D61" s="18"/>
      <c r="E61" s="18"/>
      <c r="F61" s="18"/>
      <c r="G61" s="18"/>
      <c r="H61" s="18"/>
      <c r="I61" s="19"/>
      <c r="J61" s="19"/>
      <c r="K61" s="19"/>
      <c r="L61" s="18"/>
      <c r="M61" s="18"/>
      <c r="N61" s="18"/>
      <c r="O61" s="18"/>
      <c r="P61" s="19"/>
      <c r="Q61" s="20"/>
      <c r="R61" s="20"/>
      <c r="S61" s="20"/>
      <c r="T61" s="20"/>
      <c r="U61" s="20"/>
      <c r="V61" s="20"/>
      <c r="W61" s="19"/>
      <c r="X61" s="20"/>
      <c r="Y61" s="20"/>
      <c r="Z61" s="20"/>
      <c r="AA61" s="20"/>
      <c r="AB61" s="18"/>
      <c r="AC61" s="18"/>
      <c r="AD61" s="18"/>
      <c r="AE61" s="18"/>
      <c r="AF61" s="18"/>
      <c r="AG61" s="18"/>
      <c r="AH61" s="19"/>
      <c r="AI61" s="19"/>
      <c r="AJ61" s="19"/>
      <c r="AK61" s="18"/>
      <c r="AL61" s="18"/>
      <c r="AM61" s="18"/>
      <c r="AN61" s="18"/>
      <c r="AO61" s="18"/>
      <c r="AP61" s="27"/>
      <c r="AQ61" s="18"/>
      <c r="AR61" s="19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4">
        <f t="shared" si="0"/>
        <v>0</v>
      </c>
      <c r="BP61">
        <f t="shared" si="1"/>
        <v>0</v>
      </c>
    </row>
    <row r="62" hidden="1" customHeight="1" spans="1:68">
      <c r="A62" s="16"/>
      <c r="B62" s="17"/>
      <c r="C62" s="18"/>
      <c r="D62" s="18"/>
      <c r="E62" s="18"/>
      <c r="F62" s="18"/>
      <c r="G62" s="18"/>
      <c r="H62" s="18"/>
      <c r="I62" s="19"/>
      <c r="J62" s="19"/>
      <c r="K62" s="19"/>
      <c r="L62" s="18"/>
      <c r="M62" s="18"/>
      <c r="N62" s="18"/>
      <c r="O62" s="18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18"/>
      <c r="AC62" s="18"/>
      <c r="AD62" s="18"/>
      <c r="AE62" s="18"/>
      <c r="AF62" s="18"/>
      <c r="AG62" s="18"/>
      <c r="AH62" s="19"/>
      <c r="AI62" s="19"/>
      <c r="AJ62" s="19"/>
      <c r="AK62" s="18"/>
      <c r="AL62" s="18"/>
      <c r="AM62" s="18"/>
      <c r="AN62" s="18"/>
      <c r="AO62" s="18"/>
      <c r="AP62" s="20"/>
      <c r="AQ62" s="18"/>
      <c r="AR62" s="20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4">
        <f t="shared" si="0"/>
        <v>0</v>
      </c>
      <c r="BP62">
        <f t="shared" si="1"/>
        <v>0</v>
      </c>
    </row>
    <row r="63" hidden="1" customHeight="1" spans="1:68">
      <c r="A63" s="16"/>
      <c r="B63" s="17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9"/>
      <c r="AI63" s="19"/>
      <c r="AJ63" s="19"/>
      <c r="AK63" s="18"/>
      <c r="AL63" s="18"/>
      <c r="AM63" s="18"/>
      <c r="AN63" s="18"/>
      <c r="AO63" s="18"/>
      <c r="AP63" s="18"/>
      <c r="AQ63" s="18"/>
      <c r="AR63" s="20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4">
        <f t="shared" si="0"/>
        <v>0</v>
      </c>
      <c r="BP63">
        <f t="shared" si="1"/>
        <v>0</v>
      </c>
    </row>
    <row r="64" hidden="1" customHeight="1" spans="1:68">
      <c r="A64" s="16"/>
      <c r="B64" s="21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9"/>
      <c r="AI64" s="19"/>
      <c r="AJ64" s="19"/>
      <c r="AK64" s="18"/>
      <c r="AL64" s="18"/>
      <c r="AM64" s="18"/>
      <c r="AN64" s="18"/>
      <c r="AO64" s="18"/>
      <c r="AP64" s="18"/>
      <c r="AQ64" s="18"/>
      <c r="AR64" s="20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4">
        <f t="shared" si="0"/>
        <v>0</v>
      </c>
      <c r="BP64">
        <f t="shared" si="1"/>
        <v>0</v>
      </c>
    </row>
    <row r="65" hidden="1" customHeight="1" spans="1:68">
      <c r="A65" s="16"/>
      <c r="B65" s="21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9"/>
      <c r="AI65" s="19"/>
      <c r="AJ65" s="19"/>
      <c r="AK65" s="18"/>
      <c r="AL65" s="18"/>
      <c r="AM65" s="18"/>
      <c r="AN65" s="18"/>
      <c r="AO65" s="18"/>
      <c r="AP65" s="18"/>
      <c r="AQ65" s="18"/>
      <c r="AR65" s="20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4">
        <f t="shared" si="0"/>
        <v>0</v>
      </c>
    </row>
    <row r="66" hidden="1" customHeight="1" spans="1:68">
      <c r="A66" s="16"/>
      <c r="B66" s="21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9"/>
      <c r="AI66" s="19"/>
      <c r="AJ66" s="19"/>
      <c r="AK66" s="18"/>
      <c r="AL66" s="18"/>
      <c r="AM66" s="18"/>
      <c r="AN66" s="18"/>
      <c r="AO66" s="18"/>
      <c r="AP66" s="18"/>
      <c r="AQ66" s="18"/>
      <c r="AR66" s="20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4">
        <f t="shared" si="0"/>
        <v>0</v>
      </c>
    </row>
    <row r="67" hidden="1" customHeight="1" spans="1:68">
      <c r="A67" s="16"/>
      <c r="B67" s="21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9"/>
      <c r="AI67" s="19"/>
      <c r="AJ67" s="19"/>
      <c r="AK67" s="18"/>
      <c r="AL67" s="18"/>
      <c r="AM67" s="18"/>
      <c r="AN67" s="18"/>
      <c r="AO67" s="18"/>
      <c r="AP67" s="18"/>
      <c r="AQ67" s="18"/>
      <c r="AR67" s="20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4">
        <f t="shared" si="0"/>
        <v>0</v>
      </c>
    </row>
    <row r="68" hidden="1" customHeight="1" spans="1:68">
      <c r="A68" s="16"/>
      <c r="B68" s="17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9"/>
      <c r="AI68" s="19"/>
      <c r="AJ68" s="19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4">
        <f t="shared" si="0"/>
        <v>0</v>
      </c>
      <c r="BP68">
        <f t="shared" si="1"/>
        <v>0</v>
      </c>
    </row>
    <row r="69" hidden="1" customHeight="1" spans="1:68">
      <c r="A69" s="16"/>
      <c r="B69" s="21"/>
      <c r="C69" s="22"/>
      <c r="D69" s="22"/>
      <c r="E69" s="22"/>
      <c r="F69" s="22"/>
      <c r="G69" s="22"/>
      <c r="H69" s="22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9"/>
      <c r="AI69" s="19"/>
      <c r="AJ69" s="19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4">
        <f t="shared" ref="BN69:BN132" si="2">C69+D69+E69+F69+G69+H69+I69+J69+K69+L69+M69+N69+O69+P69</f>
        <v>0</v>
      </c>
      <c r="BP69">
        <f t="shared" si="1"/>
        <v>0</v>
      </c>
    </row>
    <row r="70" hidden="1" customHeight="1" spans="1:68">
      <c r="A70" s="16"/>
      <c r="B70" s="21"/>
      <c r="C70" s="22"/>
      <c r="D70" s="22"/>
      <c r="E70" s="22"/>
      <c r="F70" s="22"/>
      <c r="G70" s="22"/>
      <c r="H70" s="22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9"/>
      <c r="AI70" s="19"/>
      <c r="AJ70" s="19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4">
        <f t="shared" si="2"/>
        <v>0</v>
      </c>
    </row>
    <row r="71" hidden="1" customHeight="1" spans="1:68">
      <c r="A71" s="16"/>
      <c r="B71" s="21"/>
      <c r="C71" s="22"/>
      <c r="D71" s="22"/>
      <c r="E71" s="22"/>
      <c r="F71" s="22"/>
      <c r="G71" s="22"/>
      <c r="H71" s="22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9"/>
      <c r="AI71" s="19"/>
      <c r="AJ71" s="19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4">
        <f t="shared" si="2"/>
        <v>0</v>
      </c>
      <c r="BO71">
        <v>13.8</v>
      </c>
      <c r="BP71">
        <f t="shared" si="1"/>
        <v>0</v>
      </c>
    </row>
    <row r="72" hidden="1" customHeight="1" spans="1:68">
      <c r="A72" s="16"/>
      <c r="B72" s="21"/>
      <c r="C72" s="22"/>
      <c r="D72" s="22"/>
      <c r="E72" s="22"/>
      <c r="F72" s="22"/>
      <c r="G72" s="22"/>
      <c r="H72" s="22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9"/>
      <c r="AI72" s="19"/>
      <c r="AJ72" s="19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4">
        <f t="shared" si="2"/>
        <v>0</v>
      </c>
      <c r="BP72">
        <f t="shared" si="1"/>
        <v>0</v>
      </c>
    </row>
    <row r="73" hidden="1" customHeight="1" spans="1:68">
      <c r="A73" s="16"/>
      <c r="B73" s="21"/>
      <c r="C73" s="22"/>
      <c r="D73" s="22"/>
      <c r="E73" s="22"/>
      <c r="F73" s="22"/>
      <c r="G73" s="22"/>
      <c r="H73" s="22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9"/>
      <c r="AI73" s="19"/>
      <c r="AJ73" s="19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4">
        <f t="shared" si="2"/>
        <v>0</v>
      </c>
      <c r="BP73">
        <f t="shared" si="1"/>
        <v>0</v>
      </c>
    </row>
    <row r="74" hidden="1" customHeight="1" spans="1:68">
      <c r="A74" s="16"/>
      <c r="B74" s="21"/>
      <c r="C74" s="22"/>
      <c r="D74" s="22"/>
      <c r="E74" s="22"/>
      <c r="F74" s="22"/>
      <c r="G74" s="22"/>
      <c r="H74" s="22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9"/>
      <c r="AI74" s="19"/>
      <c r="AJ74" s="19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4">
        <f t="shared" si="2"/>
        <v>0</v>
      </c>
      <c r="BP74">
        <f t="shared" si="1"/>
        <v>0</v>
      </c>
    </row>
    <row r="75" hidden="1" customHeight="1" spans="1:68">
      <c r="A75" s="16"/>
      <c r="B75" s="21"/>
      <c r="C75" s="22"/>
      <c r="D75" s="22"/>
      <c r="E75" s="22"/>
      <c r="F75" s="22"/>
      <c r="G75" s="22"/>
      <c r="H75" s="22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9"/>
      <c r="AI75" s="19"/>
      <c r="AJ75" s="19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4">
        <f t="shared" si="2"/>
        <v>0</v>
      </c>
      <c r="BP75">
        <f t="shared" si="1"/>
        <v>0</v>
      </c>
    </row>
    <row r="76" hidden="1" customHeight="1" spans="1:68">
      <c r="A76" s="16"/>
      <c r="B76" s="21"/>
      <c r="C76" s="22"/>
      <c r="D76" s="22"/>
      <c r="E76" s="22"/>
      <c r="F76" s="22"/>
      <c r="G76" s="22"/>
      <c r="H76" s="22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9"/>
      <c r="AI76" s="19"/>
      <c r="AJ76" s="19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4">
        <f t="shared" si="2"/>
        <v>0</v>
      </c>
      <c r="BP76">
        <f t="shared" si="1"/>
        <v>0</v>
      </c>
    </row>
    <row r="77" hidden="1" customHeight="1" spans="1:68">
      <c r="A77" s="16"/>
      <c r="B77" s="21"/>
      <c r="C77" s="22"/>
      <c r="D77" s="22"/>
      <c r="E77" s="22"/>
      <c r="F77" s="22"/>
      <c r="G77" s="22"/>
      <c r="H77" s="22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9"/>
      <c r="AI77" s="19"/>
      <c r="AJ77" s="19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4">
        <f t="shared" si="2"/>
        <v>0</v>
      </c>
      <c r="BP77">
        <f t="shared" si="1"/>
        <v>0</v>
      </c>
    </row>
    <row r="78" hidden="1" customHeight="1" spans="1:68">
      <c r="A78" s="16"/>
      <c r="B78" s="21"/>
      <c r="C78" s="22"/>
      <c r="D78" s="22"/>
      <c r="E78" s="22"/>
      <c r="F78" s="22"/>
      <c r="G78" s="22"/>
      <c r="H78" s="22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9"/>
      <c r="AI78" s="19"/>
      <c r="AJ78" s="19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4">
        <f t="shared" si="2"/>
        <v>0</v>
      </c>
    </row>
    <row r="79" hidden="1" customHeight="1" spans="1:68">
      <c r="A79" s="16"/>
      <c r="B79" s="21"/>
      <c r="C79" s="22"/>
      <c r="D79" s="22"/>
      <c r="E79" s="22"/>
      <c r="F79" s="22"/>
      <c r="G79" s="22"/>
      <c r="H79" s="22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9"/>
      <c r="AI79" s="19"/>
      <c r="AJ79" s="19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4">
        <f t="shared" si="2"/>
        <v>0</v>
      </c>
      <c r="BP79">
        <f t="shared" ref="BP79:BP135" si="3">BN79*BO79</f>
        <v>0</v>
      </c>
    </row>
    <row r="80" hidden="1" customHeight="1" spans="1:68">
      <c r="A80" s="16"/>
      <c r="B80" s="21"/>
      <c r="C80" s="22"/>
      <c r="D80" s="22"/>
      <c r="E80" s="22"/>
      <c r="F80" s="22"/>
      <c r="G80" s="22"/>
      <c r="H80" s="22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9"/>
      <c r="AI80" s="19"/>
      <c r="AJ80" s="19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4">
        <f t="shared" si="2"/>
        <v>0</v>
      </c>
      <c r="BP80">
        <f t="shared" si="3"/>
        <v>0</v>
      </c>
    </row>
    <row r="81" hidden="1" customHeight="1" spans="1:68">
      <c r="A81" s="16"/>
      <c r="B81" s="21"/>
      <c r="C81" s="22"/>
      <c r="D81" s="22"/>
      <c r="E81" s="22"/>
      <c r="F81" s="22"/>
      <c r="G81" s="22"/>
      <c r="H81" s="22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9"/>
      <c r="AI81" s="19"/>
      <c r="AJ81" s="19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4">
        <f t="shared" si="2"/>
        <v>0</v>
      </c>
      <c r="BP81">
        <f t="shared" si="3"/>
        <v>0</v>
      </c>
    </row>
    <row r="82" hidden="1" customHeight="1" spans="1:68">
      <c r="A82" s="16"/>
      <c r="B82" s="21"/>
      <c r="C82" s="22"/>
      <c r="D82" s="22"/>
      <c r="E82" s="22"/>
      <c r="F82" s="22"/>
      <c r="G82" s="22"/>
      <c r="H82" s="22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9"/>
      <c r="AI82" s="19"/>
      <c r="AJ82" s="19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4">
        <f t="shared" si="2"/>
        <v>0</v>
      </c>
      <c r="BP82">
        <f t="shared" si="3"/>
        <v>0</v>
      </c>
    </row>
    <row r="83" hidden="1" customHeight="1" spans="1:68">
      <c r="A83" s="16"/>
      <c r="B83" s="21"/>
      <c r="C83" s="22"/>
      <c r="D83" s="22"/>
      <c r="E83" s="22"/>
      <c r="F83" s="22"/>
      <c r="G83" s="22"/>
      <c r="H83" s="22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9"/>
      <c r="AI83" s="19"/>
      <c r="AJ83" s="19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4">
        <f t="shared" si="2"/>
        <v>0</v>
      </c>
      <c r="BP83">
        <f t="shared" si="3"/>
        <v>0</v>
      </c>
    </row>
    <row r="84" hidden="1" customHeight="1" spans="1:68">
      <c r="A84" s="16"/>
      <c r="B84" s="21"/>
      <c r="C84" s="22"/>
      <c r="D84" s="22"/>
      <c r="E84" s="22"/>
      <c r="F84" s="22"/>
      <c r="G84" s="22"/>
      <c r="H84" s="22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9"/>
      <c r="AI84" s="19"/>
      <c r="AJ84" s="19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4">
        <f t="shared" si="2"/>
        <v>0</v>
      </c>
      <c r="BP84">
        <f t="shared" si="3"/>
        <v>0</v>
      </c>
    </row>
    <row r="85" hidden="1" customHeight="1" spans="1:68">
      <c r="A85" s="16"/>
      <c r="B85" s="21"/>
      <c r="C85" s="22"/>
      <c r="D85" s="22"/>
      <c r="E85" s="22"/>
      <c r="F85" s="22"/>
      <c r="G85" s="22"/>
      <c r="H85" s="22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9"/>
      <c r="AI85" s="19"/>
      <c r="AJ85" s="19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4">
        <f t="shared" si="2"/>
        <v>0</v>
      </c>
      <c r="BP85">
        <f t="shared" si="3"/>
        <v>0</v>
      </c>
    </row>
    <row r="86" hidden="1" customHeight="1" spans="1:68">
      <c r="A86" s="16"/>
      <c r="B86" s="21"/>
      <c r="C86" s="22"/>
      <c r="D86" s="22"/>
      <c r="E86" s="22"/>
      <c r="F86" s="22"/>
      <c r="G86" s="22"/>
      <c r="H86" s="22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9"/>
      <c r="AI86" s="19"/>
      <c r="AJ86" s="19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4">
        <f t="shared" si="2"/>
        <v>0</v>
      </c>
      <c r="BP86">
        <f t="shared" si="3"/>
        <v>0</v>
      </c>
    </row>
    <row r="87" hidden="1" customHeight="1" spans="1:68">
      <c r="A87" s="16"/>
      <c r="B87" s="21"/>
      <c r="C87" s="22"/>
      <c r="D87" s="22"/>
      <c r="E87" s="22"/>
      <c r="F87" s="22"/>
      <c r="G87" s="22"/>
      <c r="H87" s="22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9"/>
      <c r="AI87" s="19"/>
      <c r="AJ87" s="19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4">
        <f t="shared" si="2"/>
        <v>0</v>
      </c>
      <c r="BP87">
        <f t="shared" si="3"/>
        <v>0</v>
      </c>
    </row>
    <row r="88" hidden="1" customHeight="1" spans="1:68">
      <c r="A88" s="16"/>
      <c r="B88" s="21"/>
      <c r="C88" s="22"/>
      <c r="D88" s="22"/>
      <c r="E88" s="22"/>
      <c r="F88" s="22"/>
      <c r="G88" s="22"/>
      <c r="H88" s="22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9"/>
      <c r="AI88" s="19"/>
      <c r="AJ88" s="19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4">
        <f t="shared" si="2"/>
        <v>0</v>
      </c>
      <c r="BP88">
        <f t="shared" si="3"/>
        <v>0</v>
      </c>
    </row>
    <row r="89" hidden="1" customHeight="1" spans="1:68">
      <c r="A89" s="16"/>
      <c r="B89" s="21"/>
      <c r="C89" s="22"/>
      <c r="D89" s="22"/>
      <c r="E89" s="22"/>
      <c r="F89" s="22"/>
      <c r="G89" s="22"/>
      <c r="H89" s="22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9"/>
      <c r="AI89" s="19"/>
      <c r="AJ89" s="19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4">
        <f t="shared" si="2"/>
        <v>0</v>
      </c>
      <c r="BP89">
        <f t="shared" si="3"/>
        <v>0</v>
      </c>
    </row>
    <row r="90" hidden="1" customHeight="1" spans="1:68">
      <c r="A90" s="16"/>
      <c r="B90" s="21"/>
      <c r="C90" s="22"/>
      <c r="D90" s="22"/>
      <c r="E90" s="22"/>
      <c r="F90" s="22"/>
      <c r="G90" s="22"/>
      <c r="H90" s="22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9"/>
      <c r="AI90" s="19"/>
      <c r="AJ90" s="19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4">
        <f t="shared" si="2"/>
        <v>0</v>
      </c>
      <c r="BP90">
        <f t="shared" si="3"/>
        <v>0</v>
      </c>
    </row>
    <row r="91" hidden="1" customHeight="1" spans="1:68">
      <c r="A91" s="16"/>
      <c r="B91" s="21"/>
      <c r="C91" s="22"/>
      <c r="D91" s="22"/>
      <c r="E91" s="22"/>
      <c r="F91" s="22"/>
      <c r="G91" s="22"/>
      <c r="H91" s="22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9"/>
      <c r="AI91" s="19"/>
      <c r="AJ91" s="19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4">
        <f t="shared" si="2"/>
        <v>0</v>
      </c>
      <c r="BP91">
        <f t="shared" si="3"/>
        <v>0</v>
      </c>
    </row>
    <row r="92" hidden="1" customHeight="1" spans="1:68">
      <c r="A92" s="16"/>
      <c r="B92" s="17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9"/>
      <c r="AI92" s="19"/>
      <c r="AJ92" s="19"/>
      <c r="AK92" s="18"/>
      <c r="AL92" s="20"/>
      <c r="AM92" s="20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4">
        <f t="shared" si="2"/>
        <v>0</v>
      </c>
      <c r="BP92">
        <f t="shared" si="3"/>
        <v>0</v>
      </c>
    </row>
    <row r="93" hidden="1" customHeight="1" spans="1:68">
      <c r="A93" s="16"/>
      <c r="B93" s="17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20"/>
      <c r="AF93" s="20"/>
      <c r="AG93" s="20"/>
      <c r="AH93" s="19"/>
      <c r="AI93" s="19"/>
      <c r="AJ93" s="19"/>
      <c r="AK93" s="18"/>
      <c r="AL93" s="20"/>
      <c r="AM93" s="20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4">
        <f t="shared" si="2"/>
        <v>0</v>
      </c>
      <c r="BP93">
        <f t="shared" si="3"/>
        <v>0</v>
      </c>
    </row>
    <row r="94" hidden="1" customHeight="1" spans="1:68">
      <c r="A94" s="16"/>
      <c r="B94" s="17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20"/>
      <c r="AF94" s="20"/>
      <c r="AG94" s="20"/>
      <c r="AH94" s="19"/>
      <c r="AI94" s="19"/>
      <c r="AJ94" s="19"/>
      <c r="AK94" s="18"/>
      <c r="AL94" s="20"/>
      <c r="AM94" s="20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4">
        <f t="shared" si="2"/>
        <v>0</v>
      </c>
      <c r="BP94">
        <f t="shared" si="3"/>
        <v>0</v>
      </c>
    </row>
    <row r="95" hidden="1" customHeight="1" spans="1:68">
      <c r="A95" s="16"/>
      <c r="B95" s="17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20"/>
      <c r="AF95" s="20"/>
      <c r="AG95" s="20"/>
      <c r="AH95" s="19"/>
      <c r="AI95" s="19"/>
      <c r="AJ95" s="19"/>
      <c r="AK95" s="18"/>
      <c r="AL95" s="20"/>
      <c r="AM95" s="20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4">
        <f t="shared" si="2"/>
        <v>0</v>
      </c>
      <c r="BP95">
        <f t="shared" si="3"/>
        <v>0</v>
      </c>
    </row>
    <row r="96" hidden="1" customHeight="1" spans="1:68">
      <c r="A96" s="16"/>
      <c r="B96" s="17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20"/>
      <c r="AF96" s="20"/>
      <c r="AG96" s="20"/>
      <c r="AH96" s="19"/>
      <c r="AI96" s="19"/>
      <c r="AJ96" s="19"/>
      <c r="AK96" s="18"/>
      <c r="AL96" s="20"/>
      <c r="AM96" s="20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4">
        <f t="shared" si="2"/>
        <v>0</v>
      </c>
    </row>
    <row r="97" hidden="1" customHeight="1" spans="1:68">
      <c r="A97" s="16"/>
      <c r="B97" s="17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28"/>
      <c r="Z97" s="18"/>
      <c r="AA97" s="18"/>
      <c r="AB97" s="18"/>
      <c r="AC97" s="18"/>
      <c r="AD97" s="18"/>
      <c r="AE97" s="19"/>
      <c r="AF97" s="19"/>
      <c r="AG97" s="19"/>
      <c r="AH97" s="19"/>
      <c r="AI97" s="19"/>
      <c r="AJ97" s="19"/>
      <c r="AK97" s="18"/>
      <c r="AL97" s="20"/>
      <c r="AM97" s="20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4">
        <f t="shared" si="2"/>
        <v>0</v>
      </c>
      <c r="BP97">
        <f t="shared" si="3"/>
        <v>0</v>
      </c>
    </row>
    <row r="98" hidden="1" customHeight="1" spans="1:68">
      <c r="A98" s="16"/>
      <c r="B98" s="17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9"/>
      <c r="AI98" s="19"/>
      <c r="AJ98" s="19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4">
        <f t="shared" si="2"/>
        <v>0</v>
      </c>
      <c r="BP98">
        <f t="shared" si="3"/>
        <v>0</v>
      </c>
    </row>
    <row r="99" hidden="1" customHeight="1" spans="1:68">
      <c r="A99" s="16"/>
      <c r="B99" s="17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9"/>
      <c r="AI99" s="19"/>
      <c r="AJ99" s="19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4">
        <f t="shared" si="2"/>
        <v>0</v>
      </c>
      <c r="BP99">
        <f t="shared" si="3"/>
        <v>0</v>
      </c>
    </row>
    <row r="100" hidden="1" customHeight="1" spans="1:68">
      <c r="A100" s="16"/>
      <c r="B100" s="17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9"/>
      <c r="AI100" s="19"/>
      <c r="AJ100" s="19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4">
        <f t="shared" si="2"/>
        <v>0</v>
      </c>
      <c r="BP100">
        <f t="shared" si="3"/>
        <v>0</v>
      </c>
    </row>
    <row r="101" hidden="1" customHeight="1" spans="1:68">
      <c r="A101" s="16"/>
      <c r="B101" s="17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9"/>
      <c r="AI101" s="19"/>
      <c r="AJ101" s="19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4">
        <f t="shared" si="2"/>
        <v>0</v>
      </c>
      <c r="BP101">
        <f t="shared" si="3"/>
        <v>0</v>
      </c>
    </row>
    <row r="102" hidden="1" customHeight="1" spans="1:68">
      <c r="A102" s="29"/>
      <c r="B102" s="30"/>
      <c r="C102" s="31"/>
      <c r="D102" s="31"/>
      <c r="E102" s="31"/>
      <c r="F102" s="31"/>
      <c r="G102" s="31"/>
      <c r="H102" s="31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7"/>
      <c r="AI102" s="27"/>
      <c r="AJ102" s="27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14">
        <f t="shared" si="2"/>
        <v>0</v>
      </c>
      <c r="BP102">
        <f t="shared" si="3"/>
        <v>0</v>
      </c>
    </row>
    <row r="103" hidden="1" customHeight="1" spans="1:68">
      <c r="A103" s="29"/>
      <c r="B103" s="32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7"/>
      <c r="AI103" s="27"/>
      <c r="AJ103" s="27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14">
        <f t="shared" si="2"/>
        <v>0</v>
      </c>
      <c r="BO103">
        <v>0.5</v>
      </c>
      <c r="BP103">
        <f t="shared" si="3"/>
        <v>0</v>
      </c>
    </row>
    <row r="104" hidden="1" customHeight="1" spans="1:68">
      <c r="A104" s="29"/>
      <c r="B104" s="32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7"/>
      <c r="AI104" s="27"/>
      <c r="AJ104" s="27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14">
        <f t="shared" si="2"/>
        <v>0</v>
      </c>
      <c r="BO104">
        <v>1.1</v>
      </c>
      <c r="BP104">
        <f t="shared" si="3"/>
        <v>0</v>
      </c>
    </row>
    <row r="105" hidden="1" customHeight="1" spans="1:68">
      <c r="A105" s="29"/>
      <c r="B105" s="32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7"/>
      <c r="AI105" s="27"/>
      <c r="AJ105" s="27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14">
        <f t="shared" si="2"/>
        <v>0</v>
      </c>
      <c r="BO105">
        <v>1.1</v>
      </c>
      <c r="BP105">
        <f t="shared" si="3"/>
        <v>0</v>
      </c>
    </row>
    <row r="106" hidden="1" customHeight="1" spans="1:68">
      <c r="A106" s="29"/>
      <c r="B106" s="32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7"/>
      <c r="AI106" s="27"/>
      <c r="AJ106" s="27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14">
        <f t="shared" si="2"/>
        <v>0</v>
      </c>
      <c r="BP106">
        <f t="shared" si="3"/>
        <v>0</v>
      </c>
    </row>
    <row r="107" hidden="1" customHeight="1" spans="1:68">
      <c r="A107" s="29"/>
      <c r="B107" s="32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7"/>
      <c r="AI107" s="27"/>
      <c r="AJ107" s="27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14">
        <f t="shared" si="2"/>
        <v>0</v>
      </c>
      <c r="BP107">
        <f t="shared" si="3"/>
        <v>0</v>
      </c>
    </row>
    <row r="108" hidden="1" customHeight="1" spans="1:68">
      <c r="A108" s="29"/>
      <c r="B108" s="32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7"/>
      <c r="AI108" s="27"/>
      <c r="AJ108" s="27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14">
        <f t="shared" si="2"/>
        <v>0</v>
      </c>
      <c r="BP108">
        <f t="shared" si="3"/>
        <v>0</v>
      </c>
    </row>
    <row r="109" hidden="1" customHeight="1" spans="1:68">
      <c r="A109" s="29"/>
      <c r="B109" s="32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7"/>
      <c r="AI109" s="27"/>
      <c r="AJ109" s="27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14">
        <f t="shared" si="2"/>
        <v>0</v>
      </c>
      <c r="BP109">
        <f t="shared" si="3"/>
        <v>0</v>
      </c>
    </row>
    <row r="110" hidden="1" customHeight="1" spans="1:68">
      <c r="A110" s="29"/>
      <c r="B110" s="32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7"/>
      <c r="AI110" s="27"/>
      <c r="AJ110" s="27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14">
        <f t="shared" si="2"/>
        <v>0</v>
      </c>
      <c r="BP110">
        <f t="shared" si="3"/>
        <v>0</v>
      </c>
    </row>
    <row r="111" hidden="1" customHeight="1" spans="1:68">
      <c r="A111" s="29"/>
      <c r="B111" s="32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7"/>
      <c r="AI111" s="27"/>
      <c r="AJ111" s="27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14">
        <f t="shared" si="2"/>
        <v>0</v>
      </c>
      <c r="BP111">
        <f t="shared" si="3"/>
        <v>0</v>
      </c>
    </row>
    <row r="112" hidden="1" customHeight="1" spans="1:68">
      <c r="A112" s="29"/>
      <c r="B112" s="32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7"/>
      <c r="AI112" s="27"/>
      <c r="AJ112" s="27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14">
        <f t="shared" si="2"/>
        <v>0</v>
      </c>
      <c r="BP112">
        <f t="shared" si="3"/>
        <v>0</v>
      </c>
    </row>
    <row r="113" hidden="1" customHeight="1" spans="1:68">
      <c r="A113" s="29"/>
      <c r="B113" s="32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7"/>
      <c r="AI113" s="27"/>
      <c r="AJ113" s="27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14">
        <f t="shared" si="2"/>
        <v>0</v>
      </c>
      <c r="BP113">
        <f t="shared" si="3"/>
        <v>0</v>
      </c>
    </row>
    <row r="114" hidden="1" customHeight="1" spans="1:68">
      <c r="A114" s="29"/>
      <c r="B114" s="32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7"/>
      <c r="AI114" s="27"/>
      <c r="AJ114" s="27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14">
        <f t="shared" si="2"/>
        <v>0</v>
      </c>
      <c r="BP114">
        <f t="shared" si="3"/>
        <v>0</v>
      </c>
    </row>
    <row r="115" hidden="1" customHeight="1" spans="1:68">
      <c r="A115" s="29"/>
      <c r="B115" s="32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7"/>
      <c r="AI115" s="27"/>
      <c r="AJ115" s="27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  <c r="BK115" s="26"/>
      <c r="BL115" s="26"/>
      <c r="BM115" s="26"/>
      <c r="BN115" s="14">
        <f t="shared" si="2"/>
        <v>0</v>
      </c>
      <c r="BP115">
        <f t="shared" si="3"/>
        <v>0</v>
      </c>
    </row>
    <row r="116" hidden="1" customHeight="1" spans="1:68">
      <c r="A116" s="29"/>
      <c r="B116" s="32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7"/>
      <c r="AI116" s="27"/>
      <c r="AJ116" s="27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14">
        <f t="shared" si="2"/>
        <v>0</v>
      </c>
      <c r="BP116">
        <f t="shared" si="3"/>
        <v>0</v>
      </c>
    </row>
    <row r="117" hidden="1" customHeight="1" spans="1:68">
      <c r="A117" s="29"/>
      <c r="B117" s="32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7"/>
      <c r="AI117" s="27"/>
      <c r="AJ117" s="27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26"/>
      <c r="BK117" s="26"/>
      <c r="BL117" s="26"/>
      <c r="BM117" s="26"/>
      <c r="BN117" s="14">
        <f t="shared" si="2"/>
        <v>0</v>
      </c>
      <c r="BP117">
        <f t="shared" si="3"/>
        <v>0</v>
      </c>
    </row>
    <row r="118" hidden="1" customHeight="1" spans="1:68">
      <c r="A118" s="29"/>
      <c r="B118" s="32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7"/>
      <c r="AI118" s="27"/>
      <c r="AJ118" s="27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  <c r="BL118" s="26"/>
      <c r="BM118" s="26"/>
      <c r="BN118" s="14">
        <f t="shared" si="2"/>
        <v>0</v>
      </c>
      <c r="BP118">
        <f t="shared" si="3"/>
        <v>0</v>
      </c>
    </row>
    <row r="119" hidden="1" customHeight="1" spans="1:68">
      <c r="A119" s="29"/>
      <c r="B119" s="32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7"/>
      <c r="AI119" s="27"/>
      <c r="AJ119" s="27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26"/>
      <c r="BK119" s="26"/>
      <c r="BL119" s="26"/>
      <c r="BM119" s="26"/>
      <c r="BN119" s="14">
        <f t="shared" si="2"/>
        <v>0</v>
      </c>
      <c r="BP119">
        <f t="shared" si="3"/>
        <v>0</v>
      </c>
    </row>
    <row r="120" hidden="1" customHeight="1" spans="1:68">
      <c r="A120" s="29"/>
      <c r="B120" s="32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7"/>
      <c r="AI120" s="27"/>
      <c r="AJ120" s="27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  <c r="BL120" s="26"/>
      <c r="BM120" s="26"/>
      <c r="BN120" s="14">
        <f t="shared" si="2"/>
        <v>0</v>
      </c>
      <c r="BP120">
        <f t="shared" si="3"/>
        <v>0</v>
      </c>
    </row>
    <row r="121" hidden="1" customHeight="1" spans="1:68">
      <c r="A121" s="29"/>
      <c r="B121" s="32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7"/>
      <c r="AI121" s="27"/>
      <c r="AJ121" s="27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  <c r="BK121" s="26"/>
      <c r="BL121" s="26"/>
      <c r="BM121" s="26"/>
      <c r="BN121" s="14">
        <f t="shared" si="2"/>
        <v>0</v>
      </c>
      <c r="BP121">
        <f t="shared" si="3"/>
        <v>0</v>
      </c>
    </row>
    <row r="122" hidden="1" customHeight="1" spans="1:68">
      <c r="A122" s="29"/>
      <c r="B122" s="32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7"/>
      <c r="AI122" s="27"/>
      <c r="AJ122" s="27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  <c r="BL122" s="26"/>
      <c r="BM122" s="26"/>
      <c r="BN122" s="14">
        <f t="shared" si="2"/>
        <v>0</v>
      </c>
      <c r="BP122">
        <f t="shared" si="3"/>
        <v>0</v>
      </c>
    </row>
    <row r="123" hidden="1" customHeight="1" spans="1:68">
      <c r="A123" s="29"/>
      <c r="B123" s="32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7"/>
      <c r="AI123" s="27"/>
      <c r="AJ123" s="27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  <c r="BM123" s="26"/>
      <c r="BN123" s="14">
        <f t="shared" si="2"/>
        <v>0</v>
      </c>
    </row>
    <row r="124" hidden="1" customHeight="1" spans="1:68">
      <c r="A124" s="29"/>
      <c r="B124" s="32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7"/>
      <c r="AI124" s="27"/>
      <c r="AJ124" s="27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26"/>
      <c r="BK124" s="26"/>
      <c r="BL124" s="26"/>
      <c r="BM124" s="26"/>
      <c r="BN124" s="14">
        <f t="shared" si="2"/>
        <v>0</v>
      </c>
      <c r="BP124">
        <f t="shared" si="3"/>
        <v>0</v>
      </c>
    </row>
    <row r="125" hidden="1" customHeight="1" spans="1:68">
      <c r="A125" s="29"/>
      <c r="B125" s="32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7"/>
      <c r="AI125" s="27"/>
      <c r="AJ125" s="27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26"/>
      <c r="BK125" s="26"/>
      <c r="BL125" s="26"/>
      <c r="BM125" s="26"/>
      <c r="BN125" s="14">
        <f t="shared" si="2"/>
        <v>0</v>
      </c>
      <c r="BP125">
        <f t="shared" si="3"/>
        <v>0</v>
      </c>
    </row>
    <row r="126" hidden="1" customHeight="1" spans="1:68">
      <c r="A126" s="29"/>
      <c r="B126" s="32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7"/>
      <c r="AI126" s="27"/>
      <c r="AJ126" s="27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  <c r="BK126" s="26"/>
      <c r="BL126" s="26"/>
      <c r="BM126" s="26"/>
      <c r="BN126" s="14">
        <f t="shared" si="2"/>
        <v>0</v>
      </c>
      <c r="BP126">
        <f t="shared" si="3"/>
        <v>0</v>
      </c>
    </row>
    <row r="127" hidden="1" customHeight="1" spans="1:68">
      <c r="A127" s="29"/>
      <c r="B127" s="32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7"/>
      <c r="AI127" s="27"/>
      <c r="AJ127" s="27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26"/>
      <c r="BK127" s="26"/>
      <c r="BL127" s="26"/>
      <c r="BM127" s="26"/>
      <c r="BN127" s="14">
        <f t="shared" si="2"/>
        <v>0</v>
      </c>
    </row>
    <row r="128" customHeight="1" spans="1:68">
      <c r="A128" s="33" t="s">
        <v>838</v>
      </c>
      <c r="B128" s="33" t="s">
        <v>40</v>
      </c>
      <c r="C128" s="34"/>
      <c r="D128" s="34"/>
      <c r="E128" s="34"/>
      <c r="F128" s="34"/>
      <c r="G128" s="34">
        <v>39600</v>
      </c>
      <c r="H128" s="34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6"/>
      <c r="AI128" s="36"/>
      <c r="AJ128" s="36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35"/>
      <c r="AW128" s="35"/>
      <c r="AX128" s="35"/>
      <c r="AY128" s="35"/>
      <c r="AZ128" s="35"/>
      <c r="BA128" s="35"/>
      <c r="BB128" s="35"/>
      <c r="BC128" s="35"/>
      <c r="BD128" s="35"/>
      <c r="BE128" s="35"/>
      <c r="BF128" s="35"/>
      <c r="BG128" s="35"/>
      <c r="BH128" s="35"/>
      <c r="BI128" s="35"/>
      <c r="BJ128" s="37"/>
      <c r="BK128" s="35"/>
      <c r="BL128" s="35"/>
      <c r="BM128" s="35"/>
      <c r="BN128" s="14">
        <f t="shared" si="2"/>
        <v>39600</v>
      </c>
      <c r="BO128">
        <v>0.63</v>
      </c>
      <c r="BP128">
        <f t="shared" si="3"/>
        <v>24948</v>
      </c>
    </row>
    <row r="129" customHeight="1" spans="1:68">
      <c r="A129" s="33" t="s">
        <v>839</v>
      </c>
      <c r="B129" s="33" t="s">
        <v>42</v>
      </c>
      <c r="C129" s="34"/>
      <c r="D129" s="34"/>
      <c r="E129" s="34"/>
      <c r="F129" s="34"/>
      <c r="G129" s="34">
        <v>40500</v>
      </c>
      <c r="H129" s="34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6"/>
      <c r="AI129" s="36"/>
      <c r="AJ129" s="36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  <c r="AZ129" s="35"/>
      <c r="BA129" s="35"/>
      <c r="BB129" s="35"/>
      <c r="BC129" s="35"/>
      <c r="BD129" s="35"/>
      <c r="BE129" s="35"/>
      <c r="BF129" s="35"/>
      <c r="BG129" s="35"/>
      <c r="BH129" s="35"/>
      <c r="BI129" s="35"/>
      <c r="BJ129" s="37"/>
      <c r="BK129" s="35"/>
      <c r="BL129" s="35"/>
      <c r="BM129" s="35"/>
      <c r="BN129" s="14">
        <f t="shared" si="2"/>
        <v>40500</v>
      </c>
      <c r="BO129">
        <v>0.77</v>
      </c>
      <c r="BP129">
        <f t="shared" si="3"/>
        <v>31185</v>
      </c>
    </row>
    <row r="130" customHeight="1" spans="1:68">
      <c r="A130" s="33" t="s">
        <v>840</v>
      </c>
      <c r="B130" s="33" t="s">
        <v>735</v>
      </c>
      <c r="C130" s="34">
        <v>17640</v>
      </c>
      <c r="D130" s="34"/>
      <c r="E130" s="34"/>
      <c r="F130" s="34"/>
      <c r="G130" s="34"/>
      <c r="H130" s="34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6"/>
      <c r="AI130" s="36"/>
      <c r="AJ130" s="36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  <c r="AZ130" s="35"/>
      <c r="BA130" s="35"/>
      <c r="BB130" s="35"/>
      <c r="BC130" s="35"/>
      <c r="BD130" s="35"/>
      <c r="BE130" s="35"/>
      <c r="BF130" s="35"/>
      <c r="BG130" s="35"/>
      <c r="BH130" s="35"/>
      <c r="BI130" s="35"/>
      <c r="BJ130" s="35"/>
      <c r="BK130" s="35"/>
      <c r="BL130" s="35"/>
      <c r="BM130" s="35"/>
      <c r="BN130" s="14">
        <f t="shared" si="2"/>
        <v>17640</v>
      </c>
      <c r="BO130">
        <v>8.23</v>
      </c>
      <c r="BP130">
        <f t="shared" si="3"/>
        <v>145177.2</v>
      </c>
    </row>
    <row r="131" customHeight="1" spans="1:68">
      <c r="A131" s="33" t="s">
        <v>841</v>
      </c>
      <c r="B131" s="33" t="s">
        <v>737</v>
      </c>
      <c r="C131" s="34"/>
      <c r="D131" s="34"/>
      <c r="E131" s="34"/>
      <c r="F131" s="34"/>
      <c r="G131" s="34"/>
      <c r="H131" s="34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6"/>
      <c r="AI131" s="36"/>
      <c r="AJ131" s="36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  <c r="AZ131" s="35"/>
      <c r="BA131" s="35"/>
      <c r="BB131" s="35"/>
      <c r="BC131" s="35"/>
      <c r="BD131" s="35"/>
      <c r="BE131" s="35"/>
      <c r="BF131" s="35"/>
      <c r="BG131" s="35"/>
      <c r="BH131" s="35"/>
      <c r="BI131" s="35"/>
      <c r="BJ131" s="35"/>
      <c r="BK131" s="35"/>
      <c r="BL131" s="35"/>
      <c r="BM131" s="35"/>
      <c r="BN131" s="14">
        <f t="shared" si="2"/>
        <v>0</v>
      </c>
      <c r="BO131">
        <v>0.88</v>
      </c>
      <c r="BP131">
        <f t="shared" si="3"/>
        <v>0</v>
      </c>
    </row>
    <row r="132" customHeight="1" spans="1:68">
      <c r="A132" s="38" t="s">
        <v>842</v>
      </c>
      <c r="B132" s="33" t="s">
        <v>736</v>
      </c>
      <c r="C132" s="34"/>
      <c r="D132" s="34"/>
      <c r="E132" s="34"/>
      <c r="F132" s="34"/>
      <c r="G132" s="34"/>
      <c r="H132" s="34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6"/>
      <c r="AI132" s="36"/>
      <c r="AJ132" s="36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  <c r="AZ132" s="35"/>
      <c r="BA132" s="35"/>
      <c r="BB132" s="35"/>
      <c r="BC132" s="35"/>
      <c r="BD132" s="35"/>
      <c r="BE132" s="35"/>
      <c r="BF132" s="35"/>
      <c r="BG132" s="35"/>
      <c r="BH132" s="35"/>
      <c r="BI132" s="35"/>
      <c r="BJ132" s="35"/>
      <c r="BK132" s="35"/>
      <c r="BL132" s="35"/>
      <c r="BM132" s="35"/>
      <c r="BN132" s="14">
        <f t="shared" si="2"/>
        <v>0</v>
      </c>
      <c r="BO132">
        <v>7.5</v>
      </c>
      <c r="BP132">
        <f t="shared" si="3"/>
        <v>0</v>
      </c>
    </row>
    <row r="133" customHeight="1" spans="1:68">
      <c r="A133" s="33" t="s">
        <v>55</v>
      </c>
      <c r="B133" s="33" t="s">
        <v>734</v>
      </c>
      <c r="C133" s="34"/>
      <c r="D133" s="34"/>
      <c r="E133" s="34"/>
      <c r="F133" s="34"/>
      <c r="G133" s="34"/>
      <c r="H133" s="34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6"/>
      <c r="AI133" s="36"/>
      <c r="AJ133" s="36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  <c r="BC133" s="35"/>
      <c r="BD133" s="35"/>
      <c r="BE133" s="35"/>
      <c r="BF133" s="35"/>
      <c r="BG133" s="35"/>
      <c r="BH133" s="35"/>
      <c r="BI133" s="35"/>
      <c r="BJ133" s="35"/>
      <c r="BK133" s="35"/>
      <c r="BL133" s="35"/>
      <c r="BM133" s="35"/>
      <c r="BN133" s="14">
        <f t="shared" ref="BN133:BN135" si="4">C133+D133+E133+F133+G133+H133+I133+J133+K133+L133+M133+N133+O133+P133</f>
        <v>0</v>
      </c>
      <c r="BO133">
        <v>0.44</v>
      </c>
      <c r="BP133">
        <f t="shared" si="3"/>
        <v>0</v>
      </c>
    </row>
    <row r="134" customHeight="1" spans="1:68">
      <c r="A134" s="33" t="s">
        <v>843</v>
      </c>
      <c r="B134" s="33" t="s">
        <v>733</v>
      </c>
      <c r="C134" s="34"/>
      <c r="D134" s="34"/>
      <c r="E134" s="34"/>
      <c r="F134" s="34"/>
      <c r="G134" s="34"/>
      <c r="H134" s="34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6"/>
      <c r="AI134" s="36"/>
      <c r="AJ134" s="36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  <c r="AZ134" s="35"/>
      <c r="BA134" s="35"/>
      <c r="BB134" s="35"/>
      <c r="BC134" s="35"/>
      <c r="BD134" s="35"/>
      <c r="BE134" s="35"/>
      <c r="BF134" s="35"/>
      <c r="BG134" s="35"/>
      <c r="BH134" s="35"/>
      <c r="BI134" s="35"/>
      <c r="BJ134" s="35"/>
      <c r="BK134" s="35"/>
      <c r="BL134" s="35"/>
      <c r="BM134" s="35"/>
      <c r="BN134" s="14">
        <f t="shared" si="4"/>
        <v>0</v>
      </c>
      <c r="BO134">
        <v>0.38</v>
      </c>
      <c r="BP134">
        <f t="shared" si="3"/>
        <v>0</v>
      </c>
    </row>
    <row r="135" customHeight="1" spans="1:68">
      <c r="A135" s="33" t="s">
        <v>844</v>
      </c>
      <c r="B135" s="33" t="s">
        <v>738</v>
      </c>
      <c r="C135" s="34"/>
      <c r="D135" s="34"/>
      <c r="E135" s="34"/>
      <c r="F135" s="34"/>
      <c r="G135" s="34"/>
      <c r="H135" s="34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6"/>
      <c r="AI135" s="36"/>
      <c r="AJ135" s="36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5"/>
      <c r="BA135" s="35"/>
      <c r="BB135" s="35"/>
      <c r="BC135" s="35"/>
      <c r="BD135" s="35"/>
      <c r="BE135" s="35"/>
      <c r="BF135" s="35"/>
      <c r="BG135" s="35"/>
      <c r="BH135" s="35"/>
      <c r="BI135" s="35"/>
      <c r="BJ135" s="35"/>
      <c r="BK135" s="35"/>
      <c r="BL135" s="35"/>
      <c r="BM135" s="35"/>
      <c r="BN135" s="14">
        <f t="shared" si="4"/>
        <v>0</v>
      </c>
      <c r="BO135">
        <v>0.61</v>
      </c>
      <c r="BP135">
        <f t="shared" si="3"/>
        <v>0</v>
      </c>
    </row>
    <row r="136" customHeight="1" spans="1:68">
      <c r="C136" s="39"/>
      <c r="D136" s="40"/>
      <c r="E136" s="40"/>
      <c r="F136" s="40"/>
      <c r="G136" s="40"/>
      <c r="H136" s="40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41"/>
      <c r="AI136" s="41"/>
      <c r="AJ136" s="41"/>
      <c r="AK136" s="3"/>
      <c r="AL136" s="3"/>
      <c r="AM136" s="3"/>
      <c r="AN136" s="3"/>
      <c r="AO136" s="3"/>
    </row>
    <row r="137" customHeight="1" spans="1:68">
      <c r="C137" s="40"/>
      <c r="D137" s="40"/>
      <c r="E137" s="40"/>
      <c r="F137" s="40"/>
      <c r="G137" s="40"/>
      <c r="H137" s="40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41"/>
      <c r="AI137" s="41"/>
      <c r="AJ137" s="41"/>
      <c r="AK137" s="3"/>
      <c r="AL137" s="3"/>
      <c r="AM137" s="3"/>
      <c r="AN137" s="3"/>
      <c r="AO137" s="3"/>
    </row>
  </sheetData>
  <mergeCells count="1">
    <mergeCell ref="A1:BN1"/>
  </mergeCells>
  <pageMargins left="0.7" right="0.7" top="0.75" bottom="0.75" header="0.3" footer="0.3"/>
  <pageSetup paperSize="9" scale="65" orientation="portrait"/>
  <headerFooter/>
  <rowBreaks count="1" manualBreakCount="1">
    <brk id="127" max="40" man="1"/>
  </rowBreaks>
  <colBreaks count="1" manualBreakCount="1">
    <brk id="66" max="1048575" man="1"/>
  </colBreaks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136"/>
  <sheetViews>
    <sheetView zoomScale="116" zoomScaleNormal="116" workbookViewId="0">
      <pane xSplit="2" ySplit="2" topLeftCell="C27" activePane="bottomRight" state="frozen"/>
      <selection/>
      <selection pane="topRight"/>
      <selection pane="bottomLeft"/>
      <selection pane="bottomRight" activeCell="BR62" sqref="BR62"/>
    </sheetView>
  </sheetViews>
  <sheetFormatPr defaultColWidth="9" defaultRowHeight="20" customHeight="1"/>
  <cols>
    <col min="1" max="1" width="9" style="1"/>
    <col min="2" max="2" width="23.1666666666667" style="1" customWidth="1"/>
    <col min="3" max="7" width="7.5" style="1" customWidth="1"/>
    <col min="8" max="8" width="7.5" style="1" hidden="1" customWidth="1"/>
    <col min="9" max="11" width="8.33333333333333" hidden="1" customWidth="1"/>
    <col min="12" max="12" width="6.66666666666667" hidden="1" customWidth="1"/>
    <col min="13" max="15" width="7" hidden="1" customWidth="1"/>
    <col min="16" max="16" width="7.83333333333333" hidden="1" customWidth="1"/>
    <col min="17" max="19" width="5.66666666666667" hidden="1" customWidth="1"/>
    <col min="20" max="20" width="6.66666666666667" hidden="1" customWidth="1"/>
    <col min="21" max="21" width="8.16666666666667" hidden="1" customWidth="1"/>
    <col min="22" max="22" width="7.66666666666667" hidden="1" customWidth="1"/>
    <col min="23" max="23" width="5.66666666666667" hidden="1" customWidth="1"/>
    <col min="24" max="24" width="7.66666666666667" hidden="1" customWidth="1"/>
    <col min="25" max="25" width="5.66666666666667" hidden="1" customWidth="1"/>
    <col min="26" max="26" width="6.66666666666667" hidden="1" customWidth="1"/>
    <col min="27" max="28" width="5.66666666666667" hidden="1" customWidth="1"/>
    <col min="29" max="30" width="7.33333333333333" hidden="1" customWidth="1"/>
    <col min="31" max="33" width="8.33333333333333" hidden="1" customWidth="1"/>
    <col min="34" max="36" width="7.66666666666667" style="2" hidden="1" customWidth="1"/>
    <col min="37" max="37" width="7.16666666666667" hidden="1" customWidth="1"/>
    <col min="38" max="38" width="6.83333333333333" hidden="1" customWidth="1"/>
    <col min="39" max="39" width="7.33333333333333" hidden="1" customWidth="1"/>
    <col min="40" max="40" width="7.66666666666667" hidden="1" customWidth="1"/>
    <col min="41" max="41" width="6.83333333333333" hidden="1" customWidth="1"/>
    <col min="42" max="42" width="8.5" hidden="1" customWidth="1"/>
    <col min="43" max="43" width="7.33333333333333" hidden="1" customWidth="1"/>
    <col min="44" max="44" width="8" hidden="1" customWidth="1"/>
    <col min="45" max="45" width="7.5" hidden="1" customWidth="1"/>
    <col min="46" max="50" width="5.66666666666667" hidden="1" customWidth="1"/>
    <col min="51" max="51" width="7.5" hidden="1" customWidth="1"/>
    <col min="52" max="52" width="5.66666666666667" hidden="1" customWidth="1"/>
    <col min="53" max="53" width="6.5" hidden="1" customWidth="1"/>
    <col min="54" max="61" width="5.66666666666667" hidden="1" customWidth="1"/>
    <col min="62" max="62" width="6.16666666666667" hidden="1" customWidth="1"/>
    <col min="63" max="65" width="5.66666666666667" hidden="1" customWidth="1"/>
    <col min="66" max="66" width="8" style="3" customWidth="1"/>
  </cols>
  <sheetData>
    <row r="1" customHeight="1" spans="1:68">
      <c r="A1" s="4" t="s">
        <v>856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</row>
    <row r="2" customHeight="1" spans="1:68">
      <c r="A2" s="5" t="s">
        <v>596</v>
      </c>
      <c r="B2" s="6" t="s">
        <v>597</v>
      </c>
      <c r="C2" s="7">
        <v>44602</v>
      </c>
      <c r="D2" s="7">
        <v>44606</v>
      </c>
      <c r="E2" s="7">
        <v>44607</v>
      </c>
      <c r="F2" s="7">
        <v>44613</v>
      </c>
      <c r="G2" s="7">
        <v>44616</v>
      </c>
      <c r="H2" s="7"/>
      <c r="I2" s="8"/>
      <c r="J2" s="8"/>
      <c r="K2" s="8"/>
      <c r="L2" s="8"/>
      <c r="M2" s="8"/>
      <c r="N2" s="8"/>
      <c r="O2" s="8"/>
      <c r="P2" s="8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 t="s">
        <v>812</v>
      </c>
      <c r="AD2" s="9" t="s">
        <v>812</v>
      </c>
      <c r="AE2" s="9" t="s">
        <v>813</v>
      </c>
      <c r="AF2" s="9" t="s">
        <v>814</v>
      </c>
      <c r="AG2" s="9" t="s">
        <v>815</v>
      </c>
      <c r="AH2" s="10" t="s">
        <v>816</v>
      </c>
      <c r="AI2" s="10" t="s">
        <v>817</v>
      </c>
      <c r="AJ2" s="10" t="s">
        <v>818</v>
      </c>
      <c r="AK2" s="9" t="s">
        <v>819</v>
      </c>
      <c r="AL2" s="9" t="s">
        <v>819</v>
      </c>
      <c r="AM2" s="9" t="s">
        <v>820</v>
      </c>
      <c r="AN2" s="9" t="s">
        <v>821</v>
      </c>
      <c r="AO2" s="9" t="s">
        <v>822</v>
      </c>
      <c r="AP2" s="9" t="s">
        <v>823</v>
      </c>
      <c r="AQ2" s="9" t="s">
        <v>824</v>
      </c>
      <c r="AR2" s="9" t="s">
        <v>825</v>
      </c>
      <c r="AS2" s="9" t="s">
        <v>826</v>
      </c>
      <c r="AT2" s="9" t="s">
        <v>827</v>
      </c>
      <c r="AU2" s="9" t="s">
        <v>823</v>
      </c>
      <c r="AV2" s="9" t="s">
        <v>827</v>
      </c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11" t="s">
        <v>828</v>
      </c>
    </row>
    <row r="3" hidden="1" customHeight="1" spans="1:68">
      <c r="A3" s="12" t="s">
        <v>857</v>
      </c>
      <c r="B3" s="13" t="s">
        <v>858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5"/>
      <c r="AI3" s="15"/>
      <c r="AJ3" s="15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>
        <f>C3+D3+E3+F3+G3+H3+I3+J3+K3+L3+M3+N3+O3+P3</f>
        <v>0</v>
      </c>
      <c r="BP3">
        <f>BN3*BO3</f>
        <v>0</v>
      </c>
    </row>
    <row r="4" hidden="1" customHeight="1" spans="1:68">
      <c r="A4" s="16" t="s">
        <v>859</v>
      </c>
      <c r="B4" s="17" t="s">
        <v>860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9"/>
      <c r="AI4" s="19"/>
      <c r="AJ4" s="19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4">
        <f t="shared" ref="BN4:BN67" si="0">C4+D4+E4+F4+G4+H4+I4+J4+K4+L4+M4+N4+O4+P4</f>
        <v>0</v>
      </c>
      <c r="BP4">
        <f t="shared" ref="BP4:BP76" si="1">BN4*BO4</f>
        <v>0</v>
      </c>
    </row>
    <row r="5" hidden="1" customHeight="1" spans="1:68">
      <c r="A5" s="16" t="s">
        <v>861</v>
      </c>
      <c r="B5" s="17" t="s">
        <v>862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9"/>
      <c r="AI5" s="19"/>
      <c r="AJ5" s="19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20"/>
      <c r="BK5" s="18"/>
      <c r="BL5" s="18"/>
      <c r="BM5" s="18"/>
      <c r="BN5" s="14">
        <f t="shared" si="0"/>
        <v>0</v>
      </c>
      <c r="BP5">
        <f t="shared" si="1"/>
        <v>0</v>
      </c>
    </row>
    <row r="6" hidden="1" customHeight="1" spans="1:68">
      <c r="A6" s="16" t="s">
        <v>863</v>
      </c>
      <c r="B6" s="17" t="s">
        <v>630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9"/>
      <c r="AI6" s="19"/>
      <c r="AJ6" s="19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4">
        <f t="shared" si="0"/>
        <v>0</v>
      </c>
      <c r="BP6">
        <f t="shared" si="1"/>
        <v>0</v>
      </c>
    </row>
    <row r="7" hidden="1" customHeight="1" spans="1:68">
      <c r="A7" s="16" t="s">
        <v>864</v>
      </c>
      <c r="B7" s="17" t="s">
        <v>630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9"/>
      <c r="AI7" s="19"/>
      <c r="AJ7" s="19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4">
        <f t="shared" si="0"/>
        <v>0</v>
      </c>
      <c r="BP7">
        <f t="shared" si="1"/>
        <v>0</v>
      </c>
    </row>
    <row r="8" hidden="1" customHeight="1" spans="1:68">
      <c r="A8" s="16" t="s">
        <v>865</v>
      </c>
      <c r="B8" s="21" t="s">
        <v>866</v>
      </c>
      <c r="C8" s="22"/>
      <c r="D8" s="22"/>
      <c r="E8" s="22"/>
      <c r="F8" s="22"/>
      <c r="G8" s="22"/>
      <c r="H8" s="22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9"/>
      <c r="AI8" s="19"/>
      <c r="AJ8" s="19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4">
        <f t="shared" si="0"/>
        <v>0</v>
      </c>
      <c r="BP8">
        <f t="shared" si="1"/>
        <v>0</v>
      </c>
    </row>
    <row r="9" hidden="1" customHeight="1" spans="1:68">
      <c r="A9" s="16" t="s">
        <v>867</v>
      </c>
      <c r="B9" s="17" t="s">
        <v>868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9"/>
      <c r="AI9" s="19"/>
      <c r="AJ9" s="19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4">
        <f t="shared" si="0"/>
        <v>0</v>
      </c>
      <c r="BP9">
        <f t="shared" si="1"/>
        <v>0</v>
      </c>
    </row>
    <row r="10" hidden="1" customHeight="1" spans="1:68">
      <c r="A10" s="16" t="s">
        <v>869</v>
      </c>
      <c r="B10" s="17" t="s">
        <v>870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9"/>
      <c r="AI10" s="19"/>
      <c r="AJ10" s="19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4">
        <f t="shared" si="0"/>
        <v>0</v>
      </c>
      <c r="BP10">
        <f t="shared" si="1"/>
        <v>0</v>
      </c>
    </row>
    <row r="11" hidden="1" customHeight="1" spans="1:68">
      <c r="A11" s="16" t="s">
        <v>871</v>
      </c>
      <c r="B11" s="17" t="s">
        <v>872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9"/>
      <c r="AI11" s="19"/>
      <c r="AJ11" s="19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4">
        <f t="shared" si="0"/>
        <v>0</v>
      </c>
      <c r="BP11">
        <f t="shared" si="1"/>
        <v>0</v>
      </c>
    </row>
    <row r="12" hidden="1" customHeight="1" spans="1:68">
      <c r="A12" s="16" t="s">
        <v>873</v>
      </c>
      <c r="B12" s="17" t="s">
        <v>874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9"/>
      <c r="AI12" s="19"/>
      <c r="AJ12" s="19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4">
        <f t="shared" si="0"/>
        <v>0</v>
      </c>
      <c r="BP12">
        <f t="shared" si="1"/>
        <v>0</v>
      </c>
    </row>
    <row r="13" hidden="1" customHeight="1" spans="1:68">
      <c r="A13" s="16" t="s">
        <v>875</v>
      </c>
      <c r="B13" s="21" t="s">
        <v>876</v>
      </c>
      <c r="C13" s="22"/>
      <c r="D13" s="22"/>
      <c r="E13" s="22"/>
      <c r="F13" s="22"/>
      <c r="G13" s="22"/>
      <c r="H13" s="22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9"/>
      <c r="AI13" s="19"/>
      <c r="AJ13" s="19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4">
        <f t="shared" si="0"/>
        <v>0</v>
      </c>
      <c r="BP13">
        <f t="shared" si="1"/>
        <v>0</v>
      </c>
    </row>
    <row r="14" hidden="1" customHeight="1" spans="1:68">
      <c r="A14" s="16" t="s">
        <v>877</v>
      </c>
      <c r="B14" s="17" t="s">
        <v>878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9"/>
      <c r="AI14" s="19"/>
      <c r="AJ14" s="19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4">
        <f t="shared" si="0"/>
        <v>0</v>
      </c>
      <c r="BP14">
        <f t="shared" si="1"/>
        <v>0</v>
      </c>
    </row>
    <row r="15" hidden="1" customHeight="1" spans="1:68">
      <c r="A15" s="16" t="s">
        <v>879</v>
      </c>
      <c r="B15" s="21" t="s">
        <v>880</v>
      </c>
      <c r="C15" s="22"/>
      <c r="D15" s="22"/>
      <c r="E15" s="22"/>
      <c r="F15" s="22"/>
      <c r="G15" s="22"/>
      <c r="H15" s="22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9"/>
      <c r="AI15" s="19"/>
      <c r="AJ15" s="19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4">
        <f t="shared" si="0"/>
        <v>0</v>
      </c>
      <c r="BP15">
        <f t="shared" si="1"/>
        <v>0</v>
      </c>
    </row>
    <row r="16" hidden="1" customHeight="1" spans="1:68">
      <c r="A16" s="16" t="s">
        <v>881</v>
      </c>
      <c r="B16" s="17" t="s">
        <v>882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9"/>
      <c r="AI16" s="19"/>
      <c r="AJ16" s="19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4">
        <f t="shared" si="0"/>
        <v>0</v>
      </c>
      <c r="BO16">
        <v>11.97</v>
      </c>
      <c r="BP16">
        <f t="shared" si="1"/>
        <v>0</v>
      </c>
    </row>
    <row r="17" hidden="1" customHeight="1" spans="1:68">
      <c r="A17" s="16" t="s">
        <v>883</v>
      </c>
      <c r="B17" s="21" t="s">
        <v>884</v>
      </c>
      <c r="C17" s="22"/>
      <c r="D17" s="22"/>
      <c r="E17" s="22"/>
      <c r="F17" s="22"/>
      <c r="G17" s="22"/>
      <c r="H17" s="22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9"/>
      <c r="AI17" s="19"/>
      <c r="AJ17" s="19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4">
        <f t="shared" si="0"/>
        <v>0</v>
      </c>
      <c r="BP17">
        <f t="shared" si="1"/>
        <v>0</v>
      </c>
    </row>
    <row r="18" hidden="1" customHeight="1" spans="1:68">
      <c r="A18" s="16" t="s">
        <v>24</v>
      </c>
      <c r="B18" s="21" t="s">
        <v>26</v>
      </c>
      <c r="C18" s="22"/>
      <c r="D18" s="22"/>
      <c r="E18" s="22"/>
      <c r="F18" s="22"/>
      <c r="G18" s="22"/>
      <c r="H18" s="22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9"/>
      <c r="AI18" s="19"/>
      <c r="AJ18" s="19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4">
        <f t="shared" si="0"/>
        <v>0</v>
      </c>
      <c r="BP18">
        <f t="shared" si="1"/>
        <v>0</v>
      </c>
    </row>
    <row r="19" hidden="1" customHeight="1" spans="1:68">
      <c r="A19" s="16" t="s">
        <v>885</v>
      </c>
      <c r="B19" s="17" t="s">
        <v>886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9"/>
      <c r="AI19" s="19"/>
      <c r="AJ19" s="19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4">
        <f t="shared" si="0"/>
        <v>0</v>
      </c>
      <c r="BP19">
        <f t="shared" si="1"/>
        <v>0</v>
      </c>
    </row>
    <row r="20" hidden="1" customHeight="1" spans="1:68">
      <c r="A20" s="16" t="s">
        <v>887</v>
      </c>
      <c r="B20" s="17" t="s">
        <v>23</v>
      </c>
      <c r="C20" s="19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9"/>
      <c r="AI20" s="19"/>
      <c r="AJ20" s="19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23"/>
      <c r="BF20" s="23"/>
      <c r="BG20" s="18"/>
      <c r="BH20" s="18"/>
      <c r="BI20" s="18"/>
      <c r="BJ20" s="18"/>
      <c r="BK20" s="19"/>
      <c r="BL20" s="18"/>
      <c r="BM20" s="18"/>
      <c r="BN20" s="14">
        <f t="shared" si="0"/>
        <v>0</v>
      </c>
      <c r="BO20">
        <v>19.3</v>
      </c>
      <c r="BP20">
        <f t="shared" si="1"/>
        <v>0</v>
      </c>
    </row>
    <row r="21" hidden="1" customHeight="1" spans="1:68">
      <c r="A21" s="16" t="s">
        <v>888</v>
      </c>
      <c r="B21" s="17" t="s">
        <v>889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24"/>
      <c r="AF21" s="24"/>
      <c r="AG21" s="24"/>
      <c r="AH21" s="19"/>
      <c r="AI21" s="19"/>
      <c r="AJ21" s="19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9"/>
      <c r="BL21" s="18"/>
      <c r="BM21" s="18"/>
      <c r="BN21" s="14">
        <f t="shared" si="0"/>
        <v>0</v>
      </c>
      <c r="BO21">
        <v>10.9</v>
      </c>
      <c r="BP21">
        <f t="shared" si="1"/>
        <v>0</v>
      </c>
    </row>
    <row r="22" hidden="1" customHeight="1" spans="1:68">
      <c r="A22" s="16" t="s">
        <v>890</v>
      </c>
      <c r="B22" s="17" t="s">
        <v>891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9"/>
      <c r="AI22" s="19"/>
      <c r="AJ22" s="19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4">
        <f t="shared" si="0"/>
        <v>0</v>
      </c>
      <c r="BP22">
        <f t="shared" si="1"/>
        <v>0</v>
      </c>
    </row>
    <row r="23" hidden="1" customHeight="1" spans="1:68">
      <c r="A23" s="16" t="s">
        <v>892</v>
      </c>
      <c r="B23" s="17" t="s">
        <v>893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9"/>
      <c r="AI23" s="19"/>
      <c r="AJ23" s="19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4">
        <f t="shared" si="0"/>
        <v>0</v>
      </c>
      <c r="BP23">
        <f t="shared" si="1"/>
        <v>0</v>
      </c>
    </row>
    <row r="24" hidden="1" customHeight="1" spans="1:68">
      <c r="A24" s="16" t="s">
        <v>894</v>
      </c>
      <c r="B24" s="17" t="s">
        <v>895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9"/>
      <c r="AI24" s="19"/>
      <c r="AJ24" s="19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4">
        <f t="shared" si="0"/>
        <v>0</v>
      </c>
      <c r="BP24">
        <f t="shared" si="1"/>
        <v>0</v>
      </c>
    </row>
    <row r="25" hidden="1" customHeight="1" spans="1:68">
      <c r="A25" s="16" t="s">
        <v>896</v>
      </c>
      <c r="B25" s="17" t="s">
        <v>897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9"/>
      <c r="AI25" s="19"/>
      <c r="AJ25" s="19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4">
        <f t="shared" si="0"/>
        <v>0</v>
      </c>
      <c r="BP25">
        <f t="shared" si="1"/>
        <v>0</v>
      </c>
    </row>
    <row r="26" hidden="1" customHeight="1" spans="1:68">
      <c r="A26" s="16" t="s">
        <v>898</v>
      </c>
      <c r="B26" s="17" t="s">
        <v>899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9"/>
      <c r="AI26" s="19"/>
      <c r="AJ26" s="19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4">
        <f t="shared" si="0"/>
        <v>0</v>
      </c>
      <c r="BO26">
        <v>43.16</v>
      </c>
      <c r="BP26">
        <f t="shared" si="1"/>
        <v>0</v>
      </c>
    </row>
    <row r="27" customHeight="1" spans="1:68">
      <c r="A27" s="16" t="s">
        <v>900</v>
      </c>
      <c r="B27" s="17" t="s">
        <v>901</v>
      </c>
      <c r="C27" s="18"/>
      <c r="D27" s="18"/>
      <c r="E27" s="18">
        <v>50</v>
      </c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9"/>
      <c r="AI27" s="19"/>
      <c r="AJ27" s="19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4">
        <f t="shared" si="0"/>
        <v>50</v>
      </c>
    </row>
    <row r="28" hidden="1" customHeight="1" spans="1:68">
      <c r="A28" s="16" t="s">
        <v>58</v>
      </c>
      <c r="B28" s="17" t="s">
        <v>902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9"/>
      <c r="AI28" s="19"/>
      <c r="AJ28" s="19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4">
        <f t="shared" si="0"/>
        <v>0</v>
      </c>
      <c r="BO28">
        <v>21</v>
      </c>
      <c r="BP28">
        <f t="shared" si="1"/>
        <v>0</v>
      </c>
    </row>
    <row r="29" customHeight="1" spans="1:68">
      <c r="A29" s="16" t="s">
        <v>64</v>
      </c>
      <c r="B29" s="17" t="s">
        <v>903</v>
      </c>
      <c r="C29" s="18">
        <v>20000</v>
      </c>
      <c r="D29" s="18"/>
      <c r="E29" s="18"/>
      <c r="F29" s="18">
        <v>30000</v>
      </c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9"/>
      <c r="AI29" s="19"/>
      <c r="AJ29" s="19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4">
        <f t="shared" si="0"/>
        <v>50000</v>
      </c>
      <c r="BP29">
        <f t="shared" si="1"/>
        <v>0</v>
      </c>
    </row>
    <row r="30" hidden="1" customHeight="1" spans="1:68">
      <c r="A30" s="16" t="s">
        <v>904</v>
      </c>
      <c r="B30" s="17" t="s">
        <v>905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20"/>
      <c r="AD30" s="20"/>
      <c r="AE30" s="18"/>
      <c r="AF30" s="18"/>
      <c r="AG30" s="18"/>
      <c r="AH30" s="19"/>
      <c r="AI30" s="19"/>
      <c r="AJ30" s="19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20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4">
        <f t="shared" si="0"/>
        <v>0</v>
      </c>
      <c r="BP30">
        <f t="shared" si="1"/>
        <v>0</v>
      </c>
    </row>
    <row r="31" ht="28" customHeight="1" spans="1:68">
      <c r="A31" s="16" t="s">
        <v>685</v>
      </c>
      <c r="B31" s="21" t="s">
        <v>906</v>
      </c>
      <c r="C31" s="22"/>
      <c r="D31" s="22"/>
      <c r="E31" s="22">
        <v>100</v>
      </c>
      <c r="F31" s="22"/>
      <c r="G31" s="22"/>
      <c r="H31" s="22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9"/>
      <c r="AI31" s="19"/>
      <c r="AJ31" s="19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4">
        <f t="shared" si="0"/>
        <v>100</v>
      </c>
      <c r="BP31">
        <f t="shared" si="1"/>
        <v>0</v>
      </c>
    </row>
    <row r="32" ht="28" customHeight="1" spans="1:68">
      <c r="A32" s="16" t="s">
        <v>907</v>
      </c>
      <c r="B32" s="21" t="s">
        <v>908</v>
      </c>
      <c r="C32" s="22"/>
      <c r="D32" s="22"/>
      <c r="E32" s="22">
        <v>29</v>
      </c>
      <c r="F32" s="22"/>
      <c r="G32" s="22"/>
      <c r="H32" s="22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9"/>
      <c r="AI32" s="19"/>
      <c r="AJ32" s="19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4">
        <f t="shared" si="0"/>
        <v>29</v>
      </c>
      <c r="BP32">
        <f t="shared" si="1"/>
        <v>0</v>
      </c>
    </row>
    <row r="33" ht="28" hidden="1" customHeight="1" spans="1:68">
      <c r="A33" s="16" t="s">
        <v>909</v>
      </c>
      <c r="B33" s="21" t="s">
        <v>910</v>
      </c>
      <c r="C33" s="22"/>
      <c r="D33" s="22"/>
      <c r="E33" s="22"/>
      <c r="F33" s="22"/>
      <c r="G33" s="22"/>
      <c r="H33" s="22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9"/>
      <c r="AI33" s="19"/>
      <c r="AJ33" s="19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4">
        <f t="shared" si="0"/>
        <v>0</v>
      </c>
      <c r="BP33">
        <f t="shared" si="1"/>
        <v>0</v>
      </c>
    </row>
    <row r="34" ht="29" hidden="1" customHeight="1" spans="1:68">
      <c r="A34" s="16" t="s">
        <v>911</v>
      </c>
      <c r="B34" s="21" t="s">
        <v>912</v>
      </c>
      <c r="C34" s="22"/>
      <c r="D34" s="22"/>
      <c r="E34" s="22"/>
      <c r="F34" s="22"/>
      <c r="G34" s="22"/>
      <c r="H34" s="22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9"/>
      <c r="AI34" s="19"/>
      <c r="AJ34" s="19"/>
      <c r="AK34" s="18"/>
      <c r="AL34" s="18"/>
      <c r="AM34" s="18"/>
      <c r="AN34" s="18"/>
      <c r="AO34" s="18"/>
      <c r="AP34" s="18"/>
      <c r="AQ34" s="20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20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4">
        <f t="shared" si="0"/>
        <v>0</v>
      </c>
      <c r="BP34">
        <f t="shared" si="1"/>
        <v>0</v>
      </c>
    </row>
    <row r="35" hidden="1" customHeight="1" spans="1:68">
      <c r="A35" s="16" t="s">
        <v>913</v>
      </c>
      <c r="B35" s="21" t="s">
        <v>914</v>
      </c>
      <c r="C35" s="22"/>
      <c r="D35" s="22"/>
      <c r="E35" s="22"/>
      <c r="F35" s="22"/>
      <c r="G35" s="22"/>
      <c r="H35" s="22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20"/>
      <c r="AD35" s="20"/>
      <c r="AE35" s="18"/>
      <c r="AF35" s="18"/>
      <c r="AG35" s="18"/>
      <c r="AH35" s="19"/>
      <c r="AI35" s="19"/>
      <c r="AJ35" s="19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4">
        <f t="shared" si="0"/>
        <v>0</v>
      </c>
      <c r="BP35">
        <f t="shared" si="1"/>
        <v>0</v>
      </c>
    </row>
    <row r="36" hidden="1" customHeight="1" spans="1:68">
      <c r="A36" s="16" t="s">
        <v>915</v>
      </c>
      <c r="B36" s="21" t="s">
        <v>916</v>
      </c>
      <c r="C36" s="22"/>
      <c r="D36" s="22"/>
      <c r="E36" s="22"/>
      <c r="F36" s="22"/>
      <c r="G36" s="22"/>
      <c r="H36" s="22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20"/>
      <c r="AD36" s="20"/>
      <c r="AE36" s="18"/>
      <c r="AF36" s="18"/>
      <c r="AG36" s="18"/>
      <c r="AH36" s="19"/>
      <c r="AI36" s="19"/>
      <c r="AJ36" s="19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4">
        <f t="shared" si="0"/>
        <v>0</v>
      </c>
      <c r="BP36">
        <f t="shared" si="1"/>
        <v>0</v>
      </c>
    </row>
    <row r="37" customHeight="1" spans="1:68">
      <c r="A37" s="16" t="s">
        <v>917</v>
      </c>
      <c r="B37" s="21" t="s">
        <v>918</v>
      </c>
      <c r="C37" s="22">
        <v>100</v>
      </c>
      <c r="D37" s="22"/>
      <c r="E37" s="22"/>
      <c r="F37" s="22"/>
      <c r="G37" s="22"/>
      <c r="H37" s="22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20"/>
      <c r="AD37" s="20"/>
      <c r="AE37" s="18"/>
      <c r="AF37" s="18"/>
      <c r="AG37" s="18"/>
      <c r="AH37" s="19"/>
      <c r="AI37" s="19"/>
      <c r="AJ37" s="19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4">
        <f t="shared" si="0"/>
        <v>100</v>
      </c>
      <c r="BP37">
        <f t="shared" si="1"/>
        <v>0</v>
      </c>
    </row>
    <row r="38" hidden="1" customHeight="1" spans="1:68">
      <c r="A38" s="16" t="s">
        <v>919</v>
      </c>
      <c r="B38" s="21" t="s">
        <v>920</v>
      </c>
      <c r="C38" s="22"/>
      <c r="D38" s="22"/>
      <c r="E38" s="22"/>
      <c r="F38" s="22"/>
      <c r="G38" s="22"/>
      <c r="H38" s="22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20"/>
      <c r="AD38" s="20"/>
      <c r="AE38" s="18"/>
      <c r="AF38" s="18"/>
      <c r="AG38" s="18"/>
      <c r="AH38" s="19"/>
      <c r="AI38" s="19"/>
      <c r="AJ38" s="19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4">
        <f t="shared" si="0"/>
        <v>0</v>
      </c>
    </row>
    <row r="39" hidden="1" customHeight="1" spans="1:68">
      <c r="A39" s="16" t="s">
        <v>921</v>
      </c>
      <c r="B39" s="21" t="s">
        <v>922</v>
      </c>
      <c r="C39" s="22"/>
      <c r="D39" s="22"/>
      <c r="E39" s="22"/>
      <c r="F39" s="22"/>
      <c r="G39" s="22"/>
      <c r="H39" s="22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20"/>
      <c r="AD39" s="20"/>
      <c r="AE39" s="18"/>
      <c r="AF39" s="18"/>
      <c r="AG39" s="18"/>
      <c r="AH39" s="19"/>
      <c r="AI39" s="19"/>
      <c r="AJ39" s="19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4">
        <f t="shared" si="0"/>
        <v>0</v>
      </c>
    </row>
    <row r="40" hidden="1" customHeight="1" spans="1:68">
      <c r="A40" s="16" t="s">
        <v>907</v>
      </c>
      <c r="B40" s="21" t="s">
        <v>908</v>
      </c>
      <c r="C40" s="22"/>
      <c r="D40" s="22"/>
      <c r="E40" s="22"/>
      <c r="F40" s="22"/>
      <c r="G40" s="22"/>
      <c r="H40" s="22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20"/>
      <c r="AD40" s="20"/>
      <c r="AE40" s="18"/>
      <c r="AF40" s="18"/>
      <c r="AG40" s="18"/>
      <c r="AH40" s="19"/>
      <c r="AI40" s="19"/>
      <c r="AJ40" s="19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4">
        <f t="shared" si="0"/>
        <v>0</v>
      </c>
    </row>
    <row r="41" hidden="1" customHeight="1" spans="1:68">
      <c r="A41" s="16" t="s">
        <v>923</v>
      </c>
      <c r="B41" s="21" t="s">
        <v>924</v>
      </c>
      <c r="C41" s="22"/>
      <c r="D41" s="22"/>
      <c r="E41" s="22"/>
      <c r="F41" s="22"/>
      <c r="G41" s="22"/>
      <c r="H41" s="22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20"/>
      <c r="AD41" s="20"/>
      <c r="AE41" s="18"/>
      <c r="AF41" s="18"/>
      <c r="AG41" s="18"/>
      <c r="AH41" s="19"/>
      <c r="AI41" s="19"/>
      <c r="AJ41" s="19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4">
        <f t="shared" si="0"/>
        <v>0</v>
      </c>
      <c r="BP41">
        <f t="shared" si="1"/>
        <v>0</v>
      </c>
    </row>
    <row r="42" hidden="1" customHeight="1" spans="1:68">
      <c r="A42" s="16" t="s">
        <v>925</v>
      </c>
      <c r="B42" s="21" t="s">
        <v>926</v>
      </c>
      <c r="C42" s="22"/>
      <c r="D42" s="22"/>
      <c r="E42" s="22"/>
      <c r="F42" s="22"/>
      <c r="G42" s="22"/>
      <c r="H42" s="22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20"/>
      <c r="AD42" s="20"/>
      <c r="AE42" s="18"/>
      <c r="AF42" s="18"/>
      <c r="AG42" s="18"/>
      <c r="AH42" s="19"/>
      <c r="AI42" s="19"/>
      <c r="AJ42" s="19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4">
        <f t="shared" si="0"/>
        <v>0</v>
      </c>
      <c r="BO42" s="25"/>
    </row>
    <row r="43" hidden="1" customHeight="1" spans="1:68">
      <c r="A43" s="16" t="s">
        <v>927</v>
      </c>
      <c r="B43" s="21" t="s">
        <v>928</v>
      </c>
      <c r="C43" s="22"/>
      <c r="D43" s="22"/>
      <c r="E43" s="22"/>
      <c r="F43" s="22"/>
      <c r="G43" s="22"/>
      <c r="H43" s="22"/>
      <c r="I43" s="18"/>
      <c r="J43" s="26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20"/>
      <c r="AD43" s="20"/>
      <c r="AE43" s="18"/>
      <c r="AF43" s="18"/>
      <c r="AG43" s="18"/>
      <c r="AH43" s="19"/>
      <c r="AI43" s="19"/>
      <c r="AJ43" s="19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4">
        <f t="shared" si="0"/>
        <v>0</v>
      </c>
      <c r="BP43">
        <f t="shared" si="1"/>
        <v>0</v>
      </c>
    </row>
    <row r="44" hidden="1" customHeight="1" spans="1:68">
      <c r="A44" s="16" t="s">
        <v>929</v>
      </c>
      <c r="B44" s="21" t="s">
        <v>930</v>
      </c>
      <c r="C44" s="22"/>
      <c r="D44" s="22"/>
      <c r="E44" s="22"/>
      <c r="F44" s="22"/>
      <c r="G44" s="22"/>
      <c r="H44" s="22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20"/>
      <c r="AD44" s="20"/>
      <c r="AE44" s="18"/>
      <c r="AF44" s="18"/>
      <c r="AG44" s="18"/>
      <c r="AH44" s="19"/>
      <c r="AI44" s="19"/>
      <c r="AJ44" s="19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4">
        <f t="shared" si="0"/>
        <v>0</v>
      </c>
      <c r="BP44">
        <f t="shared" si="1"/>
        <v>0</v>
      </c>
    </row>
    <row r="45" customHeight="1" spans="1:68">
      <c r="A45" s="16" t="s">
        <v>58</v>
      </c>
      <c r="B45" s="21" t="s">
        <v>931</v>
      </c>
      <c r="C45" s="22"/>
      <c r="D45" s="22"/>
      <c r="E45" s="22"/>
      <c r="F45" s="22"/>
      <c r="G45" s="22">
        <v>4000</v>
      </c>
      <c r="H45" s="22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20"/>
      <c r="AD45" s="20"/>
      <c r="AE45" s="18"/>
      <c r="AF45" s="18"/>
      <c r="AG45" s="18"/>
      <c r="AH45" s="19"/>
      <c r="AI45" s="19"/>
      <c r="AJ45" s="19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4">
        <f t="shared" si="0"/>
        <v>4000</v>
      </c>
      <c r="BP45">
        <f t="shared" si="1"/>
        <v>0</v>
      </c>
    </row>
    <row r="46" hidden="1" customHeight="1" spans="1:68">
      <c r="A46" s="16" t="s">
        <v>915</v>
      </c>
      <c r="B46" s="21" t="s">
        <v>932</v>
      </c>
      <c r="C46" s="22"/>
      <c r="D46" s="22"/>
      <c r="E46" s="22"/>
      <c r="F46" s="22"/>
      <c r="G46" s="22"/>
      <c r="H46" s="22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20"/>
      <c r="AD46" s="20"/>
      <c r="AE46" s="18"/>
      <c r="AF46" s="18"/>
      <c r="AG46" s="18"/>
      <c r="AH46" s="19"/>
      <c r="AI46" s="19"/>
      <c r="AJ46" s="19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4">
        <f t="shared" si="0"/>
        <v>0</v>
      </c>
      <c r="BP46">
        <f t="shared" si="1"/>
        <v>0</v>
      </c>
    </row>
    <row r="47" hidden="1" customHeight="1" spans="1:68">
      <c r="A47" s="16" t="s">
        <v>933</v>
      </c>
      <c r="B47" s="21" t="s">
        <v>934</v>
      </c>
      <c r="C47" s="22"/>
      <c r="D47" s="22"/>
      <c r="E47" s="22"/>
      <c r="F47" s="22"/>
      <c r="G47" s="22"/>
      <c r="H47" s="22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20"/>
      <c r="AD47" s="20"/>
      <c r="AE47" s="18"/>
      <c r="AF47" s="18"/>
      <c r="AG47" s="18"/>
      <c r="AH47" s="19"/>
      <c r="AI47" s="19"/>
      <c r="AJ47" s="19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4">
        <f t="shared" si="0"/>
        <v>0</v>
      </c>
      <c r="BP47">
        <f t="shared" si="1"/>
        <v>0</v>
      </c>
    </row>
    <row r="48" hidden="1" customHeight="1" spans="1:68">
      <c r="A48" s="16" t="s">
        <v>935</v>
      </c>
      <c r="B48" s="21" t="s">
        <v>936</v>
      </c>
      <c r="C48" s="22"/>
      <c r="D48" s="22"/>
      <c r="E48" s="22"/>
      <c r="F48" s="22"/>
      <c r="G48" s="22"/>
      <c r="H48" s="22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20"/>
      <c r="AD48" s="20"/>
      <c r="AE48" s="18"/>
      <c r="AF48" s="18"/>
      <c r="AG48" s="18"/>
      <c r="AH48" s="19"/>
      <c r="AI48" s="19"/>
      <c r="AJ48" s="19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4">
        <f t="shared" si="0"/>
        <v>0</v>
      </c>
      <c r="BP48">
        <f t="shared" si="1"/>
        <v>0</v>
      </c>
    </row>
    <row r="49" hidden="1" customHeight="1" spans="1:68">
      <c r="A49" s="16" t="s">
        <v>937</v>
      </c>
      <c r="B49" s="21" t="s">
        <v>938</v>
      </c>
      <c r="C49" s="22"/>
      <c r="D49" s="22"/>
      <c r="E49" s="22"/>
      <c r="F49" s="22"/>
      <c r="G49" s="22"/>
      <c r="H49" s="22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20"/>
      <c r="AD49" s="20"/>
      <c r="AE49" s="18"/>
      <c r="AF49" s="18"/>
      <c r="AG49" s="18"/>
      <c r="AH49" s="19"/>
      <c r="AI49" s="19"/>
      <c r="AJ49" s="19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4">
        <f t="shared" si="0"/>
        <v>0</v>
      </c>
      <c r="BP49">
        <f t="shared" si="1"/>
        <v>0</v>
      </c>
    </row>
    <row r="50" hidden="1" customHeight="1" spans="1:68">
      <c r="A50" s="16" t="s">
        <v>102</v>
      </c>
      <c r="B50" s="21" t="s">
        <v>939</v>
      </c>
      <c r="C50" s="22"/>
      <c r="D50" s="22"/>
      <c r="E50" s="22"/>
      <c r="F50" s="22"/>
      <c r="G50" s="22"/>
      <c r="H50" s="22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20"/>
      <c r="AD50" s="20"/>
      <c r="AE50" s="18"/>
      <c r="AF50" s="18"/>
      <c r="AG50" s="18"/>
      <c r="AH50" s="19"/>
      <c r="AI50" s="19"/>
      <c r="AJ50" s="19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4">
        <f t="shared" si="0"/>
        <v>0</v>
      </c>
    </row>
    <row r="51" hidden="1" customHeight="1" spans="1:68">
      <c r="A51" s="16" t="s">
        <v>940</v>
      </c>
      <c r="B51" s="21" t="s">
        <v>941</v>
      </c>
      <c r="C51" s="22"/>
      <c r="D51" s="22"/>
      <c r="E51" s="22"/>
      <c r="F51" s="22"/>
      <c r="G51" s="22"/>
      <c r="H51" s="22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20"/>
      <c r="AD51" s="20"/>
      <c r="AE51" s="18"/>
      <c r="AF51" s="18"/>
      <c r="AG51" s="18"/>
      <c r="AH51" s="19"/>
      <c r="AI51" s="19"/>
      <c r="AJ51" s="19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4">
        <f t="shared" si="0"/>
        <v>0</v>
      </c>
      <c r="BP51">
        <f t="shared" si="1"/>
        <v>0</v>
      </c>
    </row>
    <row r="52" hidden="1" customHeight="1" spans="1:68">
      <c r="A52" s="16" t="s">
        <v>942</v>
      </c>
      <c r="B52" s="21" t="s">
        <v>943</v>
      </c>
      <c r="C52" s="22"/>
      <c r="D52" s="22"/>
      <c r="E52" s="22"/>
      <c r="F52" s="22"/>
      <c r="G52" s="22"/>
      <c r="H52" s="22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20"/>
      <c r="AD52" s="20"/>
      <c r="AE52" s="18"/>
      <c r="AF52" s="18"/>
      <c r="AG52" s="18"/>
      <c r="AH52" s="19"/>
      <c r="AI52" s="19"/>
      <c r="AJ52" s="19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4">
        <f t="shared" si="0"/>
        <v>0</v>
      </c>
      <c r="BP52">
        <f t="shared" si="1"/>
        <v>0</v>
      </c>
    </row>
    <row r="53" hidden="1" customHeight="1" spans="1:68">
      <c r="A53" s="16" t="s">
        <v>944</v>
      </c>
      <c r="B53" s="21" t="s">
        <v>945</v>
      </c>
      <c r="C53" s="22"/>
      <c r="D53" s="22"/>
      <c r="E53" s="22"/>
      <c r="F53" s="22"/>
      <c r="G53" s="22"/>
      <c r="H53" s="22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20"/>
      <c r="AD53" s="20"/>
      <c r="AE53" s="18"/>
      <c r="AF53" s="18"/>
      <c r="AG53" s="18"/>
      <c r="AH53" s="19"/>
      <c r="AI53" s="19"/>
      <c r="AJ53" s="19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4">
        <f t="shared" si="0"/>
        <v>0</v>
      </c>
      <c r="BP53">
        <f t="shared" si="1"/>
        <v>0</v>
      </c>
    </row>
    <row r="54" hidden="1" customHeight="1" spans="1:68">
      <c r="A54" s="16" t="s">
        <v>24</v>
      </c>
      <c r="B54" s="21" t="s">
        <v>946</v>
      </c>
      <c r="C54" s="22"/>
      <c r="D54" s="22"/>
      <c r="E54" s="22"/>
      <c r="F54" s="22"/>
      <c r="G54" s="22"/>
      <c r="H54" s="22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9"/>
      <c r="AI54" s="19"/>
      <c r="AJ54" s="19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4">
        <f t="shared" si="0"/>
        <v>0</v>
      </c>
      <c r="BP54">
        <f t="shared" si="1"/>
        <v>0</v>
      </c>
    </row>
    <row r="55" hidden="1" customHeight="1" spans="1:68">
      <c r="A55" s="16" t="s">
        <v>947</v>
      </c>
      <c r="B55" s="17" t="s">
        <v>948</v>
      </c>
      <c r="C55" s="18"/>
      <c r="D55" s="18"/>
      <c r="E55" s="18"/>
      <c r="F55" s="18"/>
      <c r="G55" s="18"/>
      <c r="H55" s="18"/>
      <c r="I55" s="20"/>
      <c r="J55" s="20"/>
      <c r="K55" s="20"/>
      <c r="L55" s="18"/>
      <c r="M55" s="18"/>
      <c r="N55" s="18"/>
      <c r="O55" s="18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18"/>
      <c r="AC55" s="18"/>
      <c r="AD55" s="18"/>
      <c r="AE55" s="18"/>
      <c r="AF55" s="18"/>
      <c r="AG55" s="18"/>
      <c r="AH55" s="19"/>
      <c r="AI55" s="19"/>
      <c r="AJ55" s="19"/>
      <c r="AK55" s="18"/>
      <c r="AL55" s="18"/>
      <c r="AM55" s="18"/>
      <c r="AN55" s="18"/>
      <c r="AO55" s="18"/>
      <c r="AP55" s="20"/>
      <c r="AQ55" s="18"/>
      <c r="AR55" s="20"/>
      <c r="AS55" s="18"/>
      <c r="AT55" s="18"/>
      <c r="AU55" s="18"/>
      <c r="AV55" s="18"/>
      <c r="AW55" s="18"/>
      <c r="AX55" s="18"/>
      <c r="AY55" s="18"/>
      <c r="AZ55" s="20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4">
        <f t="shared" si="0"/>
        <v>0</v>
      </c>
      <c r="BP55">
        <f t="shared" si="1"/>
        <v>0</v>
      </c>
    </row>
    <row r="56" hidden="1" customHeight="1" spans="1:68">
      <c r="A56" s="16" t="s">
        <v>949</v>
      </c>
      <c r="B56" s="17" t="s">
        <v>950</v>
      </c>
      <c r="C56" s="18"/>
      <c r="D56" s="18"/>
      <c r="E56" s="18"/>
      <c r="F56" s="18"/>
      <c r="G56" s="18"/>
      <c r="H56" s="18"/>
      <c r="I56" s="20"/>
      <c r="J56" s="20"/>
      <c r="K56" s="20"/>
      <c r="L56" s="18"/>
      <c r="M56" s="18"/>
      <c r="N56" s="18"/>
      <c r="O56" s="18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18"/>
      <c r="AC56" s="18"/>
      <c r="AD56" s="18"/>
      <c r="AE56" s="18"/>
      <c r="AF56" s="18"/>
      <c r="AG56" s="18"/>
      <c r="AH56" s="19"/>
      <c r="AI56" s="19"/>
      <c r="AJ56" s="19"/>
      <c r="AK56" s="18"/>
      <c r="AL56" s="18"/>
      <c r="AM56" s="18"/>
      <c r="AN56" s="18"/>
      <c r="AO56" s="18"/>
      <c r="AP56" s="20"/>
      <c r="AQ56" s="18"/>
      <c r="AR56" s="20"/>
      <c r="AS56" s="18"/>
      <c r="AT56" s="18"/>
      <c r="AU56" s="18"/>
      <c r="AV56" s="18"/>
      <c r="AW56" s="18"/>
      <c r="AX56" s="18"/>
      <c r="AY56" s="18"/>
      <c r="AZ56" s="20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4">
        <f t="shared" si="0"/>
        <v>0</v>
      </c>
    </row>
    <row r="57" customHeight="1" spans="1:68">
      <c r="A57" s="16" t="s">
        <v>186</v>
      </c>
      <c r="B57" s="17" t="s">
        <v>951</v>
      </c>
      <c r="C57" s="18"/>
      <c r="D57" s="18"/>
      <c r="E57" s="18">
        <v>325</v>
      </c>
      <c r="F57" s="18"/>
      <c r="G57" s="18"/>
      <c r="H57" s="18"/>
      <c r="I57" s="19"/>
      <c r="J57" s="20"/>
      <c r="K57" s="20"/>
      <c r="L57" s="18"/>
      <c r="M57" s="18"/>
      <c r="N57" s="18"/>
      <c r="O57" s="18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18"/>
      <c r="AC57" s="18"/>
      <c r="AD57" s="18"/>
      <c r="AE57" s="18"/>
      <c r="AF57" s="18"/>
      <c r="AG57" s="18"/>
      <c r="AH57" s="19"/>
      <c r="AI57" s="19"/>
      <c r="AJ57" s="19"/>
      <c r="AK57" s="18"/>
      <c r="AL57" s="18"/>
      <c r="AM57" s="18"/>
      <c r="AN57" s="18"/>
      <c r="AO57" s="18"/>
      <c r="AP57" s="20"/>
      <c r="AQ57" s="18"/>
      <c r="AR57" s="20"/>
      <c r="AS57" s="18"/>
      <c r="AT57" s="18"/>
      <c r="AU57" s="18"/>
      <c r="AV57" s="18"/>
      <c r="AW57" s="18"/>
      <c r="AX57" s="18"/>
      <c r="AY57" s="18"/>
      <c r="AZ57" s="20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4">
        <f t="shared" si="0"/>
        <v>325</v>
      </c>
    </row>
    <row r="58" s="3" customFormat="1" hidden="1" customHeight="1" spans="1:68">
      <c r="A58" s="42" t="s">
        <v>952</v>
      </c>
      <c r="B58" s="18" t="s">
        <v>953</v>
      </c>
      <c r="C58" s="18"/>
      <c r="D58" s="18"/>
      <c r="E58" s="18"/>
      <c r="F58" s="18"/>
      <c r="G58" s="18"/>
      <c r="H58" s="18"/>
      <c r="I58" s="19"/>
      <c r="J58" s="20"/>
      <c r="K58" s="19"/>
      <c r="L58" s="18"/>
      <c r="M58" s="18"/>
      <c r="N58" s="18"/>
      <c r="O58" s="18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18"/>
      <c r="AC58" s="18"/>
      <c r="AD58" s="18"/>
      <c r="AE58" s="18"/>
      <c r="AF58" s="18"/>
      <c r="AG58" s="18"/>
      <c r="AH58" s="19"/>
      <c r="AI58" s="19"/>
      <c r="AJ58" s="19"/>
      <c r="AK58" s="18"/>
      <c r="AL58" s="18"/>
      <c r="AM58" s="18"/>
      <c r="AN58" s="18"/>
      <c r="AO58" s="18"/>
      <c r="AP58" s="20"/>
      <c r="AQ58" s="18"/>
      <c r="AR58" s="20"/>
      <c r="AS58" s="18"/>
      <c r="AT58" s="18"/>
      <c r="AU58" s="18"/>
      <c r="AV58" s="18"/>
      <c r="AW58" s="18"/>
      <c r="AX58" s="18"/>
      <c r="AY58" s="18"/>
      <c r="AZ58" s="20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4">
        <f t="shared" si="0"/>
        <v>0</v>
      </c>
    </row>
    <row r="59" s="3" customFormat="1" hidden="1" customHeight="1" spans="1:68">
      <c r="A59" s="42" t="s">
        <v>954</v>
      </c>
      <c r="B59" s="18" t="s">
        <v>938</v>
      </c>
      <c r="C59" s="18"/>
      <c r="D59" s="18"/>
      <c r="E59" s="18"/>
      <c r="F59" s="18"/>
      <c r="G59" s="18"/>
      <c r="H59" s="18"/>
      <c r="I59" s="19"/>
      <c r="J59" s="20"/>
      <c r="K59" s="19"/>
      <c r="L59" s="18"/>
      <c r="M59" s="18"/>
      <c r="N59" s="18"/>
      <c r="O59" s="18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18"/>
      <c r="AC59" s="18"/>
      <c r="AD59" s="18"/>
      <c r="AE59" s="18"/>
      <c r="AF59" s="18"/>
      <c r="AG59" s="18"/>
      <c r="AH59" s="19"/>
      <c r="AI59" s="19"/>
      <c r="AJ59" s="19"/>
      <c r="AK59" s="18"/>
      <c r="AL59" s="18"/>
      <c r="AM59" s="18"/>
      <c r="AN59" s="18"/>
      <c r="AO59" s="18"/>
      <c r="AP59" s="20"/>
      <c r="AQ59" s="18"/>
      <c r="AR59" s="20"/>
      <c r="AS59" s="18"/>
      <c r="AT59" s="18"/>
      <c r="AU59" s="18"/>
      <c r="AV59" s="18"/>
      <c r="AW59" s="18"/>
      <c r="AX59" s="18"/>
      <c r="AY59" s="18"/>
      <c r="AZ59" s="20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4">
        <f t="shared" si="0"/>
        <v>0</v>
      </c>
    </row>
    <row r="60" hidden="1" customHeight="1" spans="1:68">
      <c r="A60" s="16" t="s">
        <v>955</v>
      </c>
      <c r="B60" s="17" t="s">
        <v>956</v>
      </c>
      <c r="C60" s="18"/>
      <c r="D60" s="18"/>
      <c r="E60" s="18"/>
      <c r="F60" s="18"/>
      <c r="G60" s="18"/>
      <c r="H60" s="18"/>
      <c r="I60" s="19"/>
      <c r="J60" s="19"/>
      <c r="K60" s="19"/>
      <c r="L60" s="18"/>
      <c r="M60" s="18"/>
      <c r="N60" s="18"/>
      <c r="O60" s="18"/>
      <c r="P60" s="19"/>
      <c r="Q60" s="20"/>
      <c r="R60" s="20"/>
      <c r="S60" s="20"/>
      <c r="T60" s="20"/>
      <c r="U60" s="20"/>
      <c r="V60" s="20"/>
      <c r="W60" s="19"/>
      <c r="X60" s="20"/>
      <c r="Y60" s="20"/>
      <c r="Z60" s="20"/>
      <c r="AA60" s="20"/>
      <c r="AB60" s="18"/>
      <c r="AC60" s="18"/>
      <c r="AD60" s="18"/>
      <c r="AE60" s="18"/>
      <c r="AF60" s="18"/>
      <c r="AG60" s="18"/>
      <c r="AH60" s="19"/>
      <c r="AI60" s="19"/>
      <c r="AJ60" s="19"/>
      <c r="AK60" s="18"/>
      <c r="AL60" s="18"/>
      <c r="AM60" s="18"/>
      <c r="AN60" s="18"/>
      <c r="AO60" s="18"/>
      <c r="AP60" s="27"/>
      <c r="AQ60" s="18"/>
      <c r="AR60" s="19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4">
        <f t="shared" si="0"/>
        <v>0</v>
      </c>
      <c r="BP60">
        <f t="shared" si="1"/>
        <v>0</v>
      </c>
    </row>
    <row r="61" hidden="1" customHeight="1" spans="1:68">
      <c r="A61" s="16" t="s">
        <v>957</v>
      </c>
      <c r="B61" s="17" t="s">
        <v>958</v>
      </c>
      <c r="C61" s="18"/>
      <c r="D61" s="18"/>
      <c r="E61" s="18"/>
      <c r="F61" s="18"/>
      <c r="G61" s="18"/>
      <c r="H61" s="18"/>
      <c r="I61" s="19"/>
      <c r="J61" s="19"/>
      <c r="K61" s="19"/>
      <c r="L61" s="18"/>
      <c r="M61" s="18"/>
      <c r="N61" s="18"/>
      <c r="O61" s="18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18"/>
      <c r="AC61" s="18"/>
      <c r="AD61" s="18"/>
      <c r="AE61" s="18"/>
      <c r="AF61" s="18"/>
      <c r="AG61" s="18"/>
      <c r="AH61" s="19"/>
      <c r="AI61" s="19"/>
      <c r="AJ61" s="19"/>
      <c r="AK61" s="18"/>
      <c r="AL61" s="18"/>
      <c r="AM61" s="18"/>
      <c r="AN61" s="18"/>
      <c r="AO61" s="18"/>
      <c r="AP61" s="20"/>
      <c r="AQ61" s="18"/>
      <c r="AR61" s="20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4">
        <f t="shared" si="0"/>
        <v>0</v>
      </c>
      <c r="BP61">
        <f t="shared" si="1"/>
        <v>0</v>
      </c>
    </row>
    <row r="62" customHeight="1" spans="1:68">
      <c r="A62" s="16" t="s">
        <v>959</v>
      </c>
      <c r="B62" s="17" t="s">
        <v>960</v>
      </c>
      <c r="C62" s="18"/>
      <c r="D62" s="18"/>
      <c r="E62" s="18">
        <v>100</v>
      </c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9"/>
      <c r="AI62" s="19"/>
      <c r="AJ62" s="19"/>
      <c r="AK62" s="18"/>
      <c r="AL62" s="18"/>
      <c r="AM62" s="18"/>
      <c r="AN62" s="18"/>
      <c r="AO62" s="18"/>
      <c r="AP62" s="18"/>
      <c r="AQ62" s="18"/>
      <c r="AR62" s="20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4">
        <f t="shared" si="0"/>
        <v>100</v>
      </c>
      <c r="BP62">
        <f t="shared" si="1"/>
        <v>0</v>
      </c>
    </row>
    <row r="63" hidden="1" customHeight="1" spans="1:68">
      <c r="A63" s="16" t="s">
        <v>909</v>
      </c>
      <c r="B63" s="21" t="s">
        <v>961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9"/>
      <c r="AI63" s="19"/>
      <c r="AJ63" s="19"/>
      <c r="AK63" s="18"/>
      <c r="AL63" s="18"/>
      <c r="AM63" s="18"/>
      <c r="AN63" s="18"/>
      <c r="AO63" s="18"/>
      <c r="AP63" s="18"/>
      <c r="AQ63" s="18"/>
      <c r="AR63" s="20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4">
        <f t="shared" si="0"/>
        <v>0</v>
      </c>
      <c r="BP63">
        <f t="shared" si="1"/>
        <v>0</v>
      </c>
    </row>
    <row r="64" hidden="1" customHeight="1" spans="1:68">
      <c r="A64" s="16" t="s">
        <v>962</v>
      </c>
      <c r="B64" s="21" t="s">
        <v>963</v>
      </c>
      <c r="C64" s="18">
        <v>50</v>
      </c>
      <c r="D64" s="18">
        <v>-50</v>
      </c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9"/>
      <c r="AI64" s="19"/>
      <c r="AJ64" s="19"/>
      <c r="AK64" s="18"/>
      <c r="AL64" s="18"/>
      <c r="AM64" s="18"/>
      <c r="AN64" s="18"/>
      <c r="AO64" s="18"/>
      <c r="AP64" s="18"/>
      <c r="AQ64" s="18"/>
      <c r="AR64" s="20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4">
        <f t="shared" si="0"/>
        <v>0</v>
      </c>
    </row>
    <row r="65" hidden="1" customHeight="1" spans="1:68">
      <c r="A65" s="16" t="s">
        <v>964</v>
      </c>
      <c r="B65" s="21" t="s">
        <v>630</v>
      </c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9"/>
      <c r="AI65" s="19"/>
      <c r="AJ65" s="19"/>
      <c r="AK65" s="18"/>
      <c r="AL65" s="18"/>
      <c r="AM65" s="18"/>
      <c r="AN65" s="18"/>
      <c r="AO65" s="18"/>
      <c r="AP65" s="18"/>
      <c r="AQ65" s="18"/>
      <c r="AR65" s="20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4">
        <f t="shared" si="0"/>
        <v>0</v>
      </c>
    </row>
    <row r="66" customHeight="1" spans="1:68">
      <c r="A66" s="16" t="s">
        <v>965</v>
      </c>
      <c r="B66" s="21" t="s">
        <v>966</v>
      </c>
      <c r="C66" s="18"/>
      <c r="D66" s="18"/>
      <c r="E66" s="18">
        <v>50</v>
      </c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9"/>
      <c r="AI66" s="19"/>
      <c r="AJ66" s="19"/>
      <c r="AK66" s="18"/>
      <c r="AL66" s="18"/>
      <c r="AM66" s="18"/>
      <c r="AN66" s="18"/>
      <c r="AO66" s="18"/>
      <c r="AP66" s="18"/>
      <c r="AQ66" s="18"/>
      <c r="AR66" s="20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4">
        <f t="shared" si="0"/>
        <v>50</v>
      </c>
    </row>
    <row r="67" hidden="1" customHeight="1" spans="1:68">
      <c r="A67" s="16" t="s">
        <v>967</v>
      </c>
      <c r="B67" s="17" t="s">
        <v>968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9"/>
      <c r="AI67" s="19"/>
      <c r="AJ67" s="19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4">
        <f t="shared" si="0"/>
        <v>0</v>
      </c>
      <c r="BP67">
        <f t="shared" si="1"/>
        <v>0</v>
      </c>
    </row>
    <row r="68" hidden="1" customHeight="1" spans="1:68">
      <c r="A68" s="16" t="s">
        <v>879</v>
      </c>
      <c r="B68" s="21" t="s">
        <v>880</v>
      </c>
      <c r="C68" s="22"/>
      <c r="D68" s="22"/>
      <c r="E68" s="22"/>
      <c r="F68" s="22"/>
      <c r="G68" s="22"/>
      <c r="H68" s="22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9"/>
      <c r="AI68" s="19"/>
      <c r="AJ68" s="19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4">
        <f t="shared" ref="BN68:BN131" si="2">C68+D68+E68+F68+G68+H68+I68+J68+K68+L68+M68+N68+O68+P68</f>
        <v>0</v>
      </c>
      <c r="BP68">
        <f t="shared" si="1"/>
        <v>0</v>
      </c>
    </row>
    <row r="69" hidden="1" customHeight="1" spans="1:68">
      <c r="A69" s="16" t="s">
        <v>969</v>
      </c>
      <c r="B69" s="21" t="s">
        <v>970</v>
      </c>
      <c r="C69" s="22"/>
      <c r="D69" s="22"/>
      <c r="E69" s="22"/>
      <c r="F69" s="22"/>
      <c r="G69" s="22"/>
      <c r="H69" s="22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9"/>
      <c r="AI69" s="19"/>
      <c r="AJ69" s="19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4">
        <f t="shared" si="2"/>
        <v>0</v>
      </c>
    </row>
    <row r="70" hidden="1" customHeight="1" spans="1:68">
      <c r="A70" s="16" t="s">
        <v>971</v>
      </c>
      <c r="B70" s="21" t="s">
        <v>972</v>
      </c>
      <c r="C70" s="22"/>
      <c r="D70" s="22"/>
      <c r="E70" s="22"/>
      <c r="F70" s="22"/>
      <c r="G70" s="22"/>
      <c r="H70" s="22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9"/>
      <c r="AI70" s="19"/>
      <c r="AJ70" s="19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4">
        <f t="shared" si="2"/>
        <v>0</v>
      </c>
      <c r="BO70">
        <v>13.8</v>
      </c>
      <c r="BP70">
        <f t="shared" si="1"/>
        <v>0</v>
      </c>
    </row>
    <row r="71" hidden="1" customHeight="1" spans="1:68">
      <c r="A71" s="16" t="s">
        <v>973</v>
      </c>
      <c r="B71" s="21" t="s">
        <v>974</v>
      </c>
      <c r="C71" s="22"/>
      <c r="D71" s="22"/>
      <c r="E71" s="22"/>
      <c r="F71" s="22"/>
      <c r="G71" s="22"/>
      <c r="H71" s="22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9"/>
      <c r="AI71" s="19"/>
      <c r="AJ71" s="19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4">
        <f t="shared" si="2"/>
        <v>0</v>
      </c>
      <c r="BP71">
        <f t="shared" si="1"/>
        <v>0</v>
      </c>
    </row>
    <row r="72" hidden="1" customHeight="1" spans="1:68">
      <c r="A72" s="16" t="s">
        <v>975</v>
      </c>
      <c r="B72" s="21" t="s">
        <v>976</v>
      </c>
      <c r="C72" s="22"/>
      <c r="D72" s="22"/>
      <c r="E72" s="22"/>
      <c r="F72" s="22"/>
      <c r="G72" s="22"/>
      <c r="H72" s="22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9"/>
      <c r="AI72" s="19"/>
      <c r="AJ72" s="19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4">
        <f t="shared" si="2"/>
        <v>0</v>
      </c>
      <c r="BP72">
        <f t="shared" si="1"/>
        <v>0</v>
      </c>
    </row>
    <row r="73" hidden="1" customHeight="1" spans="1:68">
      <c r="A73" s="16" t="s">
        <v>977</v>
      </c>
      <c r="B73" s="21" t="s">
        <v>978</v>
      </c>
      <c r="C73" s="22"/>
      <c r="D73" s="22"/>
      <c r="E73" s="22"/>
      <c r="F73" s="22"/>
      <c r="G73" s="22"/>
      <c r="H73" s="22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9"/>
      <c r="AI73" s="19"/>
      <c r="AJ73" s="19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4">
        <f t="shared" si="2"/>
        <v>0</v>
      </c>
      <c r="BP73">
        <f t="shared" si="1"/>
        <v>0</v>
      </c>
    </row>
    <row r="74" hidden="1" customHeight="1" spans="1:68">
      <c r="A74" s="16" t="s">
        <v>979</v>
      </c>
      <c r="B74" s="21" t="s">
        <v>980</v>
      </c>
      <c r="C74" s="22"/>
      <c r="D74" s="22"/>
      <c r="E74" s="22"/>
      <c r="F74" s="22"/>
      <c r="G74" s="22"/>
      <c r="H74" s="22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9"/>
      <c r="AI74" s="19"/>
      <c r="AJ74" s="19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4">
        <f t="shared" si="2"/>
        <v>0</v>
      </c>
      <c r="BP74">
        <f t="shared" si="1"/>
        <v>0</v>
      </c>
    </row>
    <row r="75" hidden="1" customHeight="1" spans="1:68">
      <c r="A75" s="16" t="s">
        <v>981</v>
      </c>
      <c r="B75" s="21" t="s">
        <v>982</v>
      </c>
      <c r="C75" s="22"/>
      <c r="D75" s="22"/>
      <c r="E75" s="22"/>
      <c r="F75" s="22"/>
      <c r="G75" s="22"/>
      <c r="H75" s="22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9"/>
      <c r="AI75" s="19"/>
      <c r="AJ75" s="19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4">
        <f t="shared" si="2"/>
        <v>0</v>
      </c>
      <c r="BP75">
        <f t="shared" si="1"/>
        <v>0</v>
      </c>
    </row>
    <row r="76" hidden="1" customHeight="1" spans="1:68">
      <c r="A76" s="16" t="s">
        <v>983</v>
      </c>
      <c r="B76" s="21" t="s">
        <v>984</v>
      </c>
      <c r="C76" s="22"/>
      <c r="D76" s="22"/>
      <c r="E76" s="22"/>
      <c r="F76" s="22"/>
      <c r="G76" s="22"/>
      <c r="H76" s="22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9"/>
      <c r="AI76" s="19"/>
      <c r="AJ76" s="19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4">
        <f t="shared" si="2"/>
        <v>0</v>
      </c>
      <c r="BP76">
        <f t="shared" si="1"/>
        <v>0</v>
      </c>
    </row>
    <row r="77" hidden="1" customHeight="1" spans="1:68">
      <c r="A77" s="16" t="s">
        <v>985</v>
      </c>
      <c r="B77" s="21" t="s">
        <v>986</v>
      </c>
      <c r="C77" s="22"/>
      <c r="D77" s="22"/>
      <c r="E77" s="22"/>
      <c r="F77" s="22"/>
      <c r="G77" s="22"/>
      <c r="H77" s="22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9"/>
      <c r="AI77" s="19"/>
      <c r="AJ77" s="19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4">
        <f t="shared" si="2"/>
        <v>0</v>
      </c>
    </row>
    <row r="78" hidden="1" customHeight="1" spans="1:68">
      <c r="A78" s="16" t="s">
        <v>987</v>
      </c>
      <c r="B78" s="21" t="s">
        <v>988</v>
      </c>
      <c r="C78" s="22"/>
      <c r="D78" s="22"/>
      <c r="E78" s="22"/>
      <c r="F78" s="22"/>
      <c r="G78" s="22"/>
      <c r="H78" s="22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9"/>
      <c r="AI78" s="19"/>
      <c r="AJ78" s="19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4">
        <f t="shared" si="2"/>
        <v>0</v>
      </c>
      <c r="BP78">
        <f t="shared" ref="BP78:BP134" si="3">BN78*BO78</f>
        <v>0</v>
      </c>
    </row>
    <row r="79" hidden="1" customHeight="1" spans="1:68">
      <c r="A79" s="16" t="s">
        <v>989</v>
      </c>
      <c r="B79" s="21" t="s">
        <v>990</v>
      </c>
      <c r="C79" s="22"/>
      <c r="D79" s="22"/>
      <c r="E79" s="22"/>
      <c r="F79" s="22"/>
      <c r="G79" s="22"/>
      <c r="H79" s="22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9"/>
      <c r="AI79" s="19"/>
      <c r="AJ79" s="19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4">
        <f t="shared" si="2"/>
        <v>0</v>
      </c>
      <c r="BP79">
        <f t="shared" si="3"/>
        <v>0</v>
      </c>
    </row>
    <row r="80" hidden="1" customHeight="1" spans="1:68">
      <c r="A80" s="16" t="s">
        <v>991</v>
      </c>
      <c r="B80" s="21" t="s">
        <v>992</v>
      </c>
      <c r="C80" s="22"/>
      <c r="D80" s="22"/>
      <c r="E80" s="22"/>
      <c r="F80" s="22"/>
      <c r="G80" s="22"/>
      <c r="H80" s="22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9"/>
      <c r="AI80" s="19"/>
      <c r="AJ80" s="19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4">
        <f t="shared" si="2"/>
        <v>0</v>
      </c>
      <c r="BP80">
        <f t="shared" si="3"/>
        <v>0</v>
      </c>
    </row>
    <row r="81" hidden="1" customHeight="1" spans="1:68">
      <c r="A81" s="16" t="s">
        <v>993</v>
      </c>
      <c r="B81" s="21" t="s">
        <v>994</v>
      </c>
      <c r="C81" s="22"/>
      <c r="D81" s="22"/>
      <c r="E81" s="22"/>
      <c r="F81" s="22"/>
      <c r="G81" s="22"/>
      <c r="H81" s="22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9"/>
      <c r="AI81" s="19"/>
      <c r="AJ81" s="19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4">
        <f t="shared" si="2"/>
        <v>0</v>
      </c>
      <c r="BP81">
        <f t="shared" si="3"/>
        <v>0</v>
      </c>
    </row>
    <row r="82" hidden="1" customHeight="1" spans="1:68">
      <c r="A82" s="16" t="s">
        <v>995</v>
      </c>
      <c r="B82" s="21" t="s">
        <v>996</v>
      </c>
      <c r="C82" s="22"/>
      <c r="D82" s="22"/>
      <c r="E82" s="22"/>
      <c r="F82" s="22"/>
      <c r="G82" s="22"/>
      <c r="H82" s="22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9"/>
      <c r="AI82" s="19"/>
      <c r="AJ82" s="19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4">
        <f t="shared" si="2"/>
        <v>0</v>
      </c>
      <c r="BP82">
        <f t="shared" si="3"/>
        <v>0</v>
      </c>
    </row>
    <row r="83" hidden="1" customHeight="1" spans="1:68">
      <c r="A83" s="16" t="s">
        <v>997</v>
      </c>
      <c r="B83" s="21" t="s">
        <v>717</v>
      </c>
      <c r="C83" s="22"/>
      <c r="D83" s="22"/>
      <c r="E83" s="22"/>
      <c r="F83" s="22"/>
      <c r="G83" s="22"/>
      <c r="H83" s="22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9"/>
      <c r="AI83" s="19"/>
      <c r="AJ83" s="19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4">
        <f t="shared" si="2"/>
        <v>0</v>
      </c>
      <c r="BP83">
        <f t="shared" si="3"/>
        <v>0</v>
      </c>
    </row>
    <row r="84" hidden="1" customHeight="1" spans="1:68">
      <c r="A84" s="16" t="s">
        <v>998</v>
      </c>
      <c r="B84" s="21" t="s">
        <v>999</v>
      </c>
      <c r="C84" s="22"/>
      <c r="D84" s="22"/>
      <c r="E84" s="22"/>
      <c r="F84" s="22"/>
      <c r="G84" s="22"/>
      <c r="H84" s="22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9"/>
      <c r="AI84" s="19"/>
      <c r="AJ84" s="19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4">
        <f t="shared" si="2"/>
        <v>0</v>
      </c>
      <c r="BP84">
        <f t="shared" si="3"/>
        <v>0</v>
      </c>
    </row>
    <row r="85" hidden="1" customHeight="1" spans="1:68">
      <c r="A85" s="16" t="s">
        <v>1000</v>
      </c>
      <c r="B85" s="21" t="s">
        <v>1001</v>
      </c>
      <c r="C85" s="22"/>
      <c r="D85" s="22"/>
      <c r="E85" s="22"/>
      <c r="F85" s="22"/>
      <c r="G85" s="22"/>
      <c r="H85" s="22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9"/>
      <c r="AI85" s="19"/>
      <c r="AJ85" s="19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4">
        <f t="shared" si="2"/>
        <v>0</v>
      </c>
      <c r="BP85">
        <f t="shared" si="3"/>
        <v>0</v>
      </c>
    </row>
    <row r="86" hidden="1" customHeight="1" spans="1:68">
      <c r="A86" s="16" t="s">
        <v>1002</v>
      </c>
      <c r="B86" s="21" t="s">
        <v>801</v>
      </c>
      <c r="C86" s="22"/>
      <c r="D86" s="22"/>
      <c r="E86" s="22"/>
      <c r="F86" s="22"/>
      <c r="G86" s="22"/>
      <c r="H86" s="22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9"/>
      <c r="AI86" s="19"/>
      <c r="AJ86" s="19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4">
        <f t="shared" si="2"/>
        <v>0</v>
      </c>
      <c r="BP86">
        <f t="shared" si="3"/>
        <v>0</v>
      </c>
    </row>
    <row r="87" hidden="1" customHeight="1" spans="1:68">
      <c r="A87" s="16" t="s">
        <v>1003</v>
      </c>
      <c r="B87" s="21" t="s">
        <v>1004</v>
      </c>
      <c r="C87" s="22"/>
      <c r="D87" s="22"/>
      <c r="E87" s="22"/>
      <c r="F87" s="22"/>
      <c r="G87" s="22"/>
      <c r="H87" s="22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9"/>
      <c r="AI87" s="19"/>
      <c r="AJ87" s="19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4">
        <f t="shared" si="2"/>
        <v>0</v>
      </c>
      <c r="BP87">
        <f t="shared" si="3"/>
        <v>0</v>
      </c>
    </row>
    <row r="88" hidden="1" customHeight="1" spans="1:68">
      <c r="A88" s="16" t="s">
        <v>1005</v>
      </c>
      <c r="B88" s="21" t="s">
        <v>1006</v>
      </c>
      <c r="C88" s="22"/>
      <c r="D88" s="22"/>
      <c r="E88" s="22"/>
      <c r="F88" s="22"/>
      <c r="G88" s="22"/>
      <c r="H88" s="22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9"/>
      <c r="AI88" s="19"/>
      <c r="AJ88" s="19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4">
        <f t="shared" si="2"/>
        <v>0</v>
      </c>
      <c r="BP88">
        <f t="shared" si="3"/>
        <v>0</v>
      </c>
    </row>
    <row r="89" hidden="1" customHeight="1" spans="1:68">
      <c r="A89" s="16" t="s">
        <v>1007</v>
      </c>
      <c r="B89" s="21" t="s">
        <v>1008</v>
      </c>
      <c r="C89" s="22"/>
      <c r="D89" s="22"/>
      <c r="E89" s="22"/>
      <c r="F89" s="22"/>
      <c r="G89" s="22"/>
      <c r="H89" s="22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9"/>
      <c r="AI89" s="19"/>
      <c r="AJ89" s="19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4">
        <f t="shared" si="2"/>
        <v>0</v>
      </c>
      <c r="BP89">
        <f t="shared" si="3"/>
        <v>0</v>
      </c>
    </row>
    <row r="90" hidden="1" customHeight="1" spans="1:68">
      <c r="A90" s="16" t="s">
        <v>1009</v>
      </c>
      <c r="B90" s="21" t="s">
        <v>1010</v>
      </c>
      <c r="C90" s="22"/>
      <c r="D90" s="22"/>
      <c r="E90" s="22"/>
      <c r="F90" s="22"/>
      <c r="G90" s="22"/>
      <c r="H90" s="22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9"/>
      <c r="AI90" s="19"/>
      <c r="AJ90" s="19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4">
        <f t="shared" si="2"/>
        <v>0</v>
      </c>
      <c r="BP90">
        <f t="shared" si="3"/>
        <v>0</v>
      </c>
    </row>
    <row r="91" hidden="1" customHeight="1" spans="1:68">
      <c r="A91" s="16" t="s">
        <v>1011</v>
      </c>
      <c r="B91" s="17" t="s">
        <v>1012</v>
      </c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9"/>
      <c r="AI91" s="19"/>
      <c r="AJ91" s="19"/>
      <c r="AK91" s="18"/>
      <c r="AL91" s="20"/>
      <c r="AM91" s="20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4">
        <f t="shared" si="2"/>
        <v>0</v>
      </c>
      <c r="BP91">
        <f t="shared" si="3"/>
        <v>0</v>
      </c>
    </row>
    <row r="92" hidden="1" customHeight="1" spans="1:68">
      <c r="A92" s="16" t="s">
        <v>1013</v>
      </c>
      <c r="B92" s="17" t="s">
        <v>1014</v>
      </c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20"/>
      <c r="AF92" s="20"/>
      <c r="AG92" s="20"/>
      <c r="AH92" s="19"/>
      <c r="AI92" s="19"/>
      <c r="AJ92" s="19"/>
      <c r="AK92" s="18"/>
      <c r="AL92" s="20"/>
      <c r="AM92" s="20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4">
        <f t="shared" si="2"/>
        <v>0</v>
      </c>
      <c r="BP92">
        <f t="shared" si="3"/>
        <v>0</v>
      </c>
    </row>
    <row r="93" hidden="1" customHeight="1" spans="1:68">
      <c r="A93" s="16" t="s">
        <v>1015</v>
      </c>
      <c r="B93" s="17" t="s">
        <v>1016</v>
      </c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20"/>
      <c r="AF93" s="20"/>
      <c r="AG93" s="20"/>
      <c r="AH93" s="19"/>
      <c r="AI93" s="19"/>
      <c r="AJ93" s="19"/>
      <c r="AK93" s="18"/>
      <c r="AL93" s="20"/>
      <c r="AM93" s="20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4">
        <f t="shared" si="2"/>
        <v>0</v>
      </c>
      <c r="BP93">
        <f t="shared" si="3"/>
        <v>0</v>
      </c>
    </row>
    <row r="94" hidden="1" customHeight="1" spans="1:68">
      <c r="A94" s="16" t="s">
        <v>1017</v>
      </c>
      <c r="B94" s="17" t="s">
        <v>1018</v>
      </c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20"/>
      <c r="AF94" s="20"/>
      <c r="AG94" s="20"/>
      <c r="AH94" s="19"/>
      <c r="AI94" s="19"/>
      <c r="AJ94" s="19"/>
      <c r="AK94" s="18"/>
      <c r="AL94" s="20"/>
      <c r="AM94" s="20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4">
        <f t="shared" si="2"/>
        <v>0</v>
      </c>
      <c r="BP94">
        <f t="shared" si="3"/>
        <v>0</v>
      </c>
    </row>
    <row r="95" hidden="1" customHeight="1" spans="1:68">
      <c r="A95" s="16" t="s">
        <v>1019</v>
      </c>
      <c r="B95" s="17" t="s">
        <v>1020</v>
      </c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20"/>
      <c r="AF95" s="20"/>
      <c r="AG95" s="20"/>
      <c r="AH95" s="19"/>
      <c r="AI95" s="19"/>
      <c r="AJ95" s="19"/>
      <c r="AK95" s="18"/>
      <c r="AL95" s="20"/>
      <c r="AM95" s="20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4">
        <f t="shared" si="2"/>
        <v>0</v>
      </c>
    </row>
    <row r="96" hidden="1" customHeight="1" spans="1:68">
      <c r="A96" s="16" t="s">
        <v>778</v>
      </c>
      <c r="B96" s="17" t="s">
        <v>1021</v>
      </c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28"/>
      <c r="Z96" s="18"/>
      <c r="AA96" s="18"/>
      <c r="AB96" s="18"/>
      <c r="AC96" s="18"/>
      <c r="AD96" s="18"/>
      <c r="AE96" s="19"/>
      <c r="AF96" s="19"/>
      <c r="AG96" s="19"/>
      <c r="AH96" s="19"/>
      <c r="AI96" s="19"/>
      <c r="AJ96" s="19"/>
      <c r="AK96" s="18"/>
      <c r="AL96" s="20"/>
      <c r="AM96" s="20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4">
        <f t="shared" si="2"/>
        <v>0</v>
      </c>
      <c r="BP96">
        <f t="shared" si="3"/>
        <v>0</v>
      </c>
    </row>
    <row r="97" hidden="1" customHeight="1" spans="1:68">
      <c r="A97" s="16" t="s">
        <v>704</v>
      </c>
      <c r="B97" s="17" t="s">
        <v>1022</v>
      </c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9"/>
      <c r="AI97" s="19"/>
      <c r="AJ97" s="19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4">
        <f t="shared" si="2"/>
        <v>0</v>
      </c>
      <c r="BP97">
        <f t="shared" si="3"/>
        <v>0</v>
      </c>
    </row>
    <row r="98" hidden="1" customHeight="1" spans="1:68">
      <c r="A98" s="16" t="s">
        <v>1023</v>
      </c>
      <c r="B98" s="17" t="s">
        <v>1024</v>
      </c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9"/>
      <c r="AI98" s="19"/>
      <c r="AJ98" s="19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4">
        <f t="shared" si="2"/>
        <v>0</v>
      </c>
      <c r="BP98">
        <f t="shared" si="3"/>
        <v>0</v>
      </c>
    </row>
    <row r="99" hidden="1" customHeight="1" spans="1:68">
      <c r="A99" s="16" t="s">
        <v>1025</v>
      </c>
      <c r="B99" s="17" t="s">
        <v>702</v>
      </c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9"/>
      <c r="AI99" s="19"/>
      <c r="AJ99" s="19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4">
        <f t="shared" si="2"/>
        <v>0</v>
      </c>
      <c r="BP99">
        <f t="shared" si="3"/>
        <v>0</v>
      </c>
    </row>
    <row r="100" hidden="1" customHeight="1" spans="1:68">
      <c r="A100" s="16" t="s">
        <v>1026</v>
      </c>
      <c r="B100" s="17" t="s">
        <v>702</v>
      </c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9"/>
      <c r="AI100" s="19"/>
      <c r="AJ100" s="19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4">
        <f t="shared" si="2"/>
        <v>0</v>
      </c>
      <c r="BP100">
        <f t="shared" si="3"/>
        <v>0</v>
      </c>
    </row>
    <row r="101" hidden="1" customHeight="1" spans="1:68">
      <c r="A101" s="29" t="s">
        <v>98</v>
      </c>
      <c r="B101" s="30" t="s">
        <v>1027</v>
      </c>
      <c r="C101" s="31"/>
      <c r="D101" s="31"/>
      <c r="E101" s="31"/>
      <c r="F101" s="31"/>
      <c r="G101" s="31"/>
      <c r="H101" s="31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7"/>
      <c r="AI101" s="27"/>
      <c r="AJ101" s="27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14">
        <f t="shared" si="2"/>
        <v>0</v>
      </c>
      <c r="BP101">
        <f t="shared" si="3"/>
        <v>0</v>
      </c>
    </row>
    <row r="102" hidden="1" customHeight="1" spans="1:68">
      <c r="A102" s="29" t="s">
        <v>1028</v>
      </c>
      <c r="B102" s="32" t="s">
        <v>1029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7"/>
      <c r="AI102" s="27"/>
      <c r="AJ102" s="27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14">
        <f t="shared" si="2"/>
        <v>0</v>
      </c>
      <c r="BO102">
        <v>0.5</v>
      </c>
      <c r="BP102">
        <f t="shared" si="3"/>
        <v>0</v>
      </c>
    </row>
    <row r="103" hidden="1" customHeight="1" spans="1:68">
      <c r="A103" s="29" t="s">
        <v>1030</v>
      </c>
      <c r="B103" s="32" t="s">
        <v>1031</v>
      </c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7"/>
      <c r="AI103" s="27"/>
      <c r="AJ103" s="27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14">
        <f t="shared" si="2"/>
        <v>0</v>
      </c>
      <c r="BO103">
        <v>1.1</v>
      </c>
      <c r="BP103">
        <f t="shared" si="3"/>
        <v>0</v>
      </c>
    </row>
    <row r="104" hidden="1" customHeight="1" spans="1:68">
      <c r="A104" s="29" t="s">
        <v>1032</v>
      </c>
      <c r="B104" s="32" t="s">
        <v>1033</v>
      </c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7"/>
      <c r="AI104" s="27"/>
      <c r="AJ104" s="27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14">
        <f t="shared" si="2"/>
        <v>0</v>
      </c>
      <c r="BO104">
        <v>1.1</v>
      </c>
      <c r="BP104">
        <f t="shared" si="3"/>
        <v>0</v>
      </c>
    </row>
    <row r="105" customHeight="1" spans="1:68">
      <c r="A105" s="29" t="s">
        <v>1034</v>
      </c>
      <c r="B105" s="32" t="s">
        <v>1035</v>
      </c>
      <c r="C105" s="26">
        <v>100</v>
      </c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7"/>
      <c r="AI105" s="27"/>
      <c r="AJ105" s="27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14">
        <f t="shared" si="2"/>
        <v>100</v>
      </c>
      <c r="BP105">
        <f t="shared" si="3"/>
        <v>0</v>
      </c>
    </row>
    <row r="106" customHeight="1" spans="1:68">
      <c r="A106" s="29" t="s">
        <v>98</v>
      </c>
      <c r="B106" s="32" t="s">
        <v>1036</v>
      </c>
      <c r="C106" s="26">
        <v>30</v>
      </c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7"/>
      <c r="AI106" s="27"/>
      <c r="AJ106" s="27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14">
        <f t="shared" si="2"/>
        <v>30</v>
      </c>
      <c r="BP106">
        <f t="shared" si="3"/>
        <v>0</v>
      </c>
    </row>
    <row r="107" hidden="1" customHeight="1" spans="1:68">
      <c r="A107" s="29"/>
      <c r="B107" s="32" t="s">
        <v>1037</v>
      </c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7"/>
      <c r="AI107" s="27"/>
      <c r="AJ107" s="27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14">
        <f t="shared" si="2"/>
        <v>0</v>
      </c>
      <c r="BP107">
        <f t="shared" si="3"/>
        <v>0</v>
      </c>
    </row>
    <row r="108" customHeight="1" spans="1:68">
      <c r="A108" s="29"/>
      <c r="B108" s="32" t="s">
        <v>1038</v>
      </c>
      <c r="C108" s="26">
        <v>20</v>
      </c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7"/>
      <c r="AI108" s="27"/>
      <c r="AJ108" s="27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14">
        <f t="shared" si="2"/>
        <v>20</v>
      </c>
      <c r="BP108">
        <f t="shared" si="3"/>
        <v>0</v>
      </c>
    </row>
    <row r="109" customHeight="1" spans="1:68">
      <c r="A109" s="29"/>
      <c r="B109" s="32" t="s">
        <v>1039</v>
      </c>
      <c r="C109" s="26">
        <v>24</v>
      </c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7"/>
      <c r="AI109" s="27"/>
      <c r="AJ109" s="27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14">
        <f t="shared" si="2"/>
        <v>24</v>
      </c>
      <c r="BP109">
        <f t="shared" si="3"/>
        <v>0</v>
      </c>
    </row>
    <row r="110" hidden="1" customHeight="1" spans="1:68">
      <c r="A110" s="29"/>
      <c r="B110" s="32" t="s">
        <v>1040</v>
      </c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7"/>
      <c r="AI110" s="27"/>
      <c r="AJ110" s="27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14">
        <f t="shared" si="2"/>
        <v>0</v>
      </c>
      <c r="BP110">
        <f t="shared" si="3"/>
        <v>0</v>
      </c>
    </row>
    <row r="111" hidden="1" customHeight="1" spans="1:68">
      <c r="A111" s="29"/>
      <c r="B111" s="32" t="s">
        <v>89</v>
      </c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7"/>
      <c r="AI111" s="27"/>
      <c r="AJ111" s="27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14">
        <f t="shared" si="2"/>
        <v>0</v>
      </c>
      <c r="BP111">
        <f t="shared" si="3"/>
        <v>0</v>
      </c>
    </row>
    <row r="112" hidden="1" customHeight="1" spans="1:68">
      <c r="A112" s="29"/>
      <c r="B112" s="32" t="s">
        <v>1041</v>
      </c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7"/>
      <c r="AI112" s="27"/>
      <c r="AJ112" s="27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14">
        <f t="shared" si="2"/>
        <v>0</v>
      </c>
      <c r="BP112">
        <f t="shared" si="3"/>
        <v>0</v>
      </c>
    </row>
    <row r="113" customHeight="1" spans="1:68">
      <c r="A113" s="29"/>
      <c r="B113" s="32" t="s">
        <v>1042</v>
      </c>
      <c r="C113" s="26"/>
      <c r="D113" s="26"/>
      <c r="E113" s="26"/>
      <c r="F113" s="26">
        <v>300</v>
      </c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7"/>
      <c r="AI113" s="27"/>
      <c r="AJ113" s="27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14">
        <f t="shared" si="2"/>
        <v>300</v>
      </c>
      <c r="BP113">
        <f t="shared" si="3"/>
        <v>0</v>
      </c>
    </row>
    <row r="114" hidden="1" customHeight="1" spans="1:68">
      <c r="A114" s="29"/>
      <c r="B114" s="32" t="s">
        <v>1043</v>
      </c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7"/>
      <c r="AI114" s="27"/>
      <c r="AJ114" s="27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14">
        <f t="shared" si="2"/>
        <v>0</v>
      </c>
      <c r="BP114">
        <f t="shared" si="3"/>
        <v>0</v>
      </c>
    </row>
    <row r="115" hidden="1" customHeight="1" spans="1:68">
      <c r="A115" s="29"/>
      <c r="B115" s="32" t="s">
        <v>1044</v>
      </c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7"/>
      <c r="AI115" s="27"/>
      <c r="AJ115" s="27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  <c r="BK115" s="26"/>
      <c r="BL115" s="26"/>
      <c r="BM115" s="26"/>
      <c r="BN115" s="14">
        <f t="shared" si="2"/>
        <v>0</v>
      </c>
      <c r="BP115">
        <f t="shared" si="3"/>
        <v>0</v>
      </c>
    </row>
    <row r="116" customHeight="1" spans="1:68">
      <c r="A116" s="29"/>
      <c r="B116" s="32" t="s">
        <v>1045</v>
      </c>
      <c r="C116" s="26"/>
      <c r="D116" s="26"/>
      <c r="E116" s="26"/>
      <c r="F116" s="26">
        <v>5</v>
      </c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7"/>
      <c r="AI116" s="27"/>
      <c r="AJ116" s="27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14">
        <f t="shared" si="2"/>
        <v>5</v>
      </c>
      <c r="BP116">
        <f t="shared" si="3"/>
        <v>0</v>
      </c>
    </row>
    <row r="117" customHeight="1" spans="1:68">
      <c r="A117" s="29" t="s">
        <v>1046</v>
      </c>
      <c r="B117" s="32" t="s">
        <v>740</v>
      </c>
      <c r="C117" s="26"/>
      <c r="D117" s="26">
        <v>15000</v>
      </c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7"/>
      <c r="AI117" s="27"/>
      <c r="AJ117" s="27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26"/>
      <c r="BK117" s="26"/>
      <c r="BL117" s="26"/>
      <c r="BM117" s="26"/>
      <c r="BN117" s="14">
        <f t="shared" si="2"/>
        <v>15000</v>
      </c>
      <c r="BP117">
        <f t="shared" si="3"/>
        <v>0</v>
      </c>
    </row>
    <row r="118" customHeight="1" spans="1:68">
      <c r="A118" s="29" t="s">
        <v>1047</v>
      </c>
      <c r="B118" s="32" t="s">
        <v>739</v>
      </c>
      <c r="C118" s="26"/>
      <c r="D118" s="26">
        <v>30960</v>
      </c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7"/>
      <c r="AI118" s="27"/>
      <c r="AJ118" s="27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  <c r="BL118" s="26"/>
      <c r="BM118" s="26"/>
      <c r="BN118" s="14">
        <f t="shared" si="2"/>
        <v>30960</v>
      </c>
      <c r="BP118">
        <f t="shared" si="3"/>
        <v>0</v>
      </c>
    </row>
    <row r="119" customHeight="1" spans="1:68">
      <c r="A119" s="29" t="s">
        <v>1048</v>
      </c>
      <c r="B119" s="32" t="s">
        <v>742</v>
      </c>
      <c r="C119" s="26"/>
      <c r="D119" s="26">
        <v>19200</v>
      </c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7"/>
      <c r="AI119" s="27"/>
      <c r="AJ119" s="27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26"/>
      <c r="BK119" s="26"/>
      <c r="BL119" s="26"/>
      <c r="BM119" s="26"/>
      <c r="BN119" s="14">
        <f t="shared" si="2"/>
        <v>19200</v>
      </c>
      <c r="BP119">
        <f t="shared" si="3"/>
        <v>0</v>
      </c>
    </row>
    <row r="120" hidden="1" customHeight="1" spans="1:68">
      <c r="A120" s="29" t="s">
        <v>1049</v>
      </c>
      <c r="B120" s="32" t="s">
        <v>786</v>
      </c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7"/>
      <c r="AI120" s="27"/>
      <c r="AJ120" s="27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  <c r="BL120" s="26"/>
      <c r="BM120" s="26"/>
      <c r="BN120" s="14">
        <f t="shared" si="2"/>
        <v>0</v>
      </c>
      <c r="BP120">
        <f t="shared" si="3"/>
        <v>0</v>
      </c>
    </row>
    <row r="121" hidden="1" customHeight="1" spans="1:68">
      <c r="A121" s="29" t="s">
        <v>831</v>
      </c>
      <c r="B121" s="32" t="s">
        <v>1050</v>
      </c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7"/>
      <c r="AI121" s="27"/>
      <c r="AJ121" s="27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  <c r="BK121" s="26"/>
      <c r="BL121" s="26"/>
      <c r="BM121" s="26"/>
      <c r="BN121" s="14">
        <f t="shared" si="2"/>
        <v>0</v>
      </c>
      <c r="BP121">
        <f t="shared" si="3"/>
        <v>0</v>
      </c>
    </row>
    <row r="122" customHeight="1" spans="1:68">
      <c r="A122" s="29" t="s">
        <v>1019</v>
      </c>
      <c r="B122" s="32" t="s">
        <v>1020</v>
      </c>
      <c r="C122" s="26"/>
      <c r="D122" s="26"/>
      <c r="E122" s="26"/>
      <c r="F122" s="26"/>
      <c r="G122" s="26">
        <v>7000</v>
      </c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7"/>
      <c r="AI122" s="27"/>
      <c r="AJ122" s="27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  <c r="BL122" s="26"/>
      <c r="BM122" s="26"/>
      <c r="BN122" s="14">
        <f t="shared" si="2"/>
        <v>7000</v>
      </c>
    </row>
    <row r="123" hidden="1" customHeight="1" spans="1:68">
      <c r="A123" s="29" t="s">
        <v>1051</v>
      </c>
      <c r="B123" s="32" t="s">
        <v>1052</v>
      </c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7"/>
      <c r="AI123" s="27"/>
      <c r="AJ123" s="27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  <c r="BM123" s="26"/>
      <c r="BN123" s="14">
        <f t="shared" si="2"/>
        <v>0</v>
      </c>
      <c r="BP123">
        <f t="shared" si="3"/>
        <v>0</v>
      </c>
    </row>
    <row r="124" hidden="1" customHeight="1" spans="1:68">
      <c r="A124" s="29" t="s">
        <v>1053</v>
      </c>
      <c r="B124" s="32" t="s">
        <v>1054</v>
      </c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7"/>
      <c r="AI124" s="27"/>
      <c r="AJ124" s="27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26"/>
      <c r="BK124" s="26"/>
      <c r="BL124" s="26"/>
      <c r="BM124" s="26"/>
      <c r="BN124" s="14">
        <f t="shared" si="2"/>
        <v>0</v>
      </c>
      <c r="BP124">
        <f t="shared" si="3"/>
        <v>0</v>
      </c>
    </row>
    <row r="125" customHeight="1" spans="1:68">
      <c r="A125" s="29" t="s">
        <v>1055</v>
      </c>
      <c r="B125" s="32" t="s">
        <v>1056</v>
      </c>
      <c r="C125" s="26">
        <v>24</v>
      </c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7"/>
      <c r="AI125" s="27"/>
      <c r="AJ125" s="27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26"/>
      <c r="BK125" s="26"/>
      <c r="BL125" s="26"/>
      <c r="BM125" s="26"/>
      <c r="BN125" s="14">
        <f t="shared" si="2"/>
        <v>24</v>
      </c>
      <c r="BP125">
        <f t="shared" si="3"/>
        <v>0</v>
      </c>
    </row>
    <row r="126" hidden="1" customHeight="1" spans="1:68">
      <c r="A126" s="29" t="s">
        <v>1015</v>
      </c>
      <c r="B126" s="32" t="s">
        <v>1057</v>
      </c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7"/>
      <c r="AI126" s="27"/>
      <c r="AJ126" s="27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  <c r="BK126" s="26"/>
      <c r="BL126" s="26"/>
      <c r="BM126" s="26"/>
      <c r="BN126" s="14">
        <f t="shared" si="2"/>
        <v>0</v>
      </c>
    </row>
    <row r="127" customHeight="1" spans="1:68">
      <c r="A127" s="33" t="s">
        <v>838</v>
      </c>
      <c r="B127" s="33" t="s">
        <v>40</v>
      </c>
      <c r="C127" s="34"/>
      <c r="D127" s="34"/>
      <c r="E127" s="34"/>
      <c r="F127" s="34"/>
      <c r="G127" s="34">
        <v>41400</v>
      </c>
      <c r="H127" s="34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6"/>
      <c r="AI127" s="36"/>
      <c r="AJ127" s="36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  <c r="AZ127" s="35"/>
      <c r="BA127" s="35"/>
      <c r="BB127" s="35"/>
      <c r="BC127" s="35"/>
      <c r="BD127" s="35"/>
      <c r="BE127" s="35"/>
      <c r="BF127" s="35"/>
      <c r="BG127" s="35"/>
      <c r="BH127" s="35"/>
      <c r="BI127" s="35"/>
      <c r="BJ127" s="37"/>
      <c r="BK127" s="35"/>
      <c r="BL127" s="35"/>
      <c r="BM127" s="35"/>
      <c r="BN127" s="14">
        <f t="shared" si="2"/>
        <v>41400</v>
      </c>
      <c r="BO127">
        <v>0.63</v>
      </c>
      <c r="BP127">
        <f t="shared" si="3"/>
        <v>26082</v>
      </c>
    </row>
    <row r="128" customHeight="1" spans="1:68">
      <c r="A128" s="33" t="s">
        <v>839</v>
      </c>
      <c r="B128" s="33" t="s">
        <v>42</v>
      </c>
      <c r="C128" s="34"/>
      <c r="D128" s="34"/>
      <c r="E128" s="34"/>
      <c r="F128" s="34"/>
      <c r="G128" s="34">
        <v>40500</v>
      </c>
      <c r="H128" s="34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6"/>
      <c r="AI128" s="36"/>
      <c r="AJ128" s="36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35"/>
      <c r="AW128" s="35"/>
      <c r="AX128" s="35"/>
      <c r="AY128" s="35"/>
      <c r="AZ128" s="35"/>
      <c r="BA128" s="35"/>
      <c r="BB128" s="35"/>
      <c r="BC128" s="35"/>
      <c r="BD128" s="35"/>
      <c r="BE128" s="35"/>
      <c r="BF128" s="35"/>
      <c r="BG128" s="35"/>
      <c r="BH128" s="35"/>
      <c r="BI128" s="35"/>
      <c r="BJ128" s="37"/>
      <c r="BK128" s="35"/>
      <c r="BL128" s="35"/>
      <c r="BM128" s="35"/>
      <c r="BN128" s="14">
        <f t="shared" si="2"/>
        <v>40500</v>
      </c>
      <c r="BO128">
        <v>0.77</v>
      </c>
      <c r="BP128">
        <f t="shared" si="3"/>
        <v>31185</v>
      </c>
    </row>
    <row r="129" customHeight="1" spans="1:68">
      <c r="A129" s="33" t="s">
        <v>840</v>
      </c>
      <c r="B129" s="33" t="s">
        <v>735</v>
      </c>
      <c r="C129" s="34"/>
      <c r="D129" s="34"/>
      <c r="E129" s="34"/>
      <c r="F129" s="34"/>
      <c r="G129" s="34">
        <v>5940</v>
      </c>
      <c r="H129" s="34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6"/>
      <c r="AI129" s="36"/>
      <c r="AJ129" s="36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  <c r="AZ129" s="35"/>
      <c r="BA129" s="35"/>
      <c r="BB129" s="35"/>
      <c r="BC129" s="35"/>
      <c r="BD129" s="35"/>
      <c r="BE129" s="35"/>
      <c r="BF129" s="35"/>
      <c r="BG129" s="35"/>
      <c r="BH129" s="35"/>
      <c r="BI129" s="35"/>
      <c r="BJ129" s="35"/>
      <c r="BK129" s="35"/>
      <c r="BL129" s="35"/>
      <c r="BM129" s="35"/>
      <c r="BN129" s="14">
        <f t="shared" si="2"/>
        <v>5940</v>
      </c>
      <c r="BO129">
        <v>8.23</v>
      </c>
      <c r="BP129">
        <f t="shared" si="3"/>
        <v>48886.2</v>
      </c>
    </row>
    <row r="130" customHeight="1" spans="1:68">
      <c r="A130" s="33" t="s">
        <v>841</v>
      </c>
      <c r="B130" s="33" t="s">
        <v>737</v>
      </c>
      <c r="C130" s="34"/>
      <c r="D130" s="34">
        <v>13000</v>
      </c>
      <c r="E130" s="34"/>
      <c r="F130" s="34"/>
      <c r="G130" s="34">
        <v>13000</v>
      </c>
      <c r="H130" s="34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6"/>
      <c r="AI130" s="36"/>
      <c r="AJ130" s="36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  <c r="AZ130" s="35"/>
      <c r="BA130" s="35"/>
      <c r="BB130" s="35"/>
      <c r="BC130" s="35"/>
      <c r="BD130" s="35"/>
      <c r="BE130" s="35"/>
      <c r="BF130" s="35"/>
      <c r="BG130" s="35"/>
      <c r="BH130" s="35"/>
      <c r="BI130" s="35"/>
      <c r="BJ130" s="35"/>
      <c r="BK130" s="35"/>
      <c r="BL130" s="35"/>
      <c r="BM130" s="35"/>
      <c r="BN130" s="14">
        <f t="shared" si="2"/>
        <v>26000</v>
      </c>
      <c r="BO130">
        <v>0.88</v>
      </c>
      <c r="BP130">
        <f t="shared" si="3"/>
        <v>22880</v>
      </c>
    </row>
    <row r="131" customHeight="1" spans="1:68">
      <c r="A131" s="38" t="s">
        <v>842</v>
      </c>
      <c r="B131" s="33" t="s">
        <v>736</v>
      </c>
      <c r="C131" s="34"/>
      <c r="D131" s="34">
        <v>13440</v>
      </c>
      <c r="E131" s="34"/>
      <c r="F131" s="34"/>
      <c r="G131" s="34">
        <v>10880</v>
      </c>
      <c r="H131" s="34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6"/>
      <c r="AI131" s="36"/>
      <c r="AJ131" s="36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  <c r="AZ131" s="35"/>
      <c r="BA131" s="35"/>
      <c r="BB131" s="35"/>
      <c r="BC131" s="35"/>
      <c r="BD131" s="35"/>
      <c r="BE131" s="35"/>
      <c r="BF131" s="35"/>
      <c r="BG131" s="35"/>
      <c r="BH131" s="35"/>
      <c r="BI131" s="35"/>
      <c r="BJ131" s="35"/>
      <c r="BK131" s="35"/>
      <c r="BL131" s="35"/>
      <c r="BM131" s="35"/>
      <c r="BN131" s="14">
        <f t="shared" si="2"/>
        <v>24320</v>
      </c>
      <c r="BO131">
        <v>7.5</v>
      </c>
      <c r="BP131">
        <f t="shared" si="3"/>
        <v>182400</v>
      </c>
    </row>
    <row r="132" customHeight="1" spans="1:68">
      <c r="A132" s="33" t="s">
        <v>55</v>
      </c>
      <c r="B132" s="33" t="s">
        <v>734</v>
      </c>
      <c r="C132" s="34"/>
      <c r="D132" s="34">
        <v>42000</v>
      </c>
      <c r="E132" s="34"/>
      <c r="F132" s="34"/>
      <c r="G132" s="34"/>
      <c r="H132" s="34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6"/>
      <c r="AI132" s="36"/>
      <c r="AJ132" s="36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  <c r="AZ132" s="35"/>
      <c r="BA132" s="35"/>
      <c r="BB132" s="35"/>
      <c r="BC132" s="35"/>
      <c r="BD132" s="35"/>
      <c r="BE132" s="35"/>
      <c r="BF132" s="35"/>
      <c r="BG132" s="35"/>
      <c r="BH132" s="35"/>
      <c r="BI132" s="35"/>
      <c r="BJ132" s="35"/>
      <c r="BK132" s="35"/>
      <c r="BL132" s="35"/>
      <c r="BM132" s="35"/>
      <c r="BN132" s="14">
        <f t="shared" ref="BN132:BN134" si="4">C132+D132+E132+F132+G132+H132+I132+J132+K132+L132+M132+N132+O132+P132</f>
        <v>42000</v>
      </c>
      <c r="BO132">
        <v>0.44</v>
      </c>
      <c r="BP132">
        <f t="shared" si="3"/>
        <v>18480</v>
      </c>
    </row>
    <row r="133" customHeight="1" spans="1:68">
      <c r="A133" s="33" t="s">
        <v>843</v>
      </c>
      <c r="B133" s="33" t="s">
        <v>733</v>
      </c>
      <c r="C133" s="34"/>
      <c r="D133" s="34">
        <v>60000</v>
      </c>
      <c r="E133" s="34"/>
      <c r="F133" s="34"/>
      <c r="G133" s="34"/>
      <c r="H133" s="34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6"/>
      <c r="AI133" s="36"/>
      <c r="AJ133" s="36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  <c r="BC133" s="35"/>
      <c r="BD133" s="35"/>
      <c r="BE133" s="35"/>
      <c r="BF133" s="35"/>
      <c r="BG133" s="35"/>
      <c r="BH133" s="35"/>
      <c r="BI133" s="35"/>
      <c r="BJ133" s="35"/>
      <c r="BK133" s="35"/>
      <c r="BL133" s="35"/>
      <c r="BM133" s="35"/>
      <c r="BN133" s="14">
        <f t="shared" si="4"/>
        <v>60000</v>
      </c>
      <c r="BO133">
        <v>0.38</v>
      </c>
      <c r="BP133">
        <f t="shared" si="3"/>
        <v>22800</v>
      </c>
    </row>
    <row r="134" customHeight="1" spans="1:68">
      <c r="A134" s="33" t="s">
        <v>844</v>
      </c>
      <c r="B134" s="33" t="s">
        <v>738</v>
      </c>
      <c r="C134" s="34"/>
      <c r="D134" s="34">
        <v>28000</v>
      </c>
      <c r="E134" s="34"/>
      <c r="F134" s="34"/>
      <c r="G134" s="34"/>
      <c r="H134" s="34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6"/>
      <c r="AI134" s="36"/>
      <c r="AJ134" s="36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  <c r="AZ134" s="35"/>
      <c r="BA134" s="35"/>
      <c r="BB134" s="35"/>
      <c r="BC134" s="35"/>
      <c r="BD134" s="35"/>
      <c r="BE134" s="35"/>
      <c r="BF134" s="35"/>
      <c r="BG134" s="35"/>
      <c r="BH134" s="35"/>
      <c r="BI134" s="35"/>
      <c r="BJ134" s="35"/>
      <c r="BK134" s="35"/>
      <c r="BL134" s="35"/>
      <c r="BM134" s="35"/>
      <c r="BN134" s="14">
        <f t="shared" si="4"/>
        <v>28000</v>
      </c>
      <c r="BO134">
        <v>0.61</v>
      </c>
      <c r="BP134">
        <f t="shared" si="3"/>
        <v>17080</v>
      </c>
    </row>
    <row r="135" customHeight="1" spans="1:68">
      <c r="C135" s="39"/>
      <c r="D135" s="40"/>
      <c r="E135" s="40"/>
      <c r="F135" s="40"/>
      <c r="G135" s="40"/>
      <c r="H135" s="40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41"/>
      <c r="AI135" s="41"/>
      <c r="AJ135" s="41"/>
      <c r="AK135" s="3"/>
      <c r="AL135" s="3"/>
      <c r="AM135" s="3"/>
      <c r="AN135" s="3"/>
      <c r="AO135" s="3"/>
    </row>
    <row r="136" customHeight="1" spans="1:68">
      <c r="C136" s="40"/>
      <c r="D136" s="40"/>
      <c r="E136" s="40"/>
      <c r="F136" s="40"/>
      <c r="G136" s="40"/>
      <c r="H136" s="40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41"/>
      <c r="AI136" s="41"/>
      <c r="AJ136" s="41"/>
      <c r="AK136" s="3"/>
      <c r="AL136" s="3"/>
      <c r="AM136" s="3"/>
      <c r="AN136" s="3"/>
      <c r="AO136" s="3"/>
    </row>
  </sheetData>
  <mergeCells count="1">
    <mergeCell ref="A1:BN1"/>
  </mergeCells>
  <pageMargins left="0.7" right="0.7" top="0.75" bottom="0.75" header="0.3" footer="0.3"/>
  <pageSetup paperSize="9" scale="65" orientation="portrait"/>
  <headerFooter/>
  <rowBreaks count="1" manualBreakCount="1">
    <brk id="126" max="40" man="1"/>
  </rowBreaks>
  <colBreaks count="1" manualBreakCount="1">
    <brk id="66" max="1048575" man="1"/>
  </colBreaks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133"/>
  <sheetViews>
    <sheetView zoomScale="116" zoomScaleNormal="116" workbookViewId="0">
      <pane xSplit="2" ySplit="2" topLeftCell="C20" activePane="bottomRight" state="frozen"/>
      <selection/>
      <selection pane="topRight"/>
      <selection pane="bottomLeft"/>
      <selection pane="bottomRight" activeCell="A20" sqref="$A20:$XFD20"/>
    </sheetView>
  </sheetViews>
  <sheetFormatPr defaultColWidth="9" defaultRowHeight="20" customHeight="1"/>
  <cols>
    <col min="1" max="1" width="9" style="1"/>
    <col min="2" max="2" width="23.1666666666667" style="1" customWidth="1"/>
    <col min="3" max="8" width="7.5" style="1" customWidth="1"/>
    <col min="9" max="11" width="8.33333333333333" customWidth="1"/>
    <col min="12" max="12" width="6.66666666666667" customWidth="1"/>
    <col min="13" max="15" width="7" customWidth="1"/>
    <col min="16" max="16" width="7.83333333333333" hidden="1" customWidth="1"/>
    <col min="17" max="19" width="5.66666666666667" hidden="1" customWidth="1"/>
    <col min="20" max="20" width="6.66666666666667" hidden="1" customWidth="1"/>
    <col min="21" max="21" width="8.16666666666667" hidden="1" customWidth="1"/>
    <col min="22" max="22" width="7.66666666666667" hidden="1" customWidth="1"/>
    <col min="23" max="23" width="5.66666666666667" hidden="1" customWidth="1"/>
    <col min="24" max="24" width="7.66666666666667" hidden="1" customWidth="1"/>
    <col min="25" max="25" width="5.66666666666667" hidden="1" customWidth="1"/>
    <col min="26" max="26" width="6.66666666666667" hidden="1" customWidth="1"/>
    <col min="27" max="28" width="5.66666666666667" hidden="1" customWidth="1"/>
    <col min="29" max="30" width="7.33333333333333" hidden="1" customWidth="1"/>
    <col min="31" max="33" width="8.33333333333333" hidden="1" customWidth="1"/>
    <col min="34" max="36" width="7.66666666666667" style="2" hidden="1" customWidth="1"/>
    <col min="37" max="37" width="7.16666666666667" hidden="1" customWidth="1"/>
    <col min="38" max="38" width="6.83333333333333" hidden="1" customWidth="1"/>
    <col min="39" max="39" width="7.33333333333333" hidden="1" customWidth="1"/>
    <col min="40" max="40" width="7.66666666666667" hidden="1" customWidth="1"/>
    <col min="41" max="41" width="6.83333333333333" hidden="1" customWidth="1"/>
    <col min="42" max="42" width="8.5" hidden="1" customWidth="1"/>
    <col min="43" max="43" width="7.33333333333333" hidden="1" customWidth="1"/>
    <col min="44" max="44" width="8" hidden="1" customWidth="1"/>
    <col min="45" max="45" width="7.5" hidden="1" customWidth="1"/>
    <col min="46" max="50" width="5.66666666666667" hidden="1" customWidth="1"/>
    <col min="51" max="51" width="7.5" hidden="1" customWidth="1"/>
    <col min="52" max="52" width="5.66666666666667" hidden="1" customWidth="1"/>
    <col min="53" max="53" width="6.5" hidden="1" customWidth="1"/>
    <col min="54" max="61" width="5.66666666666667" hidden="1" customWidth="1"/>
    <col min="62" max="62" width="6.16666666666667" hidden="1" customWidth="1"/>
    <col min="63" max="65" width="5.66666666666667" hidden="1" customWidth="1"/>
    <col min="66" max="66" width="8" style="3" customWidth="1"/>
  </cols>
  <sheetData>
    <row r="1" customHeight="1" spans="1:68">
      <c r="A1" s="4" t="s">
        <v>1058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</row>
    <row r="2" customHeight="1" spans="1:68">
      <c r="A2" s="5" t="s">
        <v>596</v>
      </c>
      <c r="B2" s="6" t="s">
        <v>597</v>
      </c>
      <c r="C2" s="7">
        <v>44562</v>
      </c>
      <c r="D2" s="7">
        <v>44564</v>
      </c>
      <c r="E2" s="7">
        <v>44566</v>
      </c>
      <c r="F2" s="7">
        <v>44570</v>
      </c>
      <c r="G2" s="7">
        <v>44575</v>
      </c>
      <c r="H2" s="7">
        <v>44579</v>
      </c>
      <c r="I2" s="8">
        <v>44580</v>
      </c>
      <c r="J2" s="8">
        <v>44572</v>
      </c>
      <c r="K2" s="8">
        <v>44573</v>
      </c>
      <c r="L2" s="8">
        <v>44576</v>
      </c>
      <c r="M2" s="8">
        <v>44581</v>
      </c>
      <c r="N2" s="8">
        <v>44583</v>
      </c>
      <c r="O2" s="8">
        <v>44582</v>
      </c>
      <c r="P2" s="8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 t="s">
        <v>812</v>
      </c>
      <c r="AD2" s="9" t="s">
        <v>812</v>
      </c>
      <c r="AE2" s="9" t="s">
        <v>813</v>
      </c>
      <c r="AF2" s="9" t="s">
        <v>814</v>
      </c>
      <c r="AG2" s="9" t="s">
        <v>815</v>
      </c>
      <c r="AH2" s="10" t="s">
        <v>816</v>
      </c>
      <c r="AI2" s="10" t="s">
        <v>817</v>
      </c>
      <c r="AJ2" s="10" t="s">
        <v>818</v>
      </c>
      <c r="AK2" s="9" t="s">
        <v>819</v>
      </c>
      <c r="AL2" s="9" t="s">
        <v>819</v>
      </c>
      <c r="AM2" s="9" t="s">
        <v>820</v>
      </c>
      <c r="AN2" s="9" t="s">
        <v>821</v>
      </c>
      <c r="AO2" s="9" t="s">
        <v>822</v>
      </c>
      <c r="AP2" s="9" t="s">
        <v>823</v>
      </c>
      <c r="AQ2" s="9" t="s">
        <v>824</v>
      </c>
      <c r="AR2" s="9" t="s">
        <v>825</v>
      </c>
      <c r="AS2" s="9" t="s">
        <v>826</v>
      </c>
      <c r="AT2" s="9" t="s">
        <v>827</v>
      </c>
      <c r="AU2" s="9" t="s">
        <v>823</v>
      </c>
      <c r="AV2" s="9" t="s">
        <v>827</v>
      </c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11" t="s">
        <v>828</v>
      </c>
    </row>
    <row r="3" hidden="1" customHeight="1" spans="1:68">
      <c r="A3" s="12" t="s">
        <v>857</v>
      </c>
      <c r="B3" s="13" t="s">
        <v>858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5"/>
      <c r="AI3" s="15"/>
      <c r="AJ3" s="15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>
        <f>C3+D3+E3+F3+G3+H3+I3+J3+K3+L3+M3+N3+O3+P3</f>
        <v>0</v>
      </c>
      <c r="BP3">
        <f>BN3*BO3</f>
        <v>0</v>
      </c>
    </row>
    <row r="4" hidden="1" customHeight="1" spans="1:68">
      <c r="A4" s="16" t="s">
        <v>859</v>
      </c>
      <c r="B4" s="17" t="s">
        <v>860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9"/>
      <c r="AI4" s="19"/>
      <c r="AJ4" s="19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4">
        <f t="shared" ref="BN4:BN71" si="0">C4+D4+E4+F4+G4+H4+I4+J4+K4+L4+M4+N4+O4+P4</f>
        <v>0</v>
      </c>
      <c r="BP4">
        <f t="shared" ref="BP4:BP74" si="1">BN4*BO4</f>
        <v>0</v>
      </c>
    </row>
    <row r="5" hidden="1" customHeight="1" spans="1:68">
      <c r="A5" s="16" t="s">
        <v>861</v>
      </c>
      <c r="B5" s="17" t="s">
        <v>862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9"/>
      <c r="AI5" s="19"/>
      <c r="AJ5" s="19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20"/>
      <c r="BK5" s="18"/>
      <c r="BL5" s="18"/>
      <c r="BM5" s="18"/>
      <c r="BN5" s="14">
        <f t="shared" si="0"/>
        <v>0</v>
      </c>
      <c r="BP5">
        <f t="shared" si="1"/>
        <v>0</v>
      </c>
    </row>
    <row r="6" hidden="1" customHeight="1" spans="1:68">
      <c r="A6" s="16" t="s">
        <v>863</v>
      </c>
      <c r="B6" s="17" t="s">
        <v>630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9"/>
      <c r="AI6" s="19"/>
      <c r="AJ6" s="19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4">
        <f t="shared" si="0"/>
        <v>0</v>
      </c>
      <c r="BP6">
        <f t="shared" si="1"/>
        <v>0</v>
      </c>
    </row>
    <row r="7" hidden="1" customHeight="1" spans="1:68">
      <c r="A7" s="16" t="s">
        <v>864</v>
      </c>
      <c r="B7" s="17" t="s">
        <v>630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9"/>
      <c r="AI7" s="19"/>
      <c r="AJ7" s="19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4">
        <f t="shared" si="0"/>
        <v>0</v>
      </c>
      <c r="BP7">
        <f t="shared" si="1"/>
        <v>0</v>
      </c>
    </row>
    <row r="8" hidden="1" customHeight="1" spans="1:68">
      <c r="A8" s="16" t="s">
        <v>865</v>
      </c>
      <c r="B8" s="21" t="s">
        <v>866</v>
      </c>
      <c r="C8" s="22"/>
      <c r="D8" s="22"/>
      <c r="E8" s="22"/>
      <c r="F8" s="22"/>
      <c r="G8" s="22"/>
      <c r="H8" s="22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9"/>
      <c r="AI8" s="19"/>
      <c r="AJ8" s="19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4">
        <f t="shared" si="0"/>
        <v>0</v>
      </c>
      <c r="BP8">
        <f t="shared" si="1"/>
        <v>0</v>
      </c>
    </row>
    <row r="9" hidden="1" customHeight="1" spans="1:68">
      <c r="A9" s="16" t="s">
        <v>867</v>
      </c>
      <c r="B9" s="17" t="s">
        <v>868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9"/>
      <c r="AI9" s="19"/>
      <c r="AJ9" s="19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4">
        <f t="shared" si="0"/>
        <v>0</v>
      </c>
      <c r="BP9">
        <f t="shared" si="1"/>
        <v>0</v>
      </c>
    </row>
    <row r="10" hidden="1" customHeight="1" spans="1:68">
      <c r="A10" s="16" t="s">
        <v>869</v>
      </c>
      <c r="B10" s="17" t="s">
        <v>870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9"/>
      <c r="AI10" s="19"/>
      <c r="AJ10" s="19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4">
        <f t="shared" si="0"/>
        <v>0</v>
      </c>
      <c r="BP10">
        <f t="shared" si="1"/>
        <v>0</v>
      </c>
    </row>
    <row r="11" hidden="1" customHeight="1" spans="1:68">
      <c r="A11" s="16" t="s">
        <v>871</v>
      </c>
      <c r="B11" s="17" t="s">
        <v>872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9"/>
      <c r="AI11" s="19"/>
      <c r="AJ11" s="19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4">
        <f t="shared" si="0"/>
        <v>0</v>
      </c>
      <c r="BP11">
        <f t="shared" si="1"/>
        <v>0</v>
      </c>
    </row>
    <row r="12" hidden="1" customHeight="1" spans="1:68">
      <c r="A12" s="16" t="s">
        <v>873</v>
      </c>
      <c r="B12" s="17" t="s">
        <v>874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9"/>
      <c r="AI12" s="19"/>
      <c r="AJ12" s="19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4">
        <f t="shared" si="0"/>
        <v>0</v>
      </c>
      <c r="BP12">
        <f t="shared" si="1"/>
        <v>0</v>
      </c>
    </row>
    <row r="13" hidden="1" customHeight="1" spans="1:68">
      <c r="A13" s="16" t="s">
        <v>875</v>
      </c>
      <c r="B13" s="21" t="s">
        <v>876</v>
      </c>
      <c r="C13" s="22"/>
      <c r="D13" s="22"/>
      <c r="E13" s="22"/>
      <c r="F13" s="22"/>
      <c r="G13" s="22"/>
      <c r="H13" s="22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9"/>
      <c r="AI13" s="19"/>
      <c r="AJ13" s="19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4">
        <f t="shared" si="0"/>
        <v>0</v>
      </c>
      <c r="BP13">
        <f t="shared" si="1"/>
        <v>0</v>
      </c>
    </row>
    <row r="14" hidden="1" customHeight="1" spans="1:68">
      <c r="A14" s="16" t="s">
        <v>877</v>
      </c>
      <c r="B14" s="17" t="s">
        <v>878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9"/>
      <c r="AI14" s="19"/>
      <c r="AJ14" s="19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4">
        <f t="shared" si="0"/>
        <v>0</v>
      </c>
      <c r="BP14">
        <f t="shared" si="1"/>
        <v>0</v>
      </c>
    </row>
    <row r="15" hidden="1" customHeight="1" spans="1:68">
      <c r="A15" s="16" t="s">
        <v>879</v>
      </c>
      <c r="B15" s="21" t="s">
        <v>880</v>
      </c>
      <c r="C15" s="22"/>
      <c r="D15" s="22"/>
      <c r="E15" s="22"/>
      <c r="F15" s="22"/>
      <c r="G15" s="22"/>
      <c r="H15" s="22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9"/>
      <c r="AI15" s="19"/>
      <c r="AJ15" s="19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4">
        <f t="shared" si="0"/>
        <v>0</v>
      </c>
      <c r="BP15">
        <f t="shared" si="1"/>
        <v>0</v>
      </c>
    </row>
    <row r="16" hidden="1" customHeight="1" spans="1:68">
      <c r="A16" s="16" t="s">
        <v>881</v>
      </c>
      <c r="B16" s="17" t="s">
        <v>882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9"/>
      <c r="AI16" s="19"/>
      <c r="AJ16" s="19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4">
        <f t="shared" si="0"/>
        <v>0</v>
      </c>
      <c r="BO16">
        <v>11.97</v>
      </c>
      <c r="BP16">
        <f t="shared" si="1"/>
        <v>0</v>
      </c>
    </row>
    <row r="17" hidden="1" customHeight="1" spans="1:68">
      <c r="A17" s="16" t="s">
        <v>883</v>
      </c>
      <c r="B17" s="21" t="s">
        <v>884</v>
      </c>
      <c r="C17" s="22"/>
      <c r="D17" s="22"/>
      <c r="E17" s="22"/>
      <c r="F17" s="22"/>
      <c r="G17" s="22"/>
      <c r="H17" s="22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9"/>
      <c r="AI17" s="19"/>
      <c r="AJ17" s="19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4">
        <f t="shared" si="0"/>
        <v>0</v>
      </c>
      <c r="BP17">
        <f t="shared" si="1"/>
        <v>0</v>
      </c>
    </row>
    <row r="18" hidden="1" customHeight="1" spans="1:68">
      <c r="A18" s="16" t="s">
        <v>24</v>
      </c>
      <c r="B18" s="21" t="s">
        <v>26</v>
      </c>
      <c r="C18" s="22"/>
      <c r="D18" s="22"/>
      <c r="E18" s="22"/>
      <c r="F18" s="22"/>
      <c r="G18" s="22"/>
      <c r="H18" s="22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9"/>
      <c r="AI18" s="19"/>
      <c r="AJ18" s="19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4">
        <f t="shared" si="0"/>
        <v>0</v>
      </c>
      <c r="BP18">
        <f t="shared" si="1"/>
        <v>0</v>
      </c>
    </row>
    <row r="19" hidden="1" customHeight="1" spans="1:68">
      <c r="A19" s="16" t="s">
        <v>885</v>
      </c>
      <c r="B19" s="17" t="s">
        <v>886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9"/>
      <c r="AI19" s="19"/>
      <c r="AJ19" s="19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4">
        <f t="shared" si="0"/>
        <v>0</v>
      </c>
      <c r="BP19">
        <f t="shared" si="1"/>
        <v>0</v>
      </c>
    </row>
    <row r="20" customHeight="1" spans="1:68">
      <c r="A20" s="16" t="s">
        <v>887</v>
      </c>
      <c r="B20" s="17" t="s">
        <v>23</v>
      </c>
      <c r="C20" s="19"/>
      <c r="D20" s="18"/>
      <c r="E20" s="18"/>
      <c r="F20" s="18"/>
      <c r="G20" s="18"/>
      <c r="H20" s="18"/>
      <c r="I20" s="18"/>
      <c r="J20" s="18"/>
      <c r="K20" s="18"/>
      <c r="L20" s="18"/>
      <c r="M20" s="18">
        <v>2000</v>
      </c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9"/>
      <c r="AI20" s="19"/>
      <c r="AJ20" s="19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23"/>
      <c r="BF20" s="23"/>
      <c r="BG20" s="18"/>
      <c r="BH20" s="18"/>
      <c r="BI20" s="18"/>
      <c r="BJ20" s="18"/>
      <c r="BK20" s="19"/>
      <c r="BL20" s="18"/>
      <c r="BM20" s="18"/>
      <c r="BN20" s="14">
        <f t="shared" si="0"/>
        <v>2000</v>
      </c>
      <c r="BO20">
        <v>19.3</v>
      </c>
      <c r="BP20">
        <f t="shared" si="1"/>
        <v>38600</v>
      </c>
    </row>
    <row r="21" customHeight="1" spans="1:68">
      <c r="A21" s="16" t="s">
        <v>888</v>
      </c>
      <c r="B21" s="17" t="s">
        <v>889</v>
      </c>
      <c r="C21" s="18">
        <v>10000</v>
      </c>
      <c r="D21" s="18"/>
      <c r="E21" s="18"/>
      <c r="F21" s="18"/>
      <c r="G21" s="18"/>
      <c r="H21" s="18"/>
      <c r="I21" s="18"/>
      <c r="J21" s="18"/>
      <c r="K21" s="18"/>
      <c r="L21" s="18"/>
      <c r="M21" s="18">
        <v>6000</v>
      </c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24"/>
      <c r="AF21" s="24"/>
      <c r="AG21" s="24"/>
      <c r="AH21" s="19"/>
      <c r="AI21" s="19"/>
      <c r="AJ21" s="19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9"/>
      <c r="BL21" s="18"/>
      <c r="BM21" s="18"/>
      <c r="BN21" s="14">
        <f t="shared" si="0"/>
        <v>16000</v>
      </c>
      <c r="BO21">
        <v>10.9</v>
      </c>
      <c r="BP21">
        <f t="shared" si="1"/>
        <v>174400</v>
      </c>
    </row>
    <row r="22" hidden="1" customHeight="1" spans="1:68">
      <c r="A22" s="16" t="s">
        <v>890</v>
      </c>
      <c r="B22" s="17" t="s">
        <v>891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9"/>
      <c r="AI22" s="19"/>
      <c r="AJ22" s="19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4">
        <f t="shared" si="0"/>
        <v>0</v>
      </c>
      <c r="BP22">
        <f t="shared" si="1"/>
        <v>0</v>
      </c>
    </row>
    <row r="23" hidden="1" customHeight="1" spans="1:68">
      <c r="A23" s="16" t="s">
        <v>892</v>
      </c>
      <c r="B23" s="17" t="s">
        <v>893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9"/>
      <c r="AI23" s="19"/>
      <c r="AJ23" s="19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4">
        <f t="shared" si="0"/>
        <v>0</v>
      </c>
      <c r="BP23">
        <f t="shared" si="1"/>
        <v>0</v>
      </c>
    </row>
    <row r="24" hidden="1" customHeight="1" spans="1:68">
      <c r="A24" s="16" t="s">
        <v>894</v>
      </c>
      <c r="B24" s="17" t="s">
        <v>895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9"/>
      <c r="AI24" s="19"/>
      <c r="AJ24" s="19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4">
        <f t="shared" si="0"/>
        <v>0</v>
      </c>
      <c r="BP24">
        <f t="shared" si="1"/>
        <v>0</v>
      </c>
    </row>
    <row r="25" hidden="1" customHeight="1" spans="1:68">
      <c r="A25" s="16" t="s">
        <v>896</v>
      </c>
      <c r="B25" s="17" t="s">
        <v>897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9"/>
      <c r="AI25" s="19"/>
      <c r="AJ25" s="19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4">
        <f t="shared" si="0"/>
        <v>0</v>
      </c>
      <c r="BP25">
        <f t="shared" si="1"/>
        <v>0</v>
      </c>
    </row>
    <row r="26" hidden="1" customHeight="1" spans="1:68">
      <c r="A26" s="16" t="s">
        <v>898</v>
      </c>
      <c r="B26" s="17" t="s">
        <v>899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9"/>
      <c r="AI26" s="19"/>
      <c r="AJ26" s="19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4">
        <f t="shared" si="0"/>
        <v>0</v>
      </c>
      <c r="BO26">
        <v>43.16</v>
      </c>
      <c r="BP26">
        <f t="shared" si="1"/>
        <v>0</v>
      </c>
    </row>
    <row r="27" hidden="1" customHeight="1" spans="1:68">
      <c r="A27" s="16" t="s">
        <v>900</v>
      </c>
      <c r="B27" s="17" t="s">
        <v>901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9"/>
      <c r="AI27" s="19"/>
      <c r="AJ27" s="19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4">
        <f t="shared" si="0"/>
        <v>0</v>
      </c>
    </row>
    <row r="28" customHeight="1" spans="1:68">
      <c r="A28" s="16" t="s">
        <v>58</v>
      </c>
      <c r="B28" s="17" t="s">
        <v>902</v>
      </c>
      <c r="C28" s="18"/>
      <c r="D28" s="18"/>
      <c r="E28" s="18"/>
      <c r="F28" s="18"/>
      <c r="G28" s="18"/>
      <c r="H28" s="18"/>
      <c r="I28" s="18"/>
      <c r="J28" s="18"/>
      <c r="K28" s="18">
        <v>6400</v>
      </c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9"/>
      <c r="AI28" s="19"/>
      <c r="AJ28" s="19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4">
        <f t="shared" si="0"/>
        <v>6400</v>
      </c>
      <c r="BO28">
        <v>21</v>
      </c>
      <c r="BP28">
        <f t="shared" si="1"/>
        <v>134400</v>
      </c>
    </row>
    <row r="29" hidden="1" customHeight="1" spans="1:68">
      <c r="A29" s="16" t="s">
        <v>64</v>
      </c>
      <c r="B29" s="17" t="s">
        <v>903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9"/>
      <c r="AI29" s="19"/>
      <c r="AJ29" s="19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4">
        <f t="shared" si="0"/>
        <v>0</v>
      </c>
      <c r="BP29">
        <f t="shared" si="1"/>
        <v>0</v>
      </c>
    </row>
    <row r="30" hidden="1" customHeight="1" spans="1:68">
      <c r="A30" s="16" t="s">
        <v>904</v>
      </c>
      <c r="B30" s="17" t="s">
        <v>905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20"/>
      <c r="AD30" s="20"/>
      <c r="AE30" s="18"/>
      <c r="AF30" s="18"/>
      <c r="AG30" s="18"/>
      <c r="AH30" s="19"/>
      <c r="AI30" s="19"/>
      <c r="AJ30" s="19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20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4">
        <f t="shared" si="0"/>
        <v>0</v>
      </c>
      <c r="BP30">
        <f t="shared" si="1"/>
        <v>0</v>
      </c>
    </row>
    <row r="31" ht="28" hidden="1" customHeight="1" spans="1:68">
      <c r="A31" s="16" t="s">
        <v>685</v>
      </c>
      <c r="B31" s="21" t="s">
        <v>906</v>
      </c>
      <c r="C31" s="22"/>
      <c r="D31" s="22"/>
      <c r="E31" s="22"/>
      <c r="F31" s="22"/>
      <c r="G31" s="22"/>
      <c r="H31" s="22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9"/>
      <c r="AI31" s="19"/>
      <c r="AJ31" s="19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4">
        <f t="shared" si="0"/>
        <v>0</v>
      </c>
      <c r="BP31">
        <f t="shared" si="1"/>
        <v>0</v>
      </c>
    </row>
    <row r="32" ht="28" hidden="1" customHeight="1" spans="1:68">
      <c r="A32" s="16" t="s">
        <v>907</v>
      </c>
      <c r="B32" s="21" t="s">
        <v>908</v>
      </c>
      <c r="C32" s="22"/>
      <c r="D32" s="22"/>
      <c r="E32" s="22"/>
      <c r="F32" s="22"/>
      <c r="G32" s="22"/>
      <c r="H32" s="22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9"/>
      <c r="AI32" s="19"/>
      <c r="AJ32" s="19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4">
        <f t="shared" si="0"/>
        <v>0</v>
      </c>
      <c r="BP32">
        <f t="shared" si="1"/>
        <v>0</v>
      </c>
    </row>
    <row r="33" ht="28" hidden="1" customHeight="1" spans="1:68">
      <c r="A33" s="16" t="s">
        <v>909</v>
      </c>
      <c r="B33" s="21" t="s">
        <v>910</v>
      </c>
      <c r="C33" s="22"/>
      <c r="D33" s="22"/>
      <c r="E33" s="22"/>
      <c r="F33" s="22"/>
      <c r="G33" s="22"/>
      <c r="H33" s="22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9"/>
      <c r="AI33" s="19"/>
      <c r="AJ33" s="19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4">
        <f t="shared" si="0"/>
        <v>0</v>
      </c>
      <c r="BP33">
        <f t="shared" si="1"/>
        <v>0</v>
      </c>
    </row>
    <row r="34" ht="29" hidden="1" customHeight="1" spans="1:68">
      <c r="A34" s="16" t="s">
        <v>911</v>
      </c>
      <c r="B34" s="21" t="s">
        <v>912</v>
      </c>
      <c r="C34" s="22"/>
      <c r="D34" s="22"/>
      <c r="E34" s="22"/>
      <c r="F34" s="22"/>
      <c r="G34" s="22"/>
      <c r="H34" s="22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9"/>
      <c r="AI34" s="19"/>
      <c r="AJ34" s="19"/>
      <c r="AK34" s="18"/>
      <c r="AL34" s="18"/>
      <c r="AM34" s="18"/>
      <c r="AN34" s="18"/>
      <c r="AO34" s="18"/>
      <c r="AP34" s="18"/>
      <c r="AQ34" s="20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20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4">
        <f t="shared" si="0"/>
        <v>0</v>
      </c>
      <c r="BP34">
        <f t="shared" si="1"/>
        <v>0</v>
      </c>
    </row>
    <row r="35" hidden="1" customHeight="1" spans="1:68">
      <c r="A35" s="16" t="s">
        <v>913</v>
      </c>
      <c r="B35" s="21" t="s">
        <v>914</v>
      </c>
      <c r="C35" s="22"/>
      <c r="D35" s="22"/>
      <c r="E35" s="22"/>
      <c r="F35" s="22"/>
      <c r="G35" s="22"/>
      <c r="H35" s="22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20"/>
      <c r="AD35" s="20"/>
      <c r="AE35" s="18"/>
      <c r="AF35" s="18"/>
      <c r="AG35" s="18"/>
      <c r="AH35" s="19"/>
      <c r="AI35" s="19"/>
      <c r="AJ35" s="19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4">
        <f t="shared" si="0"/>
        <v>0</v>
      </c>
      <c r="BP35">
        <f t="shared" si="1"/>
        <v>0</v>
      </c>
    </row>
    <row r="36" hidden="1" customHeight="1" spans="1:68">
      <c r="A36" s="16" t="s">
        <v>915</v>
      </c>
      <c r="B36" s="21" t="s">
        <v>916</v>
      </c>
      <c r="C36" s="22"/>
      <c r="D36" s="22"/>
      <c r="E36" s="22"/>
      <c r="F36" s="22"/>
      <c r="G36" s="22"/>
      <c r="H36" s="22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20"/>
      <c r="AD36" s="20"/>
      <c r="AE36" s="18"/>
      <c r="AF36" s="18"/>
      <c r="AG36" s="18"/>
      <c r="AH36" s="19"/>
      <c r="AI36" s="19"/>
      <c r="AJ36" s="19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4">
        <f t="shared" si="0"/>
        <v>0</v>
      </c>
      <c r="BP36">
        <f t="shared" si="1"/>
        <v>0</v>
      </c>
    </row>
    <row r="37" hidden="1" customHeight="1" spans="1:68">
      <c r="A37" s="16" t="s">
        <v>917</v>
      </c>
      <c r="B37" s="21" t="s">
        <v>918</v>
      </c>
      <c r="C37" s="22"/>
      <c r="D37" s="22"/>
      <c r="E37" s="22"/>
      <c r="F37" s="22"/>
      <c r="G37" s="22"/>
      <c r="H37" s="22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20"/>
      <c r="AD37" s="20"/>
      <c r="AE37" s="18"/>
      <c r="AF37" s="18"/>
      <c r="AG37" s="18"/>
      <c r="AH37" s="19"/>
      <c r="AI37" s="19"/>
      <c r="AJ37" s="19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4">
        <f t="shared" si="0"/>
        <v>0</v>
      </c>
      <c r="BP37">
        <f t="shared" si="1"/>
        <v>0</v>
      </c>
    </row>
    <row r="38" hidden="1" customHeight="1" spans="1:68">
      <c r="A38" s="16" t="s">
        <v>919</v>
      </c>
      <c r="B38" s="21" t="s">
        <v>920</v>
      </c>
      <c r="C38" s="22"/>
      <c r="D38" s="22"/>
      <c r="E38" s="22"/>
      <c r="F38" s="22"/>
      <c r="G38" s="22"/>
      <c r="H38" s="22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20"/>
      <c r="AD38" s="20"/>
      <c r="AE38" s="18"/>
      <c r="AF38" s="18"/>
      <c r="AG38" s="18"/>
      <c r="AH38" s="19"/>
      <c r="AI38" s="19"/>
      <c r="AJ38" s="19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4">
        <f t="shared" si="0"/>
        <v>0</v>
      </c>
    </row>
    <row r="39" hidden="1" customHeight="1" spans="1:68">
      <c r="A39" s="16" t="s">
        <v>921</v>
      </c>
      <c r="B39" s="21" t="s">
        <v>922</v>
      </c>
      <c r="C39" s="22"/>
      <c r="D39" s="22"/>
      <c r="E39" s="22"/>
      <c r="F39" s="22"/>
      <c r="G39" s="22"/>
      <c r="H39" s="22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20"/>
      <c r="AD39" s="20"/>
      <c r="AE39" s="18"/>
      <c r="AF39" s="18"/>
      <c r="AG39" s="18"/>
      <c r="AH39" s="19"/>
      <c r="AI39" s="19"/>
      <c r="AJ39" s="19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4">
        <f t="shared" si="0"/>
        <v>0</v>
      </c>
    </row>
    <row r="40" hidden="1" customHeight="1" spans="1:68">
      <c r="A40" s="16" t="s">
        <v>907</v>
      </c>
      <c r="B40" s="21" t="s">
        <v>908</v>
      </c>
      <c r="C40" s="22"/>
      <c r="D40" s="22"/>
      <c r="E40" s="22"/>
      <c r="F40" s="22"/>
      <c r="G40" s="22"/>
      <c r="H40" s="22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20"/>
      <c r="AD40" s="20"/>
      <c r="AE40" s="18"/>
      <c r="AF40" s="18"/>
      <c r="AG40" s="18"/>
      <c r="AH40" s="19"/>
      <c r="AI40" s="19"/>
      <c r="AJ40" s="19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4">
        <f t="shared" si="0"/>
        <v>0</v>
      </c>
    </row>
    <row r="41" customHeight="1" spans="1:68">
      <c r="A41" s="16" t="s">
        <v>923</v>
      </c>
      <c r="B41" s="21" t="s">
        <v>924</v>
      </c>
      <c r="C41" s="22"/>
      <c r="D41" s="22"/>
      <c r="E41" s="22"/>
      <c r="F41" s="22">
        <v>775</v>
      </c>
      <c r="G41" s="22"/>
      <c r="H41" s="22"/>
      <c r="I41" s="18">
        <v>1000</v>
      </c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20"/>
      <c r="AD41" s="20"/>
      <c r="AE41" s="18"/>
      <c r="AF41" s="18"/>
      <c r="AG41" s="18"/>
      <c r="AH41" s="19"/>
      <c r="AI41" s="19"/>
      <c r="AJ41" s="19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4">
        <f t="shared" si="0"/>
        <v>1775</v>
      </c>
      <c r="BP41">
        <f t="shared" si="1"/>
        <v>0</v>
      </c>
    </row>
    <row r="42" customHeight="1" spans="1:68">
      <c r="A42" s="16" t="s">
        <v>925</v>
      </c>
      <c r="B42" s="21" t="s">
        <v>926</v>
      </c>
      <c r="C42" s="22"/>
      <c r="D42" s="22"/>
      <c r="E42" s="22"/>
      <c r="F42" s="22"/>
      <c r="G42" s="22"/>
      <c r="H42" s="22"/>
      <c r="I42" s="18">
        <v>1000</v>
      </c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20"/>
      <c r="AD42" s="20"/>
      <c r="AE42" s="18"/>
      <c r="AF42" s="18"/>
      <c r="AG42" s="18"/>
      <c r="AH42" s="19"/>
      <c r="AI42" s="19"/>
      <c r="AJ42" s="19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4">
        <f t="shared" si="0"/>
        <v>1000</v>
      </c>
      <c r="BO42" s="25"/>
    </row>
    <row r="43" hidden="1" customHeight="1" spans="1:68">
      <c r="A43" s="16" t="s">
        <v>927</v>
      </c>
      <c r="B43" s="21" t="s">
        <v>928</v>
      </c>
      <c r="C43" s="22"/>
      <c r="D43" s="22"/>
      <c r="E43" s="22"/>
      <c r="F43" s="22"/>
      <c r="G43" s="22"/>
      <c r="H43" s="22"/>
      <c r="I43" s="18"/>
      <c r="J43" s="26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20"/>
      <c r="AD43" s="20"/>
      <c r="AE43" s="18"/>
      <c r="AF43" s="18"/>
      <c r="AG43" s="18"/>
      <c r="AH43" s="19"/>
      <c r="AI43" s="19"/>
      <c r="AJ43" s="19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4">
        <f t="shared" si="0"/>
        <v>0</v>
      </c>
      <c r="BP43">
        <f t="shared" si="1"/>
        <v>0</v>
      </c>
    </row>
    <row r="44" hidden="1" customHeight="1" spans="1:68">
      <c r="A44" s="16" t="s">
        <v>929</v>
      </c>
      <c r="B44" s="21" t="s">
        <v>930</v>
      </c>
      <c r="C44" s="22"/>
      <c r="D44" s="22"/>
      <c r="E44" s="22"/>
      <c r="F44" s="22"/>
      <c r="G44" s="22"/>
      <c r="H44" s="22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20"/>
      <c r="AD44" s="20"/>
      <c r="AE44" s="18"/>
      <c r="AF44" s="18"/>
      <c r="AG44" s="18"/>
      <c r="AH44" s="19"/>
      <c r="AI44" s="19"/>
      <c r="AJ44" s="19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4">
        <f t="shared" si="0"/>
        <v>0</v>
      </c>
      <c r="BP44">
        <f t="shared" si="1"/>
        <v>0</v>
      </c>
    </row>
    <row r="45" hidden="1" customHeight="1" spans="1:68">
      <c r="A45" s="16" t="s">
        <v>58</v>
      </c>
      <c r="B45" s="21" t="s">
        <v>931</v>
      </c>
      <c r="C45" s="22"/>
      <c r="D45" s="22"/>
      <c r="E45" s="22"/>
      <c r="F45" s="22"/>
      <c r="G45" s="22"/>
      <c r="H45" s="22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20"/>
      <c r="AD45" s="20"/>
      <c r="AE45" s="18"/>
      <c r="AF45" s="18"/>
      <c r="AG45" s="18"/>
      <c r="AH45" s="19"/>
      <c r="AI45" s="19"/>
      <c r="AJ45" s="19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4">
        <f t="shared" si="0"/>
        <v>0</v>
      </c>
      <c r="BP45">
        <f t="shared" si="1"/>
        <v>0</v>
      </c>
    </row>
    <row r="46" hidden="1" customHeight="1" spans="1:68">
      <c r="A46" s="16" t="s">
        <v>915</v>
      </c>
      <c r="B46" s="21" t="s">
        <v>932</v>
      </c>
      <c r="C46" s="22"/>
      <c r="D46" s="22"/>
      <c r="E46" s="22"/>
      <c r="F46" s="22"/>
      <c r="G46" s="22"/>
      <c r="H46" s="22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20"/>
      <c r="AD46" s="20"/>
      <c r="AE46" s="18"/>
      <c r="AF46" s="18"/>
      <c r="AG46" s="18"/>
      <c r="AH46" s="19"/>
      <c r="AI46" s="19"/>
      <c r="AJ46" s="19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4">
        <f t="shared" si="0"/>
        <v>0</v>
      </c>
      <c r="BP46">
        <f t="shared" si="1"/>
        <v>0</v>
      </c>
    </row>
    <row r="47" customHeight="1" spans="1:68">
      <c r="A47" s="16" t="s">
        <v>933</v>
      </c>
      <c r="B47" s="21" t="s">
        <v>934</v>
      </c>
      <c r="C47" s="22"/>
      <c r="D47" s="22"/>
      <c r="E47" s="22"/>
      <c r="F47" s="22"/>
      <c r="G47" s="22"/>
      <c r="H47" s="22">
        <v>300</v>
      </c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20"/>
      <c r="AD47" s="20"/>
      <c r="AE47" s="18"/>
      <c r="AF47" s="18"/>
      <c r="AG47" s="18"/>
      <c r="AH47" s="19"/>
      <c r="AI47" s="19"/>
      <c r="AJ47" s="19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4">
        <f t="shared" si="0"/>
        <v>300</v>
      </c>
      <c r="BP47">
        <f t="shared" si="1"/>
        <v>0</v>
      </c>
    </row>
    <row r="48" hidden="1" customHeight="1" spans="1:68">
      <c r="A48" s="16" t="s">
        <v>935</v>
      </c>
      <c r="B48" s="21" t="s">
        <v>936</v>
      </c>
      <c r="C48" s="22"/>
      <c r="D48" s="22"/>
      <c r="E48" s="22"/>
      <c r="F48" s="22"/>
      <c r="G48" s="22"/>
      <c r="H48" s="22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20"/>
      <c r="AD48" s="20"/>
      <c r="AE48" s="18"/>
      <c r="AF48" s="18"/>
      <c r="AG48" s="18"/>
      <c r="AH48" s="19"/>
      <c r="AI48" s="19"/>
      <c r="AJ48" s="19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4">
        <f t="shared" si="0"/>
        <v>0</v>
      </c>
      <c r="BP48">
        <f t="shared" si="1"/>
        <v>0</v>
      </c>
    </row>
    <row r="49" hidden="1" customHeight="1" spans="1:68">
      <c r="A49" s="16" t="s">
        <v>937</v>
      </c>
      <c r="B49" s="21" t="s">
        <v>938</v>
      </c>
      <c r="C49" s="22"/>
      <c r="D49" s="22"/>
      <c r="E49" s="22"/>
      <c r="F49" s="22"/>
      <c r="G49" s="22"/>
      <c r="H49" s="22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20"/>
      <c r="AD49" s="20"/>
      <c r="AE49" s="18"/>
      <c r="AF49" s="18"/>
      <c r="AG49" s="18"/>
      <c r="AH49" s="19"/>
      <c r="AI49" s="19"/>
      <c r="AJ49" s="19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4">
        <f t="shared" si="0"/>
        <v>0</v>
      </c>
      <c r="BP49">
        <f t="shared" si="1"/>
        <v>0</v>
      </c>
    </row>
    <row r="50" customHeight="1" spans="1:68">
      <c r="A50" s="16" t="s">
        <v>102</v>
      </c>
      <c r="B50" s="21" t="s">
        <v>939</v>
      </c>
      <c r="C50" s="22"/>
      <c r="D50" s="22"/>
      <c r="E50" s="22"/>
      <c r="F50" s="22"/>
      <c r="G50" s="22">
        <v>500</v>
      </c>
      <c r="H50" s="22">
        <v>2000</v>
      </c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20"/>
      <c r="AD50" s="20"/>
      <c r="AE50" s="18"/>
      <c r="AF50" s="18"/>
      <c r="AG50" s="18"/>
      <c r="AH50" s="19"/>
      <c r="AI50" s="19"/>
      <c r="AJ50" s="19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4">
        <f t="shared" si="0"/>
        <v>2500</v>
      </c>
    </row>
    <row r="51" customHeight="1" spans="1:68">
      <c r="A51" s="16" t="s">
        <v>940</v>
      </c>
      <c r="B51" s="21" t="s">
        <v>941</v>
      </c>
      <c r="C51" s="22"/>
      <c r="D51" s="22"/>
      <c r="E51" s="22"/>
      <c r="F51" s="22"/>
      <c r="G51" s="22"/>
      <c r="H51" s="22"/>
      <c r="I51" s="18">
        <v>1000</v>
      </c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20"/>
      <c r="AD51" s="20"/>
      <c r="AE51" s="18"/>
      <c r="AF51" s="18"/>
      <c r="AG51" s="18"/>
      <c r="AH51" s="19"/>
      <c r="AI51" s="19"/>
      <c r="AJ51" s="19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4">
        <f t="shared" si="0"/>
        <v>1000</v>
      </c>
      <c r="BP51">
        <f t="shared" si="1"/>
        <v>0</v>
      </c>
    </row>
    <row r="52" hidden="1" customHeight="1" spans="1:68">
      <c r="A52" s="16" t="s">
        <v>942</v>
      </c>
      <c r="B52" s="21" t="s">
        <v>943</v>
      </c>
      <c r="C52" s="22"/>
      <c r="D52" s="22"/>
      <c r="E52" s="22"/>
      <c r="F52" s="22"/>
      <c r="G52" s="22"/>
      <c r="H52" s="22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20"/>
      <c r="AD52" s="20"/>
      <c r="AE52" s="18"/>
      <c r="AF52" s="18"/>
      <c r="AG52" s="18"/>
      <c r="AH52" s="19"/>
      <c r="AI52" s="19"/>
      <c r="AJ52" s="19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4">
        <f t="shared" si="0"/>
        <v>0</v>
      </c>
      <c r="BP52">
        <f t="shared" si="1"/>
        <v>0</v>
      </c>
    </row>
    <row r="53" hidden="1" customHeight="1" spans="1:68">
      <c r="A53" s="16" t="s">
        <v>944</v>
      </c>
      <c r="B53" s="21" t="s">
        <v>945</v>
      </c>
      <c r="C53" s="22"/>
      <c r="D53" s="22"/>
      <c r="E53" s="22"/>
      <c r="F53" s="22"/>
      <c r="G53" s="22"/>
      <c r="H53" s="22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20"/>
      <c r="AD53" s="20"/>
      <c r="AE53" s="18"/>
      <c r="AF53" s="18"/>
      <c r="AG53" s="18"/>
      <c r="AH53" s="19"/>
      <c r="AI53" s="19"/>
      <c r="AJ53" s="19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4">
        <f t="shared" si="0"/>
        <v>0</v>
      </c>
      <c r="BP53">
        <f t="shared" si="1"/>
        <v>0</v>
      </c>
    </row>
    <row r="54" hidden="1" customHeight="1" spans="1:68">
      <c r="A54" s="16" t="s">
        <v>24</v>
      </c>
      <c r="B54" s="21" t="s">
        <v>946</v>
      </c>
      <c r="C54" s="22"/>
      <c r="D54" s="22"/>
      <c r="E54" s="22"/>
      <c r="F54" s="22"/>
      <c r="G54" s="22"/>
      <c r="H54" s="22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9"/>
      <c r="AI54" s="19"/>
      <c r="AJ54" s="19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4">
        <f t="shared" si="0"/>
        <v>0</v>
      </c>
      <c r="BP54">
        <f t="shared" si="1"/>
        <v>0</v>
      </c>
    </row>
    <row r="55" hidden="1" customHeight="1" spans="1:68">
      <c r="A55" s="16" t="s">
        <v>947</v>
      </c>
      <c r="B55" s="17" t="s">
        <v>948</v>
      </c>
      <c r="C55" s="18"/>
      <c r="D55" s="18"/>
      <c r="E55" s="18"/>
      <c r="F55" s="18"/>
      <c r="G55" s="18"/>
      <c r="H55" s="18"/>
      <c r="I55" s="20"/>
      <c r="J55" s="20"/>
      <c r="K55" s="20"/>
      <c r="L55" s="18"/>
      <c r="M55" s="18"/>
      <c r="N55" s="18"/>
      <c r="O55" s="18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18"/>
      <c r="AC55" s="18"/>
      <c r="AD55" s="18"/>
      <c r="AE55" s="18"/>
      <c r="AF55" s="18"/>
      <c r="AG55" s="18"/>
      <c r="AH55" s="19"/>
      <c r="AI55" s="19"/>
      <c r="AJ55" s="19"/>
      <c r="AK55" s="18"/>
      <c r="AL55" s="18"/>
      <c r="AM55" s="18"/>
      <c r="AN55" s="18"/>
      <c r="AO55" s="18"/>
      <c r="AP55" s="20"/>
      <c r="AQ55" s="18"/>
      <c r="AR55" s="20"/>
      <c r="AS55" s="18"/>
      <c r="AT55" s="18"/>
      <c r="AU55" s="18"/>
      <c r="AV55" s="18"/>
      <c r="AW55" s="18"/>
      <c r="AX55" s="18"/>
      <c r="AY55" s="18"/>
      <c r="AZ55" s="20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4">
        <f t="shared" si="0"/>
        <v>0</v>
      </c>
      <c r="BP55">
        <f t="shared" si="1"/>
        <v>0</v>
      </c>
    </row>
    <row r="56" hidden="1" customHeight="1" spans="1:68">
      <c r="A56" s="16" t="s">
        <v>949</v>
      </c>
      <c r="B56" s="17" t="s">
        <v>950</v>
      </c>
      <c r="C56" s="18"/>
      <c r="D56" s="18"/>
      <c r="E56" s="18"/>
      <c r="F56" s="18"/>
      <c r="G56" s="18"/>
      <c r="H56" s="18"/>
      <c r="I56" s="20"/>
      <c r="J56" s="20"/>
      <c r="K56" s="20"/>
      <c r="L56" s="18"/>
      <c r="M56" s="18"/>
      <c r="N56" s="18"/>
      <c r="O56" s="18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18"/>
      <c r="AC56" s="18"/>
      <c r="AD56" s="18"/>
      <c r="AE56" s="18"/>
      <c r="AF56" s="18"/>
      <c r="AG56" s="18"/>
      <c r="AH56" s="19"/>
      <c r="AI56" s="19"/>
      <c r="AJ56" s="19"/>
      <c r="AK56" s="18"/>
      <c r="AL56" s="18"/>
      <c r="AM56" s="18"/>
      <c r="AN56" s="18"/>
      <c r="AO56" s="18"/>
      <c r="AP56" s="20"/>
      <c r="AQ56" s="18"/>
      <c r="AR56" s="20"/>
      <c r="AS56" s="18"/>
      <c r="AT56" s="18"/>
      <c r="AU56" s="18"/>
      <c r="AV56" s="18"/>
      <c r="AW56" s="18"/>
      <c r="AX56" s="18"/>
      <c r="AY56" s="18"/>
      <c r="AZ56" s="20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4">
        <f t="shared" si="0"/>
        <v>0</v>
      </c>
    </row>
    <row r="57" hidden="1" customHeight="1" spans="1:68">
      <c r="A57" s="16" t="s">
        <v>186</v>
      </c>
      <c r="B57" s="17" t="s">
        <v>951</v>
      </c>
      <c r="C57" s="18"/>
      <c r="D57" s="18"/>
      <c r="E57" s="18"/>
      <c r="F57" s="18"/>
      <c r="G57" s="18"/>
      <c r="H57" s="18"/>
      <c r="I57" s="19"/>
      <c r="J57" s="20"/>
      <c r="K57" s="20"/>
      <c r="L57" s="18"/>
      <c r="M57" s="18"/>
      <c r="N57" s="18"/>
      <c r="O57" s="18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18"/>
      <c r="AC57" s="18"/>
      <c r="AD57" s="18"/>
      <c r="AE57" s="18"/>
      <c r="AF57" s="18"/>
      <c r="AG57" s="18"/>
      <c r="AH57" s="19"/>
      <c r="AI57" s="19"/>
      <c r="AJ57" s="19"/>
      <c r="AK57" s="18"/>
      <c r="AL57" s="18"/>
      <c r="AM57" s="18"/>
      <c r="AN57" s="18"/>
      <c r="AO57" s="18"/>
      <c r="AP57" s="20"/>
      <c r="AQ57" s="18"/>
      <c r="AR57" s="20"/>
      <c r="AS57" s="18"/>
      <c r="AT57" s="18"/>
      <c r="AU57" s="18"/>
      <c r="AV57" s="18"/>
      <c r="AW57" s="18"/>
      <c r="AX57" s="18"/>
      <c r="AY57" s="18"/>
      <c r="AZ57" s="20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4">
        <f t="shared" si="0"/>
        <v>0</v>
      </c>
    </row>
    <row r="58" s="3" customFormat="1" customHeight="1" spans="1:68">
      <c r="A58" s="42" t="s">
        <v>952</v>
      </c>
      <c r="B58" s="18" t="s">
        <v>953</v>
      </c>
      <c r="C58" s="18">
        <v>5000</v>
      </c>
      <c r="D58" s="18"/>
      <c r="E58" s="18"/>
      <c r="F58" s="18"/>
      <c r="G58" s="18"/>
      <c r="H58" s="18"/>
      <c r="I58" s="19"/>
      <c r="J58" s="20"/>
      <c r="K58" s="19"/>
      <c r="L58" s="18"/>
      <c r="M58" s="18"/>
      <c r="N58" s="18"/>
      <c r="O58" s="18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18"/>
      <c r="AC58" s="18"/>
      <c r="AD58" s="18"/>
      <c r="AE58" s="18"/>
      <c r="AF58" s="18"/>
      <c r="AG58" s="18"/>
      <c r="AH58" s="19"/>
      <c r="AI58" s="19"/>
      <c r="AJ58" s="19"/>
      <c r="AK58" s="18"/>
      <c r="AL58" s="18"/>
      <c r="AM58" s="18"/>
      <c r="AN58" s="18"/>
      <c r="AO58" s="18"/>
      <c r="AP58" s="20"/>
      <c r="AQ58" s="18"/>
      <c r="AR58" s="20"/>
      <c r="AS58" s="18"/>
      <c r="AT58" s="18"/>
      <c r="AU58" s="18"/>
      <c r="AV58" s="18"/>
      <c r="AW58" s="18"/>
      <c r="AX58" s="18"/>
      <c r="AY58" s="18"/>
      <c r="AZ58" s="20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4">
        <f t="shared" si="0"/>
        <v>5000</v>
      </c>
    </row>
    <row r="59" s="3" customFormat="1" customHeight="1" spans="1:68">
      <c r="A59" s="42" t="s">
        <v>954</v>
      </c>
      <c r="B59" s="18" t="s">
        <v>938</v>
      </c>
      <c r="C59" s="18"/>
      <c r="D59" s="18"/>
      <c r="E59" s="18"/>
      <c r="F59" s="18">
        <v>600</v>
      </c>
      <c r="G59" s="18"/>
      <c r="H59" s="18"/>
      <c r="I59" s="19">
        <v>500</v>
      </c>
      <c r="J59" s="20"/>
      <c r="K59" s="19"/>
      <c r="L59" s="18"/>
      <c r="M59" s="18"/>
      <c r="N59" s="18"/>
      <c r="O59" s="18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18"/>
      <c r="AC59" s="18"/>
      <c r="AD59" s="18"/>
      <c r="AE59" s="18"/>
      <c r="AF59" s="18"/>
      <c r="AG59" s="18"/>
      <c r="AH59" s="19"/>
      <c r="AI59" s="19"/>
      <c r="AJ59" s="19"/>
      <c r="AK59" s="18"/>
      <c r="AL59" s="18"/>
      <c r="AM59" s="18"/>
      <c r="AN59" s="18"/>
      <c r="AO59" s="18"/>
      <c r="AP59" s="20"/>
      <c r="AQ59" s="18"/>
      <c r="AR59" s="20"/>
      <c r="AS59" s="18"/>
      <c r="AT59" s="18"/>
      <c r="AU59" s="18"/>
      <c r="AV59" s="18"/>
      <c r="AW59" s="18"/>
      <c r="AX59" s="18"/>
      <c r="AY59" s="18"/>
      <c r="AZ59" s="20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4">
        <f t="shared" si="0"/>
        <v>1100</v>
      </c>
    </row>
    <row r="60" hidden="1" customHeight="1" spans="1:68">
      <c r="A60" s="16" t="s">
        <v>955</v>
      </c>
      <c r="B60" s="17" t="s">
        <v>956</v>
      </c>
      <c r="C60" s="18"/>
      <c r="D60" s="18"/>
      <c r="E60" s="18"/>
      <c r="F60" s="18"/>
      <c r="G60" s="18"/>
      <c r="H60" s="18"/>
      <c r="I60" s="19"/>
      <c r="J60" s="19"/>
      <c r="K60" s="19"/>
      <c r="L60" s="18"/>
      <c r="M60" s="18"/>
      <c r="N60" s="18"/>
      <c r="O60" s="18"/>
      <c r="P60" s="19"/>
      <c r="Q60" s="20"/>
      <c r="R60" s="20"/>
      <c r="S60" s="20"/>
      <c r="T60" s="20"/>
      <c r="U60" s="20"/>
      <c r="V60" s="20"/>
      <c r="W60" s="19"/>
      <c r="X60" s="20"/>
      <c r="Y60" s="20"/>
      <c r="Z60" s="20"/>
      <c r="AA60" s="20"/>
      <c r="AB60" s="18"/>
      <c r="AC60" s="18"/>
      <c r="AD60" s="18"/>
      <c r="AE60" s="18"/>
      <c r="AF60" s="18"/>
      <c r="AG60" s="18"/>
      <c r="AH60" s="19"/>
      <c r="AI60" s="19"/>
      <c r="AJ60" s="19"/>
      <c r="AK60" s="18"/>
      <c r="AL60" s="18"/>
      <c r="AM60" s="18"/>
      <c r="AN60" s="18"/>
      <c r="AO60" s="18"/>
      <c r="AP60" s="27"/>
      <c r="AQ60" s="18"/>
      <c r="AR60" s="19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4">
        <f t="shared" si="0"/>
        <v>0</v>
      </c>
      <c r="BP60">
        <f t="shared" si="1"/>
        <v>0</v>
      </c>
    </row>
    <row r="61" hidden="1" customHeight="1" spans="1:68">
      <c r="A61" s="16" t="s">
        <v>957</v>
      </c>
      <c r="B61" s="17" t="s">
        <v>958</v>
      </c>
      <c r="C61" s="18"/>
      <c r="D61" s="18"/>
      <c r="E61" s="18"/>
      <c r="F61" s="18"/>
      <c r="G61" s="18"/>
      <c r="H61" s="18"/>
      <c r="I61" s="19"/>
      <c r="J61" s="19"/>
      <c r="K61" s="19"/>
      <c r="L61" s="18"/>
      <c r="M61" s="18"/>
      <c r="N61" s="18"/>
      <c r="O61" s="18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18"/>
      <c r="AC61" s="18"/>
      <c r="AD61" s="18"/>
      <c r="AE61" s="18"/>
      <c r="AF61" s="18"/>
      <c r="AG61" s="18"/>
      <c r="AH61" s="19"/>
      <c r="AI61" s="19"/>
      <c r="AJ61" s="19"/>
      <c r="AK61" s="18"/>
      <c r="AL61" s="18"/>
      <c r="AM61" s="18"/>
      <c r="AN61" s="18"/>
      <c r="AO61" s="18"/>
      <c r="AP61" s="20"/>
      <c r="AQ61" s="18"/>
      <c r="AR61" s="20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4">
        <f t="shared" si="0"/>
        <v>0</v>
      </c>
      <c r="BP61">
        <f t="shared" si="1"/>
        <v>0</v>
      </c>
    </row>
    <row r="62" hidden="1" customHeight="1" spans="1:68">
      <c r="A62" s="16" t="s">
        <v>959</v>
      </c>
      <c r="B62" s="17" t="s">
        <v>960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9"/>
      <c r="AI62" s="19"/>
      <c r="AJ62" s="19"/>
      <c r="AK62" s="18"/>
      <c r="AL62" s="18"/>
      <c r="AM62" s="18"/>
      <c r="AN62" s="18"/>
      <c r="AO62" s="18"/>
      <c r="AP62" s="18"/>
      <c r="AQ62" s="18"/>
      <c r="AR62" s="20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4">
        <f t="shared" si="0"/>
        <v>0</v>
      </c>
      <c r="BP62">
        <f t="shared" si="1"/>
        <v>0</v>
      </c>
    </row>
    <row r="63" hidden="1" customHeight="1" spans="1:68">
      <c r="A63" s="16" t="s">
        <v>909</v>
      </c>
      <c r="B63" s="21" t="s">
        <v>961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9"/>
      <c r="AI63" s="19"/>
      <c r="AJ63" s="19"/>
      <c r="AK63" s="18"/>
      <c r="AL63" s="18"/>
      <c r="AM63" s="18"/>
      <c r="AN63" s="18"/>
      <c r="AO63" s="18"/>
      <c r="AP63" s="18"/>
      <c r="AQ63" s="18"/>
      <c r="AR63" s="20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4">
        <f t="shared" si="0"/>
        <v>0</v>
      </c>
      <c r="BP63">
        <f t="shared" si="1"/>
        <v>0</v>
      </c>
    </row>
    <row r="64" customHeight="1" spans="1:68">
      <c r="A64" s="16" t="s">
        <v>964</v>
      </c>
      <c r="B64" s="21" t="s">
        <v>630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>
        <v>25</v>
      </c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9"/>
      <c r="AI64" s="19"/>
      <c r="AJ64" s="19"/>
      <c r="AK64" s="18"/>
      <c r="AL64" s="18"/>
      <c r="AM64" s="18"/>
      <c r="AN64" s="18"/>
      <c r="AO64" s="18"/>
      <c r="AP64" s="18"/>
      <c r="AQ64" s="18"/>
      <c r="AR64" s="20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4">
        <f t="shared" si="0"/>
        <v>25</v>
      </c>
    </row>
    <row r="65" hidden="1" customHeight="1" spans="1:68">
      <c r="A65" s="16" t="s">
        <v>967</v>
      </c>
      <c r="B65" s="17" t="s">
        <v>968</v>
      </c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9"/>
      <c r="AI65" s="19"/>
      <c r="AJ65" s="19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4">
        <f t="shared" si="0"/>
        <v>0</v>
      </c>
      <c r="BP65">
        <f t="shared" si="1"/>
        <v>0</v>
      </c>
    </row>
    <row r="66" hidden="1" customHeight="1" spans="1:68">
      <c r="A66" s="16" t="s">
        <v>879</v>
      </c>
      <c r="B66" s="21" t="s">
        <v>880</v>
      </c>
      <c r="C66" s="22"/>
      <c r="D66" s="22"/>
      <c r="E66" s="22"/>
      <c r="F66" s="22"/>
      <c r="G66" s="22"/>
      <c r="H66" s="22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9"/>
      <c r="AI66" s="19"/>
      <c r="AJ66" s="19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4">
        <f t="shared" si="0"/>
        <v>0</v>
      </c>
      <c r="BP66">
        <f t="shared" si="1"/>
        <v>0</v>
      </c>
    </row>
    <row r="67" hidden="1" customHeight="1" spans="1:68">
      <c r="A67" s="16" t="s">
        <v>969</v>
      </c>
      <c r="B67" s="21" t="s">
        <v>970</v>
      </c>
      <c r="C67" s="22"/>
      <c r="D67" s="22"/>
      <c r="E67" s="22"/>
      <c r="F67" s="22"/>
      <c r="G67" s="22"/>
      <c r="H67" s="22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9"/>
      <c r="AI67" s="19"/>
      <c r="AJ67" s="19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4">
        <f t="shared" si="0"/>
        <v>0</v>
      </c>
    </row>
    <row r="68" hidden="1" customHeight="1" spans="1:68">
      <c r="A68" s="16" t="s">
        <v>971</v>
      </c>
      <c r="B68" s="21" t="s">
        <v>972</v>
      </c>
      <c r="C68" s="22"/>
      <c r="D68" s="22"/>
      <c r="E68" s="22"/>
      <c r="F68" s="22"/>
      <c r="G68" s="22"/>
      <c r="H68" s="22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9"/>
      <c r="AI68" s="19"/>
      <c r="AJ68" s="19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4">
        <f t="shared" si="0"/>
        <v>0</v>
      </c>
      <c r="BO68">
        <v>13.8</v>
      </c>
      <c r="BP68">
        <f t="shared" si="1"/>
        <v>0</v>
      </c>
    </row>
    <row r="69" hidden="1" customHeight="1" spans="1:68">
      <c r="A69" s="16" t="s">
        <v>973</v>
      </c>
      <c r="B69" s="21" t="s">
        <v>974</v>
      </c>
      <c r="C69" s="22"/>
      <c r="D69" s="22"/>
      <c r="E69" s="22"/>
      <c r="F69" s="22"/>
      <c r="G69" s="22"/>
      <c r="H69" s="22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9"/>
      <c r="AI69" s="19"/>
      <c r="AJ69" s="19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4">
        <f t="shared" si="0"/>
        <v>0</v>
      </c>
      <c r="BP69">
        <f t="shared" si="1"/>
        <v>0</v>
      </c>
    </row>
    <row r="70" hidden="1" customHeight="1" spans="1:68">
      <c r="A70" s="16" t="s">
        <v>975</v>
      </c>
      <c r="B70" s="21" t="s">
        <v>976</v>
      </c>
      <c r="C70" s="22"/>
      <c r="D70" s="22"/>
      <c r="E70" s="22"/>
      <c r="F70" s="22"/>
      <c r="G70" s="22"/>
      <c r="H70" s="22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9"/>
      <c r="AI70" s="19"/>
      <c r="AJ70" s="19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4">
        <f t="shared" si="0"/>
        <v>0</v>
      </c>
      <c r="BP70">
        <f t="shared" si="1"/>
        <v>0</v>
      </c>
    </row>
    <row r="71" hidden="1" customHeight="1" spans="1:68">
      <c r="A71" s="16" t="s">
        <v>977</v>
      </c>
      <c r="B71" s="21" t="s">
        <v>978</v>
      </c>
      <c r="C71" s="22"/>
      <c r="D71" s="22"/>
      <c r="E71" s="22"/>
      <c r="F71" s="22"/>
      <c r="G71" s="22"/>
      <c r="H71" s="22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9"/>
      <c r="AI71" s="19"/>
      <c r="AJ71" s="19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4">
        <f t="shared" si="0"/>
        <v>0</v>
      </c>
      <c r="BP71">
        <f t="shared" si="1"/>
        <v>0</v>
      </c>
    </row>
    <row r="72" hidden="1" customHeight="1" spans="1:68">
      <c r="A72" s="16" t="s">
        <v>979</v>
      </c>
      <c r="B72" s="21" t="s">
        <v>980</v>
      </c>
      <c r="C72" s="22"/>
      <c r="D72" s="22"/>
      <c r="E72" s="22"/>
      <c r="F72" s="22"/>
      <c r="G72" s="22"/>
      <c r="H72" s="22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9"/>
      <c r="AI72" s="19"/>
      <c r="AJ72" s="19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4">
        <f t="shared" ref="BN72:BN131" si="2">C72+D72+E72+F72+G72+H72+I72+J72+K72+L72+M72+N72+O72+P72</f>
        <v>0</v>
      </c>
      <c r="BP72">
        <f t="shared" si="1"/>
        <v>0</v>
      </c>
    </row>
    <row r="73" hidden="1" customHeight="1" spans="1:68">
      <c r="A73" s="16" t="s">
        <v>981</v>
      </c>
      <c r="B73" s="21" t="s">
        <v>982</v>
      </c>
      <c r="C73" s="22"/>
      <c r="D73" s="22"/>
      <c r="E73" s="22"/>
      <c r="F73" s="22"/>
      <c r="G73" s="22"/>
      <c r="H73" s="22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9"/>
      <c r="AI73" s="19"/>
      <c r="AJ73" s="19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4">
        <f t="shared" si="2"/>
        <v>0</v>
      </c>
      <c r="BP73">
        <f t="shared" si="1"/>
        <v>0</v>
      </c>
    </row>
    <row r="74" hidden="1" customHeight="1" spans="1:68">
      <c r="A74" s="16" t="s">
        <v>983</v>
      </c>
      <c r="B74" s="21" t="s">
        <v>984</v>
      </c>
      <c r="C74" s="22"/>
      <c r="D74" s="22"/>
      <c r="E74" s="22"/>
      <c r="F74" s="22"/>
      <c r="G74" s="22"/>
      <c r="H74" s="22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9"/>
      <c r="AI74" s="19"/>
      <c r="AJ74" s="19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4">
        <f t="shared" si="2"/>
        <v>0</v>
      </c>
      <c r="BP74">
        <f t="shared" si="1"/>
        <v>0</v>
      </c>
    </row>
    <row r="75" customHeight="1" spans="1:68">
      <c r="A75" s="16" t="s">
        <v>985</v>
      </c>
      <c r="B75" s="21" t="s">
        <v>986</v>
      </c>
      <c r="C75" s="22"/>
      <c r="D75" s="22">
        <v>200</v>
      </c>
      <c r="E75" s="22"/>
      <c r="F75" s="22"/>
      <c r="G75" s="22"/>
      <c r="H75" s="22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9"/>
      <c r="AI75" s="19"/>
      <c r="AJ75" s="19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4">
        <f t="shared" si="2"/>
        <v>200</v>
      </c>
    </row>
    <row r="76" hidden="1" customHeight="1" spans="1:68">
      <c r="A76" s="16" t="s">
        <v>987</v>
      </c>
      <c r="B76" s="21" t="s">
        <v>988</v>
      </c>
      <c r="C76" s="22"/>
      <c r="D76" s="22"/>
      <c r="E76" s="22"/>
      <c r="F76" s="22"/>
      <c r="G76" s="22"/>
      <c r="H76" s="22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9"/>
      <c r="AI76" s="19"/>
      <c r="AJ76" s="19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4">
        <f t="shared" si="2"/>
        <v>0</v>
      </c>
      <c r="BP76">
        <f t="shared" ref="BP76:BP131" si="3">BN76*BO76</f>
        <v>0</v>
      </c>
    </row>
    <row r="77" hidden="1" customHeight="1" spans="1:68">
      <c r="A77" s="16" t="s">
        <v>989</v>
      </c>
      <c r="B77" s="21" t="s">
        <v>990</v>
      </c>
      <c r="C77" s="22"/>
      <c r="D77" s="22"/>
      <c r="E77" s="22"/>
      <c r="F77" s="22"/>
      <c r="G77" s="22"/>
      <c r="H77" s="22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9"/>
      <c r="AI77" s="19"/>
      <c r="AJ77" s="19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4">
        <f t="shared" si="2"/>
        <v>0</v>
      </c>
      <c r="BP77">
        <f t="shared" si="3"/>
        <v>0</v>
      </c>
    </row>
    <row r="78" hidden="1" customHeight="1" spans="1:68">
      <c r="A78" s="16" t="s">
        <v>991</v>
      </c>
      <c r="B78" s="21" t="s">
        <v>992</v>
      </c>
      <c r="C78" s="22"/>
      <c r="D78" s="22"/>
      <c r="E78" s="22"/>
      <c r="F78" s="22"/>
      <c r="G78" s="22"/>
      <c r="H78" s="22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9"/>
      <c r="AI78" s="19"/>
      <c r="AJ78" s="19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4">
        <f t="shared" si="2"/>
        <v>0</v>
      </c>
      <c r="BP78">
        <f t="shared" si="3"/>
        <v>0</v>
      </c>
    </row>
    <row r="79" hidden="1" customHeight="1" spans="1:68">
      <c r="A79" s="16" t="s">
        <v>993</v>
      </c>
      <c r="B79" s="21" t="s">
        <v>994</v>
      </c>
      <c r="C79" s="22"/>
      <c r="D79" s="22"/>
      <c r="E79" s="22"/>
      <c r="F79" s="22"/>
      <c r="G79" s="22"/>
      <c r="H79" s="22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9"/>
      <c r="AI79" s="19"/>
      <c r="AJ79" s="19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4">
        <f t="shared" si="2"/>
        <v>0</v>
      </c>
      <c r="BP79">
        <f t="shared" si="3"/>
        <v>0</v>
      </c>
    </row>
    <row r="80" hidden="1" customHeight="1" spans="1:68">
      <c r="A80" s="16" t="s">
        <v>995</v>
      </c>
      <c r="B80" s="21" t="s">
        <v>996</v>
      </c>
      <c r="C80" s="22"/>
      <c r="D80" s="22"/>
      <c r="E80" s="22"/>
      <c r="F80" s="22"/>
      <c r="G80" s="22"/>
      <c r="H80" s="22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9"/>
      <c r="AI80" s="19"/>
      <c r="AJ80" s="19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4">
        <f t="shared" si="2"/>
        <v>0</v>
      </c>
      <c r="BP80">
        <f t="shared" si="3"/>
        <v>0</v>
      </c>
    </row>
    <row r="81" hidden="1" customHeight="1" spans="1:68">
      <c r="A81" s="16" t="s">
        <v>997</v>
      </c>
      <c r="B81" s="21" t="s">
        <v>717</v>
      </c>
      <c r="C81" s="22"/>
      <c r="D81" s="22"/>
      <c r="E81" s="22"/>
      <c r="F81" s="22"/>
      <c r="G81" s="22"/>
      <c r="H81" s="22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9"/>
      <c r="AI81" s="19"/>
      <c r="AJ81" s="19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4">
        <f t="shared" si="2"/>
        <v>0</v>
      </c>
      <c r="BP81">
        <f t="shared" si="3"/>
        <v>0</v>
      </c>
    </row>
    <row r="82" hidden="1" customHeight="1" spans="1:68">
      <c r="A82" s="16" t="s">
        <v>998</v>
      </c>
      <c r="B82" s="21" t="s">
        <v>999</v>
      </c>
      <c r="C82" s="22"/>
      <c r="D82" s="22"/>
      <c r="E82" s="22"/>
      <c r="F82" s="22"/>
      <c r="G82" s="22"/>
      <c r="H82" s="22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9"/>
      <c r="AI82" s="19"/>
      <c r="AJ82" s="19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4">
        <f t="shared" si="2"/>
        <v>0</v>
      </c>
      <c r="BP82">
        <f t="shared" si="3"/>
        <v>0</v>
      </c>
    </row>
    <row r="83" hidden="1" customHeight="1" spans="1:68">
      <c r="A83" s="16" t="s">
        <v>1000</v>
      </c>
      <c r="B83" s="21" t="s">
        <v>1001</v>
      </c>
      <c r="C83" s="22"/>
      <c r="D83" s="22"/>
      <c r="E83" s="22"/>
      <c r="F83" s="22"/>
      <c r="G83" s="22"/>
      <c r="H83" s="22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9"/>
      <c r="AI83" s="19"/>
      <c r="AJ83" s="19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4">
        <f t="shared" si="2"/>
        <v>0</v>
      </c>
      <c r="BP83">
        <f t="shared" si="3"/>
        <v>0</v>
      </c>
    </row>
    <row r="84" hidden="1" customHeight="1" spans="1:68">
      <c r="A84" s="16" t="s">
        <v>1002</v>
      </c>
      <c r="B84" s="21" t="s">
        <v>801</v>
      </c>
      <c r="C84" s="22"/>
      <c r="D84" s="22"/>
      <c r="E84" s="22"/>
      <c r="F84" s="22"/>
      <c r="G84" s="22"/>
      <c r="H84" s="22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9"/>
      <c r="AI84" s="19"/>
      <c r="AJ84" s="19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4">
        <f t="shared" si="2"/>
        <v>0</v>
      </c>
      <c r="BP84">
        <f t="shared" si="3"/>
        <v>0</v>
      </c>
    </row>
    <row r="85" hidden="1" customHeight="1" spans="1:68">
      <c r="A85" s="16" t="s">
        <v>1003</v>
      </c>
      <c r="B85" s="21" t="s">
        <v>1004</v>
      </c>
      <c r="C85" s="22"/>
      <c r="D85" s="22"/>
      <c r="E85" s="22"/>
      <c r="F85" s="22"/>
      <c r="G85" s="22"/>
      <c r="H85" s="22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9"/>
      <c r="AI85" s="19"/>
      <c r="AJ85" s="19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4">
        <f t="shared" si="2"/>
        <v>0</v>
      </c>
      <c r="BP85">
        <f t="shared" si="3"/>
        <v>0</v>
      </c>
    </row>
    <row r="86" hidden="1" customHeight="1" spans="1:68">
      <c r="A86" s="16" t="s">
        <v>1005</v>
      </c>
      <c r="B86" s="21" t="s">
        <v>1006</v>
      </c>
      <c r="C86" s="22"/>
      <c r="D86" s="22"/>
      <c r="E86" s="22"/>
      <c r="F86" s="22"/>
      <c r="G86" s="22"/>
      <c r="H86" s="22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9"/>
      <c r="AI86" s="19"/>
      <c r="AJ86" s="19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4">
        <f t="shared" si="2"/>
        <v>0</v>
      </c>
      <c r="BP86">
        <f t="shared" si="3"/>
        <v>0</v>
      </c>
    </row>
    <row r="87" hidden="1" customHeight="1" spans="1:68">
      <c r="A87" s="16" t="s">
        <v>1007</v>
      </c>
      <c r="B87" s="21" t="s">
        <v>1008</v>
      </c>
      <c r="C87" s="22"/>
      <c r="D87" s="22"/>
      <c r="E87" s="22"/>
      <c r="F87" s="22"/>
      <c r="G87" s="22"/>
      <c r="H87" s="22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9"/>
      <c r="AI87" s="19"/>
      <c r="AJ87" s="19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4">
        <f t="shared" si="2"/>
        <v>0</v>
      </c>
      <c r="BP87">
        <f t="shared" si="3"/>
        <v>0</v>
      </c>
    </row>
    <row r="88" hidden="1" customHeight="1" spans="1:68">
      <c r="A88" s="16" t="s">
        <v>1009</v>
      </c>
      <c r="B88" s="21" t="s">
        <v>1010</v>
      </c>
      <c r="C88" s="22"/>
      <c r="D88" s="22"/>
      <c r="E88" s="22"/>
      <c r="F88" s="22"/>
      <c r="G88" s="22"/>
      <c r="H88" s="22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9"/>
      <c r="AI88" s="19"/>
      <c r="AJ88" s="19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4">
        <f t="shared" si="2"/>
        <v>0</v>
      </c>
      <c r="BP88">
        <f t="shared" si="3"/>
        <v>0</v>
      </c>
    </row>
    <row r="89" hidden="1" customHeight="1" spans="1:68">
      <c r="A89" s="16" t="s">
        <v>1011</v>
      </c>
      <c r="B89" s="17" t="s">
        <v>1012</v>
      </c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9"/>
      <c r="AI89" s="19"/>
      <c r="AJ89" s="19"/>
      <c r="AK89" s="18"/>
      <c r="AL89" s="20"/>
      <c r="AM89" s="20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4">
        <f t="shared" si="2"/>
        <v>0</v>
      </c>
      <c r="BP89">
        <f t="shared" si="3"/>
        <v>0</v>
      </c>
    </row>
    <row r="90" hidden="1" customHeight="1" spans="1:68">
      <c r="A90" s="16" t="s">
        <v>1013</v>
      </c>
      <c r="B90" s="17" t="s">
        <v>1014</v>
      </c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20"/>
      <c r="AF90" s="20"/>
      <c r="AG90" s="20"/>
      <c r="AH90" s="19"/>
      <c r="AI90" s="19"/>
      <c r="AJ90" s="19"/>
      <c r="AK90" s="18"/>
      <c r="AL90" s="20"/>
      <c r="AM90" s="20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4">
        <f t="shared" si="2"/>
        <v>0</v>
      </c>
      <c r="BP90">
        <f t="shared" si="3"/>
        <v>0</v>
      </c>
    </row>
    <row r="91" hidden="1" customHeight="1" spans="1:68">
      <c r="A91" s="16" t="s">
        <v>1015</v>
      </c>
      <c r="B91" s="17" t="s">
        <v>1016</v>
      </c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20"/>
      <c r="AF91" s="20"/>
      <c r="AG91" s="20"/>
      <c r="AH91" s="19"/>
      <c r="AI91" s="19"/>
      <c r="AJ91" s="19"/>
      <c r="AK91" s="18"/>
      <c r="AL91" s="20"/>
      <c r="AM91" s="20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4">
        <f t="shared" si="2"/>
        <v>0</v>
      </c>
      <c r="BP91">
        <f t="shared" si="3"/>
        <v>0</v>
      </c>
    </row>
    <row r="92" hidden="1" customHeight="1" spans="1:68">
      <c r="A92" s="16" t="s">
        <v>1017</v>
      </c>
      <c r="B92" s="17" t="s">
        <v>1018</v>
      </c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20"/>
      <c r="AF92" s="20"/>
      <c r="AG92" s="20"/>
      <c r="AH92" s="19"/>
      <c r="AI92" s="19"/>
      <c r="AJ92" s="19"/>
      <c r="AK92" s="18"/>
      <c r="AL92" s="20"/>
      <c r="AM92" s="20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4">
        <f t="shared" si="2"/>
        <v>0</v>
      </c>
      <c r="BP92">
        <f t="shared" si="3"/>
        <v>0</v>
      </c>
    </row>
    <row r="93" hidden="1" customHeight="1" spans="1:68">
      <c r="A93" s="16" t="s">
        <v>1019</v>
      </c>
      <c r="B93" s="17" t="s">
        <v>1020</v>
      </c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20"/>
      <c r="AF93" s="20"/>
      <c r="AG93" s="20"/>
      <c r="AH93" s="19"/>
      <c r="AI93" s="19"/>
      <c r="AJ93" s="19"/>
      <c r="AK93" s="18"/>
      <c r="AL93" s="20"/>
      <c r="AM93" s="20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4">
        <f t="shared" si="2"/>
        <v>0</v>
      </c>
    </row>
    <row r="94" hidden="1" customHeight="1" spans="1:68">
      <c r="A94" s="16" t="s">
        <v>778</v>
      </c>
      <c r="B94" s="17" t="s">
        <v>1021</v>
      </c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28"/>
      <c r="Z94" s="18"/>
      <c r="AA94" s="18"/>
      <c r="AB94" s="18"/>
      <c r="AC94" s="18"/>
      <c r="AD94" s="18"/>
      <c r="AE94" s="19"/>
      <c r="AF94" s="19"/>
      <c r="AG94" s="19"/>
      <c r="AH94" s="19"/>
      <c r="AI94" s="19"/>
      <c r="AJ94" s="19"/>
      <c r="AK94" s="18"/>
      <c r="AL94" s="20"/>
      <c r="AM94" s="20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4">
        <f t="shared" si="2"/>
        <v>0</v>
      </c>
      <c r="BP94">
        <f t="shared" si="3"/>
        <v>0</v>
      </c>
    </row>
    <row r="95" hidden="1" customHeight="1" spans="1:68">
      <c r="A95" s="16" t="s">
        <v>704</v>
      </c>
      <c r="B95" s="17" t="s">
        <v>1022</v>
      </c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9"/>
      <c r="AI95" s="19"/>
      <c r="AJ95" s="19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4">
        <f t="shared" si="2"/>
        <v>0</v>
      </c>
      <c r="BP95">
        <f t="shared" si="3"/>
        <v>0</v>
      </c>
    </row>
    <row r="96" hidden="1" customHeight="1" spans="1:68">
      <c r="A96" s="16" t="s">
        <v>1023</v>
      </c>
      <c r="B96" s="17" t="s">
        <v>1024</v>
      </c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9"/>
      <c r="AI96" s="19"/>
      <c r="AJ96" s="19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4">
        <f t="shared" si="2"/>
        <v>0</v>
      </c>
      <c r="BP96">
        <f t="shared" si="3"/>
        <v>0</v>
      </c>
    </row>
    <row r="97" hidden="1" customHeight="1" spans="1:68">
      <c r="A97" s="16" t="s">
        <v>1025</v>
      </c>
      <c r="B97" s="17" t="s">
        <v>702</v>
      </c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9"/>
      <c r="AI97" s="19"/>
      <c r="AJ97" s="19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4">
        <f t="shared" si="2"/>
        <v>0</v>
      </c>
      <c r="BP97">
        <f t="shared" si="3"/>
        <v>0</v>
      </c>
    </row>
    <row r="98" hidden="1" customHeight="1" spans="1:68">
      <c r="A98" s="16" t="s">
        <v>1026</v>
      </c>
      <c r="B98" s="17" t="s">
        <v>702</v>
      </c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9"/>
      <c r="AI98" s="19"/>
      <c r="AJ98" s="19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4">
        <f t="shared" si="2"/>
        <v>0</v>
      </c>
      <c r="BP98">
        <f t="shared" si="3"/>
        <v>0</v>
      </c>
    </row>
    <row r="99" hidden="1" customHeight="1" spans="1:68">
      <c r="A99" s="29" t="s">
        <v>98</v>
      </c>
      <c r="B99" s="30" t="s">
        <v>1027</v>
      </c>
      <c r="C99" s="31"/>
      <c r="D99" s="31"/>
      <c r="E99" s="31"/>
      <c r="F99" s="31"/>
      <c r="G99" s="31"/>
      <c r="H99" s="31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7"/>
      <c r="AI99" s="27"/>
      <c r="AJ99" s="27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14">
        <f t="shared" si="2"/>
        <v>0</v>
      </c>
      <c r="BP99">
        <f t="shared" si="3"/>
        <v>0</v>
      </c>
    </row>
    <row r="100" hidden="1" customHeight="1" spans="1:68">
      <c r="A100" s="29" t="s">
        <v>1028</v>
      </c>
      <c r="B100" s="32" t="s">
        <v>1029</v>
      </c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7"/>
      <c r="AI100" s="27"/>
      <c r="AJ100" s="27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14">
        <f t="shared" si="2"/>
        <v>0</v>
      </c>
      <c r="BO100">
        <v>0.5</v>
      </c>
      <c r="BP100">
        <f t="shared" si="3"/>
        <v>0</v>
      </c>
    </row>
    <row r="101" hidden="1" customHeight="1" spans="1:68">
      <c r="A101" s="29" t="s">
        <v>1030</v>
      </c>
      <c r="B101" s="32" t="s">
        <v>1031</v>
      </c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7"/>
      <c r="AI101" s="27"/>
      <c r="AJ101" s="27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14">
        <f t="shared" si="2"/>
        <v>0</v>
      </c>
      <c r="BO101">
        <v>1.1</v>
      </c>
      <c r="BP101">
        <f t="shared" si="3"/>
        <v>0</v>
      </c>
    </row>
    <row r="102" hidden="1" customHeight="1" spans="1:68">
      <c r="A102" s="29" t="s">
        <v>1032</v>
      </c>
      <c r="B102" s="32" t="s">
        <v>1033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7"/>
      <c r="AI102" s="27"/>
      <c r="AJ102" s="27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14">
        <f t="shared" si="2"/>
        <v>0</v>
      </c>
      <c r="BO102">
        <v>1.1</v>
      </c>
      <c r="BP102">
        <f t="shared" si="3"/>
        <v>0</v>
      </c>
    </row>
    <row r="103" customHeight="1" spans="1:68">
      <c r="A103" s="29" t="s">
        <v>1034</v>
      </c>
      <c r="B103" s="32" t="s">
        <v>1035</v>
      </c>
      <c r="C103" s="26"/>
      <c r="D103" s="26"/>
      <c r="E103" s="26">
        <v>100</v>
      </c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7"/>
      <c r="AI103" s="27"/>
      <c r="AJ103" s="27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14">
        <f t="shared" si="2"/>
        <v>100</v>
      </c>
      <c r="BP103">
        <f t="shared" si="3"/>
        <v>0</v>
      </c>
    </row>
    <row r="104" hidden="1" customHeight="1" spans="1:68">
      <c r="A104" s="29" t="s">
        <v>98</v>
      </c>
      <c r="B104" s="32" t="s">
        <v>1036</v>
      </c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7"/>
      <c r="AI104" s="27"/>
      <c r="AJ104" s="27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14">
        <f t="shared" si="2"/>
        <v>0</v>
      </c>
      <c r="BP104">
        <f t="shared" si="3"/>
        <v>0</v>
      </c>
    </row>
    <row r="105" hidden="1" customHeight="1" spans="1:68">
      <c r="A105" s="29"/>
      <c r="B105" s="32" t="s">
        <v>1037</v>
      </c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7"/>
      <c r="AI105" s="27"/>
      <c r="AJ105" s="27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14">
        <f t="shared" si="2"/>
        <v>0</v>
      </c>
      <c r="BP105">
        <f t="shared" si="3"/>
        <v>0</v>
      </c>
    </row>
    <row r="106" hidden="1" customHeight="1" spans="1:68">
      <c r="A106" s="29"/>
      <c r="B106" s="32" t="s">
        <v>1038</v>
      </c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7"/>
      <c r="AI106" s="27"/>
      <c r="AJ106" s="27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14">
        <f t="shared" si="2"/>
        <v>0</v>
      </c>
      <c r="BP106">
        <f t="shared" si="3"/>
        <v>0</v>
      </c>
    </row>
    <row r="107" hidden="1" customHeight="1" spans="1:68">
      <c r="A107" s="29"/>
      <c r="B107" s="32" t="s">
        <v>1039</v>
      </c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7"/>
      <c r="AI107" s="27"/>
      <c r="AJ107" s="27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14">
        <f t="shared" si="2"/>
        <v>0</v>
      </c>
      <c r="BP107">
        <f t="shared" si="3"/>
        <v>0</v>
      </c>
    </row>
    <row r="108" hidden="1" customHeight="1" spans="1:68">
      <c r="A108" s="29"/>
      <c r="B108" s="32" t="s">
        <v>1040</v>
      </c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7"/>
      <c r="AI108" s="27"/>
      <c r="AJ108" s="27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14">
        <f t="shared" si="2"/>
        <v>0</v>
      </c>
      <c r="BP108">
        <f t="shared" si="3"/>
        <v>0</v>
      </c>
    </row>
    <row r="109" hidden="1" customHeight="1" spans="1:68">
      <c r="A109" s="29"/>
      <c r="B109" s="32" t="s">
        <v>89</v>
      </c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7"/>
      <c r="AI109" s="27"/>
      <c r="AJ109" s="27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14">
        <f t="shared" si="2"/>
        <v>0</v>
      </c>
      <c r="BP109">
        <f t="shared" si="3"/>
        <v>0</v>
      </c>
    </row>
    <row r="110" hidden="1" customHeight="1" spans="1:68">
      <c r="A110" s="29"/>
      <c r="B110" s="32" t="s">
        <v>1041</v>
      </c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7"/>
      <c r="AI110" s="27"/>
      <c r="AJ110" s="27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14">
        <f t="shared" si="2"/>
        <v>0</v>
      </c>
      <c r="BP110">
        <f t="shared" si="3"/>
        <v>0</v>
      </c>
    </row>
    <row r="111" hidden="1" customHeight="1" spans="1:68">
      <c r="A111" s="29"/>
      <c r="B111" s="32" t="s">
        <v>1042</v>
      </c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7"/>
      <c r="AI111" s="27"/>
      <c r="AJ111" s="27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14">
        <f t="shared" si="2"/>
        <v>0</v>
      </c>
      <c r="BP111">
        <f t="shared" si="3"/>
        <v>0</v>
      </c>
    </row>
    <row r="112" hidden="1" customHeight="1" spans="1:68">
      <c r="A112" s="29"/>
      <c r="B112" s="32" t="s">
        <v>1043</v>
      </c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7"/>
      <c r="AI112" s="27"/>
      <c r="AJ112" s="27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14">
        <f t="shared" si="2"/>
        <v>0</v>
      </c>
      <c r="BP112">
        <f t="shared" si="3"/>
        <v>0</v>
      </c>
    </row>
    <row r="113" hidden="1" customHeight="1" spans="1:68">
      <c r="A113" s="29"/>
      <c r="B113" s="32" t="s">
        <v>1044</v>
      </c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7"/>
      <c r="AI113" s="27"/>
      <c r="AJ113" s="27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14">
        <f t="shared" si="2"/>
        <v>0</v>
      </c>
      <c r="BP113">
        <f t="shared" si="3"/>
        <v>0</v>
      </c>
    </row>
    <row r="114" hidden="1" customHeight="1" spans="1:68">
      <c r="A114" s="29"/>
      <c r="B114" s="32" t="s">
        <v>1045</v>
      </c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7"/>
      <c r="AI114" s="27"/>
      <c r="AJ114" s="27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14">
        <f t="shared" si="2"/>
        <v>0</v>
      </c>
      <c r="BP114">
        <f t="shared" si="3"/>
        <v>0</v>
      </c>
    </row>
    <row r="115" hidden="1" customHeight="1" spans="1:68">
      <c r="A115" s="29" t="s">
        <v>1046</v>
      </c>
      <c r="B115" s="32" t="s">
        <v>740</v>
      </c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7"/>
      <c r="AI115" s="27"/>
      <c r="AJ115" s="27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  <c r="BK115" s="26"/>
      <c r="BL115" s="26"/>
      <c r="BM115" s="26"/>
      <c r="BN115" s="14">
        <f t="shared" si="2"/>
        <v>0</v>
      </c>
      <c r="BP115">
        <f t="shared" si="3"/>
        <v>0</v>
      </c>
    </row>
    <row r="116" hidden="1" customHeight="1" spans="1:68">
      <c r="A116" s="29" t="s">
        <v>1047</v>
      </c>
      <c r="B116" s="32" t="s">
        <v>739</v>
      </c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7"/>
      <c r="AI116" s="27"/>
      <c r="AJ116" s="27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14">
        <f t="shared" si="2"/>
        <v>0</v>
      </c>
      <c r="BP116">
        <f t="shared" si="3"/>
        <v>0</v>
      </c>
    </row>
    <row r="117" hidden="1" customHeight="1" spans="1:68">
      <c r="A117" s="29" t="s">
        <v>1048</v>
      </c>
      <c r="B117" s="32" t="s">
        <v>742</v>
      </c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7"/>
      <c r="AI117" s="27"/>
      <c r="AJ117" s="27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26"/>
      <c r="BK117" s="26"/>
      <c r="BL117" s="26"/>
      <c r="BM117" s="26"/>
      <c r="BN117" s="14">
        <f t="shared" si="2"/>
        <v>0</v>
      </c>
      <c r="BP117">
        <f t="shared" si="3"/>
        <v>0</v>
      </c>
    </row>
    <row r="118" hidden="1" customHeight="1" spans="1:68">
      <c r="A118" s="29" t="s">
        <v>1049</v>
      </c>
      <c r="B118" s="32" t="s">
        <v>786</v>
      </c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7"/>
      <c r="AI118" s="27"/>
      <c r="AJ118" s="27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  <c r="BL118" s="26"/>
      <c r="BM118" s="26"/>
      <c r="BN118" s="14">
        <f t="shared" si="2"/>
        <v>0</v>
      </c>
      <c r="BP118">
        <f t="shared" si="3"/>
        <v>0</v>
      </c>
    </row>
    <row r="119" hidden="1" customHeight="1" spans="1:68">
      <c r="A119" s="29" t="s">
        <v>831</v>
      </c>
      <c r="B119" s="32" t="s">
        <v>1050</v>
      </c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7"/>
      <c r="AI119" s="27"/>
      <c r="AJ119" s="27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26"/>
      <c r="BK119" s="26"/>
      <c r="BL119" s="26"/>
      <c r="BM119" s="26"/>
      <c r="BN119" s="14">
        <f t="shared" si="2"/>
        <v>0</v>
      </c>
      <c r="BP119">
        <f t="shared" si="3"/>
        <v>0</v>
      </c>
    </row>
    <row r="120" customHeight="1" spans="1:68">
      <c r="A120" s="29" t="s">
        <v>1051</v>
      </c>
      <c r="B120" s="32" t="s">
        <v>1052</v>
      </c>
      <c r="C120" s="26"/>
      <c r="D120" s="26"/>
      <c r="E120" s="26"/>
      <c r="F120" s="26"/>
      <c r="G120" s="26"/>
      <c r="H120" s="26">
        <v>20000</v>
      </c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7"/>
      <c r="AI120" s="27"/>
      <c r="AJ120" s="27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  <c r="BL120" s="26"/>
      <c r="BM120" s="26"/>
      <c r="BN120" s="14">
        <f t="shared" si="2"/>
        <v>20000</v>
      </c>
      <c r="BP120">
        <f t="shared" si="3"/>
        <v>0</v>
      </c>
    </row>
    <row r="121" hidden="1" customHeight="1" spans="1:68">
      <c r="A121" s="29" t="s">
        <v>1053</v>
      </c>
      <c r="B121" s="32" t="s">
        <v>1054</v>
      </c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7"/>
      <c r="AI121" s="27"/>
      <c r="AJ121" s="27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  <c r="BK121" s="26"/>
      <c r="BL121" s="26"/>
      <c r="BM121" s="26"/>
      <c r="BN121" s="14">
        <f t="shared" si="2"/>
        <v>0</v>
      </c>
      <c r="BP121">
        <f t="shared" si="3"/>
        <v>0</v>
      </c>
    </row>
    <row r="122" hidden="1" customHeight="1" spans="1:68">
      <c r="A122" s="29" t="s">
        <v>1055</v>
      </c>
      <c r="B122" s="32" t="s">
        <v>1056</v>
      </c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7"/>
      <c r="AI122" s="27"/>
      <c r="AJ122" s="27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  <c r="BL122" s="26"/>
      <c r="BM122" s="26"/>
      <c r="BN122" s="14">
        <f t="shared" si="2"/>
        <v>0</v>
      </c>
      <c r="BP122">
        <f t="shared" si="3"/>
        <v>0</v>
      </c>
    </row>
    <row r="123" hidden="1" customHeight="1" spans="1:68">
      <c r="A123" s="29" t="s">
        <v>1015</v>
      </c>
      <c r="B123" s="32" t="s">
        <v>1057</v>
      </c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7"/>
      <c r="AI123" s="27"/>
      <c r="AJ123" s="27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  <c r="BM123" s="26"/>
      <c r="BN123" s="14">
        <f t="shared" si="2"/>
        <v>0</v>
      </c>
    </row>
    <row r="124" customHeight="1" spans="1:68">
      <c r="A124" s="33" t="s">
        <v>838</v>
      </c>
      <c r="B124" s="33" t="s">
        <v>40</v>
      </c>
      <c r="C124" s="34"/>
      <c r="D124" s="34"/>
      <c r="E124" s="34">
        <v>12600</v>
      </c>
      <c r="F124" s="34"/>
      <c r="G124" s="34"/>
      <c r="H124" s="34">
        <v>45000</v>
      </c>
      <c r="I124" s="35"/>
      <c r="J124" s="35">
        <v>36000</v>
      </c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6"/>
      <c r="AI124" s="36"/>
      <c r="AJ124" s="36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  <c r="AW124" s="35"/>
      <c r="AX124" s="35"/>
      <c r="AY124" s="35"/>
      <c r="AZ124" s="35"/>
      <c r="BA124" s="35"/>
      <c r="BB124" s="35"/>
      <c r="BC124" s="35"/>
      <c r="BD124" s="35"/>
      <c r="BE124" s="35"/>
      <c r="BF124" s="35"/>
      <c r="BG124" s="35"/>
      <c r="BH124" s="35"/>
      <c r="BI124" s="35"/>
      <c r="BJ124" s="37"/>
      <c r="BK124" s="35"/>
      <c r="BL124" s="35"/>
      <c r="BM124" s="35"/>
      <c r="BN124" s="14">
        <f t="shared" si="2"/>
        <v>93600</v>
      </c>
      <c r="BO124">
        <v>0.63</v>
      </c>
      <c r="BP124">
        <f t="shared" si="3"/>
        <v>58968</v>
      </c>
    </row>
    <row r="125" customHeight="1" spans="1:68">
      <c r="A125" s="33" t="s">
        <v>839</v>
      </c>
      <c r="B125" s="33" t="s">
        <v>42</v>
      </c>
      <c r="C125" s="34"/>
      <c r="D125" s="34"/>
      <c r="E125" s="34">
        <v>16200</v>
      </c>
      <c r="F125" s="34"/>
      <c r="G125" s="34"/>
      <c r="H125" s="34">
        <v>40500</v>
      </c>
      <c r="I125" s="35"/>
      <c r="J125" s="35">
        <v>40500</v>
      </c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6"/>
      <c r="AI125" s="36"/>
      <c r="AJ125" s="36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35"/>
      <c r="AW125" s="35"/>
      <c r="AX125" s="35"/>
      <c r="AY125" s="35"/>
      <c r="AZ125" s="35"/>
      <c r="BA125" s="35"/>
      <c r="BB125" s="35"/>
      <c r="BC125" s="35"/>
      <c r="BD125" s="35"/>
      <c r="BE125" s="35"/>
      <c r="BF125" s="35"/>
      <c r="BG125" s="35"/>
      <c r="BH125" s="35"/>
      <c r="BI125" s="35"/>
      <c r="BJ125" s="37"/>
      <c r="BK125" s="35"/>
      <c r="BL125" s="35"/>
      <c r="BM125" s="35"/>
      <c r="BN125" s="14">
        <f t="shared" si="2"/>
        <v>97200</v>
      </c>
      <c r="BO125">
        <v>0.77</v>
      </c>
      <c r="BP125">
        <f t="shared" si="3"/>
        <v>74844</v>
      </c>
    </row>
    <row r="126" customHeight="1" spans="1:68">
      <c r="A126" s="33" t="s">
        <v>840</v>
      </c>
      <c r="B126" s="33" t="s">
        <v>735</v>
      </c>
      <c r="C126" s="34"/>
      <c r="D126" s="34"/>
      <c r="E126" s="34">
        <v>12150</v>
      </c>
      <c r="F126" s="34"/>
      <c r="G126" s="34"/>
      <c r="H126" s="34"/>
      <c r="I126" s="35"/>
      <c r="J126" s="35">
        <v>13050</v>
      </c>
      <c r="K126" s="35"/>
      <c r="L126" s="35"/>
      <c r="M126" s="35"/>
      <c r="N126" s="35">
        <v>9360</v>
      </c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6"/>
      <c r="AI126" s="36"/>
      <c r="AJ126" s="36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  <c r="AZ126" s="35"/>
      <c r="BA126" s="35"/>
      <c r="BB126" s="35"/>
      <c r="BC126" s="35"/>
      <c r="BD126" s="35"/>
      <c r="BE126" s="35"/>
      <c r="BF126" s="35"/>
      <c r="BG126" s="35"/>
      <c r="BH126" s="35"/>
      <c r="BI126" s="35"/>
      <c r="BJ126" s="35"/>
      <c r="BK126" s="35"/>
      <c r="BL126" s="35"/>
      <c r="BM126" s="35"/>
      <c r="BN126" s="14">
        <f t="shared" si="2"/>
        <v>34560</v>
      </c>
      <c r="BO126">
        <v>8.23</v>
      </c>
      <c r="BP126">
        <f t="shared" si="3"/>
        <v>284428.8</v>
      </c>
    </row>
    <row r="127" customHeight="1" spans="1:68">
      <c r="A127" s="33" t="s">
        <v>841</v>
      </c>
      <c r="B127" s="33" t="s">
        <v>737</v>
      </c>
      <c r="C127" s="34"/>
      <c r="D127" s="34"/>
      <c r="E127" s="34">
        <v>10000</v>
      </c>
      <c r="F127" s="34"/>
      <c r="G127" s="34"/>
      <c r="H127" s="34"/>
      <c r="I127" s="35"/>
      <c r="J127" s="35">
        <v>10000</v>
      </c>
      <c r="K127" s="35"/>
      <c r="L127" s="35"/>
      <c r="M127" s="35"/>
      <c r="N127" s="35">
        <v>7000</v>
      </c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6"/>
      <c r="AI127" s="36"/>
      <c r="AJ127" s="36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  <c r="AZ127" s="35"/>
      <c r="BA127" s="35"/>
      <c r="BB127" s="35"/>
      <c r="BC127" s="35"/>
      <c r="BD127" s="35"/>
      <c r="BE127" s="35"/>
      <c r="BF127" s="35"/>
      <c r="BG127" s="35"/>
      <c r="BH127" s="35"/>
      <c r="BI127" s="35"/>
      <c r="BJ127" s="35"/>
      <c r="BK127" s="35"/>
      <c r="BL127" s="35"/>
      <c r="BM127" s="35"/>
      <c r="BN127" s="14">
        <f t="shared" si="2"/>
        <v>27000</v>
      </c>
      <c r="BO127">
        <v>0.88</v>
      </c>
      <c r="BP127">
        <f t="shared" si="3"/>
        <v>23760</v>
      </c>
    </row>
    <row r="128" customHeight="1" spans="1:68">
      <c r="A128" s="38" t="s">
        <v>842</v>
      </c>
      <c r="B128" s="33" t="s">
        <v>736</v>
      </c>
      <c r="C128" s="34"/>
      <c r="D128" s="34"/>
      <c r="E128" s="34">
        <v>9440</v>
      </c>
      <c r="F128" s="34"/>
      <c r="G128" s="34"/>
      <c r="H128" s="34"/>
      <c r="I128" s="35"/>
      <c r="J128" s="35">
        <v>8480</v>
      </c>
      <c r="K128" s="35"/>
      <c r="L128" s="35"/>
      <c r="M128" s="35"/>
      <c r="N128" s="35">
        <v>10080</v>
      </c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6"/>
      <c r="AI128" s="36"/>
      <c r="AJ128" s="36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35"/>
      <c r="AW128" s="35"/>
      <c r="AX128" s="35"/>
      <c r="AY128" s="35"/>
      <c r="AZ128" s="35"/>
      <c r="BA128" s="35"/>
      <c r="BB128" s="35"/>
      <c r="BC128" s="35"/>
      <c r="BD128" s="35"/>
      <c r="BE128" s="35"/>
      <c r="BF128" s="35"/>
      <c r="BG128" s="35"/>
      <c r="BH128" s="35"/>
      <c r="BI128" s="35"/>
      <c r="BJ128" s="35"/>
      <c r="BK128" s="35"/>
      <c r="BL128" s="35"/>
      <c r="BM128" s="35"/>
      <c r="BN128" s="14">
        <f t="shared" si="2"/>
        <v>28000</v>
      </c>
      <c r="BO128">
        <v>7.5</v>
      </c>
      <c r="BP128">
        <f t="shared" si="3"/>
        <v>210000</v>
      </c>
    </row>
    <row r="129" customHeight="1" spans="1:68">
      <c r="A129" s="33" t="s">
        <v>55</v>
      </c>
      <c r="B129" s="33" t="s">
        <v>734</v>
      </c>
      <c r="C129" s="34"/>
      <c r="D129" s="34"/>
      <c r="E129" s="34"/>
      <c r="F129" s="34"/>
      <c r="G129" s="34"/>
      <c r="H129" s="34"/>
      <c r="I129" s="35"/>
      <c r="J129" s="35"/>
      <c r="K129" s="35"/>
      <c r="L129" s="35">
        <v>9000</v>
      </c>
      <c r="M129" s="35"/>
      <c r="N129" s="35">
        <v>30000</v>
      </c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6"/>
      <c r="AI129" s="36"/>
      <c r="AJ129" s="36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  <c r="AZ129" s="35"/>
      <c r="BA129" s="35"/>
      <c r="BB129" s="35"/>
      <c r="BC129" s="35"/>
      <c r="BD129" s="35"/>
      <c r="BE129" s="35"/>
      <c r="BF129" s="35"/>
      <c r="BG129" s="35"/>
      <c r="BH129" s="35"/>
      <c r="BI129" s="35"/>
      <c r="BJ129" s="35"/>
      <c r="BK129" s="35"/>
      <c r="BL129" s="35"/>
      <c r="BM129" s="35"/>
      <c r="BN129" s="14">
        <f t="shared" si="2"/>
        <v>39000</v>
      </c>
      <c r="BO129">
        <v>0.44</v>
      </c>
      <c r="BP129">
        <f t="shared" si="3"/>
        <v>17160</v>
      </c>
    </row>
    <row r="130" customHeight="1" spans="1:68">
      <c r="A130" s="33" t="s">
        <v>843</v>
      </c>
      <c r="B130" s="33" t="s">
        <v>733</v>
      </c>
      <c r="C130" s="34"/>
      <c r="D130" s="34"/>
      <c r="E130" s="34"/>
      <c r="F130" s="34"/>
      <c r="G130" s="34"/>
      <c r="H130" s="34"/>
      <c r="I130" s="35"/>
      <c r="J130" s="35"/>
      <c r="K130" s="35"/>
      <c r="L130" s="35"/>
      <c r="M130" s="35"/>
      <c r="N130" s="35">
        <v>27000</v>
      </c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6"/>
      <c r="AI130" s="36"/>
      <c r="AJ130" s="36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  <c r="AZ130" s="35"/>
      <c r="BA130" s="35"/>
      <c r="BB130" s="35"/>
      <c r="BC130" s="35"/>
      <c r="BD130" s="35"/>
      <c r="BE130" s="35"/>
      <c r="BF130" s="35"/>
      <c r="BG130" s="35"/>
      <c r="BH130" s="35"/>
      <c r="BI130" s="35"/>
      <c r="BJ130" s="35"/>
      <c r="BK130" s="35"/>
      <c r="BL130" s="35"/>
      <c r="BM130" s="35"/>
      <c r="BN130" s="14">
        <f t="shared" si="2"/>
        <v>27000</v>
      </c>
      <c r="BO130">
        <v>0.38</v>
      </c>
      <c r="BP130">
        <f t="shared" si="3"/>
        <v>10260</v>
      </c>
    </row>
    <row r="131" customHeight="1" spans="1:68">
      <c r="A131" s="33" t="s">
        <v>844</v>
      </c>
      <c r="B131" s="33" t="s">
        <v>738</v>
      </c>
      <c r="C131" s="34"/>
      <c r="D131" s="34"/>
      <c r="E131" s="34"/>
      <c r="F131" s="34"/>
      <c r="G131" s="34"/>
      <c r="H131" s="34"/>
      <c r="I131" s="35"/>
      <c r="J131" s="35"/>
      <c r="K131" s="35"/>
      <c r="L131" s="35"/>
      <c r="M131" s="35"/>
      <c r="N131" s="35">
        <v>24000</v>
      </c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6"/>
      <c r="AI131" s="36"/>
      <c r="AJ131" s="36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  <c r="AZ131" s="35"/>
      <c r="BA131" s="35"/>
      <c r="BB131" s="35"/>
      <c r="BC131" s="35"/>
      <c r="BD131" s="35"/>
      <c r="BE131" s="35"/>
      <c r="BF131" s="35"/>
      <c r="BG131" s="35"/>
      <c r="BH131" s="35"/>
      <c r="BI131" s="35"/>
      <c r="BJ131" s="35"/>
      <c r="BK131" s="35"/>
      <c r="BL131" s="35"/>
      <c r="BM131" s="35"/>
      <c r="BN131" s="14">
        <f t="shared" si="2"/>
        <v>24000</v>
      </c>
      <c r="BO131">
        <v>0.61</v>
      </c>
      <c r="BP131">
        <f t="shared" si="3"/>
        <v>14640</v>
      </c>
    </row>
    <row r="132" customHeight="1" spans="1:68">
      <c r="C132" s="39"/>
      <c r="D132" s="40"/>
      <c r="E132" s="40"/>
      <c r="F132" s="40"/>
      <c r="G132" s="40"/>
      <c r="H132" s="40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41"/>
      <c r="AI132" s="41"/>
      <c r="AJ132" s="41"/>
      <c r="AK132" s="3"/>
      <c r="AL132" s="3"/>
      <c r="AM132" s="3"/>
      <c r="AN132" s="3"/>
      <c r="AO132" s="3"/>
    </row>
    <row r="133" customHeight="1" spans="1:68">
      <c r="C133" s="40"/>
      <c r="D133" s="40"/>
      <c r="E133" s="40"/>
      <c r="F133" s="40"/>
      <c r="G133" s="40"/>
      <c r="H133" s="40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41"/>
      <c r="AI133" s="41"/>
      <c r="AJ133" s="41"/>
      <c r="AK133" s="3"/>
      <c r="AL133" s="3"/>
      <c r="AM133" s="3"/>
      <c r="AN133" s="3"/>
      <c r="AO133" s="3"/>
    </row>
  </sheetData>
  <mergeCells count="1">
    <mergeCell ref="A1:BN1"/>
  </mergeCells>
  <pageMargins left="0.7" right="0.7" top="0.75" bottom="0.75" header="0.3" footer="0.3"/>
  <pageSetup paperSize="9" scale="65" orientation="portrait"/>
  <headerFooter/>
  <rowBreaks count="1" manualBreakCount="1">
    <brk id="123" max="40" man="1"/>
  </rowBreaks>
  <colBreaks count="1" manualBreakCount="1">
    <brk id="66" max="1048575" man="1"/>
  </colBreaks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130"/>
  <sheetViews>
    <sheetView zoomScale="116" zoomScaleNormal="116" workbookViewId="0">
      <pane xSplit="2" ySplit="2" topLeftCell="C4" activePane="bottomRight" state="frozen"/>
      <selection/>
      <selection pane="topRight"/>
      <selection pane="bottomLeft"/>
      <selection pane="bottomRight" activeCell="K24" sqref="K24"/>
    </sheetView>
  </sheetViews>
  <sheetFormatPr defaultColWidth="9" defaultRowHeight="20" customHeight="1"/>
  <cols>
    <col min="1" max="1" width="9" style="1"/>
    <col min="2" max="2" width="23.1666666666667" style="1" customWidth="1"/>
    <col min="3" max="8" width="7.5" style="1" customWidth="1"/>
    <col min="9" max="11" width="8.33333333333333" customWidth="1"/>
    <col min="12" max="12" width="6.66666666666667" customWidth="1"/>
    <col min="13" max="15" width="7" customWidth="1"/>
    <col min="16" max="16" width="7.83333333333333" customWidth="1"/>
    <col min="17" max="19" width="5.66666666666667" hidden="1" customWidth="1"/>
    <col min="20" max="20" width="6.66666666666667" hidden="1" customWidth="1"/>
    <col min="21" max="21" width="8.16666666666667" hidden="1" customWidth="1"/>
    <col min="22" max="22" width="7.66666666666667" hidden="1" customWidth="1"/>
    <col min="23" max="23" width="5.66666666666667" hidden="1" customWidth="1"/>
    <col min="24" max="24" width="7.66666666666667" hidden="1" customWidth="1"/>
    <col min="25" max="25" width="5.66666666666667" hidden="1" customWidth="1"/>
    <col min="26" max="26" width="6.66666666666667" hidden="1" customWidth="1"/>
    <col min="27" max="28" width="5.66666666666667" hidden="1" customWidth="1"/>
    <col min="29" max="30" width="7.33333333333333" hidden="1" customWidth="1"/>
    <col min="31" max="33" width="8.33333333333333" hidden="1" customWidth="1"/>
    <col min="34" max="36" width="7.66666666666667" style="2" hidden="1" customWidth="1"/>
    <col min="37" max="37" width="7.16666666666667" hidden="1" customWidth="1"/>
    <col min="38" max="38" width="6.83333333333333" hidden="1" customWidth="1"/>
    <col min="39" max="39" width="7.33333333333333" hidden="1" customWidth="1"/>
    <col min="40" max="40" width="7.66666666666667" hidden="1" customWidth="1"/>
    <col min="41" max="41" width="6.83333333333333" hidden="1" customWidth="1"/>
    <col min="42" max="42" width="8.5" hidden="1" customWidth="1"/>
    <col min="43" max="43" width="7.33333333333333" hidden="1" customWidth="1"/>
    <col min="44" max="44" width="8" hidden="1" customWidth="1"/>
    <col min="45" max="45" width="7.5" hidden="1" customWidth="1"/>
    <col min="46" max="50" width="5.66666666666667" hidden="1" customWidth="1"/>
    <col min="51" max="51" width="7.5" hidden="1" customWidth="1"/>
    <col min="52" max="52" width="5.66666666666667" hidden="1" customWidth="1"/>
    <col min="53" max="53" width="6.5" hidden="1" customWidth="1"/>
    <col min="54" max="61" width="5.66666666666667" hidden="1" customWidth="1"/>
    <col min="62" max="62" width="6.16666666666667" hidden="1" customWidth="1"/>
    <col min="63" max="65" width="5.66666666666667" hidden="1" customWidth="1"/>
    <col min="66" max="66" width="8" style="3" customWidth="1"/>
  </cols>
  <sheetData>
    <row r="1" customHeight="1" spans="1:68">
      <c r="A1" s="4" t="s">
        <v>1059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</row>
    <row r="2" customHeight="1" spans="1:68">
      <c r="A2" s="5" t="s">
        <v>596</v>
      </c>
      <c r="B2" s="6" t="s">
        <v>597</v>
      </c>
      <c r="C2" s="7">
        <v>44501</v>
      </c>
      <c r="D2" s="7">
        <v>44503</v>
      </c>
      <c r="E2" s="7">
        <v>44504</v>
      </c>
      <c r="F2" s="7">
        <v>44505</v>
      </c>
      <c r="G2" s="7">
        <v>44507</v>
      </c>
      <c r="H2" s="7">
        <v>44508</v>
      </c>
      <c r="I2" s="8">
        <v>44509</v>
      </c>
      <c r="J2" s="8">
        <v>44513</v>
      </c>
      <c r="K2" s="8">
        <v>44517</v>
      </c>
      <c r="L2" s="8">
        <v>44518</v>
      </c>
      <c r="M2" s="8">
        <v>44519</v>
      </c>
      <c r="N2" s="8">
        <v>44523</v>
      </c>
      <c r="O2" s="8">
        <v>44527</v>
      </c>
      <c r="P2" s="8">
        <v>44530</v>
      </c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 t="s">
        <v>812</v>
      </c>
      <c r="AD2" s="9" t="s">
        <v>812</v>
      </c>
      <c r="AE2" s="9" t="s">
        <v>813</v>
      </c>
      <c r="AF2" s="9" t="s">
        <v>814</v>
      </c>
      <c r="AG2" s="9" t="s">
        <v>815</v>
      </c>
      <c r="AH2" s="10" t="s">
        <v>816</v>
      </c>
      <c r="AI2" s="10" t="s">
        <v>817</v>
      </c>
      <c r="AJ2" s="10" t="s">
        <v>818</v>
      </c>
      <c r="AK2" s="9" t="s">
        <v>819</v>
      </c>
      <c r="AL2" s="9" t="s">
        <v>819</v>
      </c>
      <c r="AM2" s="9" t="s">
        <v>820</v>
      </c>
      <c r="AN2" s="9" t="s">
        <v>821</v>
      </c>
      <c r="AO2" s="9" t="s">
        <v>822</v>
      </c>
      <c r="AP2" s="9" t="s">
        <v>823</v>
      </c>
      <c r="AQ2" s="9" t="s">
        <v>824</v>
      </c>
      <c r="AR2" s="9" t="s">
        <v>825</v>
      </c>
      <c r="AS2" s="9" t="s">
        <v>826</v>
      </c>
      <c r="AT2" s="9" t="s">
        <v>827</v>
      </c>
      <c r="AU2" s="9" t="s">
        <v>823</v>
      </c>
      <c r="AV2" s="9" t="s">
        <v>827</v>
      </c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11" t="s">
        <v>828</v>
      </c>
    </row>
    <row r="3" customHeight="1" spans="1:68">
      <c r="A3" s="12" t="s">
        <v>857</v>
      </c>
      <c r="B3" s="13" t="s">
        <v>858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5"/>
      <c r="AI3" s="15"/>
      <c r="AJ3" s="15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>
        <f>C3+D3+E3+F3+G3+H3+I3+J3+K3+L3+M3+N3+O3+P3</f>
        <v>0</v>
      </c>
      <c r="BP3">
        <f>BN3*BO3</f>
        <v>0</v>
      </c>
    </row>
    <row r="4" customHeight="1" spans="1:68">
      <c r="A4" s="16" t="s">
        <v>859</v>
      </c>
      <c r="B4" s="17" t="s">
        <v>860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9"/>
      <c r="AI4" s="19"/>
      <c r="AJ4" s="19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4">
        <f t="shared" ref="BN4:BN68" si="0">C4+D4+E4+F4+G4+H4+I4+J4+K4+L4+M4+N4+O4+P4</f>
        <v>0</v>
      </c>
      <c r="BP4">
        <f t="shared" ref="BP4:BP71" si="1">BN4*BO4</f>
        <v>0</v>
      </c>
    </row>
    <row r="5" customHeight="1" spans="1:68">
      <c r="A5" s="16" t="s">
        <v>861</v>
      </c>
      <c r="B5" s="17" t="s">
        <v>862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9"/>
      <c r="AI5" s="19"/>
      <c r="AJ5" s="19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20"/>
      <c r="BK5" s="18"/>
      <c r="BL5" s="18"/>
      <c r="BM5" s="18"/>
      <c r="BN5" s="14">
        <f t="shared" si="0"/>
        <v>0</v>
      </c>
      <c r="BP5">
        <f t="shared" si="1"/>
        <v>0</v>
      </c>
    </row>
    <row r="6" customHeight="1" spans="1:68">
      <c r="A6" s="16" t="s">
        <v>863</v>
      </c>
      <c r="B6" s="17" t="s">
        <v>630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9"/>
      <c r="AI6" s="19"/>
      <c r="AJ6" s="19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4">
        <f t="shared" si="0"/>
        <v>0</v>
      </c>
      <c r="BP6">
        <f t="shared" si="1"/>
        <v>0</v>
      </c>
    </row>
    <row r="7" customHeight="1" spans="1:68">
      <c r="A7" s="16" t="s">
        <v>864</v>
      </c>
      <c r="B7" s="17" t="s">
        <v>630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9"/>
      <c r="AI7" s="19"/>
      <c r="AJ7" s="19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4">
        <f t="shared" si="0"/>
        <v>0</v>
      </c>
      <c r="BP7">
        <f t="shared" si="1"/>
        <v>0</v>
      </c>
    </row>
    <row r="8" customHeight="1" spans="1:68">
      <c r="A8" s="16" t="s">
        <v>865</v>
      </c>
      <c r="B8" s="21" t="s">
        <v>866</v>
      </c>
      <c r="C8" s="22"/>
      <c r="D8" s="22"/>
      <c r="E8" s="22"/>
      <c r="F8" s="22"/>
      <c r="G8" s="22"/>
      <c r="H8" s="22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9"/>
      <c r="AI8" s="19"/>
      <c r="AJ8" s="19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4">
        <f t="shared" si="0"/>
        <v>0</v>
      </c>
      <c r="BP8">
        <f t="shared" si="1"/>
        <v>0</v>
      </c>
    </row>
    <row r="9" customHeight="1" spans="1:68">
      <c r="A9" s="16" t="s">
        <v>867</v>
      </c>
      <c r="B9" s="17" t="s">
        <v>868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9"/>
      <c r="AI9" s="19"/>
      <c r="AJ9" s="19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4">
        <f t="shared" si="0"/>
        <v>0</v>
      </c>
      <c r="BP9">
        <f t="shared" si="1"/>
        <v>0</v>
      </c>
    </row>
    <row r="10" customHeight="1" spans="1:68">
      <c r="A10" s="16" t="s">
        <v>869</v>
      </c>
      <c r="B10" s="17" t="s">
        <v>870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9"/>
      <c r="AI10" s="19"/>
      <c r="AJ10" s="19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4">
        <f t="shared" si="0"/>
        <v>0</v>
      </c>
      <c r="BP10">
        <f t="shared" si="1"/>
        <v>0</v>
      </c>
    </row>
    <row r="11" customHeight="1" spans="1:68">
      <c r="A11" s="16" t="s">
        <v>871</v>
      </c>
      <c r="B11" s="17" t="s">
        <v>872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9"/>
      <c r="AI11" s="19"/>
      <c r="AJ11" s="19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4">
        <f t="shared" si="0"/>
        <v>0</v>
      </c>
      <c r="BP11">
        <f t="shared" si="1"/>
        <v>0</v>
      </c>
    </row>
    <row r="12" customHeight="1" spans="1:68">
      <c r="A12" s="16" t="s">
        <v>873</v>
      </c>
      <c r="B12" s="17" t="s">
        <v>874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9"/>
      <c r="AI12" s="19"/>
      <c r="AJ12" s="19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4">
        <f t="shared" si="0"/>
        <v>0</v>
      </c>
      <c r="BP12">
        <f t="shared" si="1"/>
        <v>0</v>
      </c>
    </row>
    <row r="13" customHeight="1" spans="1:68">
      <c r="A13" s="16" t="s">
        <v>875</v>
      </c>
      <c r="B13" s="21" t="s">
        <v>876</v>
      </c>
      <c r="C13" s="22"/>
      <c r="D13" s="22"/>
      <c r="E13" s="22"/>
      <c r="F13" s="22"/>
      <c r="G13" s="22"/>
      <c r="H13" s="22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9"/>
      <c r="AI13" s="19"/>
      <c r="AJ13" s="19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4">
        <f t="shared" si="0"/>
        <v>0</v>
      </c>
      <c r="BP13">
        <f t="shared" si="1"/>
        <v>0</v>
      </c>
    </row>
    <row r="14" customHeight="1" spans="1:68">
      <c r="A14" s="16" t="s">
        <v>877</v>
      </c>
      <c r="B14" s="17" t="s">
        <v>878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9"/>
      <c r="AI14" s="19"/>
      <c r="AJ14" s="19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4">
        <f t="shared" si="0"/>
        <v>0</v>
      </c>
      <c r="BP14">
        <f t="shared" si="1"/>
        <v>0</v>
      </c>
    </row>
    <row r="15" customHeight="1" spans="1:68">
      <c r="A15" s="16" t="s">
        <v>879</v>
      </c>
      <c r="B15" s="21" t="s">
        <v>880</v>
      </c>
      <c r="C15" s="22"/>
      <c r="D15" s="22"/>
      <c r="E15" s="22"/>
      <c r="F15" s="22"/>
      <c r="G15" s="22"/>
      <c r="H15" s="22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9"/>
      <c r="AI15" s="19"/>
      <c r="AJ15" s="19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4">
        <f t="shared" si="0"/>
        <v>0</v>
      </c>
      <c r="BP15">
        <f t="shared" si="1"/>
        <v>0</v>
      </c>
    </row>
    <row r="16" customHeight="1" spans="1:68">
      <c r="A16" s="16" t="s">
        <v>881</v>
      </c>
      <c r="B16" s="17" t="s">
        <v>882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9"/>
      <c r="AI16" s="19"/>
      <c r="AJ16" s="19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4">
        <f t="shared" si="0"/>
        <v>0</v>
      </c>
      <c r="BO16">
        <v>11.97</v>
      </c>
      <c r="BP16">
        <f t="shared" si="1"/>
        <v>0</v>
      </c>
    </row>
    <row r="17" customHeight="1" spans="1:68">
      <c r="A17" s="16" t="s">
        <v>883</v>
      </c>
      <c r="B17" s="21" t="s">
        <v>884</v>
      </c>
      <c r="C17" s="22"/>
      <c r="D17" s="22"/>
      <c r="E17" s="22"/>
      <c r="F17" s="22"/>
      <c r="G17" s="22"/>
      <c r="H17" s="22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9"/>
      <c r="AI17" s="19"/>
      <c r="AJ17" s="19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4">
        <f t="shared" si="0"/>
        <v>0</v>
      </c>
      <c r="BP17">
        <f t="shared" si="1"/>
        <v>0</v>
      </c>
    </row>
    <row r="18" customHeight="1" spans="1:68">
      <c r="A18" s="16" t="s">
        <v>24</v>
      </c>
      <c r="B18" s="21" t="s">
        <v>26</v>
      </c>
      <c r="C18" s="22"/>
      <c r="D18" s="22"/>
      <c r="E18" s="22"/>
      <c r="F18" s="22"/>
      <c r="G18" s="22"/>
      <c r="H18" s="22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9"/>
      <c r="AI18" s="19"/>
      <c r="AJ18" s="19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4">
        <f t="shared" si="0"/>
        <v>0</v>
      </c>
      <c r="BP18">
        <f t="shared" si="1"/>
        <v>0</v>
      </c>
    </row>
    <row r="19" customHeight="1" spans="1:68">
      <c r="A19" s="16" t="s">
        <v>885</v>
      </c>
      <c r="B19" s="17" t="s">
        <v>886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9"/>
      <c r="AI19" s="19"/>
      <c r="AJ19" s="19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4">
        <f t="shared" si="0"/>
        <v>0</v>
      </c>
      <c r="BP19">
        <f t="shared" si="1"/>
        <v>0</v>
      </c>
    </row>
    <row r="20" customHeight="1" spans="1:68">
      <c r="A20" s="16" t="s">
        <v>887</v>
      </c>
      <c r="B20" s="17" t="s">
        <v>23</v>
      </c>
      <c r="C20" s="19"/>
      <c r="D20" s="18"/>
      <c r="E20" s="18">
        <v>1000</v>
      </c>
      <c r="F20" s="18">
        <v>1000</v>
      </c>
      <c r="G20" s="18"/>
      <c r="H20" s="18"/>
      <c r="I20" s="18"/>
      <c r="J20" s="18"/>
      <c r="K20" s="18"/>
      <c r="L20" s="18"/>
      <c r="M20" s="18">
        <v>1000</v>
      </c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9"/>
      <c r="AI20" s="19"/>
      <c r="AJ20" s="19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23"/>
      <c r="BF20" s="23"/>
      <c r="BG20" s="18"/>
      <c r="BH20" s="18"/>
      <c r="BI20" s="18"/>
      <c r="BJ20" s="18"/>
      <c r="BK20" s="19"/>
      <c r="BL20" s="18"/>
      <c r="BM20" s="18"/>
      <c r="BN20" s="14">
        <f t="shared" si="0"/>
        <v>3000</v>
      </c>
      <c r="BO20">
        <v>19.3</v>
      </c>
      <c r="BP20">
        <f t="shared" si="1"/>
        <v>57900</v>
      </c>
    </row>
    <row r="21" customHeight="1" spans="1:68">
      <c r="A21" s="16" t="s">
        <v>888</v>
      </c>
      <c r="B21" s="17" t="s">
        <v>889</v>
      </c>
      <c r="C21" s="18">
        <v>5000</v>
      </c>
      <c r="D21" s="18"/>
      <c r="E21" s="18"/>
      <c r="F21" s="18"/>
      <c r="G21" s="18"/>
      <c r="H21" s="18"/>
      <c r="I21" s="18"/>
      <c r="J21" s="18"/>
      <c r="K21" s="18"/>
      <c r="L21" s="18">
        <v>2000</v>
      </c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24"/>
      <c r="AF21" s="24"/>
      <c r="AG21" s="24"/>
      <c r="AH21" s="19"/>
      <c r="AI21" s="19"/>
      <c r="AJ21" s="19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9"/>
      <c r="BL21" s="18"/>
      <c r="BM21" s="18"/>
      <c r="BN21" s="14">
        <f t="shared" si="0"/>
        <v>7000</v>
      </c>
      <c r="BO21">
        <v>10.9</v>
      </c>
      <c r="BP21">
        <f t="shared" si="1"/>
        <v>76300</v>
      </c>
    </row>
    <row r="22" customHeight="1" spans="1:68">
      <c r="A22" s="16" t="s">
        <v>890</v>
      </c>
      <c r="B22" s="17" t="s">
        <v>891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9"/>
      <c r="AI22" s="19"/>
      <c r="AJ22" s="19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4">
        <f t="shared" si="0"/>
        <v>0</v>
      </c>
      <c r="BP22">
        <f t="shared" si="1"/>
        <v>0</v>
      </c>
    </row>
    <row r="23" customHeight="1" spans="1:68">
      <c r="A23" s="16" t="s">
        <v>892</v>
      </c>
      <c r="B23" s="17" t="s">
        <v>893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9"/>
      <c r="AI23" s="19"/>
      <c r="AJ23" s="19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4">
        <f t="shared" si="0"/>
        <v>0</v>
      </c>
      <c r="BP23">
        <f t="shared" si="1"/>
        <v>0</v>
      </c>
    </row>
    <row r="24" customHeight="1" spans="1:68">
      <c r="A24" s="16" t="s">
        <v>894</v>
      </c>
      <c r="B24" s="17" t="s">
        <v>895</v>
      </c>
      <c r="C24" s="18"/>
      <c r="D24" s="18"/>
      <c r="E24" s="18"/>
      <c r="F24" s="18"/>
      <c r="G24" s="18"/>
      <c r="H24" s="18">
        <v>5465</v>
      </c>
      <c r="I24" s="18">
        <v>1225</v>
      </c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9"/>
      <c r="AI24" s="19"/>
      <c r="AJ24" s="19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4">
        <f t="shared" si="0"/>
        <v>6690</v>
      </c>
      <c r="BP24">
        <f t="shared" si="1"/>
        <v>0</v>
      </c>
    </row>
    <row r="25" customHeight="1" spans="1:68">
      <c r="A25" s="16" t="s">
        <v>896</v>
      </c>
      <c r="B25" s="17" t="s">
        <v>897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9"/>
      <c r="AI25" s="19"/>
      <c r="AJ25" s="19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4">
        <f t="shared" si="0"/>
        <v>0</v>
      </c>
      <c r="BP25">
        <f t="shared" si="1"/>
        <v>0</v>
      </c>
    </row>
    <row r="26" customHeight="1" spans="1:68">
      <c r="A26" s="16" t="s">
        <v>898</v>
      </c>
      <c r="B26" s="17" t="s">
        <v>899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9"/>
      <c r="AI26" s="19"/>
      <c r="AJ26" s="19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4">
        <f t="shared" si="0"/>
        <v>0</v>
      </c>
      <c r="BO26">
        <v>43.16</v>
      </c>
      <c r="BP26">
        <f t="shared" si="1"/>
        <v>0</v>
      </c>
    </row>
    <row r="27" customHeight="1" spans="1:68">
      <c r="A27" s="16" t="s">
        <v>900</v>
      </c>
      <c r="B27" s="17" t="s">
        <v>901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9"/>
      <c r="AI27" s="19"/>
      <c r="AJ27" s="19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4">
        <f t="shared" si="0"/>
        <v>0</v>
      </c>
    </row>
    <row r="28" customHeight="1" spans="1:68">
      <c r="A28" s="16" t="s">
        <v>58</v>
      </c>
      <c r="B28" s="17" t="s">
        <v>902</v>
      </c>
      <c r="C28" s="18"/>
      <c r="D28" s="18"/>
      <c r="E28" s="18"/>
      <c r="F28" s="18"/>
      <c r="G28" s="18"/>
      <c r="H28" s="18"/>
      <c r="I28" s="18"/>
      <c r="J28" s="18">
        <v>6400</v>
      </c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9"/>
      <c r="AI28" s="19"/>
      <c r="AJ28" s="19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4">
        <f t="shared" si="0"/>
        <v>6400</v>
      </c>
      <c r="BO28">
        <v>21</v>
      </c>
      <c r="BP28">
        <f t="shared" si="1"/>
        <v>134400</v>
      </c>
    </row>
    <row r="29" customHeight="1" spans="1:68">
      <c r="A29" s="16" t="s">
        <v>64</v>
      </c>
      <c r="B29" s="17" t="s">
        <v>903</v>
      </c>
      <c r="C29" s="18"/>
      <c r="D29" s="18"/>
      <c r="E29" s="18"/>
      <c r="F29" s="18"/>
      <c r="G29" s="18"/>
      <c r="H29" s="18"/>
      <c r="I29" s="18"/>
      <c r="J29" s="18"/>
      <c r="K29" s="18"/>
      <c r="L29" s="18">
        <v>8600</v>
      </c>
      <c r="M29" s="18"/>
      <c r="N29" s="18">
        <v>25630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9"/>
      <c r="AI29" s="19"/>
      <c r="AJ29" s="19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4">
        <f t="shared" si="0"/>
        <v>34230</v>
      </c>
      <c r="BP29">
        <f t="shared" si="1"/>
        <v>0</v>
      </c>
    </row>
    <row r="30" customHeight="1" spans="1:68">
      <c r="A30" s="16" t="s">
        <v>904</v>
      </c>
      <c r="B30" s="17" t="s">
        <v>905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20"/>
      <c r="AD30" s="20"/>
      <c r="AE30" s="18"/>
      <c r="AF30" s="18"/>
      <c r="AG30" s="18"/>
      <c r="AH30" s="19"/>
      <c r="AI30" s="19"/>
      <c r="AJ30" s="19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20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4">
        <f t="shared" si="0"/>
        <v>0</v>
      </c>
      <c r="BP30">
        <f t="shared" si="1"/>
        <v>0</v>
      </c>
    </row>
    <row r="31" ht="28" customHeight="1" spans="1:68">
      <c r="A31" s="16" t="s">
        <v>685</v>
      </c>
      <c r="B31" s="21" t="s">
        <v>906</v>
      </c>
      <c r="C31" s="22"/>
      <c r="D31" s="22"/>
      <c r="E31" s="22"/>
      <c r="F31" s="22"/>
      <c r="G31" s="22"/>
      <c r="H31" s="22"/>
      <c r="I31" s="18"/>
      <c r="J31" s="18"/>
      <c r="K31" s="18"/>
      <c r="L31" s="18"/>
      <c r="M31" s="18"/>
      <c r="N31" s="18"/>
      <c r="O31" s="18"/>
      <c r="P31" s="18">
        <v>200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9"/>
      <c r="AI31" s="19"/>
      <c r="AJ31" s="19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4">
        <f t="shared" si="0"/>
        <v>200</v>
      </c>
      <c r="BP31">
        <f t="shared" si="1"/>
        <v>0</v>
      </c>
    </row>
    <row r="32" ht="28" customHeight="1" spans="1:68">
      <c r="A32" s="16" t="s">
        <v>907</v>
      </c>
      <c r="B32" s="21" t="s">
        <v>908</v>
      </c>
      <c r="C32" s="22"/>
      <c r="D32" s="22"/>
      <c r="E32" s="22"/>
      <c r="F32" s="22"/>
      <c r="G32" s="22"/>
      <c r="H32" s="22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9"/>
      <c r="AI32" s="19"/>
      <c r="AJ32" s="19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4">
        <f t="shared" si="0"/>
        <v>0</v>
      </c>
      <c r="BP32">
        <f t="shared" si="1"/>
        <v>0</v>
      </c>
    </row>
    <row r="33" ht="28" customHeight="1" spans="1:68">
      <c r="A33" s="16" t="s">
        <v>909</v>
      </c>
      <c r="B33" s="21" t="s">
        <v>910</v>
      </c>
      <c r="C33" s="22"/>
      <c r="D33" s="22"/>
      <c r="E33" s="22"/>
      <c r="F33" s="22"/>
      <c r="G33" s="22"/>
      <c r="H33" s="22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9"/>
      <c r="AI33" s="19"/>
      <c r="AJ33" s="19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4">
        <f t="shared" si="0"/>
        <v>0</v>
      </c>
      <c r="BP33">
        <f t="shared" si="1"/>
        <v>0</v>
      </c>
    </row>
    <row r="34" ht="29" customHeight="1" spans="1:68">
      <c r="A34" s="16" t="s">
        <v>911</v>
      </c>
      <c r="B34" s="21" t="s">
        <v>912</v>
      </c>
      <c r="C34" s="22"/>
      <c r="D34" s="22"/>
      <c r="E34" s="22"/>
      <c r="F34" s="22"/>
      <c r="G34" s="22"/>
      <c r="H34" s="22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9"/>
      <c r="AI34" s="19"/>
      <c r="AJ34" s="19"/>
      <c r="AK34" s="18"/>
      <c r="AL34" s="18"/>
      <c r="AM34" s="18"/>
      <c r="AN34" s="18"/>
      <c r="AO34" s="18"/>
      <c r="AP34" s="18"/>
      <c r="AQ34" s="20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20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4">
        <f t="shared" si="0"/>
        <v>0</v>
      </c>
      <c r="BP34">
        <f t="shared" si="1"/>
        <v>0</v>
      </c>
    </row>
    <row r="35" customHeight="1" spans="1:68">
      <c r="A35" s="16" t="s">
        <v>913</v>
      </c>
      <c r="B35" s="21" t="s">
        <v>914</v>
      </c>
      <c r="C35" s="22"/>
      <c r="D35" s="22"/>
      <c r="E35" s="22"/>
      <c r="F35" s="22"/>
      <c r="G35" s="22"/>
      <c r="H35" s="22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20"/>
      <c r="AD35" s="20"/>
      <c r="AE35" s="18"/>
      <c r="AF35" s="18"/>
      <c r="AG35" s="18"/>
      <c r="AH35" s="19"/>
      <c r="AI35" s="19"/>
      <c r="AJ35" s="19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4">
        <f t="shared" si="0"/>
        <v>0</v>
      </c>
      <c r="BP35">
        <f t="shared" si="1"/>
        <v>0</v>
      </c>
    </row>
    <row r="36" customHeight="1" spans="1:68">
      <c r="A36" s="16" t="s">
        <v>915</v>
      </c>
      <c r="B36" s="21" t="s">
        <v>916</v>
      </c>
      <c r="C36" s="22"/>
      <c r="D36" s="22"/>
      <c r="E36" s="22"/>
      <c r="F36" s="22"/>
      <c r="G36" s="22"/>
      <c r="H36" s="22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20"/>
      <c r="AD36" s="20"/>
      <c r="AE36" s="18"/>
      <c r="AF36" s="18"/>
      <c r="AG36" s="18"/>
      <c r="AH36" s="19"/>
      <c r="AI36" s="19"/>
      <c r="AJ36" s="19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4">
        <f t="shared" si="0"/>
        <v>0</v>
      </c>
      <c r="BP36">
        <f t="shared" si="1"/>
        <v>0</v>
      </c>
    </row>
    <row r="37" customHeight="1" spans="1:68">
      <c r="A37" s="16" t="s">
        <v>917</v>
      </c>
      <c r="B37" s="21" t="s">
        <v>918</v>
      </c>
      <c r="C37" s="22"/>
      <c r="D37" s="22"/>
      <c r="E37" s="22"/>
      <c r="F37" s="22"/>
      <c r="G37" s="22"/>
      <c r="H37" s="22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20"/>
      <c r="AD37" s="20"/>
      <c r="AE37" s="18"/>
      <c r="AF37" s="18"/>
      <c r="AG37" s="18"/>
      <c r="AH37" s="19"/>
      <c r="AI37" s="19"/>
      <c r="AJ37" s="19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4">
        <f t="shared" si="0"/>
        <v>0</v>
      </c>
      <c r="BP37">
        <f t="shared" si="1"/>
        <v>0</v>
      </c>
    </row>
    <row r="38" customHeight="1" spans="1:68">
      <c r="A38" s="16" t="s">
        <v>919</v>
      </c>
      <c r="B38" s="21" t="s">
        <v>920</v>
      </c>
      <c r="C38" s="22"/>
      <c r="D38" s="22"/>
      <c r="E38" s="22"/>
      <c r="F38" s="22"/>
      <c r="G38" s="22"/>
      <c r="H38" s="22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20"/>
      <c r="AD38" s="20"/>
      <c r="AE38" s="18"/>
      <c r="AF38" s="18"/>
      <c r="AG38" s="18"/>
      <c r="AH38" s="19"/>
      <c r="AI38" s="19"/>
      <c r="AJ38" s="19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4">
        <f t="shared" si="0"/>
        <v>0</v>
      </c>
    </row>
    <row r="39" customHeight="1" spans="1:68">
      <c r="A39" s="16" t="s">
        <v>921</v>
      </c>
      <c r="B39" s="21" t="s">
        <v>922</v>
      </c>
      <c r="C39" s="22"/>
      <c r="D39" s="22"/>
      <c r="E39" s="22"/>
      <c r="F39" s="22"/>
      <c r="G39" s="22"/>
      <c r="H39" s="22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20"/>
      <c r="AD39" s="20"/>
      <c r="AE39" s="18"/>
      <c r="AF39" s="18"/>
      <c r="AG39" s="18"/>
      <c r="AH39" s="19"/>
      <c r="AI39" s="19"/>
      <c r="AJ39" s="19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4">
        <f t="shared" si="0"/>
        <v>0</v>
      </c>
    </row>
    <row r="40" customHeight="1" spans="1:68">
      <c r="A40" s="16" t="s">
        <v>907</v>
      </c>
      <c r="B40" s="21" t="s">
        <v>908</v>
      </c>
      <c r="C40" s="22"/>
      <c r="D40" s="22"/>
      <c r="E40" s="22"/>
      <c r="F40" s="22"/>
      <c r="G40" s="22"/>
      <c r="H40" s="22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20"/>
      <c r="AD40" s="20"/>
      <c r="AE40" s="18"/>
      <c r="AF40" s="18"/>
      <c r="AG40" s="18"/>
      <c r="AH40" s="19"/>
      <c r="AI40" s="19"/>
      <c r="AJ40" s="19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4"/>
    </row>
    <row r="41" customHeight="1" spans="1:68">
      <c r="A41" s="16" t="s">
        <v>923</v>
      </c>
      <c r="B41" s="21" t="s">
        <v>924</v>
      </c>
      <c r="C41" s="22"/>
      <c r="D41" s="22"/>
      <c r="E41" s="22"/>
      <c r="F41" s="22"/>
      <c r="G41" s="22"/>
      <c r="H41" s="22"/>
      <c r="I41" s="18"/>
      <c r="J41" s="18"/>
      <c r="K41" s="18"/>
      <c r="L41" s="18"/>
      <c r="M41" s="18"/>
      <c r="N41" s="18"/>
      <c r="O41" s="18"/>
      <c r="P41" s="18">
        <v>1000</v>
      </c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20"/>
      <c r="AD41" s="20"/>
      <c r="AE41" s="18"/>
      <c r="AF41" s="18"/>
      <c r="AG41" s="18"/>
      <c r="AH41" s="19"/>
      <c r="AI41" s="19"/>
      <c r="AJ41" s="19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4">
        <f t="shared" si="0"/>
        <v>1000</v>
      </c>
      <c r="BP41">
        <f t="shared" si="1"/>
        <v>0</v>
      </c>
    </row>
    <row r="42" customHeight="1" spans="1:68">
      <c r="A42" s="16" t="s">
        <v>925</v>
      </c>
      <c r="B42" s="21" t="s">
        <v>926</v>
      </c>
      <c r="C42" s="22"/>
      <c r="D42" s="22"/>
      <c r="E42" s="22"/>
      <c r="F42" s="22"/>
      <c r="G42" s="22"/>
      <c r="H42" s="22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20"/>
      <c r="AD42" s="20"/>
      <c r="AE42" s="18"/>
      <c r="AF42" s="18"/>
      <c r="AG42" s="18"/>
      <c r="AH42" s="19"/>
      <c r="AI42" s="19"/>
      <c r="AJ42" s="19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4">
        <f t="shared" si="0"/>
        <v>0</v>
      </c>
      <c r="BO42" s="25"/>
    </row>
    <row r="43" customHeight="1" spans="1:68">
      <c r="A43" s="16" t="s">
        <v>927</v>
      </c>
      <c r="B43" s="21" t="s">
        <v>928</v>
      </c>
      <c r="C43" s="22">
        <v>500</v>
      </c>
      <c r="D43" s="22"/>
      <c r="E43" s="22"/>
      <c r="F43" s="22"/>
      <c r="G43" s="22"/>
      <c r="H43" s="22"/>
      <c r="I43" s="18">
        <v>212</v>
      </c>
      <c r="J43" s="26"/>
      <c r="K43" s="18"/>
      <c r="L43" s="18"/>
      <c r="M43" s="18"/>
      <c r="N43" s="18"/>
      <c r="O43" s="18"/>
      <c r="P43" s="18">
        <v>500</v>
      </c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20"/>
      <c r="AD43" s="20"/>
      <c r="AE43" s="18"/>
      <c r="AF43" s="18"/>
      <c r="AG43" s="18"/>
      <c r="AH43" s="19"/>
      <c r="AI43" s="19"/>
      <c r="AJ43" s="19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4">
        <f t="shared" si="0"/>
        <v>1212</v>
      </c>
      <c r="BP43">
        <f t="shared" si="1"/>
        <v>0</v>
      </c>
    </row>
    <row r="44" customHeight="1" spans="1:68">
      <c r="A44" s="16" t="s">
        <v>929</v>
      </c>
      <c r="B44" s="21" t="s">
        <v>930</v>
      </c>
      <c r="C44" s="22"/>
      <c r="D44" s="22"/>
      <c r="E44" s="22"/>
      <c r="F44" s="22"/>
      <c r="G44" s="22">
        <v>500</v>
      </c>
      <c r="H44" s="22"/>
      <c r="I44" s="18"/>
      <c r="J44" s="18"/>
      <c r="K44" s="18"/>
      <c r="L44" s="18"/>
      <c r="M44" s="18"/>
      <c r="N44" s="18"/>
      <c r="O44" s="18"/>
      <c r="P44" s="18">
        <v>500</v>
      </c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20"/>
      <c r="AD44" s="20"/>
      <c r="AE44" s="18"/>
      <c r="AF44" s="18"/>
      <c r="AG44" s="18"/>
      <c r="AH44" s="19"/>
      <c r="AI44" s="19"/>
      <c r="AJ44" s="19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4">
        <f t="shared" si="0"/>
        <v>1000</v>
      </c>
      <c r="BP44">
        <f t="shared" si="1"/>
        <v>0</v>
      </c>
    </row>
    <row r="45" customHeight="1" spans="1:68">
      <c r="A45" s="16" t="s">
        <v>58</v>
      </c>
      <c r="B45" s="21" t="s">
        <v>931</v>
      </c>
      <c r="C45" s="22"/>
      <c r="D45" s="22"/>
      <c r="E45" s="22"/>
      <c r="F45" s="22"/>
      <c r="G45" s="22"/>
      <c r="H45" s="22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20"/>
      <c r="AD45" s="20"/>
      <c r="AE45" s="18"/>
      <c r="AF45" s="18"/>
      <c r="AG45" s="18"/>
      <c r="AH45" s="19"/>
      <c r="AI45" s="19"/>
      <c r="AJ45" s="19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4">
        <f t="shared" si="0"/>
        <v>0</v>
      </c>
      <c r="BP45">
        <f t="shared" si="1"/>
        <v>0</v>
      </c>
    </row>
    <row r="46" customHeight="1" spans="1:68">
      <c r="A46" s="16" t="s">
        <v>915</v>
      </c>
      <c r="B46" s="21" t="s">
        <v>932</v>
      </c>
      <c r="C46" s="22"/>
      <c r="D46" s="22"/>
      <c r="E46" s="22"/>
      <c r="F46" s="22"/>
      <c r="G46" s="22"/>
      <c r="H46" s="22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20"/>
      <c r="AD46" s="20"/>
      <c r="AE46" s="18"/>
      <c r="AF46" s="18"/>
      <c r="AG46" s="18"/>
      <c r="AH46" s="19"/>
      <c r="AI46" s="19"/>
      <c r="AJ46" s="19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4">
        <f t="shared" si="0"/>
        <v>0</v>
      </c>
      <c r="BP46">
        <f t="shared" si="1"/>
        <v>0</v>
      </c>
    </row>
    <row r="47" customHeight="1" spans="1:68">
      <c r="A47" s="16" t="s">
        <v>933</v>
      </c>
      <c r="B47" s="21" t="s">
        <v>934</v>
      </c>
      <c r="C47" s="22"/>
      <c r="D47" s="22"/>
      <c r="E47" s="22"/>
      <c r="F47" s="22"/>
      <c r="G47" s="22"/>
      <c r="H47" s="22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20"/>
      <c r="AD47" s="20"/>
      <c r="AE47" s="18"/>
      <c r="AF47" s="18"/>
      <c r="AG47" s="18"/>
      <c r="AH47" s="19"/>
      <c r="AI47" s="19"/>
      <c r="AJ47" s="19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4">
        <f t="shared" si="0"/>
        <v>0</v>
      </c>
      <c r="BP47">
        <f t="shared" si="1"/>
        <v>0</v>
      </c>
    </row>
    <row r="48" customHeight="1" spans="1:68">
      <c r="A48" s="16" t="s">
        <v>935</v>
      </c>
      <c r="B48" s="21" t="s">
        <v>936</v>
      </c>
      <c r="C48" s="22"/>
      <c r="D48" s="22"/>
      <c r="E48" s="22"/>
      <c r="F48" s="22"/>
      <c r="G48" s="22"/>
      <c r="H48" s="22">
        <v>-200</v>
      </c>
      <c r="I48" s="18">
        <v>1000</v>
      </c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20"/>
      <c r="AD48" s="20"/>
      <c r="AE48" s="18"/>
      <c r="AF48" s="18"/>
      <c r="AG48" s="18"/>
      <c r="AH48" s="19"/>
      <c r="AI48" s="19"/>
      <c r="AJ48" s="19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4">
        <f t="shared" si="0"/>
        <v>800</v>
      </c>
      <c r="BP48">
        <f t="shared" si="1"/>
        <v>0</v>
      </c>
    </row>
    <row r="49" customHeight="1" spans="1:68">
      <c r="A49" s="16" t="s">
        <v>937</v>
      </c>
      <c r="B49" s="21" t="s">
        <v>938</v>
      </c>
      <c r="C49" s="22"/>
      <c r="D49" s="22"/>
      <c r="E49" s="22"/>
      <c r="F49" s="22"/>
      <c r="G49" s="22"/>
      <c r="H49" s="22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20"/>
      <c r="AD49" s="20"/>
      <c r="AE49" s="18"/>
      <c r="AF49" s="18"/>
      <c r="AG49" s="18"/>
      <c r="AH49" s="19"/>
      <c r="AI49" s="19"/>
      <c r="AJ49" s="19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4">
        <f t="shared" si="0"/>
        <v>0</v>
      </c>
      <c r="BP49">
        <f t="shared" si="1"/>
        <v>0</v>
      </c>
    </row>
    <row r="50" customHeight="1" spans="1:68">
      <c r="A50" s="16" t="s">
        <v>940</v>
      </c>
      <c r="B50" s="21" t="s">
        <v>941</v>
      </c>
      <c r="C50" s="22"/>
      <c r="D50" s="22"/>
      <c r="E50" s="22"/>
      <c r="F50" s="22"/>
      <c r="G50" s="22"/>
      <c r="H50" s="22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20"/>
      <c r="AD50" s="20"/>
      <c r="AE50" s="18"/>
      <c r="AF50" s="18"/>
      <c r="AG50" s="18"/>
      <c r="AH50" s="19"/>
      <c r="AI50" s="19"/>
      <c r="AJ50" s="19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4">
        <f t="shared" si="0"/>
        <v>0</v>
      </c>
      <c r="BP50">
        <f t="shared" si="1"/>
        <v>0</v>
      </c>
    </row>
    <row r="51" customHeight="1" spans="1:68">
      <c r="A51" s="16" t="s">
        <v>942</v>
      </c>
      <c r="B51" s="21" t="s">
        <v>943</v>
      </c>
      <c r="C51" s="22"/>
      <c r="D51" s="22"/>
      <c r="E51" s="22"/>
      <c r="F51" s="22"/>
      <c r="G51" s="22"/>
      <c r="H51" s="22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20"/>
      <c r="AD51" s="20"/>
      <c r="AE51" s="18"/>
      <c r="AF51" s="18"/>
      <c r="AG51" s="18"/>
      <c r="AH51" s="19"/>
      <c r="AI51" s="19"/>
      <c r="AJ51" s="19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4">
        <f t="shared" si="0"/>
        <v>0</v>
      </c>
      <c r="BP51">
        <f t="shared" si="1"/>
        <v>0</v>
      </c>
    </row>
    <row r="52" customHeight="1" spans="1:68">
      <c r="A52" s="16" t="s">
        <v>944</v>
      </c>
      <c r="B52" s="21" t="s">
        <v>945</v>
      </c>
      <c r="C52" s="22"/>
      <c r="D52" s="22"/>
      <c r="E52" s="22"/>
      <c r="F52" s="22"/>
      <c r="G52" s="22"/>
      <c r="H52" s="22"/>
      <c r="I52" s="18"/>
      <c r="J52" s="18"/>
      <c r="K52" s="18"/>
      <c r="L52" s="18"/>
      <c r="M52" s="18"/>
      <c r="N52" s="18"/>
      <c r="O52" s="18"/>
      <c r="P52" s="18">
        <v>1000</v>
      </c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20"/>
      <c r="AD52" s="20"/>
      <c r="AE52" s="18"/>
      <c r="AF52" s="18"/>
      <c r="AG52" s="18"/>
      <c r="AH52" s="19"/>
      <c r="AI52" s="19"/>
      <c r="AJ52" s="19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4">
        <f t="shared" si="0"/>
        <v>1000</v>
      </c>
      <c r="BP52">
        <f t="shared" si="1"/>
        <v>0</v>
      </c>
    </row>
    <row r="53" customHeight="1" spans="1:68">
      <c r="A53" s="16" t="s">
        <v>24</v>
      </c>
      <c r="B53" s="21" t="s">
        <v>946</v>
      </c>
      <c r="C53" s="22"/>
      <c r="D53" s="22"/>
      <c r="E53" s="22"/>
      <c r="F53" s="22"/>
      <c r="G53" s="22"/>
      <c r="H53" s="22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9"/>
      <c r="AI53" s="19"/>
      <c r="AJ53" s="19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4">
        <f t="shared" si="0"/>
        <v>0</v>
      </c>
      <c r="BP53">
        <f t="shared" si="1"/>
        <v>0</v>
      </c>
    </row>
    <row r="54" customHeight="1" spans="1:68">
      <c r="A54" s="16" t="s">
        <v>947</v>
      </c>
      <c r="B54" s="17" t="s">
        <v>948</v>
      </c>
      <c r="C54" s="18"/>
      <c r="D54" s="18"/>
      <c r="E54" s="18"/>
      <c r="F54" s="18"/>
      <c r="G54" s="18"/>
      <c r="H54" s="18"/>
      <c r="I54" s="20"/>
      <c r="J54" s="20"/>
      <c r="K54" s="20"/>
      <c r="L54" s="18"/>
      <c r="M54" s="18"/>
      <c r="N54" s="18"/>
      <c r="O54" s="18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18"/>
      <c r="AC54" s="18"/>
      <c r="AD54" s="18"/>
      <c r="AE54" s="18"/>
      <c r="AF54" s="18"/>
      <c r="AG54" s="18"/>
      <c r="AH54" s="19"/>
      <c r="AI54" s="19"/>
      <c r="AJ54" s="19"/>
      <c r="AK54" s="18"/>
      <c r="AL54" s="18"/>
      <c r="AM54" s="18"/>
      <c r="AN54" s="18"/>
      <c r="AO54" s="18"/>
      <c r="AP54" s="20"/>
      <c r="AQ54" s="18"/>
      <c r="AR54" s="20"/>
      <c r="AS54" s="18"/>
      <c r="AT54" s="18"/>
      <c r="AU54" s="18"/>
      <c r="AV54" s="18"/>
      <c r="AW54" s="18"/>
      <c r="AX54" s="18"/>
      <c r="AY54" s="18"/>
      <c r="AZ54" s="20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4">
        <f t="shared" si="0"/>
        <v>0</v>
      </c>
      <c r="BP54">
        <f t="shared" si="1"/>
        <v>0</v>
      </c>
    </row>
    <row r="55" customHeight="1" spans="1:68">
      <c r="A55" s="16" t="s">
        <v>949</v>
      </c>
      <c r="B55" s="17" t="s">
        <v>950</v>
      </c>
      <c r="C55" s="18"/>
      <c r="D55" s="18"/>
      <c r="E55" s="18"/>
      <c r="F55" s="18"/>
      <c r="G55" s="18"/>
      <c r="H55" s="18"/>
      <c r="I55" s="20"/>
      <c r="J55" s="20"/>
      <c r="K55" s="20"/>
      <c r="L55" s="18"/>
      <c r="M55" s="18"/>
      <c r="N55" s="18"/>
      <c r="O55" s="18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18"/>
      <c r="AC55" s="18"/>
      <c r="AD55" s="18"/>
      <c r="AE55" s="18"/>
      <c r="AF55" s="18"/>
      <c r="AG55" s="18"/>
      <c r="AH55" s="19"/>
      <c r="AI55" s="19"/>
      <c r="AJ55" s="19"/>
      <c r="AK55" s="18"/>
      <c r="AL55" s="18"/>
      <c r="AM55" s="18"/>
      <c r="AN55" s="18"/>
      <c r="AO55" s="18"/>
      <c r="AP55" s="20"/>
      <c r="AQ55" s="18"/>
      <c r="AR55" s="20"/>
      <c r="AS55" s="18"/>
      <c r="AT55" s="18"/>
      <c r="AU55" s="18"/>
      <c r="AV55" s="18"/>
      <c r="AW55" s="18"/>
      <c r="AX55" s="18"/>
      <c r="AY55" s="18"/>
      <c r="AZ55" s="20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4">
        <f t="shared" si="0"/>
        <v>0</v>
      </c>
    </row>
    <row r="56" customHeight="1" spans="1:68">
      <c r="A56" s="16" t="s">
        <v>186</v>
      </c>
      <c r="B56" s="17" t="s">
        <v>951</v>
      </c>
      <c r="C56" s="18"/>
      <c r="D56" s="18"/>
      <c r="E56" s="18"/>
      <c r="F56" s="18"/>
      <c r="G56" s="18"/>
      <c r="H56" s="18"/>
      <c r="I56" s="19"/>
      <c r="J56" s="20"/>
      <c r="K56" s="20"/>
      <c r="L56" s="18"/>
      <c r="M56" s="18"/>
      <c r="N56" s="18"/>
      <c r="O56" s="18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18"/>
      <c r="AC56" s="18"/>
      <c r="AD56" s="18"/>
      <c r="AE56" s="18"/>
      <c r="AF56" s="18"/>
      <c r="AG56" s="18"/>
      <c r="AH56" s="19"/>
      <c r="AI56" s="19"/>
      <c r="AJ56" s="19"/>
      <c r="AK56" s="18"/>
      <c r="AL56" s="18"/>
      <c r="AM56" s="18"/>
      <c r="AN56" s="18"/>
      <c r="AO56" s="18"/>
      <c r="AP56" s="20"/>
      <c r="AQ56" s="18"/>
      <c r="AR56" s="20"/>
      <c r="AS56" s="18"/>
      <c r="AT56" s="18"/>
      <c r="AU56" s="18"/>
      <c r="AV56" s="18"/>
      <c r="AW56" s="18"/>
      <c r="AX56" s="18"/>
      <c r="AY56" s="18"/>
      <c r="AZ56" s="20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4">
        <f t="shared" si="0"/>
        <v>0</v>
      </c>
    </row>
    <row r="57" customHeight="1" spans="1:68">
      <c r="A57" s="16" t="s">
        <v>952</v>
      </c>
      <c r="B57" s="17" t="s">
        <v>953</v>
      </c>
      <c r="C57" s="18"/>
      <c r="D57" s="18"/>
      <c r="E57" s="18">
        <v>5000</v>
      </c>
      <c r="F57" s="18"/>
      <c r="G57" s="18"/>
      <c r="H57" s="18"/>
      <c r="I57" s="19"/>
      <c r="J57" s="20"/>
      <c r="K57" s="19"/>
      <c r="L57" s="18"/>
      <c r="M57" s="18"/>
      <c r="N57" s="18"/>
      <c r="O57" s="18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18"/>
      <c r="AC57" s="18"/>
      <c r="AD57" s="18"/>
      <c r="AE57" s="18"/>
      <c r="AF57" s="18"/>
      <c r="AG57" s="18"/>
      <c r="AH57" s="19"/>
      <c r="AI57" s="19"/>
      <c r="AJ57" s="19"/>
      <c r="AK57" s="18"/>
      <c r="AL57" s="18"/>
      <c r="AM57" s="18"/>
      <c r="AN57" s="18"/>
      <c r="AO57" s="18"/>
      <c r="AP57" s="20"/>
      <c r="AQ57" s="18"/>
      <c r="AR57" s="20"/>
      <c r="AS57" s="18"/>
      <c r="AT57" s="18"/>
      <c r="AU57" s="18"/>
      <c r="AV57" s="18"/>
      <c r="AW57" s="18"/>
      <c r="AX57" s="18"/>
      <c r="AY57" s="18"/>
      <c r="AZ57" s="20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4">
        <f t="shared" si="0"/>
        <v>5000</v>
      </c>
    </row>
    <row r="58" customHeight="1" spans="1:68">
      <c r="A58" s="16" t="s">
        <v>955</v>
      </c>
      <c r="B58" s="17" t="s">
        <v>956</v>
      </c>
      <c r="C58" s="18"/>
      <c r="D58" s="18"/>
      <c r="E58" s="18"/>
      <c r="F58" s="18"/>
      <c r="G58" s="18"/>
      <c r="H58" s="18"/>
      <c r="I58" s="19"/>
      <c r="J58" s="19"/>
      <c r="K58" s="19"/>
      <c r="L58" s="18"/>
      <c r="M58" s="18"/>
      <c r="N58" s="18"/>
      <c r="O58" s="18"/>
      <c r="P58" s="19"/>
      <c r="Q58" s="20"/>
      <c r="R58" s="20"/>
      <c r="S58" s="20"/>
      <c r="T58" s="20"/>
      <c r="U58" s="20"/>
      <c r="V58" s="20"/>
      <c r="W58" s="19"/>
      <c r="X58" s="20"/>
      <c r="Y58" s="20"/>
      <c r="Z58" s="20"/>
      <c r="AA58" s="20"/>
      <c r="AB58" s="18"/>
      <c r="AC58" s="18"/>
      <c r="AD58" s="18"/>
      <c r="AE58" s="18"/>
      <c r="AF58" s="18"/>
      <c r="AG58" s="18"/>
      <c r="AH58" s="19"/>
      <c r="AI58" s="19"/>
      <c r="AJ58" s="19"/>
      <c r="AK58" s="18"/>
      <c r="AL58" s="18"/>
      <c r="AM58" s="18"/>
      <c r="AN58" s="18"/>
      <c r="AO58" s="18"/>
      <c r="AP58" s="27"/>
      <c r="AQ58" s="18"/>
      <c r="AR58" s="19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4">
        <f t="shared" si="0"/>
        <v>0</v>
      </c>
      <c r="BP58">
        <f t="shared" si="1"/>
        <v>0</v>
      </c>
    </row>
    <row r="59" customHeight="1" spans="1:68">
      <c r="A59" s="16" t="s">
        <v>957</v>
      </c>
      <c r="B59" s="17" t="s">
        <v>958</v>
      </c>
      <c r="C59" s="18"/>
      <c r="D59" s="18"/>
      <c r="E59" s="18"/>
      <c r="F59" s="18"/>
      <c r="G59" s="18"/>
      <c r="H59" s="18"/>
      <c r="I59" s="19"/>
      <c r="J59" s="19"/>
      <c r="K59" s="19"/>
      <c r="L59" s="18"/>
      <c r="M59" s="18"/>
      <c r="N59" s="18"/>
      <c r="O59" s="18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18"/>
      <c r="AC59" s="18"/>
      <c r="AD59" s="18"/>
      <c r="AE59" s="18"/>
      <c r="AF59" s="18"/>
      <c r="AG59" s="18"/>
      <c r="AH59" s="19"/>
      <c r="AI59" s="19"/>
      <c r="AJ59" s="19"/>
      <c r="AK59" s="18"/>
      <c r="AL59" s="18"/>
      <c r="AM59" s="18"/>
      <c r="AN59" s="18"/>
      <c r="AO59" s="18"/>
      <c r="AP59" s="20"/>
      <c r="AQ59" s="18"/>
      <c r="AR59" s="20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4">
        <f t="shared" si="0"/>
        <v>0</v>
      </c>
      <c r="BP59">
        <f t="shared" si="1"/>
        <v>0</v>
      </c>
    </row>
    <row r="60" customHeight="1" spans="1:68">
      <c r="A60" s="16" t="s">
        <v>959</v>
      </c>
      <c r="B60" s="17" t="s">
        <v>960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>
        <v>25</v>
      </c>
      <c r="N60" s="18"/>
      <c r="O60" s="18"/>
      <c r="P60" s="18">
        <v>100</v>
      </c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9"/>
      <c r="AI60" s="19"/>
      <c r="AJ60" s="19"/>
      <c r="AK60" s="18"/>
      <c r="AL60" s="18"/>
      <c r="AM60" s="18"/>
      <c r="AN60" s="18"/>
      <c r="AO60" s="18"/>
      <c r="AP60" s="18"/>
      <c r="AQ60" s="18"/>
      <c r="AR60" s="20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4">
        <f t="shared" si="0"/>
        <v>125</v>
      </c>
      <c r="BP60">
        <f t="shared" si="1"/>
        <v>0</v>
      </c>
    </row>
    <row r="61" customHeight="1" spans="1:68">
      <c r="A61" s="16" t="s">
        <v>909</v>
      </c>
      <c r="B61" s="21" t="s">
        <v>961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9"/>
      <c r="AI61" s="19"/>
      <c r="AJ61" s="19"/>
      <c r="AK61" s="18"/>
      <c r="AL61" s="18"/>
      <c r="AM61" s="18"/>
      <c r="AN61" s="18"/>
      <c r="AO61" s="18"/>
      <c r="AP61" s="18"/>
      <c r="AQ61" s="18"/>
      <c r="AR61" s="20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4">
        <f t="shared" si="0"/>
        <v>0</v>
      </c>
      <c r="BP61">
        <f t="shared" si="1"/>
        <v>0</v>
      </c>
    </row>
    <row r="62" customHeight="1" spans="1:68">
      <c r="A62" s="16" t="s">
        <v>967</v>
      </c>
      <c r="B62" s="17" t="s">
        <v>968</v>
      </c>
      <c r="C62" s="18"/>
      <c r="D62" s="18"/>
      <c r="E62" s="18"/>
      <c r="F62" s="18"/>
      <c r="G62" s="18"/>
      <c r="H62" s="18"/>
      <c r="I62" s="18"/>
      <c r="J62" s="18"/>
      <c r="K62" s="18">
        <v>150</v>
      </c>
      <c r="L62" s="18"/>
      <c r="M62" s="18"/>
      <c r="N62" s="18"/>
      <c r="O62" s="18"/>
      <c r="P62" s="18">
        <v>75</v>
      </c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9"/>
      <c r="AI62" s="19"/>
      <c r="AJ62" s="19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4">
        <f t="shared" si="0"/>
        <v>225</v>
      </c>
      <c r="BP62">
        <f t="shared" si="1"/>
        <v>0</v>
      </c>
    </row>
    <row r="63" customHeight="1" spans="1:68">
      <c r="A63" s="16" t="s">
        <v>879</v>
      </c>
      <c r="B63" s="21" t="s">
        <v>880</v>
      </c>
      <c r="C63" s="22"/>
      <c r="D63" s="22"/>
      <c r="E63" s="22"/>
      <c r="F63" s="22"/>
      <c r="G63" s="22"/>
      <c r="H63" s="22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9"/>
      <c r="AI63" s="19"/>
      <c r="AJ63" s="19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4">
        <f t="shared" si="0"/>
        <v>0</v>
      </c>
      <c r="BP63">
        <f t="shared" si="1"/>
        <v>0</v>
      </c>
    </row>
    <row r="64" customHeight="1" spans="1:68">
      <c r="A64" s="16" t="s">
        <v>969</v>
      </c>
      <c r="B64" s="21" t="s">
        <v>970</v>
      </c>
      <c r="C64" s="22"/>
      <c r="D64" s="22"/>
      <c r="E64" s="22"/>
      <c r="F64" s="22"/>
      <c r="G64" s="22"/>
      <c r="H64" s="22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9"/>
      <c r="AI64" s="19"/>
      <c r="AJ64" s="19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4">
        <f t="shared" si="0"/>
        <v>0</v>
      </c>
    </row>
    <row r="65" customHeight="1" spans="1:68">
      <c r="A65" s="16" t="s">
        <v>971</v>
      </c>
      <c r="B65" s="21" t="s">
        <v>972</v>
      </c>
      <c r="C65" s="22"/>
      <c r="D65" s="22"/>
      <c r="E65" s="22">
        <v>300</v>
      </c>
      <c r="F65" s="22"/>
      <c r="G65" s="22"/>
      <c r="H65" s="22"/>
      <c r="I65" s="18"/>
      <c r="J65" s="18"/>
      <c r="K65" s="18">
        <v>1000</v>
      </c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9"/>
      <c r="AI65" s="19"/>
      <c r="AJ65" s="19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4">
        <f t="shared" si="0"/>
        <v>1300</v>
      </c>
      <c r="BO65">
        <v>13.8</v>
      </c>
      <c r="BP65">
        <f t="shared" si="1"/>
        <v>17940</v>
      </c>
    </row>
    <row r="66" customHeight="1" spans="1:68">
      <c r="A66" s="16" t="s">
        <v>973</v>
      </c>
      <c r="B66" s="21" t="s">
        <v>974</v>
      </c>
      <c r="C66" s="22"/>
      <c r="D66" s="22"/>
      <c r="E66" s="22"/>
      <c r="F66" s="22"/>
      <c r="G66" s="22"/>
      <c r="H66" s="22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9"/>
      <c r="AI66" s="19"/>
      <c r="AJ66" s="19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4">
        <f t="shared" si="0"/>
        <v>0</v>
      </c>
      <c r="BP66">
        <f t="shared" si="1"/>
        <v>0</v>
      </c>
    </row>
    <row r="67" customHeight="1" spans="1:68">
      <c r="A67" s="16" t="s">
        <v>975</v>
      </c>
      <c r="B67" s="21" t="s">
        <v>976</v>
      </c>
      <c r="C67" s="22"/>
      <c r="D67" s="22"/>
      <c r="E67" s="22"/>
      <c r="F67" s="22"/>
      <c r="G67" s="22"/>
      <c r="H67" s="22"/>
      <c r="I67" s="18"/>
      <c r="J67" s="18"/>
      <c r="K67" s="18"/>
      <c r="L67" s="18"/>
      <c r="M67" s="18">
        <v>500</v>
      </c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9"/>
      <c r="AI67" s="19"/>
      <c r="AJ67" s="19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4">
        <f t="shared" si="0"/>
        <v>500</v>
      </c>
      <c r="BP67">
        <f t="shared" si="1"/>
        <v>0</v>
      </c>
    </row>
    <row r="68" customHeight="1" spans="1:68">
      <c r="A68" s="16" t="s">
        <v>977</v>
      </c>
      <c r="B68" s="21" t="s">
        <v>978</v>
      </c>
      <c r="C68" s="22"/>
      <c r="D68" s="22"/>
      <c r="E68" s="22"/>
      <c r="F68" s="22"/>
      <c r="G68" s="22"/>
      <c r="H68" s="22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9"/>
      <c r="AI68" s="19"/>
      <c r="AJ68" s="19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4">
        <f t="shared" si="0"/>
        <v>0</v>
      </c>
      <c r="BP68">
        <f t="shared" si="1"/>
        <v>0</v>
      </c>
    </row>
    <row r="69" customHeight="1" spans="1:68">
      <c r="A69" s="16" t="s">
        <v>979</v>
      </c>
      <c r="B69" s="21" t="s">
        <v>980</v>
      </c>
      <c r="C69" s="22"/>
      <c r="D69" s="22"/>
      <c r="E69" s="22"/>
      <c r="F69" s="22"/>
      <c r="G69" s="22"/>
      <c r="H69" s="22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9"/>
      <c r="AI69" s="19"/>
      <c r="AJ69" s="19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4">
        <f t="shared" ref="BN69:BN128" si="2">C69+D69+E69+F69+G69+H69+I69+J69+K69+L69+M69+N69+O69+P69</f>
        <v>0</v>
      </c>
      <c r="BP69">
        <f t="shared" si="1"/>
        <v>0</v>
      </c>
    </row>
    <row r="70" customHeight="1" spans="1:68">
      <c r="A70" s="16" t="s">
        <v>981</v>
      </c>
      <c r="B70" s="21" t="s">
        <v>982</v>
      </c>
      <c r="C70" s="22"/>
      <c r="D70" s="22"/>
      <c r="E70" s="22"/>
      <c r="F70" s="22"/>
      <c r="G70" s="22"/>
      <c r="H70" s="22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9"/>
      <c r="AI70" s="19"/>
      <c r="AJ70" s="19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4">
        <f t="shared" si="2"/>
        <v>0</v>
      </c>
      <c r="BP70">
        <f t="shared" si="1"/>
        <v>0</v>
      </c>
    </row>
    <row r="71" customHeight="1" spans="1:68">
      <c r="A71" s="16" t="s">
        <v>983</v>
      </c>
      <c r="B71" s="21" t="s">
        <v>984</v>
      </c>
      <c r="C71" s="22"/>
      <c r="D71" s="22"/>
      <c r="E71" s="22"/>
      <c r="F71" s="22"/>
      <c r="G71" s="22"/>
      <c r="H71" s="22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9"/>
      <c r="AI71" s="19"/>
      <c r="AJ71" s="19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4">
        <f t="shared" si="2"/>
        <v>0</v>
      </c>
      <c r="BP71">
        <f t="shared" si="1"/>
        <v>0</v>
      </c>
    </row>
    <row r="72" customHeight="1" spans="1:68">
      <c r="A72" s="16" t="s">
        <v>985</v>
      </c>
      <c r="B72" s="21" t="s">
        <v>986</v>
      </c>
      <c r="C72" s="22"/>
      <c r="D72" s="22"/>
      <c r="E72" s="22"/>
      <c r="F72" s="22"/>
      <c r="G72" s="22"/>
      <c r="H72" s="22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9"/>
      <c r="AI72" s="19"/>
      <c r="AJ72" s="19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4">
        <f t="shared" si="2"/>
        <v>0</v>
      </c>
    </row>
    <row r="73" customHeight="1" spans="1:68">
      <c r="A73" s="16" t="s">
        <v>987</v>
      </c>
      <c r="B73" s="21" t="s">
        <v>988</v>
      </c>
      <c r="C73" s="22"/>
      <c r="D73" s="22"/>
      <c r="E73" s="22"/>
      <c r="F73" s="22"/>
      <c r="G73" s="22"/>
      <c r="H73" s="22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9"/>
      <c r="AI73" s="19"/>
      <c r="AJ73" s="19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4">
        <f t="shared" si="2"/>
        <v>0</v>
      </c>
      <c r="BP73">
        <f t="shared" ref="BP73:BP128" si="3">BN73*BO73</f>
        <v>0</v>
      </c>
    </row>
    <row r="74" customHeight="1" spans="1:68">
      <c r="A74" s="16" t="s">
        <v>989</v>
      </c>
      <c r="B74" s="21" t="s">
        <v>990</v>
      </c>
      <c r="C74" s="22"/>
      <c r="D74" s="22"/>
      <c r="E74" s="22"/>
      <c r="F74" s="22"/>
      <c r="G74" s="22"/>
      <c r="H74" s="22"/>
      <c r="I74" s="18">
        <v>13000</v>
      </c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9"/>
      <c r="AI74" s="19"/>
      <c r="AJ74" s="19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4">
        <f t="shared" si="2"/>
        <v>13000</v>
      </c>
      <c r="BP74">
        <f t="shared" si="3"/>
        <v>0</v>
      </c>
    </row>
    <row r="75" customHeight="1" spans="1:68">
      <c r="A75" s="16" t="s">
        <v>991</v>
      </c>
      <c r="B75" s="21" t="s">
        <v>992</v>
      </c>
      <c r="C75" s="22"/>
      <c r="D75" s="22"/>
      <c r="E75" s="22"/>
      <c r="F75" s="22"/>
      <c r="G75" s="22"/>
      <c r="H75" s="22"/>
      <c r="I75" s="18">
        <v>13600</v>
      </c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9"/>
      <c r="AI75" s="19"/>
      <c r="AJ75" s="19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4">
        <f t="shared" si="2"/>
        <v>13600</v>
      </c>
      <c r="BP75">
        <f t="shared" si="3"/>
        <v>0</v>
      </c>
    </row>
    <row r="76" customHeight="1" spans="1:68">
      <c r="A76" s="16" t="s">
        <v>993</v>
      </c>
      <c r="B76" s="21" t="s">
        <v>994</v>
      </c>
      <c r="C76" s="22"/>
      <c r="D76" s="22"/>
      <c r="E76" s="22"/>
      <c r="F76" s="22"/>
      <c r="G76" s="22"/>
      <c r="H76" s="22"/>
      <c r="I76" s="18">
        <v>10800</v>
      </c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9"/>
      <c r="AI76" s="19"/>
      <c r="AJ76" s="19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4">
        <f t="shared" si="2"/>
        <v>10800</v>
      </c>
      <c r="BP76">
        <f t="shared" si="3"/>
        <v>0</v>
      </c>
    </row>
    <row r="77" customHeight="1" spans="1:68">
      <c r="A77" s="16" t="s">
        <v>995</v>
      </c>
      <c r="B77" s="21" t="s">
        <v>996</v>
      </c>
      <c r="C77" s="22"/>
      <c r="D77" s="22"/>
      <c r="E77" s="22"/>
      <c r="F77" s="22"/>
      <c r="G77" s="22"/>
      <c r="H77" s="22"/>
      <c r="I77" s="18">
        <v>6400</v>
      </c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9"/>
      <c r="AI77" s="19"/>
      <c r="AJ77" s="19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4">
        <f t="shared" si="2"/>
        <v>6400</v>
      </c>
      <c r="BP77">
        <f t="shared" si="3"/>
        <v>0</v>
      </c>
    </row>
    <row r="78" customHeight="1" spans="1:68">
      <c r="A78" s="16" t="s">
        <v>997</v>
      </c>
      <c r="B78" s="21" t="s">
        <v>717</v>
      </c>
      <c r="C78" s="22"/>
      <c r="D78" s="22"/>
      <c r="E78" s="22"/>
      <c r="F78" s="22"/>
      <c r="G78" s="22"/>
      <c r="H78" s="22"/>
      <c r="I78" s="18">
        <v>14000</v>
      </c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9"/>
      <c r="AI78" s="19"/>
      <c r="AJ78" s="19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4">
        <f t="shared" si="2"/>
        <v>14000</v>
      </c>
      <c r="BP78">
        <f t="shared" si="3"/>
        <v>0</v>
      </c>
    </row>
    <row r="79" customHeight="1" spans="1:68">
      <c r="A79" s="16" t="s">
        <v>998</v>
      </c>
      <c r="B79" s="21" t="s">
        <v>999</v>
      </c>
      <c r="C79" s="22"/>
      <c r="D79" s="22"/>
      <c r="E79" s="22">
        <v>10000</v>
      </c>
      <c r="F79" s="22"/>
      <c r="G79" s="22"/>
      <c r="H79" s="22"/>
      <c r="I79" s="18"/>
      <c r="J79" s="18"/>
      <c r="K79" s="18"/>
      <c r="L79" s="18">
        <v>20000</v>
      </c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9"/>
      <c r="AI79" s="19"/>
      <c r="AJ79" s="19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4">
        <f t="shared" si="2"/>
        <v>30000</v>
      </c>
      <c r="BP79">
        <f t="shared" si="3"/>
        <v>0</v>
      </c>
    </row>
    <row r="80" customHeight="1" spans="1:68">
      <c r="A80" s="16" t="s">
        <v>1000</v>
      </c>
      <c r="B80" s="21" t="s">
        <v>1001</v>
      </c>
      <c r="C80" s="22"/>
      <c r="D80" s="22"/>
      <c r="E80" s="22"/>
      <c r="F80" s="22"/>
      <c r="G80" s="22"/>
      <c r="H80" s="22"/>
      <c r="I80" s="18">
        <v>14000</v>
      </c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9"/>
      <c r="AI80" s="19"/>
      <c r="AJ80" s="19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4">
        <f t="shared" si="2"/>
        <v>14000</v>
      </c>
      <c r="BP80">
        <f t="shared" si="3"/>
        <v>0</v>
      </c>
    </row>
    <row r="81" customHeight="1" spans="1:68">
      <c r="A81" s="16" t="s">
        <v>1002</v>
      </c>
      <c r="B81" s="21" t="s">
        <v>801</v>
      </c>
      <c r="C81" s="22"/>
      <c r="D81" s="22"/>
      <c r="E81" s="22"/>
      <c r="F81" s="22"/>
      <c r="G81" s="22"/>
      <c r="H81" s="22"/>
      <c r="I81" s="18">
        <v>40800</v>
      </c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9"/>
      <c r="AI81" s="19"/>
      <c r="AJ81" s="19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4">
        <f t="shared" si="2"/>
        <v>40800</v>
      </c>
      <c r="BP81">
        <f t="shared" si="3"/>
        <v>0</v>
      </c>
    </row>
    <row r="82" customHeight="1" spans="1:68">
      <c r="A82" s="16" t="s">
        <v>1003</v>
      </c>
      <c r="B82" s="21" t="s">
        <v>1004</v>
      </c>
      <c r="C82" s="22"/>
      <c r="D82" s="22"/>
      <c r="E82" s="22"/>
      <c r="F82" s="22"/>
      <c r="G82" s="22"/>
      <c r="H82" s="22"/>
      <c r="I82" s="18">
        <v>13500</v>
      </c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9"/>
      <c r="AI82" s="19"/>
      <c r="AJ82" s="19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4">
        <f t="shared" si="2"/>
        <v>13500</v>
      </c>
      <c r="BP82">
        <f t="shared" si="3"/>
        <v>0</v>
      </c>
    </row>
    <row r="83" customHeight="1" spans="1:68">
      <c r="A83" s="16" t="s">
        <v>1005</v>
      </c>
      <c r="B83" s="21" t="s">
        <v>1006</v>
      </c>
      <c r="C83" s="22"/>
      <c r="D83" s="22"/>
      <c r="E83" s="22"/>
      <c r="F83" s="22"/>
      <c r="G83" s="22"/>
      <c r="H83" s="22"/>
      <c r="I83" s="18">
        <v>41500</v>
      </c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9"/>
      <c r="AI83" s="19"/>
      <c r="AJ83" s="19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4">
        <f t="shared" si="2"/>
        <v>41500</v>
      </c>
      <c r="BP83">
        <f t="shared" si="3"/>
        <v>0</v>
      </c>
    </row>
    <row r="84" customHeight="1" spans="1:68">
      <c r="A84" s="16" t="s">
        <v>1007</v>
      </c>
      <c r="B84" s="21" t="s">
        <v>1008</v>
      </c>
      <c r="C84" s="22"/>
      <c r="D84" s="22"/>
      <c r="E84" s="22"/>
      <c r="F84" s="22"/>
      <c r="G84" s="22"/>
      <c r="H84" s="22"/>
      <c r="I84" s="18">
        <v>3800</v>
      </c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9"/>
      <c r="AI84" s="19"/>
      <c r="AJ84" s="19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4">
        <f t="shared" si="2"/>
        <v>3800</v>
      </c>
      <c r="BP84">
        <f t="shared" si="3"/>
        <v>0</v>
      </c>
    </row>
    <row r="85" customHeight="1" spans="1:68">
      <c r="A85" s="16" t="s">
        <v>1009</v>
      </c>
      <c r="B85" s="21" t="s">
        <v>1010</v>
      </c>
      <c r="C85" s="22"/>
      <c r="D85" s="22"/>
      <c r="E85" s="22"/>
      <c r="F85" s="22"/>
      <c r="G85" s="22"/>
      <c r="H85" s="22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9"/>
      <c r="AI85" s="19"/>
      <c r="AJ85" s="19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4">
        <f t="shared" si="2"/>
        <v>0</v>
      </c>
      <c r="BP85">
        <f t="shared" si="3"/>
        <v>0</v>
      </c>
    </row>
    <row r="86" customHeight="1" spans="1:68">
      <c r="A86" s="16" t="s">
        <v>1011</v>
      </c>
      <c r="B86" s="17" t="s">
        <v>1012</v>
      </c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9"/>
      <c r="AI86" s="19"/>
      <c r="AJ86" s="19"/>
      <c r="AK86" s="18"/>
      <c r="AL86" s="20"/>
      <c r="AM86" s="20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4">
        <f t="shared" si="2"/>
        <v>0</v>
      </c>
      <c r="BP86">
        <f t="shared" si="3"/>
        <v>0</v>
      </c>
    </row>
    <row r="87" customHeight="1" spans="1:68">
      <c r="A87" s="16" t="s">
        <v>1013</v>
      </c>
      <c r="B87" s="17" t="s">
        <v>1014</v>
      </c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20"/>
      <c r="AF87" s="20"/>
      <c r="AG87" s="20"/>
      <c r="AH87" s="19"/>
      <c r="AI87" s="19"/>
      <c r="AJ87" s="19"/>
      <c r="AK87" s="18"/>
      <c r="AL87" s="20"/>
      <c r="AM87" s="20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4">
        <f t="shared" si="2"/>
        <v>0</v>
      </c>
      <c r="BP87">
        <f t="shared" si="3"/>
        <v>0</v>
      </c>
    </row>
    <row r="88" customHeight="1" spans="1:68">
      <c r="A88" s="16" t="s">
        <v>1015</v>
      </c>
      <c r="B88" s="17" t="s">
        <v>1016</v>
      </c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20"/>
      <c r="AF88" s="20"/>
      <c r="AG88" s="20"/>
      <c r="AH88" s="19"/>
      <c r="AI88" s="19"/>
      <c r="AJ88" s="19"/>
      <c r="AK88" s="18"/>
      <c r="AL88" s="20"/>
      <c r="AM88" s="20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4">
        <f t="shared" si="2"/>
        <v>0</v>
      </c>
      <c r="BP88">
        <f t="shared" si="3"/>
        <v>0</v>
      </c>
    </row>
    <row r="89" customHeight="1" spans="1:68">
      <c r="A89" s="16" t="s">
        <v>1017</v>
      </c>
      <c r="B89" s="17" t="s">
        <v>1018</v>
      </c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20"/>
      <c r="AF89" s="20"/>
      <c r="AG89" s="20"/>
      <c r="AH89" s="19"/>
      <c r="AI89" s="19"/>
      <c r="AJ89" s="19"/>
      <c r="AK89" s="18"/>
      <c r="AL89" s="20"/>
      <c r="AM89" s="20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4">
        <f t="shared" si="2"/>
        <v>0</v>
      </c>
      <c r="BP89">
        <f t="shared" si="3"/>
        <v>0</v>
      </c>
    </row>
    <row r="90" customHeight="1" spans="1:68">
      <c r="A90" s="16" t="s">
        <v>1019</v>
      </c>
      <c r="B90" s="17" t="s">
        <v>1020</v>
      </c>
      <c r="C90" s="18"/>
      <c r="D90" s="18"/>
      <c r="E90" s="18"/>
      <c r="F90" s="18"/>
      <c r="G90" s="18"/>
      <c r="H90" s="18"/>
      <c r="I90" s="18"/>
      <c r="J90" s="18"/>
      <c r="K90" s="18"/>
      <c r="L90" s="18">
        <v>24500</v>
      </c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20"/>
      <c r="AF90" s="20"/>
      <c r="AG90" s="20"/>
      <c r="AH90" s="19"/>
      <c r="AI90" s="19"/>
      <c r="AJ90" s="19"/>
      <c r="AK90" s="18"/>
      <c r="AL90" s="20"/>
      <c r="AM90" s="20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4">
        <f t="shared" si="2"/>
        <v>24500</v>
      </c>
    </row>
    <row r="91" customHeight="1" spans="1:68">
      <c r="A91" s="16" t="s">
        <v>778</v>
      </c>
      <c r="B91" s="17" t="s">
        <v>1021</v>
      </c>
      <c r="C91" s="18"/>
      <c r="D91" s="18"/>
      <c r="E91" s="18"/>
      <c r="F91" s="18"/>
      <c r="G91" s="18"/>
      <c r="H91" s="18"/>
      <c r="I91" s="18"/>
      <c r="J91" s="18">
        <v>11</v>
      </c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28"/>
      <c r="Z91" s="18"/>
      <c r="AA91" s="18"/>
      <c r="AB91" s="18"/>
      <c r="AC91" s="18"/>
      <c r="AD91" s="18"/>
      <c r="AE91" s="19"/>
      <c r="AF91" s="19"/>
      <c r="AG91" s="19"/>
      <c r="AH91" s="19"/>
      <c r="AI91" s="19"/>
      <c r="AJ91" s="19"/>
      <c r="AK91" s="18"/>
      <c r="AL91" s="20"/>
      <c r="AM91" s="20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4">
        <f t="shared" si="2"/>
        <v>11</v>
      </c>
      <c r="BP91">
        <f t="shared" si="3"/>
        <v>0</v>
      </c>
    </row>
    <row r="92" customHeight="1" spans="1:68">
      <c r="A92" s="16" t="s">
        <v>704</v>
      </c>
      <c r="B92" s="17" t="s">
        <v>1022</v>
      </c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9"/>
      <c r="AI92" s="19"/>
      <c r="AJ92" s="19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4">
        <f t="shared" si="2"/>
        <v>0</v>
      </c>
      <c r="BP92">
        <f t="shared" si="3"/>
        <v>0</v>
      </c>
    </row>
    <row r="93" customHeight="1" spans="1:68">
      <c r="A93" s="16" t="s">
        <v>1023</v>
      </c>
      <c r="B93" s="17" t="s">
        <v>1024</v>
      </c>
      <c r="C93" s="18"/>
      <c r="D93" s="18"/>
      <c r="E93" s="18"/>
      <c r="F93" s="18">
        <v>40</v>
      </c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9"/>
      <c r="AI93" s="19"/>
      <c r="AJ93" s="19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4">
        <f t="shared" si="2"/>
        <v>40</v>
      </c>
      <c r="BP93">
        <f t="shared" si="3"/>
        <v>0</v>
      </c>
    </row>
    <row r="94" customHeight="1" spans="1:68">
      <c r="A94" s="16" t="s">
        <v>1025</v>
      </c>
      <c r="B94" s="17" t="s">
        <v>702</v>
      </c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9"/>
      <c r="AI94" s="19"/>
      <c r="AJ94" s="19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4">
        <f t="shared" si="2"/>
        <v>0</v>
      </c>
      <c r="BP94">
        <f t="shared" si="3"/>
        <v>0</v>
      </c>
    </row>
    <row r="95" customHeight="1" spans="1:68">
      <c r="A95" s="16" t="s">
        <v>1026</v>
      </c>
      <c r="B95" s="17" t="s">
        <v>702</v>
      </c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9"/>
      <c r="AI95" s="19"/>
      <c r="AJ95" s="19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4">
        <f t="shared" si="2"/>
        <v>0</v>
      </c>
      <c r="BP95">
        <f t="shared" si="3"/>
        <v>0</v>
      </c>
    </row>
    <row r="96" customHeight="1" spans="1:68">
      <c r="A96" s="29" t="s">
        <v>98</v>
      </c>
      <c r="B96" s="30" t="s">
        <v>1027</v>
      </c>
      <c r="C96" s="31"/>
      <c r="D96" s="31"/>
      <c r="E96" s="31"/>
      <c r="F96" s="31"/>
      <c r="G96" s="31"/>
      <c r="H96" s="31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7"/>
      <c r="AI96" s="27"/>
      <c r="AJ96" s="27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26"/>
      <c r="BK96" s="26"/>
      <c r="BL96" s="26"/>
      <c r="BM96" s="26"/>
      <c r="BN96" s="14">
        <f t="shared" si="2"/>
        <v>0</v>
      </c>
      <c r="BP96">
        <f t="shared" si="3"/>
        <v>0</v>
      </c>
    </row>
    <row r="97" customHeight="1" spans="1:68">
      <c r="A97" s="29" t="s">
        <v>1028</v>
      </c>
      <c r="B97" s="32" t="s">
        <v>1029</v>
      </c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7"/>
      <c r="AI97" s="27"/>
      <c r="AJ97" s="27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14">
        <f t="shared" si="2"/>
        <v>0</v>
      </c>
      <c r="BO97">
        <v>0.5</v>
      </c>
      <c r="BP97">
        <f t="shared" si="3"/>
        <v>0</v>
      </c>
    </row>
    <row r="98" customHeight="1" spans="1:68">
      <c r="A98" s="29" t="s">
        <v>1030</v>
      </c>
      <c r="B98" s="32" t="s">
        <v>1031</v>
      </c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7"/>
      <c r="AI98" s="27"/>
      <c r="AJ98" s="27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14">
        <f t="shared" si="2"/>
        <v>0</v>
      </c>
      <c r="BO98">
        <v>1.1</v>
      </c>
      <c r="BP98">
        <f t="shared" si="3"/>
        <v>0</v>
      </c>
    </row>
    <row r="99" customHeight="1" spans="1:68">
      <c r="A99" s="29" t="s">
        <v>1032</v>
      </c>
      <c r="B99" s="32" t="s">
        <v>1033</v>
      </c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7"/>
      <c r="AI99" s="27"/>
      <c r="AJ99" s="27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14">
        <f t="shared" si="2"/>
        <v>0</v>
      </c>
      <c r="BO99">
        <v>1.1</v>
      </c>
      <c r="BP99">
        <f t="shared" si="3"/>
        <v>0</v>
      </c>
    </row>
    <row r="100" customHeight="1" spans="1:68">
      <c r="A100" s="29" t="s">
        <v>1034</v>
      </c>
      <c r="B100" s="32" t="s">
        <v>1035</v>
      </c>
      <c r="C100" s="26"/>
      <c r="D100" s="26">
        <v>400</v>
      </c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7"/>
      <c r="AI100" s="27"/>
      <c r="AJ100" s="27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14">
        <f t="shared" si="2"/>
        <v>400</v>
      </c>
      <c r="BP100">
        <f t="shared" si="3"/>
        <v>0</v>
      </c>
    </row>
    <row r="101" customHeight="1" spans="1:68">
      <c r="A101" s="29" t="s">
        <v>98</v>
      </c>
      <c r="B101" s="32" t="s">
        <v>1036</v>
      </c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7"/>
      <c r="AI101" s="27"/>
      <c r="AJ101" s="27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14">
        <f t="shared" si="2"/>
        <v>0</v>
      </c>
      <c r="BP101">
        <f t="shared" si="3"/>
        <v>0</v>
      </c>
    </row>
    <row r="102" customHeight="1" spans="1:68">
      <c r="A102" s="29"/>
      <c r="B102" s="32" t="s">
        <v>1037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7"/>
      <c r="AI102" s="27"/>
      <c r="AJ102" s="27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14">
        <f t="shared" si="2"/>
        <v>0</v>
      </c>
      <c r="BP102">
        <f t="shared" si="3"/>
        <v>0</v>
      </c>
    </row>
    <row r="103" customHeight="1" spans="1:68">
      <c r="A103" s="29"/>
      <c r="B103" s="32" t="s">
        <v>1038</v>
      </c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7"/>
      <c r="AI103" s="27"/>
      <c r="AJ103" s="27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14">
        <f t="shared" si="2"/>
        <v>0</v>
      </c>
      <c r="BP103">
        <f t="shared" si="3"/>
        <v>0</v>
      </c>
    </row>
    <row r="104" customHeight="1" spans="1:68">
      <c r="A104" s="29"/>
      <c r="B104" s="32" t="s">
        <v>1039</v>
      </c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7"/>
      <c r="AI104" s="27"/>
      <c r="AJ104" s="27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14">
        <f t="shared" si="2"/>
        <v>0</v>
      </c>
      <c r="BP104">
        <f t="shared" si="3"/>
        <v>0</v>
      </c>
    </row>
    <row r="105" customHeight="1" spans="1:68">
      <c r="A105" s="29"/>
      <c r="B105" s="32" t="s">
        <v>1040</v>
      </c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7"/>
      <c r="AI105" s="27"/>
      <c r="AJ105" s="27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14">
        <f t="shared" si="2"/>
        <v>0</v>
      </c>
      <c r="BP105">
        <f t="shared" si="3"/>
        <v>0</v>
      </c>
    </row>
    <row r="106" customHeight="1" spans="1:68">
      <c r="A106" s="29"/>
      <c r="B106" s="32" t="s">
        <v>89</v>
      </c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7"/>
      <c r="AI106" s="27"/>
      <c r="AJ106" s="27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14">
        <f t="shared" si="2"/>
        <v>0</v>
      </c>
      <c r="BP106">
        <f t="shared" si="3"/>
        <v>0</v>
      </c>
    </row>
    <row r="107" customHeight="1" spans="1:68">
      <c r="A107" s="29"/>
      <c r="B107" s="32" t="s">
        <v>1041</v>
      </c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7"/>
      <c r="AI107" s="27"/>
      <c r="AJ107" s="27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14">
        <f t="shared" si="2"/>
        <v>0</v>
      </c>
      <c r="BP107">
        <f t="shared" si="3"/>
        <v>0</v>
      </c>
    </row>
    <row r="108" customHeight="1" spans="1:68">
      <c r="A108" s="29"/>
      <c r="B108" s="32" t="s">
        <v>1042</v>
      </c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7"/>
      <c r="AI108" s="27"/>
      <c r="AJ108" s="27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14">
        <f t="shared" si="2"/>
        <v>0</v>
      </c>
      <c r="BP108">
        <f t="shared" si="3"/>
        <v>0</v>
      </c>
    </row>
    <row r="109" customHeight="1" spans="1:68">
      <c r="A109" s="29"/>
      <c r="B109" s="32" t="s">
        <v>1043</v>
      </c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7"/>
      <c r="AI109" s="27"/>
      <c r="AJ109" s="27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14">
        <f t="shared" si="2"/>
        <v>0</v>
      </c>
      <c r="BP109">
        <f t="shared" si="3"/>
        <v>0</v>
      </c>
    </row>
    <row r="110" customHeight="1" spans="1:68">
      <c r="A110" s="29"/>
      <c r="B110" s="32" t="s">
        <v>1044</v>
      </c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7"/>
      <c r="AI110" s="27"/>
      <c r="AJ110" s="27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14">
        <f t="shared" si="2"/>
        <v>0</v>
      </c>
      <c r="BP110">
        <f t="shared" si="3"/>
        <v>0</v>
      </c>
    </row>
    <row r="111" customHeight="1" spans="1:68">
      <c r="A111" s="29"/>
      <c r="B111" s="32" t="s">
        <v>1045</v>
      </c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7"/>
      <c r="AI111" s="27"/>
      <c r="AJ111" s="27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14">
        <f t="shared" si="2"/>
        <v>0</v>
      </c>
      <c r="BP111">
        <f t="shared" si="3"/>
        <v>0</v>
      </c>
    </row>
    <row r="112" customHeight="1" spans="1:68">
      <c r="A112" s="29" t="s">
        <v>1046</v>
      </c>
      <c r="B112" s="32" t="s">
        <v>740</v>
      </c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7"/>
      <c r="AI112" s="27"/>
      <c r="AJ112" s="27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14">
        <f t="shared" si="2"/>
        <v>0</v>
      </c>
      <c r="BP112">
        <f t="shared" si="3"/>
        <v>0</v>
      </c>
    </row>
    <row r="113" customHeight="1" spans="1:68">
      <c r="A113" s="29" t="s">
        <v>1047</v>
      </c>
      <c r="B113" s="32" t="s">
        <v>739</v>
      </c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7"/>
      <c r="AI113" s="27"/>
      <c r="AJ113" s="27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14">
        <f t="shared" si="2"/>
        <v>0</v>
      </c>
      <c r="BP113">
        <f t="shared" si="3"/>
        <v>0</v>
      </c>
    </row>
    <row r="114" customHeight="1" spans="1:68">
      <c r="A114" s="29" t="s">
        <v>1048</v>
      </c>
      <c r="B114" s="32" t="s">
        <v>742</v>
      </c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7"/>
      <c r="AI114" s="27"/>
      <c r="AJ114" s="27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14">
        <f t="shared" si="2"/>
        <v>0</v>
      </c>
      <c r="BP114">
        <f t="shared" si="3"/>
        <v>0</v>
      </c>
    </row>
    <row r="115" customHeight="1" spans="1:68">
      <c r="A115" s="29" t="s">
        <v>1049</v>
      </c>
      <c r="B115" s="32" t="s">
        <v>786</v>
      </c>
      <c r="C115" s="26"/>
      <c r="D115" s="26"/>
      <c r="E115" s="26"/>
      <c r="F115" s="26"/>
      <c r="G115" s="26"/>
      <c r="H115" s="26"/>
      <c r="I115" s="26"/>
      <c r="J115" s="26"/>
      <c r="K115" s="26"/>
      <c r="L115" s="26">
        <v>8000</v>
      </c>
      <c r="M115" s="26"/>
      <c r="N115" s="26">
        <v>16000</v>
      </c>
      <c r="O115" s="26">
        <v>8000</v>
      </c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7"/>
      <c r="AI115" s="27"/>
      <c r="AJ115" s="27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  <c r="BK115" s="26"/>
      <c r="BL115" s="26"/>
      <c r="BM115" s="26"/>
      <c r="BN115" s="14">
        <f t="shared" si="2"/>
        <v>32000</v>
      </c>
      <c r="BP115">
        <f t="shared" si="3"/>
        <v>0</v>
      </c>
    </row>
    <row r="116" customHeight="1" spans="1:68">
      <c r="A116" s="29" t="s">
        <v>831</v>
      </c>
      <c r="B116" s="32" t="s">
        <v>1050</v>
      </c>
      <c r="C116" s="26"/>
      <c r="D116" s="26"/>
      <c r="E116" s="26">
        <v>8000</v>
      </c>
      <c r="F116" s="26"/>
      <c r="G116" s="26"/>
      <c r="H116" s="26"/>
      <c r="I116" s="26"/>
      <c r="J116" s="26">
        <v>8000</v>
      </c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7"/>
      <c r="AI116" s="27"/>
      <c r="AJ116" s="27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14">
        <f t="shared" si="2"/>
        <v>16000</v>
      </c>
      <c r="BP116">
        <f t="shared" si="3"/>
        <v>0</v>
      </c>
    </row>
    <row r="117" customHeight="1" spans="1:68">
      <c r="A117" s="29" t="s">
        <v>1051</v>
      </c>
      <c r="B117" s="32" t="s">
        <v>1052</v>
      </c>
      <c r="C117" s="26"/>
      <c r="D117" s="26"/>
      <c r="E117" s="26">
        <v>20000</v>
      </c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7"/>
      <c r="AI117" s="27"/>
      <c r="AJ117" s="27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26"/>
      <c r="BK117" s="26"/>
      <c r="BL117" s="26"/>
      <c r="BM117" s="26"/>
      <c r="BN117" s="14">
        <f t="shared" si="2"/>
        <v>20000</v>
      </c>
      <c r="BP117">
        <f t="shared" si="3"/>
        <v>0</v>
      </c>
    </row>
    <row r="118" customHeight="1" spans="1:68">
      <c r="A118" s="29" t="s">
        <v>1053</v>
      </c>
      <c r="B118" s="32" t="s">
        <v>1054</v>
      </c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7"/>
      <c r="AI118" s="27"/>
      <c r="AJ118" s="27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  <c r="BL118" s="26"/>
      <c r="BM118" s="26"/>
      <c r="BN118" s="14">
        <f t="shared" si="2"/>
        <v>0</v>
      </c>
      <c r="BP118">
        <f t="shared" si="3"/>
        <v>0</v>
      </c>
    </row>
    <row r="119" customHeight="1" spans="1:68">
      <c r="A119" s="29" t="s">
        <v>1055</v>
      </c>
      <c r="B119" s="32" t="s">
        <v>1056</v>
      </c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7"/>
      <c r="AI119" s="27"/>
      <c r="AJ119" s="27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26"/>
      <c r="BK119" s="26"/>
      <c r="BL119" s="26"/>
      <c r="BM119" s="26"/>
      <c r="BN119" s="14">
        <f t="shared" si="2"/>
        <v>0</v>
      </c>
      <c r="BP119">
        <f t="shared" si="3"/>
        <v>0</v>
      </c>
    </row>
    <row r="120" customHeight="1" spans="1:68">
      <c r="A120" s="29" t="s">
        <v>1015</v>
      </c>
      <c r="B120" s="32" t="s">
        <v>1057</v>
      </c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7"/>
      <c r="AI120" s="27"/>
      <c r="AJ120" s="27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  <c r="BL120" s="26"/>
      <c r="BM120" s="26"/>
      <c r="BN120" s="14">
        <f t="shared" si="2"/>
        <v>0</v>
      </c>
    </row>
    <row r="121" customHeight="1" spans="1:68">
      <c r="A121" s="33" t="s">
        <v>838</v>
      </c>
      <c r="B121" s="33" t="s">
        <v>40</v>
      </c>
      <c r="C121" s="34"/>
      <c r="D121" s="34"/>
      <c r="E121" s="34"/>
      <c r="F121" s="34"/>
      <c r="G121" s="34"/>
      <c r="H121" s="34"/>
      <c r="I121" s="35">
        <v>18000</v>
      </c>
      <c r="J121" s="35"/>
      <c r="K121" s="35">
        <v>3000</v>
      </c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6"/>
      <c r="AI121" s="36"/>
      <c r="AJ121" s="36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  <c r="AZ121" s="35"/>
      <c r="BA121" s="35"/>
      <c r="BB121" s="35"/>
      <c r="BC121" s="35"/>
      <c r="BD121" s="35"/>
      <c r="BE121" s="35"/>
      <c r="BF121" s="35"/>
      <c r="BG121" s="35"/>
      <c r="BH121" s="35"/>
      <c r="BI121" s="35"/>
      <c r="BJ121" s="37"/>
      <c r="BK121" s="35"/>
      <c r="BL121" s="35"/>
      <c r="BM121" s="35"/>
      <c r="BN121" s="14">
        <f t="shared" si="2"/>
        <v>21000</v>
      </c>
      <c r="BO121">
        <v>0.63</v>
      </c>
      <c r="BP121">
        <f t="shared" si="3"/>
        <v>13230</v>
      </c>
    </row>
    <row r="122" customHeight="1" spans="1:68">
      <c r="A122" s="33" t="s">
        <v>839</v>
      </c>
      <c r="B122" s="33" t="s">
        <v>42</v>
      </c>
      <c r="C122" s="34"/>
      <c r="D122" s="34"/>
      <c r="E122" s="34"/>
      <c r="F122" s="34"/>
      <c r="G122" s="34"/>
      <c r="H122" s="34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6"/>
      <c r="AI122" s="36"/>
      <c r="AJ122" s="36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  <c r="AZ122" s="35"/>
      <c r="BA122" s="35"/>
      <c r="BB122" s="35"/>
      <c r="BC122" s="35"/>
      <c r="BD122" s="35"/>
      <c r="BE122" s="35"/>
      <c r="BF122" s="35"/>
      <c r="BG122" s="35"/>
      <c r="BH122" s="35"/>
      <c r="BI122" s="35"/>
      <c r="BJ122" s="37"/>
      <c r="BK122" s="35"/>
      <c r="BL122" s="35"/>
      <c r="BM122" s="35"/>
      <c r="BN122" s="14">
        <f t="shared" si="2"/>
        <v>0</v>
      </c>
      <c r="BO122">
        <v>0.77</v>
      </c>
      <c r="BP122">
        <f t="shared" si="3"/>
        <v>0</v>
      </c>
    </row>
    <row r="123" customHeight="1" spans="1:68">
      <c r="A123" s="33" t="s">
        <v>840</v>
      </c>
      <c r="B123" s="33" t="s">
        <v>735</v>
      </c>
      <c r="C123" s="34"/>
      <c r="D123" s="34"/>
      <c r="E123" s="34"/>
      <c r="F123" s="34">
        <v>7020</v>
      </c>
      <c r="G123" s="34"/>
      <c r="H123" s="34"/>
      <c r="I123" s="35">
        <v>3150</v>
      </c>
      <c r="J123" s="35"/>
      <c r="K123" s="35">
        <v>6480</v>
      </c>
      <c r="L123" s="35">
        <v>10620</v>
      </c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6"/>
      <c r="AI123" s="36"/>
      <c r="AJ123" s="36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  <c r="AV123" s="35"/>
      <c r="AW123" s="35"/>
      <c r="AX123" s="35"/>
      <c r="AY123" s="35"/>
      <c r="AZ123" s="35"/>
      <c r="BA123" s="35"/>
      <c r="BB123" s="35"/>
      <c r="BC123" s="35"/>
      <c r="BD123" s="35"/>
      <c r="BE123" s="35"/>
      <c r="BF123" s="35"/>
      <c r="BG123" s="35"/>
      <c r="BH123" s="35"/>
      <c r="BI123" s="35"/>
      <c r="BJ123" s="35"/>
      <c r="BK123" s="35"/>
      <c r="BL123" s="35"/>
      <c r="BM123" s="35"/>
      <c r="BN123" s="14">
        <f t="shared" si="2"/>
        <v>27270</v>
      </c>
      <c r="BO123">
        <v>8.23</v>
      </c>
      <c r="BP123">
        <f t="shared" si="3"/>
        <v>224432.1</v>
      </c>
    </row>
    <row r="124" customHeight="1" spans="1:68">
      <c r="A124" s="33" t="s">
        <v>841</v>
      </c>
      <c r="B124" s="33" t="s">
        <v>737</v>
      </c>
      <c r="C124" s="34"/>
      <c r="D124" s="34"/>
      <c r="E124" s="34"/>
      <c r="F124" s="34"/>
      <c r="G124" s="34"/>
      <c r="H124" s="34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6"/>
      <c r="AI124" s="36"/>
      <c r="AJ124" s="36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  <c r="AW124" s="35"/>
      <c r="AX124" s="35"/>
      <c r="AY124" s="35"/>
      <c r="AZ124" s="35"/>
      <c r="BA124" s="35"/>
      <c r="BB124" s="35"/>
      <c r="BC124" s="35"/>
      <c r="BD124" s="35"/>
      <c r="BE124" s="35"/>
      <c r="BF124" s="35"/>
      <c r="BG124" s="35"/>
      <c r="BH124" s="35"/>
      <c r="BI124" s="35"/>
      <c r="BJ124" s="35"/>
      <c r="BK124" s="35"/>
      <c r="BL124" s="35"/>
      <c r="BM124" s="35"/>
      <c r="BN124" s="14">
        <f t="shared" si="2"/>
        <v>0</v>
      </c>
      <c r="BO124">
        <v>0.88</v>
      </c>
      <c r="BP124">
        <f t="shared" si="3"/>
        <v>0</v>
      </c>
    </row>
    <row r="125" customHeight="1" spans="1:68">
      <c r="A125" s="38" t="s">
        <v>842</v>
      </c>
      <c r="B125" s="33" t="s">
        <v>736</v>
      </c>
      <c r="C125" s="34">
        <v>8000</v>
      </c>
      <c r="D125" s="34"/>
      <c r="E125" s="34"/>
      <c r="F125" s="34"/>
      <c r="G125" s="34"/>
      <c r="H125" s="34"/>
      <c r="I125" s="35">
        <v>8960</v>
      </c>
      <c r="J125" s="35"/>
      <c r="K125" s="35">
        <v>5120</v>
      </c>
      <c r="L125" s="35">
        <v>2240</v>
      </c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6"/>
      <c r="AI125" s="36"/>
      <c r="AJ125" s="36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35"/>
      <c r="AW125" s="35"/>
      <c r="AX125" s="35"/>
      <c r="AY125" s="35"/>
      <c r="AZ125" s="35"/>
      <c r="BA125" s="35"/>
      <c r="BB125" s="35"/>
      <c r="BC125" s="35"/>
      <c r="BD125" s="35"/>
      <c r="BE125" s="35"/>
      <c r="BF125" s="35"/>
      <c r="BG125" s="35"/>
      <c r="BH125" s="35"/>
      <c r="BI125" s="35"/>
      <c r="BJ125" s="35"/>
      <c r="BK125" s="35"/>
      <c r="BL125" s="35"/>
      <c r="BM125" s="35"/>
      <c r="BN125" s="14">
        <f t="shared" si="2"/>
        <v>24320</v>
      </c>
      <c r="BO125">
        <v>7.5</v>
      </c>
      <c r="BP125">
        <f t="shared" si="3"/>
        <v>182400</v>
      </c>
    </row>
    <row r="126" customHeight="1" spans="1:68">
      <c r="A126" s="33" t="s">
        <v>55</v>
      </c>
      <c r="B126" s="33" t="s">
        <v>734</v>
      </c>
      <c r="C126" s="34">
        <v>21000</v>
      </c>
      <c r="D126" s="34"/>
      <c r="E126" s="34"/>
      <c r="F126" s="34"/>
      <c r="G126" s="34"/>
      <c r="H126" s="34"/>
      <c r="I126" s="35">
        <v>21000</v>
      </c>
      <c r="J126" s="35"/>
      <c r="K126" s="35"/>
      <c r="L126" s="35">
        <v>24000</v>
      </c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6"/>
      <c r="AI126" s="36"/>
      <c r="AJ126" s="36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  <c r="AZ126" s="35"/>
      <c r="BA126" s="35"/>
      <c r="BB126" s="35"/>
      <c r="BC126" s="35"/>
      <c r="BD126" s="35"/>
      <c r="BE126" s="35"/>
      <c r="BF126" s="35"/>
      <c r="BG126" s="35"/>
      <c r="BH126" s="35"/>
      <c r="BI126" s="35"/>
      <c r="BJ126" s="35"/>
      <c r="BK126" s="35"/>
      <c r="BL126" s="35"/>
      <c r="BM126" s="35"/>
      <c r="BN126" s="14">
        <f t="shared" si="2"/>
        <v>66000</v>
      </c>
      <c r="BO126">
        <v>0.44</v>
      </c>
      <c r="BP126">
        <f t="shared" si="3"/>
        <v>29040</v>
      </c>
    </row>
    <row r="127" customHeight="1" spans="1:68">
      <c r="A127" s="33" t="s">
        <v>843</v>
      </c>
      <c r="B127" s="33" t="s">
        <v>733</v>
      </c>
      <c r="C127" s="34">
        <v>6000</v>
      </c>
      <c r="D127" s="34"/>
      <c r="E127" s="34"/>
      <c r="F127" s="34"/>
      <c r="G127" s="34"/>
      <c r="H127" s="34"/>
      <c r="I127" s="35">
        <v>33000</v>
      </c>
      <c r="J127" s="35"/>
      <c r="K127" s="35"/>
      <c r="L127" s="35">
        <v>30000</v>
      </c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6"/>
      <c r="AI127" s="36"/>
      <c r="AJ127" s="36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  <c r="AZ127" s="35"/>
      <c r="BA127" s="35"/>
      <c r="BB127" s="35"/>
      <c r="BC127" s="35"/>
      <c r="BD127" s="35"/>
      <c r="BE127" s="35"/>
      <c r="BF127" s="35"/>
      <c r="BG127" s="35"/>
      <c r="BH127" s="35"/>
      <c r="BI127" s="35"/>
      <c r="BJ127" s="35"/>
      <c r="BK127" s="35"/>
      <c r="BL127" s="35"/>
      <c r="BM127" s="35"/>
      <c r="BN127" s="14">
        <f t="shared" si="2"/>
        <v>69000</v>
      </c>
      <c r="BO127">
        <v>0.38</v>
      </c>
      <c r="BP127">
        <f t="shared" si="3"/>
        <v>26220</v>
      </c>
    </row>
    <row r="128" customHeight="1" spans="1:68">
      <c r="A128" s="33" t="s">
        <v>844</v>
      </c>
      <c r="B128" s="33" t="s">
        <v>738</v>
      </c>
      <c r="C128" s="33">
        <v>48000</v>
      </c>
      <c r="D128" s="34"/>
      <c r="E128" s="34"/>
      <c r="F128" s="34"/>
      <c r="G128" s="34"/>
      <c r="H128" s="34"/>
      <c r="I128" s="35">
        <v>8800</v>
      </c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6"/>
      <c r="AI128" s="36"/>
      <c r="AJ128" s="36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35"/>
      <c r="AW128" s="35"/>
      <c r="AX128" s="35"/>
      <c r="AY128" s="35"/>
      <c r="AZ128" s="35"/>
      <c r="BA128" s="35"/>
      <c r="BB128" s="35"/>
      <c r="BC128" s="35"/>
      <c r="BD128" s="35"/>
      <c r="BE128" s="35"/>
      <c r="BF128" s="35"/>
      <c r="BG128" s="35"/>
      <c r="BH128" s="35"/>
      <c r="BI128" s="35"/>
      <c r="BJ128" s="35"/>
      <c r="BK128" s="35"/>
      <c r="BL128" s="35"/>
      <c r="BM128" s="35"/>
      <c r="BN128" s="14">
        <f t="shared" si="2"/>
        <v>56800</v>
      </c>
      <c r="BO128">
        <v>0.61</v>
      </c>
      <c r="BP128">
        <f t="shared" si="3"/>
        <v>34648</v>
      </c>
    </row>
    <row r="129" customHeight="1" spans="3:41">
      <c r="C129" s="39"/>
      <c r="D129" s="40"/>
      <c r="E129" s="40"/>
      <c r="F129" s="40"/>
      <c r="G129" s="40"/>
      <c r="H129" s="40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41"/>
      <c r="AI129" s="41"/>
      <c r="AJ129" s="41"/>
      <c r="AK129" s="3"/>
      <c r="AL129" s="3"/>
      <c r="AM129" s="3"/>
      <c r="AN129" s="3"/>
      <c r="AO129" s="3"/>
    </row>
    <row r="130" customHeight="1" spans="3:41">
      <c r="C130" s="40"/>
      <c r="D130" s="40"/>
      <c r="E130" s="40"/>
      <c r="F130" s="40"/>
      <c r="G130" s="40"/>
      <c r="H130" s="40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41"/>
      <c r="AI130" s="41"/>
      <c r="AJ130" s="41"/>
      <c r="AK130" s="3"/>
      <c r="AL130" s="3"/>
      <c r="AM130" s="3"/>
      <c r="AN130" s="3"/>
      <c r="AO130" s="3"/>
    </row>
  </sheetData>
  <mergeCells count="1">
    <mergeCell ref="A1:BN1"/>
  </mergeCells>
  <pageMargins left="0.7" right="0.7" top="0.75" bottom="0.75" header="0.3" footer="0.3"/>
  <pageSetup paperSize="9" scale="65" orientation="portrait"/>
  <headerFooter/>
  <rowBreaks count="1" manualBreakCount="1">
    <brk id="120" max="40" man="1"/>
  </rowBreaks>
  <colBreaks count="1" manualBreakCount="1">
    <brk id="66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开票</vt:lpstr>
      <vt:lpstr>Sheet2</vt:lpstr>
      <vt:lpstr>Sheet1</vt:lpstr>
      <vt:lpstr>2023年10月材料用              </vt:lpstr>
      <vt:lpstr>2023年9月材料领用             </vt:lpstr>
      <vt:lpstr>2023年8月材料L领用            </vt:lpstr>
      <vt:lpstr>2023年7月材料领用            )</vt:lpstr>
      <vt:lpstr>2023年6月材料领用           </vt:lpstr>
      <vt:lpstr>2023年5月材料领用          </vt:lpstr>
      <vt:lpstr>2023年4月材料领用          (</vt:lpstr>
      <vt:lpstr>2023年2月材料领用         </vt:lpstr>
      <vt:lpstr>2023年2月材料领用        </vt:lpstr>
      <vt:lpstr>2023年1月材料领用       </vt:lpstr>
      <vt:lpstr>2022年12月材料领用      </vt:lpstr>
      <vt:lpstr>2022年11月材料领用     </vt:lpstr>
      <vt:lpstr>2022年10月材料领用    </vt:lpstr>
      <vt:lpstr>2022年9月材料领用    </vt:lpstr>
      <vt:lpstr>2022年8月材料领用   </vt:lpstr>
      <vt:lpstr>2022年7月材料领用  </vt:lpstr>
      <vt:lpstr>2022年6月材料领用 </vt:lpstr>
      <vt:lpstr>2022年5月材料领用</vt:lpstr>
      <vt:lpstr>2022年4月材料领用  </vt:lpstr>
      <vt:lpstr>2022年3月材料领用 </vt:lpstr>
      <vt:lpstr>2022年2月材料领用</vt:lpstr>
      <vt:lpstr>2022年1月材料领用              </vt:lpstr>
      <vt:lpstr>2021年11月材料领用            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朱颜</cp:lastModifiedBy>
  <cp:revision>1</cp:revision>
  <dcterms:created xsi:type="dcterms:W3CDTF">2015-06-18T01:39:00Z</dcterms:created>
  <cp:lastPrinted>2018-08-31T09:38:00Z</cp:lastPrinted>
  <dcterms:modified xsi:type="dcterms:W3CDTF">2026-06-02T00:43:41Z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B70C0540C71B497CA20C147A019D0C11_12</vt:lpwstr>
  </property>
  <property fmtid="{D5CDD505-2E9C-101B-9397-08002B2CF9AE}" pid="4" name="CalculationRule">
    <vt:i4>0</vt:i4>
  </property>
</Properties>
</file>