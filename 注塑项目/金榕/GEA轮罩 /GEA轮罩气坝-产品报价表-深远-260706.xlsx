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42B933B0-5FFB-384B-966E-1E915FAB72AB}" xr6:coauthVersionLast="47" xr6:coauthVersionMax="47" xr10:uidLastSave="{00000000-0000-0000-0000-000000000000}"/>
  <bookViews>
    <workbookView xWindow="3240" yWindow="1200" windowWidth="35160" windowHeight="18600" tabRatio="724" activeTab="3" xr2:uid="{00000000-000D-0000-FFFF-FFFF00000000}"/>
  </bookViews>
  <sheets>
    <sheet name="FR-LH-PHEV" sheetId="1" r:id="rId1"/>
    <sheet name="FR-RH-PHEV" sheetId="2" r:id="rId2"/>
    <sheet name="FR-LH-BEV" sheetId="3" r:id="rId3"/>
    <sheet name="FR-RH-BEV" sheetId="4" r:id="rId4"/>
    <sheet name="RR-LH" sheetId="5" r:id="rId5"/>
    <sheet name="RR-RH" sheetId="6" r:id="rId6"/>
  </sheets>
  <definedNames>
    <definedName name="_xlnm.Print_Area" localSheetId="0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2" l="1"/>
  <c r="F30" i="6" l="1"/>
  <c r="F30" i="4"/>
  <c r="F30" i="3"/>
  <c r="F30" i="2"/>
  <c r="F30" i="1"/>
  <c r="F30" i="5"/>
  <c r="K30" i="1"/>
  <c r="K40" i="1" s="1"/>
  <c r="I30" i="4"/>
  <c r="I30" i="3"/>
  <c r="I30" i="1"/>
  <c r="J30" i="4"/>
  <c r="J30" i="3"/>
  <c r="J30" i="1"/>
  <c r="J30" i="2"/>
  <c r="I30" i="2"/>
  <c r="U57" i="6"/>
  <c r="R57" i="6"/>
  <c r="Q57" i="6"/>
  <c r="N57" i="6"/>
  <c r="K57" i="6"/>
  <c r="H57" i="6"/>
  <c r="G57" i="6"/>
  <c r="U56" i="6"/>
  <c r="R56" i="6"/>
  <c r="Q56" i="6"/>
  <c r="N56" i="6"/>
  <c r="K56" i="6"/>
  <c r="H56" i="6"/>
  <c r="G56" i="6"/>
  <c r="U55" i="6"/>
  <c r="R55" i="6"/>
  <c r="Q55" i="6"/>
  <c r="N55" i="6"/>
  <c r="K55" i="6"/>
  <c r="H55" i="6"/>
  <c r="G55" i="6"/>
  <c r="U54" i="6"/>
  <c r="R54" i="6"/>
  <c r="Q54" i="6"/>
  <c r="N54" i="6"/>
  <c r="K54" i="6"/>
  <c r="H54" i="6"/>
  <c r="G54" i="6"/>
  <c r="U53" i="6"/>
  <c r="R53" i="6"/>
  <c r="Q53" i="6"/>
  <c r="N53" i="6"/>
  <c r="K53" i="6"/>
  <c r="H53" i="6"/>
  <c r="G53" i="6"/>
  <c r="U52" i="6"/>
  <c r="R52" i="6"/>
  <c r="Q52" i="6"/>
  <c r="N52" i="6"/>
  <c r="K52" i="6"/>
  <c r="H52" i="6"/>
  <c r="G52" i="6"/>
  <c r="U51" i="6"/>
  <c r="R51" i="6"/>
  <c r="Q51" i="6"/>
  <c r="N51" i="6"/>
  <c r="K51" i="6"/>
  <c r="H51" i="6"/>
  <c r="G51" i="6"/>
  <c r="U50" i="6"/>
  <c r="R50" i="6"/>
  <c r="Q50" i="6"/>
  <c r="N50" i="6"/>
  <c r="K50" i="6"/>
  <c r="H50" i="6"/>
  <c r="G50" i="6"/>
  <c r="U49" i="6"/>
  <c r="R49" i="6"/>
  <c r="Q49" i="6"/>
  <c r="N49" i="6"/>
  <c r="K49" i="6"/>
  <c r="H49" i="6"/>
  <c r="G49" i="6"/>
  <c r="U48" i="6"/>
  <c r="R48" i="6"/>
  <c r="Q48" i="6"/>
  <c r="N48" i="6"/>
  <c r="K48" i="6"/>
  <c r="H48" i="6"/>
  <c r="G48" i="6"/>
  <c r="U47" i="6"/>
  <c r="R47" i="6"/>
  <c r="Q47" i="6"/>
  <c r="N47" i="6"/>
  <c r="K47" i="6"/>
  <c r="H47" i="6"/>
  <c r="G47" i="6"/>
  <c r="U46" i="6"/>
  <c r="R46" i="6"/>
  <c r="Q46" i="6"/>
  <c r="N46" i="6"/>
  <c r="K46" i="6"/>
  <c r="H46" i="6"/>
  <c r="G46" i="6"/>
  <c r="U45" i="6"/>
  <c r="R45" i="6"/>
  <c r="Q45" i="6"/>
  <c r="N45" i="6"/>
  <c r="K45" i="6"/>
  <c r="H45" i="6"/>
  <c r="G45" i="6"/>
  <c r="U44" i="6"/>
  <c r="R44" i="6"/>
  <c r="Q44" i="6"/>
  <c r="N44" i="6"/>
  <c r="K44" i="6"/>
  <c r="H44" i="6"/>
  <c r="G44" i="6"/>
  <c r="U43" i="6"/>
  <c r="R43" i="6"/>
  <c r="Q43" i="6"/>
  <c r="N43" i="6"/>
  <c r="K43" i="6"/>
  <c r="H43" i="6"/>
  <c r="G43" i="6"/>
  <c r="Q42" i="6"/>
  <c r="H42" i="6"/>
  <c r="K42" i="6" s="1"/>
  <c r="U40" i="6"/>
  <c r="P40" i="6"/>
  <c r="F40" i="6"/>
  <c r="U39" i="6"/>
  <c r="R39" i="6"/>
  <c r="K39" i="6"/>
  <c r="U38" i="6"/>
  <c r="R38" i="6"/>
  <c r="K38" i="6"/>
  <c r="U37" i="6"/>
  <c r="R37" i="6"/>
  <c r="K37" i="6"/>
  <c r="U36" i="6"/>
  <c r="R36" i="6"/>
  <c r="K36" i="6"/>
  <c r="U35" i="6"/>
  <c r="R35" i="6"/>
  <c r="K35" i="6"/>
  <c r="U34" i="6"/>
  <c r="R34" i="6"/>
  <c r="K34" i="6"/>
  <c r="U33" i="6"/>
  <c r="R33" i="6"/>
  <c r="K33" i="6"/>
  <c r="U32" i="6"/>
  <c r="R32" i="6"/>
  <c r="K32" i="6"/>
  <c r="U31" i="6"/>
  <c r="R31" i="6"/>
  <c r="K31" i="6"/>
  <c r="U30" i="6"/>
  <c r="R30" i="6"/>
  <c r="J30" i="6"/>
  <c r="K30" i="6" s="1"/>
  <c r="K40" i="6" s="1"/>
  <c r="I30" i="6"/>
  <c r="U26" i="6"/>
  <c r="K26" i="6"/>
  <c r="U25" i="6"/>
  <c r="K25" i="6"/>
  <c r="U24" i="6"/>
  <c r="K24" i="6"/>
  <c r="U23" i="6"/>
  <c r="K23" i="6"/>
  <c r="U22" i="6"/>
  <c r="K22" i="6"/>
  <c r="U21" i="6"/>
  <c r="K21" i="6"/>
  <c r="U20" i="6"/>
  <c r="K20" i="6"/>
  <c r="U19" i="6"/>
  <c r="K19" i="6"/>
  <c r="U18" i="6"/>
  <c r="K18" i="6"/>
  <c r="U17" i="6"/>
  <c r="K17" i="6"/>
  <c r="U16" i="6"/>
  <c r="K16" i="6"/>
  <c r="U15" i="6"/>
  <c r="K15" i="6"/>
  <c r="U14" i="6"/>
  <c r="K14" i="6"/>
  <c r="U13" i="6"/>
  <c r="K13" i="6"/>
  <c r="U12" i="6"/>
  <c r="U27" i="6" s="1"/>
  <c r="K12" i="6"/>
  <c r="U11" i="6"/>
  <c r="K11" i="6"/>
  <c r="U10" i="6"/>
  <c r="K10" i="6"/>
  <c r="K27" i="6" s="1"/>
  <c r="U57" i="5"/>
  <c r="R57" i="5"/>
  <c r="Q57" i="5"/>
  <c r="N57" i="5"/>
  <c r="K57" i="5"/>
  <c r="H57" i="5"/>
  <c r="G57" i="5"/>
  <c r="U56" i="5"/>
  <c r="R56" i="5"/>
  <c r="Q56" i="5"/>
  <c r="N56" i="5"/>
  <c r="K56" i="5"/>
  <c r="H56" i="5"/>
  <c r="G56" i="5"/>
  <c r="U55" i="5"/>
  <c r="R55" i="5"/>
  <c r="Q55" i="5"/>
  <c r="N55" i="5"/>
  <c r="K55" i="5"/>
  <c r="H55" i="5"/>
  <c r="G55" i="5"/>
  <c r="U54" i="5"/>
  <c r="R54" i="5"/>
  <c r="Q54" i="5"/>
  <c r="N54" i="5"/>
  <c r="K54" i="5"/>
  <c r="H54" i="5"/>
  <c r="G54" i="5"/>
  <c r="U53" i="5"/>
  <c r="R53" i="5"/>
  <c r="Q53" i="5"/>
  <c r="N53" i="5"/>
  <c r="K53" i="5"/>
  <c r="H53" i="5"/>
  <c r="G53" i="5"/>
  <c r="U52" i="5"/>
  <c r="R52" i="5"/>
  <c r="Q52" i="5"/>
  <c r="N52" i="5"/>
  <c r="K52" i="5"/>
  <c r="H52" i="5"/>
  <c r="G52" i="5"/>
  <c r="U51" i="5"/>
  <c r="R51" i="5"/>
  <c r="Q51" i="5"/>
  <c r="N51" i="5"/>
  <c r="K51" i="5"/>
  <c r="H51" i="5"/>
  <c r="G51" i="5"/>
  <c r="U50" i="5"/>
  <c r="R50" i="5"/>
  <c r="Q50" i="5"/>
  <c r="N50" i="5"/>
  <c r="K50" i="5"/>
  <c r="H50" i="5"/>
  <c r="G50" i="5"/>
  <c r="U49" i="5"/>
  <c r="R49" i="5"/>
  <c r="R58" i="5" s="1"/>
  <c r="Q49" i="5"/>
  <c r="N49" i="5"/>
  <c r="K49" i="5"/>
  <c r="H49" i="5"/>
  <c r="G49" i="5"/>
  <c r="U48" i="5"/>
  <c r="R48" i="5"/>
  <c r="Q48" i="5"/>
  <c r="N48" i="5"/>
  <c r="K48" i="5"/>
  <c r="H48" i="5"/>
  <c r="G48" i="5"/>
  <c r="U47" i="5"/>
  <c r="R47" i="5"/>
  <c r="Q47" i="5"/>
  <c r="N47" i="5"/>
  <c r="K47" i="5"/>
  <c r="H47" i="5"/>
  <c r="G47" i="5"/>
  <c r="U46" i="5"/>
  <c r="R46" i="5"/>
  <c r="Q46" i="5"/>
  <c r="N46" i="5"/>
  <c r="K46" i="5"/>
  <c r="H46" i="5"/>
  <c r="G46" i="5"/>
  <c r="U45" i="5"/>
  <c r="R45" i="5"/>
  <c r="Q45" i="5"/>
  <c r="N45" i="5"/>
  <c r="K45" i="5"/>
  <c r="H45" i="5"/>
  <c r="G45" i="5"/>
  <c r="U44" i="5"/>
  <c r="R44" i="5"/>
  <c r="Q44" i="5"/>
  <c r="N44" i="5"/>
  <c r="K44" i="5"/>
  <c r="H44" i="5"/>
  <c r="G44" i="5"/>
  <c r="U43" i="5"/>
  <c r="R43" i="5"/>
  <c r="Q43" i="5"/>
  <c r="N43" i="5"/>
  <c r="K43" i="5"/>
  <c r="H43" i="5"/>
  <c r="G43" i="5"/>
  <c r="U42" i="5"/>
  <c r="U58" i="5" s="1"/>
  <c r="R42" i="5"/>
  <c r="Q42" i="5"/>
  <c r="K42" i="5"/>
  <c r="N42" i="5" s="1"/>
  <c r="H42" i="5"/>
  <c r="G42" i="5"/>
  <c r="P40" i="5"/>
  <c r="F40" i="5"/>
  <c r="U39" i="5"/>
  <c r="R39" i="5"/>
  <c r="K39" i="5"/>
  <c r="U38" i="5"/>
  <c r="R38" i="5"/>
  <c r="K38" i="5"/>
  <c r="U37" i="5"/>
  <c r="R37" i="5"/>
  <c r="K37" i="5"/>
  <c r="U36" i="5"/>
  <c r="R36" i="5"/>
  <c r="K36" i="5"/>
  <c r="U35" i="5"/>
  <c r="R35" i="5"/>
  <c r="K35" i="5"/>
  <c r="U34" i="5"/>
  <c r="R34" i="5"/>
  <c r="K34" i="5"/>
  <c r="U33" i="5"/>
  <c r="R33" i="5"/>
  <c r="K33" i="5"/>
  <c r="U32" i="5"/>
  <c r="R32" i="5"/>
  <c r="K32" i="5"/>
  <c r="U31" i="5"/>
  <c r="R31" i="5"/>
  <c r="K31" i="5"/>
  <c r="U30" i="5"/>
  <c r="U40" i="5" s="1"/>
  <c r="R30" i="5"/>
  <c r="K30" i="5"/>
  <c r="K40" i="5" s="1"/>
  <c r="J30" i="5"/>
  <c r="I30" i="5"/>
  <c r="U26" i="5"/>
  <c r="K26" i="5"/>
  <c r="U25" i="5"/>
  <c r="K25" i="5"/>
  <c r="U24" i="5"/>
  <c r="K24" i="5"/>
  <c r="U23" i="5"/>
  <c r="K23" i="5"/>
  <c r="U22" i="5"/>
  <c r="K22" i="5"/>
  <c r="U21" i="5"/>
  <c r="K21" i="5"/>
  <c r="U20" i="5"/>
  <c r="K20" i="5"/>
  <c r="U19" i="5"/>
  <c r="K19" i="5"/>
  <c r="U18" i="5"/>
  <c r="K18" i="5"/>
  <c r="U17" i="5"/>
  <c r="K17" i="5"/>
  <c r="U16" i="5"/>
  <c r="K16" i="5"/>
  <c r="U15" i="5"/>
  <c r="K15" i="5"/>
  <c r="U14" i="5"/>
  <c r="K14" i="5"/>
  <c r="U13" i="5"/>
  <c r="K13" i="5"/>
  <c r="U12" i="5"/>
  <c r="K12" i="5"/>
  <c r="U11" i="5"/>
  <c r="K11" i="5"/>
  <c r="U10" i="5"/>
  <c r="U27" i="5" s="1"/>
  <c r="K10" i="5"/>
  <c r="U57" i="4"/>
  <c r="R57" i="4"/>
  <c r="Q57" i="4"/>
  <c r="N57" i="4"/>
  <c r="K57" i="4"/>
  <c r="H57" i="4"/>
  <c r="G57" i="4"/>
  <c r="U56" i="4"/>
  <c r="R56" i="4"/>
  <c r="Q56" i="4"/>
  <c r="N56" i="4"/>
  <c r="K56" i="4"/>
  <c r="H56" i="4"/>
  <c r="G56" i="4"/>
  <c r="U55" i="4"/>
  <c r="R55" i="4"/>
  <c r="Q55" i="4"/>
  <c r="N55" i="4"/>
  <c r="K55" i="4"/>
  <c r="H55" i="4"/>
  <c r="G55" i="4"/>
  <c r="U54" i="4"/>
  <c r="R54" i="4"/>
  <c r="Q54" i="4"/>
  <c r="N54" i="4"/>
  <c r="K54" i="4"/>
  <c r="H54" i="4"/>
  <c r="G54" i="4"/>
  <c r="U53" i="4"/>
  <c r="R53" i="4"/>
  <c r="Q53" i="4"/>
  <c r="N53" i="4"/>
  <c r="K53" i="4"/>
  <c r="H53" i="4"/>
  <c r="G53" i="4"/>
  <c r="U52" i="4"/>
  <c r="R52" i="4"/>
  <c r="Q52" i="4"/>
  <c r="N52" i="4"/>
  <c r="K52" i="4"/>
  <c r="H52" i="4"/>
  <c r="G52" i="4"/>
  <c r="U51" i="4"/>
  <c r="R51" i="4"/>
  <c r="Q51" i="4"/>
  <c r="N51" i="4"/>
  <c r="K51" i="4"/>
  <c r="H51" i="4"/>
  <c r="G51" i="4"/>
  <c r="U50" i="4"/>
  <c r="R50" i="4"/>
  <c r="Q50" i="4"/>
  <c r="N50" i="4"/>
  <c r="K50" i="4"/>
  <c r="H50" i="4"/>
  <c r="G50" i="4"/>
  <c r="U49" i="4"/>
  <c r="R49" i="4"/>
  <c r="Q49" i="4"/>
  <c r="N49" i="4"/>
  <c r="K49" i="4"/>
  <c r="H49" i="4"/>
  <c r="G49" i="4"/>
  <c r="U48" i="4"/>
  <c r="R48" i="4"/>
  <c r="Q48" i="4"/>
  <c r="N48" i="4"/>
  <c r="K48" i="4"/>
  <c r="H48" i="4"/>
  <c r="G48" i="4"/>
  <c r="U47" i="4"/>
  <c r="R47" i="4"/>
  <c r="Q47" i="4"/>
  <c r="N47" i="4"/>
  <c r="K47" i="4"/>
  <c r="H47" i="4"/>
  <c r="G47" i="4"/>
  <c r="U46" i="4"/>
  <c r="R46" i="4"/>
  <c r="Q46" i="4"/>
  <c r="N46" i="4"/>
  <c r="K46" i="4"/>
  <c r="H46" i="4"/>
  <c r="G46" i="4"/>
  <c r="U45" i="4"/>
  <c r="R45" i="4"/>
  <c r="Q45" i="4"/>
  <c r="N45" i="4"/>
  <c r="K45" i="4"/>
  <c r="H45" i="4"/>
  <c r="G45" i="4"/>
  <c r="U44" i="4"/>
  <c r="R44" i="4"/>
  <c r="Q44" i="4"/>
  <c r="N44" i="4"/>
  <c r="K44" i="4"/>
  <c r="H44" i="4"/>
  <c r="G44" i="4"/>
  <c r="U43" i="4"/>
  <c r="U58" i="4" s="1"/>
  <c r="R43" i="4"/>
  <c r="Q43" i="4"/>
  <c r="N43" i="4"/>
  <c r="K43" i="4"/>
  <c r="H43" i="4"/>
  <c r="G43" i="4"/>
  <c r="U42" i="4"/>
  <c r="R42" i="4"/>
  <c r="R58" i="4" s="1"/>
  <c r="K42" i="4"/>
  <c r="K58" i="4" s="1"/>
  <c r="H42" i="4"/>
  <c r="G42" i="4"/>
  <c r="P40" i="4"/>
  <c r="F40" i="4"/>
  <c r="U39" i="4"/>
  <c r="R39" i="4"/>
  <c r="K39" i="4"/>
  <c r="U38" i="4"/>
  <c r="R38" i="4"/>
  <c r="K38" i="4"/>
  <c r="U37" i="4"/>
  <c r="R37" i="4"/>
  <c r="K37" i="4"/>
  <c r="U36" i="4"/>
  <c r="R36" i="4"/>
  <c r="K36" i="4"/>
  <c r="U35" i="4"/>
  <c r="R35" i="4"/>
  <c r="K35" i="4"/>
  <c r="U34" i="4"/>
  <c r="R34" i="4"/>
  <c r="K34" i="4"/>
  <c r="U33" i="4"/>
  <c r="R33" i="4"/>
  <c r="K33" i="4"/>
  <c r="U32" i="4"/>
  <c r="R32" i="4"/>
  <c r="K32" i="4"/>
  <c r="U31" i="4"/>
  <c r="R31" i="4"/>
  <c r="K31" i="4"/>
  <c r="U30" i="4"/>
  <c r="U40" i="4" s="1"/>
  <c r="R30" i="4"/>
  <c r="K30" i="4"/>
  <c r="K40" i="4" s="1"/>
  <c r="U26" i="4"/>
  <c r="K26" i="4"/>
  <c r="U25" i="4"/>
  <c r="K25" i="4"/>
  <c r="U24" i="4"/>
  <c r="K24" i="4"/>
  <c r="U23" i="4"/>
  <c r="K23" i="4"/>
  <c r="U22" i="4"/>
  <c r="K22" i="4"/>
  <c r="U21" i="4"/>
  <c r="K21" i="4"/>
  <c r="U20" i="4"/>
  <c r="K20" i="4"/>
  <c r="U19" i="4"/>
  <c r="K19" i="4"/>
  <c r="U18" i="4"/>
  <c r="K18" i="4"/>
  <c r="U17" i="4"/>
  <c r="K17" i="4"/>
  <c r="U16" i="4"/>
  <c r="K16" i="4"/>
  <c r="U15" i="4"/>
  <c r="K15" i="4"/>
  <c r="U14" i="4"/>
  <c r="K14" i="4"/>
  <c r="U13" i="4"/>
  <c r="K13" i="4"/>
  <c r="U12" i="4"/>
  <c r="K12" i="4"/>
  <c r="U11" i="4"/>
  <c r="K11" i="4"/>
  <c r="U10" i="4"/>
  <c r="U27" i="4" s="1"/>
  <c r="K10" i="4"/>
  <c r="K27" i="4" s="1"/>
  <c r="U57" i="3"/>
  <c r="R57" i="3"/>
  <c r="Q57" i="3"/>
  <c r="N57" i="3"/>
  <c r="K57" i="3"/>
  <c r="H57" i="3"/>
  <c r="G57" i="3"/>
  <c r="U56" i="3"/>
  <c r="R56" i="3"/>
  <c r="Q56" i="3"/>
  <c r="N56" i="3"/>
  <c r="K56" i="3"/>
  <c r="H56" i="3"/>
  <c r="G56" i="3"/>
  <c r="U55" i="3"/>
  <c r="R55" i="3"/>
  <c r="Q55" i="3"/>
  <c r="N55" i="3"/>
  <c r="K55" i="3"/>
  <c r="H55" i="3"/>
  <c r="G55" i="3"/>
  <c r="U54" i="3"/>
  <c r="R54" i="3"/>
  <c r="Q54" i="3"/>
  <c r="N54" i="3"/>
  <c r="K54" i="3"/>
  <c r="H54" i="3"/>
  <c r="G54" i="3"/>
  <c r="U53" i="3"/>
  <c r="R53" i="3"/>
  <c r="Q53" i="3"/>
  <c r="N53" i="3"/>
  <c r="K53" i="3"/>
  <c r="H53" i="3"/>
  <c r="G53" i="3"/>
  <c r="U52" i="3"/>
  <c r="R52" i="3"/>
  <c r="Q52" i="3"/>
  <c r="N52" i="3"/>
  <c r="K52" i="3"/>
  <c r="H52" i="3"/>
  <c r="G52" i="3"/>
  <c r="U51" i="3"/>
  <c r="R51" i="3"/>
  <c r="Q51" i="3"/>
  <c r="N51" i="3"/>
  <c r="K51" i="3"/>
  <c r="H51" i="3"/>
  <c r="G51" i="3"/>
  <c r="U50" i="3"/>
  <c r="R50" i="3"/>
  <c r="Q50" i="3"/>
  <c r="N50" i="3"/>
  <c r="K50" i="3"/>
  <c r="H50" i="3"/>
  <c r="G50" i="3"/>
  <c r="U49" i="3"/>
  <c r="R49" i="3"/>
  <c r="Q49" i="3"/>
  <c r="N49" i="3"/>
  <c r="K49" i="3"/>
  <c r="H49" i="3"/>
  <c r="G49" i="3"/>
  <c r="U48" i="3"/>
  <c r="R48" i="3"/>
  <c r="Q48" i="3"/>
  <c r="N48" i="3"/>
  <c r="K48" i="3"/>
  <c r="H48" i="3"/>
  <c r="G48" i="3"/>
  <c r="U47" i="3"/>
  <c r="R47" i="3"/>
  <c r="Q47" i="3"/>
  <c r="N47" i="3"/>
  <c r="K47" i="3"/>
  <c r="H47" i="3"/>
  <c r="G47" i="3"/>
  <c r="U46" i="3"/>
  <c r="R46" i="3"/>
  <c r="Q46" i="3"/>
  <c r="N46" i="3"/>
  <c r="K46" i="3"/>
  <c r="H46" i="3"/>
  <c r="G46" i="3"/>
  <c r="U45" i="3"/>
  <c r="R45" i="3"/>
  <c r="Q45" i="3"/>
  <c r="N45" i="3"/>
  <c r="K45" i="3"/>
  <c r="H45" i="3"/>
  <c r="G45" i="3"/>
  <c r="U44" i="3"/>
  <c r="R44" i="3"/>
  <c r="Q44" i="3"/>
  <c r="N44" i="3"/>
  <c r="K44" i="3"/>
  <c r="H44" i="3"/>
  <c r="G44" i="3"/>
  <c r="U43" i="3"/>
  <c r="U58" i="3" s="1"/>
  <c r="R43" i="3"/>
  <c r="Q43" i="3"/>
  <c r="N43" i="3"/>
  <c r="K43" i="3"/>
  <c r="H43" i="3"/>
  <c r="G43" i="3"/>
  <c r="U42" i="3"/>
  <c r="R42" i="3"/>
  <c r="R58" i="3" s="1"/>
  <c r="K42" i="3"/>
  <c r="N42" i="3" s="1"/>
  <c r="N58" i="3" s="1"/>
  <c r="E59" i="3" s="1"/>
  <c r="H42" i="3"/>
  <c r="G42" i="3"/>
  <c r="P40" i="3"/>
  <c r="F40" i="3"/>
  <c r="U39" i="3"/>
  <c r="R39" i="3"/>
  <c r="K39" i="3"/>
  <c r="U38" i="3"/>
  <c r="R38" i="3"/>
  <c r="K38" i="3"/>
  <c r="U37" i="3"/>
  <c r="R37" i="3"/>
  <c r="K37" i="3"/>
  <c r="U36" i="3"/>
  <c r="R36" i="3"/>
  <c r="K36" i="3"/>
  <c r="U35" i="3"/>
  <c r="R35" i="3"/>
  <c r="K35" i="3"/>
  <c r="U34" i="3"/>
  <c r="R34" i="3"/>
  <c r="K34" i="3"/>
  <c r="U33" i="3"/>
  <c r="R33" i="3"/>
  <c r="K33" i="3"/>
  <c r="U32" i="3"/>
  <c r="R32" i="3"/>
  <c r="K32" i="3"/>
  <c r="U31" i="3"/>
  <c r="R31" i="3"/>
  <c r="K31" i="3"/>
  <c r="U30" i="3"/>
  <c r="U40" i="3" s="1"/>
  <c r="R30" i="3"/>
  <c r="K30" i="3"/>
  <c r="K40" i="3" s="1"/>
  <c r="U26" i="3"/>
  <c r="K26" i="3"/>
  <c r="U25" i="3"/>
  <c r="K25" i="3"/>
  <c r="U24" i="3"/>
  <c r="K24" i="3"/>
  <c r="U23" i="3"/>
  <c r="K23" i="3"/>
  <c r="U22" i="3"/>
  <c r="K22" i="3"/>
  <c r="U21" i="3"/>
  <c r="K21" i="3"/>
  <c r="U20" i="3"/>
  <c r="K20" i="3"/>
  <c r="U19" i="3"/>
  <c r="K19" i="3"/>
  <c r="U18" i="3"/>
  <c r="K18" i="3"/>
  <c r="U17" i="3"/>
  <c r="K17" i="3"/>
  <c r="U16" i="3"/>
  <c r="K16" i="3"/>
  <c r="U15" i="3"/>
  <c r="K15" i="3"/>
  <c r="U14" i="3"/>
  <c r="K14" i="3"/>
  <c r="U13" i="3"/>
  <c r="K13" i="3"/>
  <c r="U12" i="3"/>
  <c r="K12" i="3"/>
  <c r="U11" i="3"/>
  <c r="K11" i="3"/>
  <c r="U10" i="3"/>
  <c r="U27" i="3" s="1"/>
  <c r="K10" i="3"/>
  <c r="K27" i="3" s="1"/>
  <c r="U57" i="2"/>
  <c r="R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H44" i="2"/>
  <c r="G44" i="2"/>
  <c r="U43" i="2"/>
  <c r="U58" i="2" s="1"/>
  <c r="R43" i="2"/>
  <c r="Q43" i="2"/>
  <c r="N43" i="2"/>
  <c r="K43" i="2"/>
  <c r="H43" i="2"/>
  <c r="G43" i="2"/>
  <c r="U42" i="2"/>
  <c r="R42" i="2"/>
  <c r="R58" i="2" s="1"/>
  <c r="K42" i="2"/>
  <c r="N42" i="2" s="1"/>
  <c r="N58" i="2" s="1"/>
  <c r="E59" i="2" s="1"/>
  <c r="H42" i="2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U58" i="1" s="1"/>
  <c r="R42" i="1"/>
  <c r="R58" i="1" s="1"/>
  <c r="Q42" i="1"/>
  <c r="H42" i="1"/>
  <c r="K42" i="1" s="1"/>
  <c r="P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U10" i="1"/>
  <c r="U27" i="1" s="1"/>
  <c r="K10" i="1"/>
  <c r="N42" i="4" l="1"/>
  <c r="N58" i="4" s="1"/>
  <c r="E59" i="4" s="1"/>
  <c r="E60" i="4" s="1"/>
  <c r="E61" i="4" s="1"/>
  <c r="E64" i="4" s="1"/>
  <c r="K58" i="3"/>
  <c r="K58" i="2"/>
  <c r="N58" i="5"/>
  <c r="E59" i="5" s="1"/>
  <c r="F40" i="1"/>
  <c r="K27" i="1"/>
  <c r="K27" i="5"/>
  <c r="K27" i="2"/>
  <c r="E60" i="2" s="1"/>
  <c r="E61" i="2" s="1"/>
  <c r="N42" i="1"/>
  <c r="N58" i="1" s="1"/>
  <c r="K58" i="1"/>
  <c r="E60" i="3"/>
  <c r="E61" i="3" s="1"/>
  <c r="N42" i="6"/>
  <c r="N58" i="6" s="1"/>
  <c r="E59" i="6" s="1"/>
  <c r="K58" i="6"/>
  <c r="R42" i="6"/>
  <c r="R58" i="6" s="1"/>
  <c r="K58" i="5"/>
  <c r="U42" i="6"/>
  <c r="U58" i="6" s="1"/>
  <c r="G42" i="1"/>
  <c r="G42" i="6"/>
  <c r="E59" i="1" l="1"/>
  <c r="E60" i="1" s="1"/>
  <c r="E60" i="6"/>
  <c r="E60" i="5"/>
  <c r="E61" i="5" s="1"/>
  <c r="E64" i="5" s="1"/>
  <c r="E64" i="3"/>
  <c r="E66" i="3" s="1"/>
  <c r="E67" i="3" s="1"/>
  <c r="E66" i="4"/>
  <c r="E67" i="4" s="1"/>
  <c r="E61" i="6"/>
  <c r="E64" i="6" s="1"/>
  <c r="E64" i="2"/>
  <c r="E68" i="3" l="1"/>
  <c r="E69" i="3" s="1"/>
  <c r="E61" i="1"/>
  <c r="E64" i="1" s="1"/>
  <c r="E66" i="2"/>
  <c r="E67" i="2" s="1"/>
  <c r="E66" i="6"/>
  <c r="E67" i="6" s="1"/>
  <c r="E66" i="5"/>
  <c r="E67" i="5" s="1"/>
  <c r="E68" i="4"/>
  <c r="E69" i="4" s="1"/>
  <c r="E68" i="2" l="1"/>
  <c r="E69" i="2" s="1"/>
  <c r="E68" i="5"/>
  <c r="E69" i="5" s="1"/>
  <c r="E66" i="1"/>
  <c r="E67" i="1" s="1"/>
  <c r="E68" i="6"/>
  <c r="E69" i="6" s="1"/>
  <c r="E68" i="1" l="1"/>
  <c r="E69" i="1" s="1"/>
</calcChain>
</file>

<file path=xl/sharedStrings.xml><?xml version="1.0" encoding="utf-8"?>
<sst xmlns="http://schemas.openxmlformats.org/spreadsheetml/2006/main" count="915" uniqueCount="152">
  <si>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</si>
  <si>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</si>
  <si>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</si>
  <si>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</si>
  <si>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</si>
  <si>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</si>
  <si>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</si>
  <si>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</si>
  <si>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</si>
  <si>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</si>
  <si>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</si>
  <si>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</si>
  <si>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</si>
  <si>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</si>
  <si>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</si>
  <si>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</si>
  <si>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</si>
  <si>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</si>
  <si>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</si>
  <si>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</si>
  <si>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</si>
  <si>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</si>
  <si>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</si>
  <si>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</si>
  <si>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</si>
  <si>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</si>
  <si>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</si>
  <si>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</si>
  <si>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</si>
  <si>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</si>
  <si>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</si>
  <si>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</si>
  <si>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</si>
  <si>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</si>
  <si>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</si>
  <si>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</si>
  <si>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</si>
  <si>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</si>
  <si>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</si>
  <si>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</si>
  <si>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</si>
  <si>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</si>
  <si>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</si>
  <si>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</si>
  <si>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</si>
  <si>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</si>
  <si>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</si>
  <si>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</si>
  <si>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</si>
  <si>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</si>
  <si>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</si>
  <si>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</si>
  <si>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</si>
  <si>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</si>
  <si>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</si>
  <si>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</si>
  <si>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</si>
  <si>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</si>
  <si>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</si>
  <si>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</si>
  <si>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</si>
  <si>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</si>
  <si>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</si>
  <si>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</si>
  <si>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</si>
  <si>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</si>
  <si>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</si>
  <si>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</si>
  <si>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</si>
  <si>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</si>
  <si>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</si>
  <si>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</si>
  <si>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</si>
  <si>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</si>
  <si>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</si>
  <si>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</si>
  <si>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</si>
  <si>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</si>
  <si>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</si>
  <si>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</si>
  <si>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</si>
  <si>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</si>
  <si>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</si>
  <si>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</si>
  <si>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</si>
  <si>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</si>
  <si>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</si>
  <si>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</si>
  <si>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</si>
  <si>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</si>
  <si>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</si>
  <si>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</si>
  <si>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</si>
  <si>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</si>
  <si>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</si>
  <si>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</si>
  <si>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</si>
  <si>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</si>
  <si>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</si>
  <si>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</si>
  <si>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</si>
  <si>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</si>
  <si>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</si>
  <si>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</si>
  <si>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</si>
  <si>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</si>
  <si>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</si>
  <si>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</si>
  <si>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</si>
  <si>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</si>
  <si>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</si>
  <si>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</si>
  <si>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</si>
  <si>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</si>
  <si>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</si>
  <si>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</si>
  <si>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</si>
  <si>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</si>
  <si>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</si>
  <si>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</si>
  <si>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</si>
  <si>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</si>
  <si>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</si>
  <si>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</si>
  <si>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</si>
  <si>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</si>
  <si>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</si>
  <si>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</si>
  <si>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</si>
  <si>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</si>
  <si>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</si>
  <si>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</si>
  <si>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</si>
  <si>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</si>
  <si>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</si>
  <si>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</si>
  <si>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</si>
  <si>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</si>
  <si>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</si>
  <si>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</si>
  <si>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</si>
  <si>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SPOILER-FR LH WH SHIELD (BEV)</t>
  </si>
  <si>
    <t>638439763R</t>
  </si>
  <si>
    <t>SPOILER-FR RH WH SHIELD (BEV)</t>
  </si>
  <si>
    <t>638424366R</t>
  </si>
  <si>
    <t>SPOILER-RR LH WH SHIELD</t>
  </si>
  <si>
    <t>767496296R</t>
  </si>
  <si>
    <t>气坝RR LH+RH 1+1一副模(外观件,含晒纹+优质钢)</t>
  </si>
  <si>
    <t>160T</t>
  </si>
  <si>
    <t>SPOILER-RR RH WH SHIELD</t>
  </si>
  <si>
    <t>767483010R</t>
  </si>
  <si>
    <t>TPV Santoprene 103-40
替代塑料粒子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</si>
</sst>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0.000_ "/>
    <numFmt numFmtId="166" formatCode="0_ "/>
    <numFmt numFmtId="167" formatCode="0.0000_ "/>
    <numFmt numFmtId="168" formatCode="0.0_ "/>
    <numFmt numFmtId="169" formatCode="&quot;¥&quot;#,##0.00;&quot;¥&quot;\-#,##0.00"/>
    <numFmt numFmtId="170" formatCode="&quot;¥&quot;#,##0.000;&quot;¥&quot;\-#,##0.000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7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5" fontId="6" fillId="2" borderId="21" xfId="0" applyNumberFormat="1" applyFont="1" applyFill="1" applyBorder="1" applyAlignment="1" applyProtection="1">
      <alignment horizontal="right"/>
      <protection hidden="1"/>
    </xf>
    <xf numFmtId="165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5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5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6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2" borderId="31" xfId="0" applyNumberFormat="1" applyFont="1" applyFill="1" applyBorder="1" applyAlignment="1" applyProtection="1">
      <alignment horizontal="center" vertical="center"/>
      <protection hidden="1"/>
    </xf>
    <xf numFmtId="168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3" borderId="31" xfId="0" applyNumberFormat="1" applyFont="1" applyFill="1" applyBorder="1" applyAlignment="1" applyProtection="1">
      <alignment horizontal="center" vertical="center"/>
      <protection locked="0"/>
    </xf>
    <xf numFmtId="168" fontId="6" fillId="3" borderId="15" xfId="0" applyNumberFormat="1" applyFont="1" applyFill="1" applyBorder="1" applyAlignment="1" applyProtection="1">
      <alignment horizontal="center" vertical="center"/>
      <protection locked="0"/>
    </xf>
    <xf numFmtId="16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9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9" fontId="5" fillId="2" borderId="46" xfId="0" applyNumberFormat="1" applyFont="1" applyFill="1" applyBorder="1" applyAlignment="1" applyProtection="1">
      <alignment horizontal="center" vertical="center"/>
      <protection hidden="1"/>
    </xf>
    <xf numFmtId="169" fontId="6" fillId="2" borderId="6" xfId="0" applyNumberFormat="1" applyFont="1" applyFill="1" applyBorder="1" applyAlignment="1" applyProtection="1">
      <alignment horizontal="center" vertical="center"/>
      <protection hidden="1"/>
    </xf>
    <xf numFmtId="169" fontId="6" fillId="2" borderId="49" xfId="0" applyNumberFormat="1" applyFont="1" applyFill="1" applyBorder="1" applyAlignment="1" applyProtection="1">
      <alignment horizontal="center" vertical="center"/>
      <protection hidden="1"/>
    </xf>
    <xf numFmtId="169" fontId="11" fillId="5" borderId="49" xfId="0" applyNumberFormat="1" applyFont="1" applyFill="1" applyBorder="1" applyAlignment="1" applyProtection="1">
      <alignment horizontal="center" vertical="center"/>
      <protection locked="0"/>
    </xf>
    <xf numFmtId="169" fontId="6" fillId="5" borderId="49" xfId="0" applyNumberFormat="1" applyFont="1" applyFill="1" applyBorder="1" applyAlignment="1" applyProtection="1">
      <alignment horizontal="center" vertical="center"/>
      <protection locked="0"/>
    </xf>
    <xf numFmtId="170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9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165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64" fontId="6" fillId="3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5" xfId="0" applyBorder="1" applyAlignment="1" applyProtection="1">
      <protection hidden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view="pageBreakPreview" topLeftCell="A49" zoomScale="144" zoomScaleNormal="85" zoomScaleSheetLayoutView="110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2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ref="K31:K39" si="3">IF(E31="","",IF(J31="",F31/I31,F31/J31))</f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2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3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2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3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2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3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2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3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2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3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2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3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2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3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2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3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2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0.77</v>
      </c>
      <c r="J42" s="71">
        <v>24</v>
      </c>
      <c r="K42" s="72">
        <f t="shared" ref="K42:K57" si="7">IF(E42="","",H42*I42/L42)</f>
        <v>1.4259259259259258E-2</v>
      </c>
      <c r="L42" s="138">
        <v>0.75</v>
      </c>
      <c r="M42" s="139"/>
      <c r="N42" s="93">
        <f t="shared" ref="N42:N57" si="8">IF(F42="","",IF(E42="","",J42*K42))</f>
        <v>0.34222222222222221</v>
      </c>
      <c r="O42" s="94"/>
      <c r="P42" s="50">
        <v>70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0.17676767676767677</v>
      </c>
      <c r="S42" s="73">
        <v>90</v>
      </c>
      <c r="T42" s="22">
        <v>0.5</v>
      </c>
      <c r="U42" s="27">
        <f t="shared" ref="U42:U57" si="11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1.4259259259259258E-2</v>
      </c>
      <c r="L58" s="118" t="s">
        <v>97</v>
      </c>
      <c r="M58" s="117"/>
      <c r="N58" s="156">
        <f>SUM(N42:O57)</f>
        <v>0.34222222222222221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0.34222222222222221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5.6507056200882706E-2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0.11616447331225092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3.5133243395572697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7.0266486791145402E-2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3.5835908263484151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0.46586680742529396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4.0494576337737094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B34" zoomScale="139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138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139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9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0.77</v>
      </c>
      <c r="J42" s="71">
        <v>24</v>
      </c>
      <c r="K42" s="72">
        <f t="shared" ref="K42:K57" si="7">IF(E42="","",H42*I42/L42)</f>
        <v>1.4259259259259258E-2</v>
      </c>
      <c r="L42" s="138">
        <v>0.75</v>
      </c>
      <c r="M42" s="139"/>
      <c r="N42" s="93">
        <f t="shared" ref="N42:N57" si="8">IF(F42="","",IF(E42="","",J42*K42))</f>
        <v>0.34222222222222221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6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>IF(E57="","","10年2班折90%")</f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1.4259259259259258E-2</v>
      </c>
      <c r="L58" s="118" t="s">
        <v>97</v>
      </c>
      <c r="M58" s="117"/>
      <c r="N58" s="156">
        <f>SUM(N42:O57)</f>
        <v>0.34222222222222221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0.34222222222222221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5.6507056200882706E-2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0.11616447331225092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3.5133243395572697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7.0266486791145402E-2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3.5835908263484151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0.46586680742529396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4.0494576337737094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topLeftCell="A51" zoomScale="125" workbookViewId="0">
      <selection activeCell="I43" sqref="I4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141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142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0.77</v>
      </c>
      <c r="J42" s="71">
        <v>24</v>
      </c>
      <c r="K42" s="72">
        <f t="shared" ref="K42:K57" si="7">IF(E42="","",H42*I42/L42)</f>
        <v>1.4259259259259258E-2</v>
      </c>
      <c r="L42" s="138">
        <v>0.75</v>
      </c>
      <c r="M42" s="139"/>
      <c r="N42" s="93">
        <f t="shared" ref="N42:N57" si="8">IF(F42="","",IF(E42="","",J42*K42))</f>
        <v>0.34222222222222221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1.4259259259259258E-2</v>
      </c>
      <c r="L58" s="118" t="s">
        <v>97</v>
      </c>
      <c r="M58" s="117"/>
      <c r="N58" s="156">
        <f>SUM(N42:O57)</f>
        <v>0.34222222222222221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0.34222222222222221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5.6507056200882706E-2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0.11616447331225092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3.5133243395572697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7.0266486791145402E-2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3.5835908263484151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0.46586680742529396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4.0494576337737094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0"/>
  <sheetViews>
    <sheetView tabSelected="1" topLeftCell="A35" workbookViewId="0">
      <selection activeCell="I43" sqref="I4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143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144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8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0.77</v>
      </c>
      <c r="J42" s="71">
        <v>24</v>
      </c>
      <c r="K42" s="72">
        <f t="shared" ref="K42:K57" si="7">IF(E42="","",H42*I42/L42)</f>
        <v>1.4259259259259258E-2</v>
      </c>
      <c r="L42" s="138">
        <v>0.75</v>
      </c>
      <c r="M42" s="139"/>
      <c r="N42" s="93">
        <f t="shared" ref="N42:N57" si="8">IF(F42="","",IF(E42="","",J42*K42))</f>
        <v>0.34222222222222221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1.4259259259259258E-2</v>
      </c>
      <c r="L58" s="118" t="s">
        <v>97</v>
      </c>
      <c r="M58" s="117"/>
      <c r="N58" s="156">
        <f>SUM(N42:O57)</f>
        <v>0.34222222222222221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0.34222222222222221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5.6507056200882706E-2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0.11616447331225092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3.5133243395572697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7.0266486791145402E-2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3.5835908263484151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0.46586680742529396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4.0494576337737094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0"/>
  <sheetViews>
    <sheetView topLeftCell="B46" workbookViewId="0">
      <selection activeCell="F30" sqref="F3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145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146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1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3.05</v>
      </c>
      <c r="J42" s="71">
        <v>24</v>
      </c>
      <c r="K42" s="72">
        <f t="shared" ref="K42:K57" si="7">IF(E42="","",H42*I42/L42)</f>
        <v>2.5416666666666667E-2</v>
      </c>
      <c r="L42" s="138">
        <v>0.75</v>
      </c>
      <c r="M42" s="139"/>
      <c r="N42" s="93">
        <f t="shared" ref="N42:N57" si="8">IF(F42="","",IF(E42="","",J42*K42))</f>
        <v>0.61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2.5416666666666667E-2</v>
      </c>
      <c r="L58" s="118" t="s">
        <v>97</v>
      </c>
      <c r="M58" s="117"/>
      <c r="N58" s="156">
        <f>SUM(N42:O57)</f>
        <v>0.61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0.61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3.0213819652091464E-2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6.7088660112833209E-2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1.8749934623694977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3.7499869247389954E-2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1.9124933316168877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0.24862413311019541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2.161117464727083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topLeftCell="A28" zoomScale="110" zoomScaleNormal="110" workbookViewId="0">
      <selection activeCell="F42" sqref="F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149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150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4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3.05</v>
      </c>
      <c r="J42" s="71">
        <v>24</v>
      </c>
      <c r="K42" s="72">
        <f t="shared" ref="K42:K57" si="7">IF(E42="","",H42*I42/L42)</f>
        <v>2.5416666666666667E-2</v>
      </c>
      <c r="L42" s="138">
        <v>0.75</v>
      </c>
      <c r="M42" s="139"/>
      <c r="N42" s="93">
        <f t="shared" ref="N42:N57" si="8">IF(F42="","",IF(E42="","",J42*K42))</f>
        <v>0.61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2.5416666666666667E-2</v>
      </c>
      <c r="L58" s="118" t="s">
        <v>97</v>
      </c>
      <c r="M58" s="117"/>
      <c r="N58" s="156">
        <f>SUM(N42:O57)</f>
        <v>0.61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0.61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3.0213819652091464E-2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6.7088660112833209E-2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1.8749934623694977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3.7499869247389954E-2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1.9124933316168877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0.24862413311019541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2.161117464727083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FR-LH-PHEV</vt:lpstr>
      <vt:lpstr>FR-RH-PHEV</vt:lpstr>
      <vt:lpstr>FR-LH-BEV</vt:lpstr>
      <vt:lpstr>FR-RH-BEV</vt:lpstr>
      <vt:lpstr>RR-LH</vt:lpstr>
      <vt:lpstr>RR-RH</vt:lpstr>
      <vt:lpstr>'FR-LH-PHEV'!Print_Area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2026-07-06T08:49:44Z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