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0" windowHeight="8010" activeTab="1"/>
  </bookViews>
  <sheets>
    <sheet name="供货产能合计" sheetId="5" r:id="rId1"/>
    <sheet name="设备台账" sheetId="10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<sst xmlns="http://schemas.openxmlformats.org/spreadsheetml/2006/main" count="41" uniqueCount="33">
  <si>
    <t>产能分析表（2024）          填报时间：</t>
  </si>
  <si>
    <t>设备</t>
  </si>
  <si>
    <t>分类</t>
  </si>
  <si>
    <t>1月</t>
  </si>
  <si>
    <t>2月</t>
  </si>
  <si>
    <t>3月</t>
  </si>
  <si>
    <t>4月</t>
  </si>
  <si>
    <t>5月</t>
  </si>
  <si>
    <t>6月</t>
  </si>
  <si>
    <t>7月</t>
  </si>
  <si>
    <t>8月</t>
  </si>
  <si>
    <t>9月</t>
  </si>
  <si>
    <t>10月</t>
  </si>
  <si>
    <t>11月</t>
  </si>
  <si>
    <t>12月</t>
  </si>
  <si>
    <t>1000T</t>
  </si>
  <si>
    <t>设备总产能</t>
  </si>
  <si>
    <t>上海金榕</t>
  </si>
  <si>
    <t>其他客户</t>
  </si>
  <si>
    <t>剩余产能</t>
  </si>
  <si>
    <t>新增设备直接复制3行，但设备名称必须要和设备产能分析保持一致，否则公式不成立</t>
  </si>
  <si>
    <t>注：</t>
  </si>
  <si>
    <t>本分析表作为金榕新项目发包评估供方可承接新项目必要依据，各供方要对分析结果负责，如发生发包后产能不足导致退包或者项目交付延期，后果由承接供方承担。</t>
  </si>
  <si>
    <t>序号</t>
  </si>
  <si>
    <t>供应商名称</t>
  </si>
  <si>
    <t>产线</t>
  </si>
  <si>
    <t>主要设备清单（注塑）</t>
  </si>
  <si>
    <t>备注</t>
  </si>
  <si>
    <t>注塑设备吨位
级进/单工程</t>
  </si>
  <si>
    <t>台面及闭合高度</t>
  </si>
  <si>
    <t>设备数量</t>
  </si>
  <si>
    <t>焊接设备</t>
  </si>
  <si>
    <t>机器人焊接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</si>
</sst>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9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2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2"/>
      <color theme="1"/>
      <name val="宋体"/>
      <charset val="134"/>
      <scheme val="minor"/>
    </font>
    <font>
      <b/>
      <sz val="18"/>
      <color theme="1"/>
      <name val="宋体"/>
      <charset val="134"/>
      <scheme val="minor"/>
    </font>
    <font>
      <sz val="12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name val="宋体"/>
      <charset val="134"/>
    </font>
    <font>
      <sz val="11"/>
      <color indexed="8"/>
      <name val="宋体"/>
      <charset val="134"/>
    </font>
    <font>
      <sz val="10"/>
      <name val="Arial"/>
      <charset val="134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5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4" borderId="19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20" applyNumberFormat="0" applyFill="0" applyAlignment="0" applyProtection="0">
      <alignment vertical="center"/>
    </xf>
    <xf numFmtId="0" fontId="13" fillId="0" borderId="20" applyNumberFormat="0" applyFill="0" applyAlignment="0" applyProtection="0">
      <alignment vertical="center"/>
    </xf>
    <xf numFmtId="0" fontId="14" fillId="0" borderId="21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5" borderId="22" applyNumberFormat="0" applyAlignment="0" applyProtection="0">
      <alignment vertical="center"/>
    </xf>
    <xf numFmtId="0" fontId="16" fillId="6" borderId="23" applyNumberFormat="0" applyAlignment="0" applyProtection="0">
      <alignment vertical="center"/>
    </xf>
    <xf numFmtId="0" fontId="17" fillId="6" borderId="22" applyNumberFormat="0" applyAlignment="0" applyProtection="0">
      <alignment vertical="center"/>
    </xf>
    <xf numFmtId="0" fontId="18" fillId="7" borderId="24" applyNumberFormat="0" applyAlignment="0" applyProtection="0">
      <alignment vertical="center"/>
    </xf>
    <xf numFmtId="0" fontId="19" fillId="0" borderId="25" applyNumberFormat="0" applyFill="0" applyAlignment="0" applyProtection="0">
      <alignment vertical="center"/>
    </xf>
    <xf numFmtId="0" fontId="20" fillId="0" borderId="26" applyNumberFormat="0" applyFill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6" fillId="0" borderId="0"/>
    <xf numFmtId="0" fontId="26" fillId="0" borderId="0"/>
    <xf numFmtId="0" fontId="27" fillId="0" borderId="0">
      <alignment vertical="center"/>
    </xf>
    <xf numFmtId="0" fontId="0" fillId="0" borderId="0"/>
    <xf numFmtId="0" fontId="27" fillId="0" borderId="0">
      <alignment vertical="center"/>
    </xf>
    <xf numFmtId="0" fontId="28" fillId="0" borderId="0"/>
  </cellStyleXfs>
  <cellXfs count="53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0" fillId="0" borderId="6" xfId="0" applyFont="1" applyBorder="1" applyAlignment="1">
      <alignment horizontal="center" vertical="center" wrapText="1"/>
    </xf>
    <xf numFmtId="0" fontId="0" fillId="0" borderId="1" xfId="0" applyFont="1" applyBorder="1" applyAlignment="1">
      <alignment horizontal="center" vertical="center"/>
    </xf>
    <xf numFmtId="0" fontId="0" fillId="0" borderId="7" xfId="0" applyFont="1" applyBorder="1" applyAlignment="1">
      <alignment vertical="center"/>
    </xf>
    <xf numFmtId="0" fontId="2" fillId="2" borderId="8" xfId="0" applyFont="1" applyFill="1" applyBorder="1" applyAlignment="1">
      <alignment horizontal="center" vertical="center"/>
    </xf>
    <xf numFmtId="0" fontId="0" fillId="0" borderId="8" xfId="0" applyFont="1" applyFill="1" applyBorder="1" applyAlignment="1">
      <alignment horizontal="center" vertical="center"/>
    </xf>
    <xf numFmtId="0" fontId="0" fillId="0" borderId="8" xfId="0" applyFont="1" applyBorder="1" applyAlignment="1">
      <alignment horizontal="center"/>
    </xf>
    <xf numFmtId="0" fontId="0" fillId="0" borderId="9" xfId="0" applyFont="1" applyBorder="1" applyAlignment="1">
      <alignment horizontal="center" vertical="center" wrapText="1"/>
    </xf>
    <xf numFmtId="0" fontId="0" fillId="0" borderId="10" xfId="0" applyFont="1" applyBorder="1" applyAlignment="1">
      <alignment horizontal="center" vertical="center" wrapText="1"/>
    </xf>
    <xf numFmtId="0" fontId="0" fillId="0" borderId="1" xfId="0" applyFont="1" applyBorder="1" applyAlignment="1">
      <alignment horizontal="center" vertical="center"/>
    </xf>
    <xf numFmtId="0" fontId="0" fillId="0" borderId="11" xfId="0" applyFont="1" applyBorder="1" applyAlignme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0" fillId="0" borderId="1" xfId="0" applyFont="1" applyFill="1" applyBorder="1" applyAlignment="1">
      <alignment horizontal="center" vertical="center"/>
    </xf>
    <xf numFmtId="0" fontId="0" fillId="0" borderId="1" xfId="0" applyFont="1" applyBorder="1" applyAlignment="1">
      <alignment horizontal="center"/>
    </xf>
    <xf numFmtId="0" fontId="0" fillId="0" borderId="12" xfId="0" applyFont="1" applyBorder="1" applyAlignment="1">
      <alignment horizontal="center" vertical="center" wrapText="1"/>
    </xf>
    <xf numFmtId="0" fontId="0" fillId="0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 vertical="center"/>
    </xf>
    <xf numFmtId="0" fontId="0" fillId="0" borderId="11" xfId="0" applyBorder="1">
      <alignment vertical="center"/>
    </xf>
    <xf numFmtId="0" fontId="0" fillId="0" borderId="12" xfId="0" applyBorder="1">
      <alignment vertical="center"/>
    </xf>
    <xf numFmtId="0" fontId="0" fillId="0" borderId="5" xfId="0" applyBorder="1">
      <alignment vertical="center"/>
    </xf>
    <xf numFmtId="0" fontId="0" fillId="0" borderId="2" xfId="0" applyFont="1" applyFill="1" applyBorder="1" applyAlignment="1">
      <alignment horizontal="center" vertical="center"/>
    </xf>
    <xf numFmtId="0" fontId="0" fillId="0" borderId="2" xfId="0" applyFont="1" applyFill="1" applyBorder="1" applyAlignment="1">
      <alignment horizontal="center"/>
    </xf>
    <xf numFmtId="0" fontId="0" fillId="0" borderId="13" xfId="0" applyBorder="1">
      <alignment vertical="center"/>
    </xf>
    <xf numFmtId="0" fontId="0" fillId="0" borderId="14" xfId="0" applyFont="1" applyBorder="1" applyAlignment="1">
      <alignment horizontal="center" vertical="center" wrapText="1"/>
    </xf>
    <xf numFmtId="0" fontId="0" fillId="0" borderId="15" xfId="0" applyBorder="1">
      <alignment vertical="center"/>
    </xf>
    <xf numFmtId="0" fontId="2" fillId="2" borderId="16" xfId="0" applyFont="1" applyFill="1" applyBorder="1" applyAlignment="1">
      <alignment horizontal="center" vertical="center"/>
    </xf>
    <xf numFmtId="0" fontId="0" fillId="0" borderId="16" xfId="0" applyFont="1" applyFill="1" applyBorder="1" applyAlignment="1">
      <alignment horizontal="center" vertical="center"/>
    </xf>
    <xf numFmtId="0" fontId="0" fillId="0" borderId="16" xfId="0" applyFont="1" applyFill="1" applyBorder="1" applyAlignment="1">
      <alignment horizontal="center"/>
    </xf>
    <xf numFmtId="0" fontId="0" fillId="0" borderId="17" xfId="0" applyBorder="1">
      <alignment vertical="center"/>
    </xf>
    <xf numFmtId="0" fontId="0" fillId="0" borderId="0" xfId="52" applyFont="1"/>
    <xf numFmtId="0" fontId="3" fillId="0" borderId="0" xfId="52" applyFont="1"/>
    <xf numFmtId="0" fontId="4" fillId="0" borderId="0" xfId="52" applyFont="1"/>
    <xf numFmtId="0" fontId="0" fillId="0" borderId="0" xfId="52"/>
    <xf numFmtId="0" fontId="5" fillId="0" borderId="1" xfId="52" applyFont="1" applyBorder="1" applyAlignment="1">
      <alignment horizontal="center" vertical="center"/>
    </xf>
    <xf numFmtId="0" fontId="2" fillId="3" borderId="1" xfId="52" applyFont="1" applyFill="1" applyBorder="1" applyAlignment="1">
      <alignment horizontal="center" vertical="center"/>
    </xf>
    <xf numFmtId="0" fontId="4" fillId="0" borderId="1" xfId="52" applyFont="1" applyBorder="1" applyAlignment="1">
      <alignment horizontal="center" vertical="center"/>
    </xf>
    <xf numFmtId="0" fontId="4" fillId="0" borderId="1" xfId="52" applyFont="1" applyBorder="1" applyAlignment="1">
      <alignment horizontal="left" vertical="center"/>
    </xf>
    <xf numFmtId="10" fontId="4" fillId="0" borderId="1" xfId="52" applyNumberFormat="1" applyFont="1" applyBorder="1" applyAlignment="1">
      <alignment horizontal="center" vertical="center"/>
    </xf>
    <xf numFmtId="0" fontId="6" fillId="0" borderId="1" xfId="52" applyFont="1" applyBorder="1" applyAlignment="1">
      <alignment horizontal="left" vertical="center"/>
    </xf>
    <xf numFmtId="10" fontId="6" fillId="0" borderId="1" xfId="52" applyNumberFormat="1" applyFont="1" applyBorder="1" applyAlignment="1">
      <alignment horizontal="center" vertical="center"/>
    </xf>
    <xf numFmtId="0" fontId="4" fillId="0" borderId="2" xfId="52" applyFont="1" applyBorder="1" applyAlignment="1">
      <alignment horizontal="center" vertical="center"/>
    </xf>
    <xf numFmtId="0" fontId="4" fillId="0" borderId="3" xfId="52" applyFont="1" applyBorder="1" applyAlignment="1">
      <alignment horizontal="center" vertical="center"/>
    </xf>
    <xf numFmtId="0" fontId="4" fillId="0" borderId="18" xfId="52" applyFont="1" applyBorder="1" applyAlignment="1">
      <alignment horizontal="center" vertical="center"/>
    </xf>
    <xf numFmtId="0" fontId="6" fillId="0" borderId="1" xfId="52" applyFont="1" applyFill="1" applyBorder="1" applyAlignment="1">
      <alignment horizontal="center" vertical="center" wrapText="1"/>
    </xf>
    <xf numFmtId="0" fontId="4" fillId="0" borderId="0" xfId="52" applyFont="1" applyBorder="1" applyAlignment="1">
      <alignment horizontal="center" vertical="center"/>
    </xf>
    <xf numFmtId="0" fontId="4" fillId="0" borderId="0" xfId="52" applyFont="1" applyBorder="1" applyAlignment="1">
      <alignment horizontal="left" vertical="center"/>
    </xf>
    <xf numFmtId="10" fontId="4" fillId="0" borderId="0" xfId="52" applyNumberFormat="1" applyFont="1" applyBorder="1" applyAlignment="1">
      <alignment horizontal="center" vertical="center"/>
    </xf>
    <xf numFmtId="0" fontId="2" fillId="0" borderId="0" xfId="52" applyFont="1" applyAlignment="1">
      <alignment horizontal="right"/>
    </xf>
  </cellXfs>
  <cellStyles count="55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_x000a_mouse.drv=lm" xfId="49"/>
    <cellStyle name="常规 2 2" xfId="50"/>
    <cellStyle name="常规 2 3" xfId="51"/>
    <cellStyle name="常规 2" xfId="52"/>
    <cellStyle name="常规 5" xfId="53"/>
    <cellStyle name="样式 1" xfId="54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mruColors>
      <color rgb="00FF0000"/>
      <color rgb="00FFFFFF"/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8"/>
  <sheetViews>
    <sheetView zoomScale="62" zoomScaleNormal="62" workbookViewId="0">
      <pane xSplit="14" ySplit="2" topLeftCell="O3" activePane="bottomRight" state="frozen"/>
      <selection/>
      <selection pane="topRight"/>
      <selection pane="bottomLeft"/>
      <selection pane="bottomRight" activeCell="F32" sqref="F32"/>
    </sheetView>
  </sheetViews>
  <sheetFormatPr defaultColWidth="9" defaultRowHeight="15"/>
  <cols>
    <col min="1" max="1" width="29.2181818181818" style="36" customWidth="1"/>
    <col min="2" max="2" width="21.1090909090909" style="36" customWidth="1"/>
    <col min="3" max="14" width="12.2181818181818" style="36" customWidth="1"/>
    <col min="15" max="16384" width="9" style="37"/>
  </cols>
  <sheetData>
    <row r="1" ht="49.5" customHeight="1" spans="1:14">
      <c r="A1" s="38" t="s">
        <v>0</v>
      </c>
      <c r="B1" s="38"/>
      <c r="C1" s="38"/>
      <c r="D1" s="38"/>
      <c r="E1" s="38"/>
      <c r="F1" s="38"/>
      <c r="G1" s="38"/>
      <c r="H1" s="38"/>
      <c r="I1" s="38"/>
      <c r="J1" s="38"/>
      <c r="K1" s="38"/>
      <c r="L1" s="38"/>
      <c r="M1" s="38"/>
      <c r="N1" s="38"/>
    </row>
    <row r="2" ht="49.5" customHeight="1" spans="1:14">
      <c r="A2" s="39" t="s">
        <v>1</v>
      </c>
      <c r="B2" s="39" t="s">
        <v>2</v>
      </c>
      <c r="C2" s="39" t="s">
        <v>3</v>
      </c>
      <c r="D2" s="39" t="s">
        <v>4</v>
      </c>
      <c r="E2" s="39" t="s">
        <v>5</v>
      </c>
      <c r="F2" s="39" t="s">
        <v>6</v>
      </c>
      <c r="G2" s="39" t="s">
        <v>7</v>
      </c>
      <c r="H2" s="39" t="s">
        <v>8</v>
      </c>
      <c r="I2" s="39" t="s">
        <v>9</v>
      </c>
      <c r="J2" s="39" t="s">
        <v>10</v>
      </c>
      <c r="K2" s="39" t="s">
        <v>11</v>
      </c>
      <c r="L2" s="39" t="s">
        <v>12</v>
      </c>
      <c r="M2" s="39" t="s">
        <v>13</v>
      </c>
      <c r="N2" s="39" t="s">
        <v>14</v>
      </c>
    </row>
    <row r="3" s="34" customFormat="1" ht="24" customHeight="1" spans="1:14">
      <c r="A3" s="40" t="s">
        <v>15</v>
      </c>
      <c r="B3" s="41" t="s">
        <v>16</v>
      </c>
      <c r="C3" s="42" t="e">
        <f>SUMIFS(#REF!,#REF!,供货产能合计!$A3)</f>
        <v>#REF!</v>
      </c>
      <c r="D3" s="42" t="e">
        <f>SUMIFS(#REF!,#REF!,供货产能合计!$A3)</f>
        <v>#REF!</v>
      </c>
      <c r="E3" s="42" t="e">
        <f>SUMIFS(#REF!,#REF!,供货产能合计!$A3)</f>
        <v>#REF!</v>
      </c>
      <c r="F3" s="42" t="e">
        <f>SUMIFS(#REF!,#REF!,供货产能合计!$A3)</f>
        <v>#REF!</v>
      </c>
      <c r="G3" s="42" t="e">
        <f>SUMIFS(#REF!,#REF!,供货产能合计!$A3)</f>
        <v>#REF!</v>
      </c>
      <c r="H3" s="42" t="e">
        <f>SUMIFS(#REF!,#REF!,供货产能合计!$A3)</f>
        <v>#REF!</v>
      </c>
      <c r="I3" s="42" t="e">
        <f>SUMIFS(#REF!,#REF!,供货产能合计!$A3)</f>
        <v>#REF!</v>
      </c>
      <c r="J3" s="42" t="e">
        <f>SUMIFS(#REF!,#REF!,供货产能合计!$A3)</f>
        <v>#REF!</v>
      </c>
      <c r="K3" s="42" t="e">
        <f>SUMIFS(#REF!,#REF!,供货产能合计!$A3)</f>
        <v>#REF!</v>
      </c>
      <c r="L3" s="42" t="e">
        <f>SUMIFS(#REF!,#REF!,供货产能合计!$A3)</f>
        <v>#REF!</v>
      </c>
      <c r="M3" s="42" t="e">
        <f>SUMIFS(#REF!,#REF!,供货产能合计!$A3)</f>
        <v>#REF!</v>
      </c>
      <c r="N3" s="42" t="e">
        <f>SUMIFS(#REF!,#REF!,供货产能合计!$A3)</f>
        <v>#REF!</v>
      </c>
    </row>
    <row r="4" s="34" customFormat="1" ht="24" customHeight="1" spans="1:14">
      <c r="A4" s="40"/>
      <c r="B4" s="41" t="s">
        <v>17</v>
      </c>
      <c r="C4" s="42"/>
      <c r="D4" s="42"/>
      <c r="E4" s="42"/>
      <c r="F4" s="42"/>
      <c r="G4" s="42"/>
      <c r="H4" s="42"/>
      <c r="I4" s="42"/>
      <c r="J4" s="42"/>
      <c r="K4" s="42"/>
      <c r="L4" s="42"/>
      <c r="M4" s="42"/>
      <c r="N4" s="42"/>
    </row>
    <row r="5" s="35" customFormat="1" ht="24" customHeight="1" spans="1:14">
      <c r="A5" s="40"/>
      <c r="B5" s="43" t="s">
        <v>18</v>
      </c>
      <c r="C5" s="44" t="e">
        <f>C3-C4</f>
        <v>#REF!</v>
      </c>
      <c r="D5" s="44" t="e">
        <f t="shared" ref="D5:N5" si="0">D3-D4</f>
        <v>#REF!</v>
      </c>
      <c r="E5" s="44" t="e">
        <f t="shared" si="0"/>
        <v>#REF!</v>
      </c>
      <c r="F5" s="44" t="e">
        <f t="shared" si="0"/>
        <v>#REF!</v>
      </c>
      <c r="G5" s="44" t="e">
        <f t="shared" si="0"/>
        <v>#REF!</v>
      </c>
      <c r="H5" s="44" t="e">
        <f t="shared" si="0"/>
        <v>#REF!</v>
      </c>
      <c r="I5" s="44" t="e">
        <f t="shared" si="0"/>
        <v>#REF!</v>
      </c>
      <c r="J5" s="44" t="e">
        <f t="shared" si="0"/>
        <v>#REF!</v>
      </c>
      <c r="K5" s="44" t="e">
        <f t="shared" si="0"/>
        <v>#REF!</v>
      </c>
      <c r="L5" s="44" t="e">
        <f t="shared" si="0"/>
        <v>#REF!</v>
      </c>
      <c r="M5" s="44" t="e">
        <f t="shared" si="0"/>
        <v>#REF!</v>
      </c>
      <c r="N5" s="44" t="e">
        <f t="shared" si="0"/>
        <v>#REF!</v>
      </c>
    </row>
    <row r="6" s="34" customFormat="1" ht="24" customHeight="1" spans="1:14">
      <c r="A6" s="40"/>
      <c r="B6" s="41" t="s">
        <v>19</v>
      </c>
      <c r="C6" s="42"/>
      <c r="D6" s="42"/>
      <c r="E6" s="42"/>
      <c r="F6" s="42"/>
      <c r="G6" s="42"/>
      <c r="H6" s="42"/>
      <c r="I6" s="42"/>
      <c r="J6" s="42"/>
      <c r="K6" s="42"/>
      <c r="L6" s="42"/>
      <c r="M6" s="42"/>
      <c r="N6" s="42"/>
    </row>
    <row r="7" s="34" customFormat="1" ht="24" hidden="1" customHeight="1" spans="1:14">
      <c r="A7" s="45"/>
      <c r="B7" s="41"/>
      <c r="C7" s="42" t="e">
        <f>SUMIFS(#REF!,#REF!,供货产能合计!$A7)</f>
        <v>#REF!</v>
      </c>
      <c r="D7" s="42" t="e">
        <f>SUMIFS(#REF!,#REF!,供货产能合计!$A7)</f>
        <v>#REF!</v>
      </c>
      <c r="E7" s="42" t="e">
        <f>SUMIFS(#REF!,#REF!,供货产能合计!$A7)</f>
        <v>#REF!</v>
      </c>
      <c r="F7" s="42" t="e">
        <f>SUMIFS(#REF!,#REF!,供货产能合计!$A7)</f>
        <v>#REF!</v>
      </c>
      <c r="G7" s="42" t="e">
        <f>SUMIFS(#REF!,#REF!,供货产能合计!$A7)</f>
        <v>#REF!</v>
      </c>
      <c r="H7" s="42" t="e">
        <f>SUMIFS(#REF!,#REF!,供货产能合计!$A7)</f>
        <v>#REF!</v>
      </c>
      <c r="I7" s="42" t="e">
        <f>SUMIFS(#REF!,#REF!,供货产能合计!$A7)</f>
        <v>#REF!</v>
      </c>
      <c r="J7" s="42" t="e">
        <f>SUMIFS(#REF!,#REF!,供货产能合计!$A7)</f>
        <v>#REF!</v>
      </c>
      <c r="K7" s="42" t="e">
        <f>SUMIFS(#REF!,#REF!,供货产能合计!$A7)</f>
        <v>#REF!</v>
      </c>
      <c r="L7" s="42" t="e">
        <f>SUMIFS(#REF!,#REF!,供货产能合计!$A7)</f>
        <v>#REF!</v>
      </c>
      <c r="M7" s="42" t="e">
        <f>SUMIFS(#REF!,#REF!,供货产能合计!$A7)</f>
        <v>#REF!</v>
      </c>
      <c r="N7" s="42" t="e">
        <f>SUMIFS(#REF!,#REF!,供货产能合计!$A7)</f>
        <v>#REF!</v>
      </c>
    </row>
    <row r="8" s="35" customFormat="1" ht="24" hidden="1" customHeight="1" spans="1:14">
      <c r="A8" s="46"/>
      <c r="B8" s="43" t="s">
        <v>18</v>
      </c>
      <c r="C8" s="44">
        <v>0.2</v>
      </c>
      <c r="D8" s="44">
        <v>0.2</v>
      </c>
      <c r="E8" s="44">
        <v>0.2</v>
      </c>
      <c r="F8" s="44">
        <v>0.2</v>
      </c>
      <c r="G8" s="44">
        <v>0.2</v>
      </c>
      <c r="H8" s="44">
        <v>0.2</v>
      </c>
      <c r="I8" s="44">
        <v>0.2</v>
      </c>
      <c r="J8" s="44">
        <v>0.2</v>
      </c>
      <c r="K8" s="44">
        <v>0.2</v>
      </c>
      <c r="L8" s="44">
        <v>0.2</v>
      </c>
      <c r="M8" s="44">
        <v>0.2</v>
      </c>
      <c r="N8" s="44">
        <v>0.2</v>
      </c>
    </row>
    <row r="9" s="34" customFormat="1" ht="24" hidden="1" customHeight="1" spans="1:14">
      <c r="A9" s="47"/>
      <c r="B9" s="41" t="s">
        <v>19</v>
      </c>
      <c r="C9" s="42" t="e">
        <f>1-C8-C7</f>
        <v>#REF!</v>
      </c>
      <c r="D9" s="42" t="e">
        <f t="shared" ref="D9:N9" si="1">1-D8-D7</f>
        <v>#REF!</v>
      </c>
      <c r="E9" s="42" t="e">
        <f t="shared" si="1"/>
        <v>#REF!</v>
      </c>
      <c r="F9" s="42" t="e">
        <f t="shared" si="1"/>
        <v>#REF!</v>
      </c>
      <c r="G9" s="42" t="e">
        <f t="shared" si="1"/>
        <v>#REF!</v>
      </c>
      <c r="H9" s="42" t="e">
        <f t="shared" si="1"/>
        <v>#REF!</v>
      </c>
      <c r="I9" s="42" t="e">
        <f t="shared" si="1"/>
        <v>#REF!</v>
      </c>
      <c r="J9" s="42" t="e">
        <f t="shared" si="1"/>
        <v>#REF!</v>
      </c>
      <c r="K9" s="42" t="e">
        <f t="shared" si="1"/>
        <v>#REF!</v>
      </c>
      <c r="L9" s="42" t="e">
        <f t="shared" si="1"/>
        <v>#REF!</v>
      </c>
      <c r="M9" s="42" t="e">
        <f t="shared" si="1"/>
        <v>#REF!</v>
      </c>
      <c r="N9" s="42" t="e">
        <f t="shared" si="1"/>
        <v>#REF!</v>
      </c>
    </row>
    <row r="10" s="34" customFormat="1" ht="24" hidden="1" customHeight="1" spans="1:14">
      <c r="A10" s="40"/>
      <c r="B10" s="41"/>
      <c r="C10" s="42" t="e">
        <f>SUMIFS(#REF!,#REF!,供货产能合计!$A10)</f>
        <v>#REF!</v>
      </c>
      <c r="D10" s="42" t="e">
        <f>SUMIFS(#REF!,#REF!,供货产能合计!$A10)</f>
        <v>#REF!</v>
      </c>
      <c r="E10" s="42" t="e">
        <f>SUMIFS(#REF!,#REF!,供货产能合计!$A10)</f>
        <v>#REF!</v>
      </c>
      <c r="F10" s="42" t="e">
        <f>SUMIFS(#REF!,#REF!,供货产能合计!$A10)</f>
        <v>#REF!</v>
      </c>
      <c r="G10" s="42" t="e">
        <f>SUMIFS(#REF!,#REF!,供货产能合计!$A10)</f>
        <v>#REF!</v>
      </c>
      <c r="H10" s="42" t="e">
        <f>SUMIFS(#REF!,#REF!,供货产能合计!$A10)</f>
        <v>#REF!</v>
      </c>
      <c r="I10" s="42" t="e">
        <f>SUMIFS(#REF!,#REF!,供货产能合计!$A10)</f>
        <v>#REF!</v>
      </c>
      <c r="J10" s="42" t="e">
        <f>SUMIFS(#REF!,#REF!,供货产能合计!$A10)</f>
        <v>#REF!</v>
      </c>
      <c r="K10" s="42" t="e">
        <f>SUMIFS(#REF!,#REF!,供货产能合计!$A10)</f>
        <v>#REF!</v>
      </c>
      <c r="L10" s="42" t="e">
        <f>SUMIFS(#REF!,#REF!,供货产能合计!$A10)</f>
        <v>#REF!</v>
      </c>
      <c r="M10" s="42" t="e">
        <f>SUMIFS(#REF!,#REF!,供货产能合计!$A10)</f>
        <v>#REF!</v>
      </c>
      <c r="N10" s="42" t="e">
        <f>SUMIFS(#REF!,#REF!,供货产能合计!$A10)</f>
        <v>#REF!</v>
      </c>
    </row>
    <row r="11" s="35" customFormat="1" ht="24" hidden="1" customHeight="1" spans="1:14">
      <c r="A11" s="40"/>
      <c r="B11" s="43" t="s">
        <v>18</v>
      </c>
      <c r="C11" s="44">
        <v>0.2</v>
      </c>
      <c r="D11" s="44">
        <v>0.2</v>
      </c>
      <c r="E11" s="44">
        <v>0.2</v>
      </c>
      <c r="F11" s="44">
        <v>0.2</v>
      </c>
      <c r="G11" s="44">
        <v>0.2</v>
      </c>
      <c r="H11" s="44">
        <v>0.2</v>
      </c>
      <c r="I11" s="44">
        <v>0.2</v>
      </c>
      <c r="J11" s="44">
        <v>0.2</v>
      </c>
      <c r="K11" s="44">
        <v>0.2</v>
      </c>
      <c r="L11" s="44">
        <v>0.2</v>
      </c>
      <c r="M11" s="44">
        <v>0.2</v>
      </c>
      <c r="N11" s="44">
        <v>0.2</v>
      </c>
    </row>
    <row r="12" s="34" customFormat="1" ht="24" hidden="1" customHeight="1" spans="1:14">
      <c r="A12" s="40"/>
      <c r="B12" s="41" t="s">
        <v>19</v>
      </c>
      <c r="C12" s="42" t="e">
        <f>1-C11-C10</f>
        <v>#REF!</v>
      </c>
      <c r="D12" s="42" t="e">
        <f t="shared" ref="D12:N12" si="2">1-D11-D10</f>
        <v>#REF!</v>
      </c>
      <c r="E12" s="42" t="e">
        <f t="shared" si="2"/>
        <v>#REF!</v>
      </c>
      <c r="F12" s="42" t="e">
        <f t="shared" si="2"/>
        <v>#REF!</v>
      </c>
      <c r="G12" s="42" t="e">
        <f t="shared" si="2"/>
        <v>#REF!</v>
      </c>
      <c r="H12" s="42" t="e">
        <f t="shared" si="2"/>
        <v>#REF!</v>
      </c>
      <c r="I12" s="42" t="e">
        <f t="shared" si="2"/>
        <v>#REF!</v>
      </c>
      <c r="J12" s="42" t="e">
        <f t="shared" si="2"/>
        <v>#REF!</v>
      </c>
      <c r="K12" s="42" t="e">
        <f t="shared" si="2"/>
        <v>#REF!</v>
      </c>
      <c r="L12" s="42" t="e">
        <f t="shared" si="2"/>
        <v>#REF!</v>
      </c>
      <c r="M12" s="42" t="e">
        <f t="shared" si="2"/>
        <v>#REF!</v>
      </c>
      <c r="N12" s="42" t="e">
        <f t="shared" si="2"/>
        <v>#REF!</v>
      </c>
    </row>
    <row r="13" s="34" customFormat="1" ht="24" hidden="1" customHeight="1" spans="1:14">
      <c r="A13" s="40"/>
      <c r="B13" s="41"/>
      <c r="C13" s="42" t="e">
        <f>SUMIFS(#REF!,#REF!,供货产能合计!$A13)</f>
        <v>#REF!</v>
      </c>
      <c r="D13" s="42" t="e">
        <f>SUMIFS(#REF!,#REF!,供货产能合计!$A13)</f>
        <v>#REF!</v>
      </c>
      <c r="E13" s="42" t="e">
        <f>SUMIFS(#REF!,#REF!,供货产能合计!$A13)</f>
        <v>#REF!</v>
      </c>
      <c r="F13" s="42" t="e">
        <f>SUMIFS(#REF!,#REF!,供货产能合计!$A13)</f>
        <v>#REF!</v>
      </c>
      <c r="G13" s="42" t="e">
        <f>SUMIFS(#REF!,#REF!,供货产能合计!$A13)</f>
        <v>#REF!</v>
      </c>
      <c r="H13" s="42" t="e">
        <f>SUMIFS(#REF!,#REF!,供货产能合计!$A13)</f>
        <v>#REF!</v>
      </c>
      <c r="I13" s="42" t="e">
        <f>SUMIFS(#REF!,#REF!,供货产能合计!$A13)</f>
        <v>#REF!</v>
      </c>
      <c r="J13" s="42" t="e">
        <f>SUMIFS(#REF!,#REF!,供货产能合计!$A13)</f>
        <v>#REF!</v>
      </c>
      <c r="K13" s="42" t="e">
        <f>SUMIFS(#REF!,#REF!,供货产能合计!$A13)</f>
        <v>#REF!</v>
      </c>
      <c r="L13" s="42" t="e">
        <f>SUMIFS(#REF!,#REF!,供货产能合计!$A13)</f>
        <v>#REF!</v>
      </c>
      <c r="M13" s="42" t="e">
        <f>SUMIFS(#REF!,#REF!,供货产能合计!$A13)</f>
        <v>#REF!</v>
      </c>
      <c r="N13" s="42" t="e">
        <f>SUMIFS(#REF!,#REF!,供货产能合计!$A13)</f>
        <v>#REF!</v>
      </c>
    </row>
    <row r="14" s="34" customFormat="1" ht="24" hidden="1" customHeight="1" spans="1:14">
      <c r="A14" s="40"/>
      <c r="B14" s="43" t="s">
        <v>18</v>
      </c>
      <c r="C14" s="44">
        <v>0.2</v>
      </c>
      <c r="D14" s="44">
        <v>0.2</v>
      </c>
      <c r="E14" s="44">
        <v>0.2</v>
      </c>
      <c r="F14" s="44">
        <v>0.2</v>
      </c>
      <c r="G14" s="44">
        <v>0.2</v>
      </c>
      <c r="H14" s="44">
        <v>0.2</v>
      </c>
      <c r="I14" s="44">
        <v>0.2</v>
      </c>
      <c r="J14" s="44">
        <v>0.2</v>
      </c>
      <c r="K14" s="44">
        <v>0.2</v>
      </c>
      <c r="L14" s="44">
        <v>0.2</v>
      </c>
      <c r="M14" s="44">
        <v>0.2</v>
      </c>
      <c r="N14" s="44">
        <v>0.2</v>
      </c>
    </row>
    <row r="15" s="34" customFormat="1" ht="24" hidden="1" customHeight="1" spans="1:14">
      <c r="A15" s="40"/>
      <c r="B15" s="41" t="s">
        <v>19</v>
      </c>
      <c r="C15" s="42" t="e">
        <f>1-C14-C13</f>
        <v>#REF!</v>
      </c>
      <c r="D15" s="42" t="e">
        <f t="shared" ref="D15" si="3">1-D14-D13</f>
        <v>#REF!</v>
      </c>
      <c r="E15" s="42" t="e">
        <f t="shared" ref="E15" si="4">1-E14-E13</f>
        <v>#REF!</v>
      </c>
      <c r="F15" s="42" t="e">
        <f t="shared" ref="F15" si="5">1-F14-F13</f>
        <v>#REF!</v>
      </c>
      <c r="G15" s="42" t="e">
        <f t="shared" ref="G15" si="6">1-G14-G13</f>
        <v>#REF!</v>
      </c>
      <c r="H15" s="42" t="e">
        <f t="shared" ref="H15" si="7">1-H14-H13</f>
        <v>#REF!</v>
      </c>
      <c r="I15" s="42" t="e">
        <f t="shared" ref="I15" si="8">1-I14-I13</f>
        <v>#REF!</v>
      </c>
      <c r="J15" s="42" t="e">
        <f t="shared" ref="J15" si="9">1-J14-J13</f>
        <v>#REF!</v>
      </c>
      <c r="K15" s="42" t="e">
        <f t="shared" ref="K15" si="10">1-K14-K13</f>
        <v>#REF!</v>
      </c>
      <c r="L15" s="42" t="e">
        <f t="shared" ref="L15" si="11">1-L14-L13</f>
        <v>#REF!</v>
      </c>
      <c r="M15" s="42" t="e">
        <f t="shared" ref="M15" si="12">1-M14-M13</f>
        <v>#REF!</v>
      </c>
      <c r="N15" s="42" t="e">
        <f t="shared" ref="N15" si="13">1-N14-N13</f>
        <v>#REF!</v>
      </c>
    </row>
    <row r="16" s="34" customFormat="1" ht="24" hidden="1" customHeight="1" spans="1:14">
      <c r="A16" s="48" t="s">
        <v>20</v>
      </c>
      <c r="B16" s="41"/>
      <c r="C16" s="42" t="e">
        <f>SUMIFS(#REF!,#REF!,供货产能合计!$A16)</f>
        <v>#REF!</v>
      </c>
      <c r="D16" s="42" t="e">
        <f>SUMIFS(#REF!,#REF!,供货产能合计!$A16)</f>
        <v>#REF!</v>
      </c>
      <c r="E16" s="42" t="e">
        <f>SUMIFS(#REF!,#REF!,供货产能合计!$A16)</f>
        <v>#REF!</v>
      </c>
      <c r="F16" s="42" t="e">
        <f>SUMIFS(#REF!,#REF!,供货产能合计!$A16)</f>
        <v>#REF!</v>
      </c>
      <c r="G16" s="42" t="e">
        <f>SUMIFS(#REF!,#REF!,供货产能合计!$A16)</f>
        <v>#REF!</v>
      </c>
      <c r="H16" s="42" t="e">
        <f>SUMIFS(#REF!,#REF!,供货产能合计!$A16)</f>
        <v>#REF!</v>
      </c>
      <c r="I16" s="42" t="e">
        <f>SUMIFS(#REF!,#REF!,供货产能合计!$A16)</f>
        <v>#REF!</v>
      </c>
      <c r="J16" s="42" t="e">
        <f>SUMIFS(#REF!,#REF!,供货产能合计!$A16)</f>
        <v>#REF!</v>
      </c>
      <c r="K16" s="42" t="e">
        <f>SUMIFS(#REF!,#REF!,供货产能合计!$A16)</f>
        <v>#REF!</v>
      </c>
      <c r="L16" s="42" t="e">
        <f>SUMIFS(#REF!,#REF!,供货产能合计!$A16)</f>
        <v>#REF!</v>
      </c>
      <c r="M16" s="42" t="e">
        <f>SUMIFS(#REF!,#REF!,供货产能合计!$A16)</f>
        <v>#REF!</v>
      </c>
      <c r="N16" s="42" t="e">
        <f>SUMIFS(#REF!,#REF!,供货产能合计!$A16)</f>
        <v>#REF!</v>
      </c>
    </row>
    <row r="17" s="34" customFormat="1" ht="24" hidden="1" customHeight="1" spans="1:14">
      <c r="A17" s="48"/>
      <c r="B17" s="43" t="s">
        <v>18</v>
      </c>
      <c r="C17" s="44">
        <v>0.2</v>
      </c>
      <c r="D17" s="44">
        <v>0.2</v>
      </c>
      <c r="E17" s="44">
        <v>0.2</v>
      </c>
      <c r="F17" s="44">
        <v>0.2</v>
      </c>
      <c r="G17" s="44">
        <v>0.2</v>
      </c>
      <c r="H17" s="44">
        <v>0.2</v>
      </c>
      <c r="I17" s="44">
        <v>0.2</v>
      </c>
      <c r="J17" s="44">
        <v>0.2</v>
      </c>
      <c r="K17" s="44">
        <v>0.2</v>
      </c>
      <c r="L17" s="44">
        <v>0.2</v>
      </c>
      <c r="M17" s="44">
        <v>0.2</v>
      </c>
      <c r="N17" s="44">
        <v>0.2</v>
      </c>
    </row>
    <row r="18" s="34" customFormat="1" ht="24" hidden="1" customHeight="1" spans="1:14">
      <c r="A18" s="48"/>
      <c r="B18" s="41" t="s">
        <v>19</v>
      </c>
      <c r="C18" s="42" t="e">
        <f>1-C17-C16</f>
        <v>#REF!</v>
      </c>
      <c r="D18" s="42" t="e">
        <f t="shared" ref="D18:N18" si="14">1-D17-D16</f>
        <v>#REF!</v>
      </c>
      <c r="E18" s="42" t="e">
        <f t="shared" si="14"/>
        <v>#REF!</v>
      </c>
      <c r="F18" s="42" t="e">
        <f t="shared" si="14"/>
        <v>#REF!</v>
      </c>
      <c r="G18" s="42" t="e">
        <f t="shared" si="14"/>
        <v>#REF!</v>
      </c>
      <c r="H18" s="42" t="e">
        <f t="shared" si="14"/>
        <v>#REF!</v>
      </c>
      <c r="I18" s="42" t="e">
        <f t="shared" si="14"/>
        <v>#REF!</v>
      </c>
      <c r="J18" s="42" t="e">
        <f t="shared" si="14"/>
        <v>#REF!</v>
      </c>
      <c r="K18" s="42" t="e">
        <f t="shared" si="14"/>
        <v>#REF!</v>
      </c>
      <c r="L18" s="42" t="e">
        <f t="shared" si="14"/>
        <v>#REF!</v>
      </c>
      <c r="M18" s="42" t="e">
        <f t="shared" si="14"/>
        <v>#REF!</v>
      </c>
      <c r="N18" s="42" t="e">
        <f t="shared" si="14"/>
        <v>#REF!</v>
      </c>
    </row>
    <row r="19" s="34" customFormat="1" ht="24" customHeight="1" spans="1:14">
      <c r="A19" s="49"/>
      <c r="B19" s="50"/>
      <c r="C19" s="51"/>
      <c r="D19" s="51"/>
      <c r="E19" s="51"/>
      <c r="F19" s="51"/>
      <c r="G19" s="51"/>
      <c r="H19" s="51"/>
      <c r="I19" s="51"/>
      <c r="J19" s="51"/>
      <c r="K19" s="51"/>
      <c r="L19" s="51"/>
      <c r="M19" s="51"/>
      <c r="N19" s="51"/>
    </row>
    <row r="20" s="34" customFormat="1" ht="24" customHeight="1" spans="1:14">
      <c r="A20" s="49"/>
      <c r="B20" s="50"/>
      <c r="C20" s="51"/>
      <c r="D20" s="51"/>
      <c r="E20" s="51"/>
      <c r="F20" s="51"/>
      <c r="G20" s="51"/>
      <c r="H20" s="51"/>
      <c r="I20" s="51"/>
      <c r="J20" s="51"/>
      <c r="K20" s="51"/>
      <c r="L20" s="51"/>
      <c r="M20" s="51"/>
      <c r="N20" s="51"/>
    </row>
    <row r="21" s="34" customFormat="1" ht="24" customHeight="1" spans="1:14">
      <c r="A21" s="49"/>
      <c r="B21" s="50"/>
      <c r="C21" s="51"/>
      <c r="D21" s="51"/>
      <c r="E21" s="51"/>
      <c r="F21" s="51"/>
      <c r="G21" s="51"/>
      <c r="H21" s="51"/>
      <c r="I21" s="51"/>
      <c r="J21" s="51"/>
      <c r="K21" s="51"/>
      <c r="L21" s="51"/>
      <c r="M21" s="51"/>
      <c r="N21" s="51"/>
    </row>
    <row r="22" s="34" customFormat="1" ht="24" customHeight="1" spans="1:14">
      <c r="A22" s="49"/>
      <c r="B22" s="50"/>
      <c r="C22" s="51"/>
      <c r="D22" s="51"/>
      <c r="E22" s="51"/>
      <c r="F22" s="51"/>
      <c r="G22" s="51"/>
      <c r="H22" s="51"/>
      <c r="I22" s="51"/>
      <c r="J22" s="51"/>
      <c r="K22" s="51"/>
      <c r="L22" s="51"/>
      <c r="M22" s="51"/>
      <c r="N22" s="51"/>
    </row>
    <row r="23" ht="26.25" customHeight="1" spans="1:14">
      <c r="A23" s="36" t="s">
        <v>21</v>
      </c>
    </row>
    <row r="24" spans="1:14">
      <c r="A24" s="36" t="s">
        <v>22</v>
      </c>
    </row>
    <row r="27" spans="1:14">
      <c r="D27" s="52"/>
    </row>
    <row r="28" spans="1:14">
      <c r="D28" s="52"/>
    </row>
  </sheetData>
  <mergeCells count="6">
    <mergeCell ref="A1:N1"/>
    <mergeCell ref="A3:A6"/>
    <mergeCell ref="A7:A9"/>
    <mergeCell ref="A10:A12"/>
    <mergeCell ref="A13:A15"/>
    <mergeCell ref="A16:A18"/>
  </mergeCells>
  <conditionalFormatting sqref="C3:N12 C22:N22">
    <cfRule type="cellIs" dxfId="0" priority="27" operator="greaterThan">
      <formula>1</formula>
    </cfRule>
  </conditionalFormatting>
  <conditionalFormatting sqref="C13:N15 C19:N21">
    <cfRule type="cellIs" dxfId="0" priority="2" operator="greaterThan">
      <formula>1</formula>
    </cfRule>
  </conditionalFormatting>
  <conditionalFormatting sqref="C16:N18">
    <cfRule type="cellIs" dxfId="0" priority="1" operator="greaterThan">
      <formula>1</formula>
    </cfRule>
  </conditionalFormatting>
  <pageMargins left="0.25" right="0.25" top="0.75" bottom="0.75" header="0.3" footer="0.3"/>
  <pageSetup paperSize="9" orientation="landscape"/>
  <headerFooter/>
  <ignoredErrors>
    <ignoredError sqref="C7:N7 D10:N10" 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3"/>
  <sheetViews>
    <sheetView tabSelected="1" workbookViewId="0">
      <selection activeCell="D9" sqref="B3:B33 D9"/>
    </sheetView>
  </sheetViews>
  <sheetFormatPr defaultColWidth="9" defaultRowHeight="14" outlineLevelCol="7"/>
  <cols>
    <col min="1" max="1" width="5.78181818181818" customWidth="1"/>
    <col min="2" max="2" width="55.4454545454545" customWidth="1"/>
    <col min="3" max="3" width="11.6636363636364" customWidth="1"/>
    <col min="4" max="4" width="18.6363636363636" customWidth="1"/>
    <col min="5" max="5" width="12.0909090909091" customWidth="1"/>
    <col min="6" max="6" width="12.3363636363636" customWidth="1"/>
    <col min="7" max="7" width="12.7818181818182" customWidth="1"/>
    <col min="8" max="8" width="10" customWidth="1"/>
  </cols>
  <sheetData>
    <row r="1" ht="26" customHeight="1" spans="1:8">
      <c r="A1" s="1" t="s">
        <v>23</v>
      </c>
      <c r="B1" s="1" t="s">
        <v>24</v>
      </c>
      <c r="C1" s="2" t="s">
        <v>25</v>
      </c>
      <c r="D1" s="1" t="s">
        <v>26</v>
      </c>
      <c r="E1" s="1"/>
      <c r="F1" s="1"/>
      <c r="G1" s="1"/>
      <c r="H1" s="1" t="s">
        <v>27</v>
      </c>
    </row>
    <row r="2" ht="28.75" spans="1:8">
      <c r="A2" s="2"/>
      <c r="B2" s="2"/>
      <c r="C2" s="3"/>
      <c r="D2" s="2" t="s">
        <v>28</v>
      </c>
      <c r="E2" s="4" t="s">
        <v>29</v>
      </c>
      <c r="F2" s="5"/>
      <c r="G2" s="2" t="s">
        <v>30</v>
      </c>
      <c r="H2" s="2"/>
    </row>
    <row r="3" ht="15" spans="1:8">
      <c r="A3" s="6">
        <v>1</v>
      </c>
      <c r="B3" s="7"/>
      <c r="C3" s="8"/>
      <c r="D3" s="9"/>
      <c r="E3" s="10"/>
      <c r="F3" s="10"/>
      <c r="G3" s="11"/>
      <c r="H3" s="12"/>
    </row>
    <row r="4" ht="15" spans="1:8">
      <c r="A4" s="13"/>
      <c r="B4" s="14"/>
      <c r="C4" s="15"/>
      <c r="D4" s="16"/>
      <c r="E4" s="17"/>
      <c r="F4" s="17"/>
      <c r="G4" s="18"/>
      <c r="H4" s="19"/>
    </row>
    <row r="5" ht="15" spans="1:8">
      <c r="A5" s="13"/>
      <c r="B5" s="14"/>
      <c r="C5" s="15"/>
      <c r="D5" s="16"/>
      <c r="E5" s="17"/>
      <c r="F5" s="17"/>
      <c r="G5" s="18"/>
      <c r="H5" s="19"/>
    </row>
    <row r="6" ht="15" spans="1:8">
      <c r="A6" s="13"/>
      <c r="B6" s="14"/>
      <c r="C6" s="15"/>
      <c r="D6" s="16"/>
      <c r="E6" s="17"/>
      <c r="F6" s="17"/>
      <c r="G6" s="20"/>
      <c r="H6" s="19"/>
    </row>
    <row r="7" ht="15" spans="1:8">
      <c r="A7" s="13"/>
      <c r="B7" s="14"/>
      <c r="C7" s="15"/>
      <c r="D7" s="16"/>
      <c r="E7" s="17"/>
      <c r="F7" s="17"/>
      <c r="G7" s="20"/>
      <c r="H7" s="19"/>
    </row>
    <row r="8" ht="15" spans="1:8">
      <c r="A8" s="13"/>
      <c r="B8" s="14"/>
      <c r="C8" s="15"/>
      <c r="D8" s="16"/>
      <c r="E8" s="17"/>
      <c r="F8" s="17"/>
      <c r="G8" s="20"/>
      <c r="H8" s="19"/>
    </row>
    <row r="9" ht="15" spans="1:8">
      <c r="A9" s="13"/>
      <c r="B9" s="14"/>
      <c r="C9" s="15"/>
      <c r="D9" s="16"/>
      <c r="E9" s="17"/>
      <c r="F9" s="17"/>
      <c r="G9" s="20"/>
      <c r="H9" s="19"/>
    </row>
    <row r="10" ht="15" spans="1:8">
      <c r="A10" s="13"/>
      <c r="B10" s="14"/>
      <c r="C10" s="15"/>
      <c r="D10" s="16"/>
      <c r="E10" s="17"/>
      <c r="F10" s="17"/>
      <c r="G10" s="20"/>
      <c r="H10" s="19"/>
    </row>
    <row r="11" ht="15" spans="1:8">
      <c r="A11" s="13"/>
      <c r="B11" s="14"/>
      <c r="C11" s="15"/>
      <c r="D11" s="16"/>
      <c r="E11" s="17"/>
      <c r="F11" s="17"/>
      <c r="G11" s="20"/>
      <c r="H11" s="19"/>
    </row>
    <row r="12" ht="15" spans="1:8">
      <c r="A12" s="13"/>
      <c r="B12" s="14"/>
      <c r="C12" s="15"/>
      <c r="D12" s="16"/>
      <c r="E12" s="17"/>
      <c r="F12" s="17"/>
      <c r="G12" s="20"/>
      <c r="H12" s="19"/>
    </row>
    <row r="13" ht="15" spans="1:8">
      <c r="A13" s="13"/>
      <c r="B13" s="14"/>
      <c r="C13" s="15"/>
      <c r="D13" s="16"/>
      <c r="E13" s="17"/>
      <c r="F13" s="17"/>
      <c r="G13" s="20"/>
      <c r="H13" s="19"/>
    </row>
    <row r="14" ht="15" spans="1:8">
      <c r="A14" s="13"/>
      <c r="B14" s="14"/>
      <c r="C14" s="15"/>
      <c r="D14" s="16"/>
      <c r="E14" s="17"/>
      <c r="F14" s="17"/>
      <c r="G14" s="20"/>
      <c r="H14" s="19"/>
    </row>
    <row r="15" ht="15" spans="1:8">
      <c r="A15" s="13"/>
      <c r="B15" s="14"/>
      <c r="C15" s="15"/>
      <c r="D15" s="16"/>
      <c r="E15" s="17"/>
      <c r="F15" s="17"/>
      <c r="G15" s="20"/>
      <c r="H15" s="19"/>
    </row>
    <row r="16" ht="15" spans="1:8">
      <c r="A16" s="13"/>
      <c r="B16" s="14"/>
      <c r="C16" s="15"/>
      <c r="D16" s="16"/>
      <c r="E16" s="17"/>
      <c r="F16" s="17"/>
      <c r="G16" s="20"/>
      <c r="H16" s="19"/>
    </row>
    <row r="17" ht="15" spans="1:8">
      <c r="A17" s="13"/>
      <c r="B17" s="14"/>
      <c r="C17" s="15"/>
      <c r="D17" s="21"/>
      <c r="E17" s="17"/>
      <c r="F17" s="17"/>
      <c r="G17" s="20"/>
      <c r="H17" s="19"/>
    </row>
    <row r="18" ht="15" spans="1:8">
      <c r="A18" s="13"/>
      <c r="B18" s="14"/>
      <c r="C18" s="15"/>
      <c r="D18" s="16"/>
      <c r="E18" s="17"/>
      <c r="F18" s="17"/>
      <c r="G18" s="20"/>
      <c r="H18" s="19"/>
    </row>
    <row r="19" ht="15" spans="1:8">
      <c r="A19" s="13"/>
      <c r="B19" s="14"/>
      <c r="C19" s="15"/>
      <c r="D19" s="16"/>
      <c r="E19" s="17"/>
      <c r="F19" s="17"/>
      <c r="G19" s="20"/>
      <c r="H19" s="19"/>
    </row>
    <row r="20" ht="15" spans="1:8">
      <c r="A20" s="13"/>
      <c r="B20" s="14"/>
      <c r="C20" s="22"/>
      <c r="D20" s="16"/>
      <c r="E20" s="17"/>
      <c r="F20" s="17"/>
      <c r="G20" s="20"/>
      <c r="H20" s="23"/>
    </row>
    <row r="21" ht="15" spans="1:8">
      <c r="A21" s="13"/>
      <c r="B21" s="14"/>
      <c r="C21" s="22"/>
      <c r="D21" s="16"/>
      <c r="E21" s="17"/>
      <c r="F21" s="17"/>
      <c r="G21" s="20"/>
      <c r="H21" s="23"/>
    </row>
    <row r="22" ht="15" spans="1:8">
      <c r="A22" s="13"/>
      <c r="B22" s="14"/>
      <c r="C22" s="22"/>
      <c r="D22" s="16"/>
      <c r="E22" s="17"/>
      <c r="F22" s="17"/>
      <c r="G22" s="20"/>
      <c r="H22" s="23"/>
    </row>
    <row r="23" ht="15" spans="1:8">
      <c r="A23" s="13"/>
      <c r="B23" s="14"/>
      <c r="C23" s="22"/>
      <c r="D23" s="16"/>
      <c r="E23" s="17"/>
      <c r="F23" s="17"/>
      <c r="G23" s="20"/>
      <c r="H23" s="23"/>
    </row>
    <row r="24" ht="15" spans="1:8">
      <c r="A24" s="13"/>
      <c r="B24" s="14"/>
      <c r="C24" s="22"/>
      <c r="D24" s="16"/>
      <c r="E24" s="17"/>
      <c r="F24" s="17"/>
      <c r="G24" s="20"/>
      <c r="H24" s="23"/>
    </row>
    <row r="25" ht="15" spans="1:8">
      <c r="A25" s="13"/>
      <c r="B25" s="14"/>
      <c r="C25" s="22"/>
      <c r="D25" s="16"/>
      <c r="E25" s="17"/>
      <c r="F25" s="17"/>
      <c r="G25" s="20"/>
      <c r="H25" s="23"/>
    </row>
    <row r="26" ht="15" spans="1:8">
      <c r="A26" s="13"/>
      <c r="B26" s="14"/>
      <c r="C26" s="22"/>
      <c r="D26" s="16"/>
      <c r="E26" s="17"/>
      <c r="F26" s="17"/>
      <c r="G26" s="20"/>
      <c r="H26" s="23"/>
    </row>
    <row r="27" ht="15" spans="1:8">
      <c r="A27" s="13"/>
      <c r="B27" s="14"/>
      <c r="C27" s="22"/>
      <c r="D27" s="16"/>
      <c r="E27" s="17"/>
      <c r="F27" s="17"/>
      <c r="G27" s="20"/>
      <c r="H27" s="23"/>
    </row>
    <row r="28" ht="15" spans="1:8">
      <c r="A28" s="13"/>
      <c r="B28" s="14"/>
      <c r="C28" s="22"/>
      <c r="D28" s="16"/>
      <c r="E28" s="17"/>
      <c r="F28" s="17"/>
      <c r="G28" s="20"/>
      <c r="H28" s="23"/>
    </row>
    <row r="29" ht="15" spans="1:8">
      <c r="A29" s="13"/>
      <c r="B29" s="14"/>
      <c r="C29" s="22"/>
      <c r="D29" s="16"/>
      <c r="E29" s="17"/>
      <c r="F29" s="17"/>
      <c r="G29" s="20"/>
      <c r="H29" s="23"/>
    </row>
    <row r="30" ht="15" spans="1:8">
      <c r="A30" s="13"/>
      <c r="B30" s="14"/>
      <c r="C30" s="22"/>
      <c r="D30" s="16"/>
      <c r="E30" s="17"/>
      <c r="F30" s="17"/>
      <c r="G30" s="20"/>
      <c r="H30" s="23"/>
    </row>
    <row r="31" ht="15" spans="1:8">
      <c r="A31" s="13"/>
      <c r="B31" s="14"/>
      <c r="C31" s="22"/>
      <c r="D31" s="16"/>
      <c r="E31" s="17"/>
      <c r="F31" s="17"/>
      <c r="G31" s="20"/>
      <c r="H31" s="23"/>
    </row>
    <row r="32" ht="15" spans="1:8">
      <c r="A32" s="13"/>
      <c r="B32" s="14"/>
      <c r="C32" s="24"/>
      <c r="D32" s="21"/>
      <c r="E32" s="25"/>
      <c r="F32" s="25"/>
      <c r="G32" s="26"/>
      <c r="H32" s="27"/>
    </row>
    <row r="33" ht="15.75" spans="1:8">
      <c r="A33" s="28"/>
      <c r="B33" s="7"/>
      <c r="C33" s="29"/>
      <c r="D33" s="30" t="s">
        <v>31</v>
      </c>
      <c r="E33" s="31"/>
      <c r="F33" s="31"/>
      <c r="G33" s="32">
        <v>100</v>
      </c>
      <c r="H33" s="33" t="s">
        <v>32</v>
      </c>
    </row>
  </sheetData>
  <mergeCells count="8">
    <mergeCell ref="D1:G1"/>
    <mergeCell ref="E2:F2"/>
    <mergeCell ref="A1:A2"/>
    <mergeCell ref="A3:A32"/>
    <mergeCell ref="B1:B2"/>
    <mergeCell ref="B3:B33"/>
    <mergeCell ref="C1:C2"/>
    <mergeCell ref="H1:H2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微软中国</Company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供货产能合计</vt:lpstr>
      <vt:lpstr>设备台账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微软用户</dc:creator>
  <cp:lastModifiedBy>企业用户_217316485</cp:lastModifiedBy>
  <dcterms:created xsi:type="dcterms:W3CDTF">2016-10-25T02:47:00Z</dcterms:created>
  <cp:lastPrinted>2021-07-22T05:05:00Z</cp:lastPrinted>
  <dcterms:modified xsi:type="dcterms:W3CDTF">2026-05-13T04:13:10Z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576DD0C967364811B9A97B6E56B26911_13</vt:lpwstr>
  </property>
  <property fmtid="{D5CDD505-2E9C-101B-9397-08002B2CF9AE}" pid="3" name="KSOProductBuildVer">
    <vt:lpwstr>2052-12.1.0.24031</vt:lpwstr>
  </property>
  <property fmtid="{D5CDD505-2E9C-101B-9397-08002B2CF9AE}" pid="4" name="CalculationRule">
    <vt:i4>0</vt:i4>
  </property>
</Properties>
</file>