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"/>
    </mc:Choice>
  </mc:AlternateContent>
  <xr:revisionPtr revIDLastSave="0" documentId="13_ncr:1_{95B672A2-3642-634B-88A5-4FCC222C00EA}" xr6:coauthVersionLast="47" xr6:coauthVersionMax="47" xr10:uidLastSave="{00000000-0000-0000-0000-000000000000}"/>
  <bookViews>
    <workbookView xWindow="5800" yWindow="2620" windowWidth="35160" windowHeight="18600" tabRatio="724" xr2:uid="{00000000-000D-0000-FFFF-FFFF00000000}"/>
  </bookViews>
  <sheets>
    <sheet name="FR-LH-PHEV" sheetId="1" r:id="rId1"/>
    <sheet name="FR-RH-PHEV" sheetId="2" r:id="rId2"/>
    <sheet name="FR-LH-BEV" sheetId="3" r:id="rId3"/>
    <sheet name="FR-RH-BEV" sheetId="4" r:id="rId4"/>
    <sheet name="RR-LH" sheetId="5" r:id="rId5"/>
    <sheet name="RR-RH" sheetId="6" r:id="rId6"/>
  </sheets>
  <definedNames>
    <definedName name="_xlnm.Print_Area" localSheetId="0">'FR-LH-PHEV'!$A$1:$U$69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" i="2" l="1"/>
  <c r="F30" i="6" l="1"/>
  <c r="F30" i="4"/>
  <c r="F30" i="3"/>
  <c r="F30" i="2"/>
  <c r="F30" i="1"/>
  <c r="F30" i="5"/>
  <c r="K30" i="1"/>
  <c r="K40" i="1" s="1"/>
  <c r="I30" i="4"/>
  <c r="I30" i="3"/>
  <c r="I30" i="1"/>
  <c r="J30" i="4"/>
  <c r="J30" i="3"/>
  <c r="J30" i="1"/>
  <c r="J30" i="2"/>
  <c r="I30" i="2"/>
  <c r="U57" i="6"/>
  <c r="R57" i="6"/>
  <c r="Q57" i="6"/>
  <c r="N57" i="6"/>
  <c r="K57" i="6"/>
  <c r="H57" i="6"/>
  <c r="G57" i="6"/>
  <c r="U56" i="6"/>
  <c r="R56" i="6"/>
  <c r="Q56" i="6"/>
  <c r="N56" i="6"/>
  <c r="K56" i="6"/>
  <c r="H56" i="6"/>
  <c r="G56" i="6"/>
  <c r="U55" i="6"/>
  <c r="R55" i="6"/>
  <c r="Q55" i="6"/>
  <c r="N55" i="6"/>
  <c r="K55" i="6"/>
  <c r="H55" i="6"/>
  <c r="G55" i="6"/>
  <c r="U54" i="6"/>
  <c r="R54" i="6"/>
  <c r="Q54" i="6"/>
  <c r="N54" i="6"/>
  <c r="K54" i="6"/>
  <c r="H54" i="6"/>
  <c r="G54" i="6"/>
  <c r="U53" i="6"/>
  <c r="R53" i="6"/>
  <c r="Q53" i="6"/>
  <c r="N53" i="6"/>
  <c r="K53" i="6"/>
  <c r="H53" i="6"/>
  <c r="G53" i="6"/>
  <c r="U52" i="6"/>
  <c r="R52" i="6"/>
  <c r="Q52" i="6"/>
  <c r="N52" i="6"/>
  <c r="K52" i="6"/>
  <c r="H52" i="6"/>
  <c r="G52" i="6"/>
  <c r="U51" i="6"/>
  <c r="R51" i="6"/>
  <c r="Q51" i="6"/>
  <c r="N51" i="6"/>
  <c r="K51" i="6"/>
  <c r="H51" i="6"/>
  <c r="G51" i="6"/>
  <c r="U50" i="6"/>
  <c r="R50" i="6"/>
  <c r="Q50" i="6"/>
  <c r="N50" i="6"/>
  <c r="K50" i="6"/>
  <c r="H50" i="6"/>
  <c r="G50" i="6"/>
  <c r="U49" i="6"/>
  <c r="R49" i="6"/>
  <c r="Q49" i="6"/>
  <c r="N49" i="6"/>
  <c r="K49" i="6"/>
  <c r="H49" i="6"/>
  <c r="G49" i="6"/>
  <c r="U48" i="6"/>
  <c r="R48" i="6"/>
  <c r="Q48" i="6"/>
  <c r="N48" i="6"/>
  <c r="K48" i="6"/>
  <c r="H48" i="6"/>
  <c r="G48" i="6"/>
  <c r="U47" i="6"/>
  <c r="R47" i="6"/>
  <c r="Q47" i="6"/>
  <c r="N47" i="6"/>
  <c r="K47" i="6"/>
  <c r="H47" i="6"/>
  <c r="G47" i="6"/>
  <c r="U46" i="6"/>
  <c r="R46" i="6"/>
  <c r="Q46" i="6"/>
  <c r="N46" i="6"/>
  <c r="K46" i="6"/>
  <c r="H46" i="6"/>
  <c r="G46" i="6"/>
  <c r="U45" i="6"/>
  <c r="R45" i="6"/>
  <c r="Q45" i="6"/>
  <c r="N45" i="6"/>
  <c r="K45" i="6"/>
  <c r="H45" i="6"/>
  <c r="G45" i="6"/>
  <c r="U44" i="6"/>
  <c r="R44" i="6"/>
  <c r="Q44" i="6"/>
  <c r="N44" i="6"/>
  <c r="K44" i="6"/>
  <c r="H44" i="6"/>
  <c r="G44" i="6"/>
  <c r="U43" i="6"/>
  <c r="R43" i="6"/>
  <c r="Q43" i="6"/>
  <c r="N43" i="6"/>
  <c r="K43" i="6"/>
  <c r="H43" i="6"/>
  <c r="G43" i="6"/>
  <c r="Q42" i="6"/>
  <c r="H42" i="6"/>
  <c r="K42" i="6" s="1"/>
  <c r="U40" i="6"/>
  <c r="P40" i="6"/>
  <c r="F40" i="6"/>
  <c r="U39" i="6"/>
  <c r="R39" i="6"/>
  <c r="K39" i="6"/>
  <c r="U38" i="6"/>
  <c r="R38" i="6"/>
  <c r="K38" i="6"/>
  <c r="U37" i="6"/>
  <c r="R37" i="6"/>
  <c r="K37" i="6"/>
  <c r="U36" i="6"/>
  <c r="R36" i="6"/>
  <c r="K36" i="6"/>
  <c r="U35" i="6"/>
  <c r="R35" i="6"/>
  <c r="K35" i="6"/>
  <c r="U34" i="6"/>
  <c r="R34" i="6"/>
  <c r="K34" i="6"/>
  <c r="U33" i="6"/>
  <c r="R33" i="6"/>
  <c r="K33" i="6"/>
  <c r="U32" i="6"/>
  <c r="R32" i="6"/>
  <c r="K32" i="6"/>
  <c r="U31" i="6"/>
  <c r="R31" i="6"/>
  <c r="K31" i="6"/>
  <c r="U30" i="6"/>
  <c r="R30" i="6"/>
  <c r="J30" i="6"/>
  <c r="K30" i="6" s="1"/>
  <c r="K40" i="6" s="1"/>
  <c r="I30" i="6"/>
  <c r="U26" i="6"/>
  <c r="K26" i="6"/>
  <c r="U25" i="6"/>
  <c r="K25" i="6"/>
  <c r="U24" i="6"/>
  <c r="K24" i="6"/>
  <c r="U23" i="6"/>
  <c r="K23" i="6"/>
  <c r="U22" i="6"/>
  <c r="K22" i="6"/>
  <c r="U21" i="6"/>
  <c r="K21" i="6"/>
  <c r="U20" i="6"/>
  <c r="K20" i="6"/>
  <c r="U19" i="6"/>
  <c r="K19" i="6"/>
  <c r="U18" i="6"/>
  <c r="K18" i="6"/>
  <c r="U17" i="6"/>
  <c r="K17" i="6"/>
  <c r="U16" i="6"/>
  <c r="K16" i="6"/>
  <c r="U15" i="6"/>
  <c r="K15" i="6"/>
  <c r="U14" i="6"/>
  <c r="K14" i="6"/>
  <c r="U13" i="6"/>
  <c r="K13" i="6"/>
  <c r="U12" i="6"/>
  <c r="U27" i="6" s="1"/>
  <c r="K12" i="6"/>
  <c r="U11" i="6"/>
  <c r="K11" i="6"/>
  <c r="U10" i="6"/>
  <c r="K10" i="6"/>
  <c r="K27" i="6" s="1"/>
  <c r="U57" i="5"/>
  <c r="R57" i="5"/>
  <c r="Q57" i="5"/>
  <c r="N57" i="5"/>
  <c r="K57" i="5"/>
  <c r="H57" i="5"/>
  <c r="G57" i="5"/>
  <c r="U56" i="5"/>
  <c r="R56" i="5"/>
  <c r="Q56" i="5"/>
  <c r="N56" i="5"/>
  <c r="K56" i="5"/>
  <c r="H56" i="5"/>
  <c r="G56" i="5"/>
  <c r="U55" i="5"/>
  <c r="R55" i="5"/>
  <c r="Q55" i="5"/>
  <c r="N55" i="5"/>
  <c r="K55" i="5"/>
  <c r="H55" i="5"/>
  <c r="G55" i="5"/>
  <c r="U54" i="5"/>
  <c r="R54" i="5"/>
  <c r="Q54" i="5"/>
  <c r="N54" i="5"/>
  <c r="K54" i="5"/>
  <c r="H54" i="5"/>
  <c r="G54" i="5"/>
  <c r="U53" i="5"/>
  <c r="R53" i="5"/>
  <c r="Q53" i="5"/>
  <c r="N53" i="5"/>
  <c r="K53" i="5"/>
  <c r="H53" i="5"/>
  <c r="G53" i="5"/>
  <c r="U52" i="5"/>
  <c r="R52" i="5"/>
  <c r="Q52" i="5"/>
  <c r="N52" i="5"/>
  <c r="K52" i="5"/>
  <c r="H52" i="5"/>
  <c r="G52" i="5"/>
  <c r="U51" i="5"/>
  <c r="R51" i="5"/>
  <c r="Q51" i="5"/>
  <c r="N51" i="5"/>
  <c r="K51" i="5"/>
  <c r="H51" i="5"/>
  <c r="G51" i="5"/>
  <c r="U50" i="5"/>
  <c r="R50" i="5"/>
  <c r="Q50" i="5"/>
  <c r="N50" i="5"/>
  <c r="K50" i="5"/>
  <c r="H50" i="5"/>
  <c r="G50" i="5"/>
  <c r="U49" i="5"/>
  <c r="R49" i="5"/>
  <c r="R58" i="5" s="1"/>
  <c r="Q49" i="5"/>
  <c r="N49" i="5"/>
  <c r="K49" i="5"/>
  <c r="H49" i="5"/>
  <c r="G49" i="5"/>
  <c r="U48" i="5"/>
  <c r="R48" i="5"/>
  <c r="Q48" i="5"/>
  <c r="N48" i="5"/>
  <c r="K48" i="5"/>
  <c r="H48" i="5"/>
  <c r="G48" i="5"/>
  <c r="U47" i="5"/>
  <c r="R47" i="5"/>
  <c r="Q47" i="5"/>
  <c r="N47" i="5"/>
  <c r="K47" i="5"/>
  <c r="H47" i="5"/>
  <c r="G47" i="5"/>
  <c r="U46" i="5"/>
  <c r="R46" i="5"/>
  <c r="Q46" i="5"/>
  <c r="N46" i="5"/>
  <c r="K46" i="5"/>
  <c r="H46" i="5"/>
  <c r="G46" i="5"/>
  <c r="U45" i="5"/>
  <c r="R45" i="5"/>
  <c r="Q45" i="5"/>
  <c r="N45" i="5"/>
  <c r="K45" i="5"/>
  <c r="H45" i="5"/>
  <c r="G45" i="5"/>
  <c r="U44" i="5"/>
  <c r="R44" i="5"/>
  <c r="Q44" i="5"/>
  <c r="N44" i="5"/>
  <c r="K44" i="5"/>
  <c r="H44" i="5"/>
  <c r="G44" i="5"/>
  <c r="U43" i="5"/>
  <c r="R43" i="5"/>
  <c r="Q43" i="5"/>
  <c r="N43" i="5"/>
  <c r="K43" i="5"/>
  <c r="H43" i="5"/>
  <c r="G43" i="5"/>
  <c r="U42" i="5"/>
  <c r="U58" i="5" s="1"/>
  <c r="R42" i="5"/>
  <c r="Q42" i="5"/>
  <c r="K42" i="5"/>
  <c r="N42" i="5" s="1"/>
  <c r="H42" i="5"/>
  <c r="G42" i="5"/>
  <c r="P40" i="5"/>
  <c r="F40" i="5"/>
  <c r="U39" i="5"/>
  <c r="R39" i="5"/>
  <c r="K39" i="5"/>
  <c r="U38" i="5"/>
  <c r="R38" i="5"/>
  <c r="K38" i="5"/>
  <c r="U37" i="5"/>
  <c r="R37" i="5"/>
  <c r="K37" i="5"/>
  <c r="U36" i="5"/>
  <c r="R36" i="5"/>
  <c r="K36" i="5"/>
  <c r="U35" i="5"/>
  <c r="R35" i="5"/>
  <c r="K35" i="5"/>
  <c r="U34" i="5"/>
  <c r="R34" i="5"/>
  <c r="K34" i="5"/>
  <c r="U33" i="5"/>
  <c r="R33" i="5"/>
  <c r="K33" i="5"/>
  <c r="U32" i="5"/>
  <c r="R32" i="5"/>
  <c r="K32" i="5"/>
  <c r="U31" i="5"/>
  <c r="R31" i="5"/>
  <c r="K31" i="5"/>
  <c r="U30" i="5"/>
  <c r="U40" i="5" s="1"/>
  <c r="R30" i="5"/>
  <c r="K30" i="5"/>
  <c r="K40" i="5" s="1"/>
  <c r="J30" i="5"/>
  <c r="I30" i="5"/>
  <c r="U26" i="5"/>
  <c r="K26" i="5"/>
  <c r="U25" i="5"/>
  <c r="K25" i="5"/>
  <c r="U24" i="5"/>
  <c r="K24" i="5"/>
  <c r="U23" i="5"/>
  <c r="K23" i="5"/>
  <c r="U22" i="5"/>
  <c r="K22" i="5"/>
  <c r="U21" i="5"/>
  <c r="K21" i="5"/>
  <c r="U20" i="5"/>
  <c r="K20" i="5"/>
  <c r="U19" i="5"/>
  <c r="K19" i="5"/>
  <c r="U18" i="5"/>
  <c r="K18" i="5"/>
  <c r="U17" i="5"/>
  <c r="K17" i="5"/>
  <c r="U16" i="5"/>
  <c r="K16" i="5"/>
  <c r="U15" i="5"/>
  <c r="K15" i="5"/>
  <c r="U14" i="5"/>
  <c r="K14" i="5"/>
  <c r="U13" i="5"/>
  <c r="K13" i="5"/>
  <c r="U12" i="5"/>
  <c r="K12" i="5"/>
  <c r="U11" i="5"/>
  <c r="K11" i="5"/>
  <c r="U10" i="5"/>
  <c r="U27" i="5" s="1"/>
  <c r="K10" i="5"/>
  <c r="U57" i="4"/>
  <c r="R57" i="4"/>
  <c r="Q57" i="4"/>
  <c r="N57" i="4"/>
  <c r="K57" i="4"/>
  <c r="H57" i="4"/>
  <c r="G57" i="4"/>
  <c r="U56" i="4"/>
  <c r="R56" i="4"/>
  <c r="Q56" i="4"/>
  <c r="N56" i="4"/>
  <c r="K56" i="4"/>
  <c r="H56" i="4"/>
  <c r="G56" i="4"/>
  <c r="U55" i="4"/>
  <c r="R55" i="4"/>
  <c r="Q55" i="4"/>
  <c r="N55" i="4"/>
  <c r="K55" i="4"/>
  <c r="H55" i="4"/>
  <c r="G55" i="4"/>
  <c r="U54" i="4"/>
  <c r="R54" i="4"/>
  <c r="Q54" i="4"/>
  <c r="N54" i="4"/>
  <c r="K54" i="4"/>
  <c r="H54" i="4"/>
  <c r="G54" i="4"/>
  <c r="U53" i="4"/>
  <c r="R53" i="4"/>
  <c r="Q53" i="4"/>
  <c r="N53" i="4"/>
  <c r="K53" i="4"/>
  <c r="H53" i="4"/>
  <c r="G53" i="4"/>
  <c r="U52" i="4"/>
  <c r="R52" i="4"/>
  <c r="Q52" i="4"/>
  <c r="N52" i="4"/>
  <c r="K52" i="4"/>
  <c r="H52" i="4"/>
  <c r="G52" i="4"/>
  <c r="U51" i="4"/>
  <c r="R51" i="4"/>
  <c r="Q51" i="4"/>
  <c r="N51" i="4"/>
  <c r="K51" i="4"/>
  <c r="H51" i="4"/>
  <c r="G51" i="4"/>
  <c r="U50" i="4"/>
  <c r="R50" i="4"/>
  <c r="Q50" i="4"/>
  <c r="N50" i="4"/>
  <c r="K50" i="4"/>
  <c r="H50" i="4"/>
  <c r="G50" i="4"/>
  <c r="U49" i="4"/>
  <c r="R49" i="4"/>
  <c r="Q49" i="4"/>
  <c r="N49" i="4"/>
  <c r="K49" i="4"/>
  <c r="H49" i="4"/>
  <c r="G49" i="4"/>
  <c r="U48" i="4"/>
  <c r="R48" i="4"/>
  <c r="Q48" i="4"/>
  <c r="N48" i="4"/>
  <c r="K48" i="4"/>
  <c r="H48" i="4"/>
  <c r="G48" i="4"/>
  <c r="U47" i="4"/>
  <c r="R47" i="4"/>
  <c r="Q47" i="4"/>
  <c r="N47" i="4"/>
  <c r="K47" i="4"/>
  <c r="H47" i="4"/>
  <c r="G47" i="4"/>
  <c r="U46" i="4"/>
  <c r="R46" i="4"/>
  <c r="Q46" i="4"/>
  <c r="N46" i="4"/>
  <c r="K46" i="4"/>
  <c r="H46" i="4"/>
  <c r="G46" i="4"/>
  <c r="U45" i="4"/>
  <c r="R45" i="4"/>
  <c r="Q45" i="4"/>
  <c r="N45" i="4"/>
  <c r="K45" i="4"/>
  <c r="H45" i="4"/>
  <c r="G45" i="4"/>
  <c r="U44" i="4"/>
  <c r="R44" i="4"/>
  <c r="Q44" i="4"/>
  <c r="N44" i="4"/>
  <c r="K44" i="4"/>
  <c r="H44" i="4"/>
  <c r="G44" i="4"/>
  <c r="U43" i="4"/>
  <c r="U58" i="4" s="1"/>
  <c r="R43" i="4"/>
  <c r="Q43" i="4"/>
  <c r="N43" i="4"/>
  <c r="K43" i="4"/>
  <c r="H43" i="4"/>
  <c r="G43" i="4"/>
  <c r="U42" i="4"/>
  <c r="R42" i="4"/>
  <c r="R58" i="4" s="1"/>
  <c r="N42" i="4"/>
  <c r="N58" i="4" s="1"/>
  <c r="E59" i="4" s="1"/>
  <c r="K42" i="4"/>
  <c r="K58" i="4" s="1"/>
  <c r="H42" i="4"/>
  <c r="G42" i="4"/>
  <c r="P40" i="4"/>
  <c r="F40" i="4"/>
  <c r="U39" i="4"/>
  <c r="R39" i="4"/>
  <c r="K39" i="4"/>
  <c r="U38" i="4"/>
  <c r="R38" i="4"/>
  <c r="K38" i="4"/>
  <c r="U37" i="4"/>
  <c r="R37" i="4"/>
  <c r="K37" i="4"/>
  <c r="U36" i="4"/>
  <c r="R36" i="4"/>
  <c r="K36" i="4"/>
  <c r="U35" i="4"/>
  <c r="R35" i="4"/>
  <c r="K35" i="4"/>
  <c r="U34" i="4"/>
  <c r="R34" i="4"/>
  <c r="K34" i="4"/>
  <c r="U33" i="4"/>
  <c r="R33" i="4"/>
  <c r="K33" i="4"/>
  <c r="U32" i="4"/>
  <c r="R32" i="4"/>
  <c r="K32" i="4"/>
  <c r="U31" i="4"/>
  <c r="R31" i="4"/>
  <c r="K31" i="4"/>
  <c r="U30" i="4"/>
  <c r="U40" i="4" s="1"/>
  <c r="R30" i="4"/>
  <c r="K30" i="4"/>
  <c r="K40" i="4" s="1"/>
  <c r="U26" i="4"/>
  <c r="K26" i="4"/>
  <c r="U25" i="4"/>
  <c r="K25" i="4"/>
  <c r="U24" i="4"/>
  <c r="K24" i="4"/>
  <c r="U23" i="4"/>
  <c r="K23" i="4"/>
  <c r="U22" i="4"/>
  <c r="K22" i="4"/>
  <c r="U21" i="4"/>
  <c r="K21" i="4"/>
  <c r="U20" i="4"/>
  <c r="K20" i="4"/>
  <c r="U19" i="4"/>
  <c r="K19" i="4"/>
  <c r="U18" i="4"/>
  <c r="K18" i="4"/>
  <c r="U17" i="4"/>
  <c r="K17" i="4"/>
  <c r="U16" i="4"/>
  <c r="K16" i="4"/>
  <c r="U15" i="4"/>
  <c r="K15" i="4"/>
  <c r="U14" i="4"/>
  <c r="K14" i="4"/>
  <c r="U13" i="4"/>
  <c r="K13" i="4"/>
  <c r="U12" i="4"/>
  <c r="K12" i="4"/>
  <c r="U11" i="4"/>
  <c r="K11" i="4"/>
  <c r="U10" i="4"/>
  <c r="U27" i="4" s="1"/>
  <c r="K10" i="4"/>
  <c r="K27" i="4" s="1"/>
  <c r="U57" i="3"/>
  <c r="R57" i="3"/>
  <c r="Q57" i="3"/>
  <c r="N57" i="3"/>
  <c r="K57" i="3"/>
  <c r="H57" i="3"/>
  <c r="G57" i="3"/>
  <c r="U56" i="3"/>
  <c r="R56" i="3"/>
  <c r="Q56" i="3"/>
  <c r="N56" i="3"/>
  <c r="K56" i="3"/>
  <c r="H56" i="3"/>
  <c r="G56" i="3"/>
  <c r="U55" i="3"/>
  <c r="R55" i="3"/>
  <c r="Q55" i="3"/>
  <c r="N55" i="3"/>
  <c r="K55" i="3"/>
  <c r="H55" i="3"/>
  <c r="G55" i="3"/>
  <c r="U54" i="3"/>
  <c r="R54" i="3"/>
  <c r="Q54" i="3"/>
  <c r="N54" i="3"/>
  <c r="K54" i="3"/>
  <c r="H54" i="3"/>
  <c r="G54" i="3"/>
  <c r="U53" i="3"/>
  <c r="R53" i="3"/>
  <c r="Q53" i="3"/>
  <c r="N53" i="3"/>
  <c r="K53" i="3"/>
  <c r="H53" i="3"/>
  <c r="G53" i="3"/>
  <c r="U52" i="3"/>
  <c r="R52" i="3"/>
  <c r="Q52" i="3"/>
  <c r="N52" i="3"/>
  <c r="K52" i="3"/>
  <c r="H52" i="3"/>
  <c r="G52" i="3"/>
  <c r="U51" i="3"/>
  <c r="R51" i="3"/>
  <c r="Q51" i="3"/>
  <c r="N51" i="3"/>
  <c r="K51" i="3"/>
  <c r="H51" i="3"/>
  <c r="G51" i="3"/>
  <c r="U50" i="3"/>
  <c r="R50" i="3"/>
  <c r="Q50" i="3"/>
  <c r="N50" i="3"/>
  <c r="K50" i="3"/>
  <c r="H50" i="3"/>
  <c r="G50" i="3"/>
  <c r="U49" i="3"/>
  <c r="R49" i="3"/>
  <c r="Q49" i="3"/>
  <c r="N49" i="3"/>
  <c r="K49" i="3"/>
  <c r="H49" i="3"/>
  <c r="G49" i="3"/>
  <c r="U48" i="3"/>
  <c r="R48" i="3"/>
  <c r="Q48" i="3"/>
  <c r="N48" i="3"/>
  <c r="K48" i="3"/>
  <c r="K58" i="3" s="1"/>
  <c r="H48" i="3"/>
  <c r="G48" i="3"/>
  <c r="U47" i="3"/>
  <c r="R47" i="3"/>
  <c r="Q47" i="3"/>
  <c r="N47" i="3"/>
  <c r="K47" i="3"/>
  <c r="H47" i="3"/>
  <c r="G47" i="3"/>
  <c r="U46" i="3"/>
  <c r="R46" i="3"/>
  <c r="Q46" i="3"/>
  <c r="N46" i="3"/>
  <c r="K46" i="3"/>
  <c r="H46" i="3"/>
  <c r="G46" i="3"/>
  <c r="U45" i="3"/>
  <c r="R45" i="3"/>
  <c r="Q45" i="3"/>
  <c r="N45" i="3"/>
  <c r="K45" i="3"/>
  <c r="H45" i="3"/>
  <c r="G45" i="3"/>
  <c r="U44" i="3"/>
  <c r="R44" i="3"/>
  <c r="Q44" i="3"/>
  <c r="N44" i="3"/>
  <c r="K44" i="3"/>
  <c r="H44" i="3"/>
  <c r="G44" i="3"/>
  <c r="U43" i="3"/>
  <c r="U58" i="3" s="1"/>
  <c r="R43" i="3"/>
  <c r="Q43" i="3"/>
  <c r="N43" i="3"/>
  <c r="K43" i="3"/>
  <c r="H43" i="3"/>
  <c r="G43" i="3"/>
  <c r="U42" i="3"/>
  <c r="R42" i="3"/>
  <c r="R58" i="3" s="1"/>
  <c r="K42" i="3"/>
  <c r="N42" i="3" s="1"/>
  <c r="N58" i="3" s="1"/>
  <c r="E59" i="3" s="1"/>
  <c r="H42" i="3"/>
  <c r="G42" i="3"/>
  <c r="P40" i="3"/>
  <c r="F40" i="3"/>
  <c r="U39" i="3"/>
  <c r="R39" i="3"/>
  <c r="K39" i="3"/>
  <c r="U38" i="3"/>
  <c r="R38" i="3"/>
  <c r="K38" i="3"/>
  <c r="U37" i="3"/>
  <c r="R37" i="3"/>
  <c r="K37" i="3"/>
  <c r="U36" i="3"/>
  <c r="R36" i="3"/>
  <c r="K36" i="3"/>
  <c r="U35" i="3"/>
  <c r="R35" i="3"/>
  <c r="K35" i="3"/>
  <c r="U34" i="3"/>
  <c r="R34" i="3"/>
  <c r="K34" i="3"/>
  <c r="U33" i="3"/>
  <c r="R33" i="3"/>
  <c r="K33" i="3"/>
  <c r="U32" i="3"/>
  <c r="R32" i="3"/>
  <c r="K32" i="3"/>
  <c r="U31" i="3"/>
  <c r="R31" i="3"/>
  <c r="K31" i="3"/>
  <c r="U30" i="3"/>
  <c r="U40" i="3" s="1"/>
  <c r="R30" i="3"/>
  <c r="K30" i="3"/>
  <c r="K40" i="3" s="1"/>
  <c r="U26" i="3"/>
  <c r="K26" i="3"/>
  <c r="U25" i="3"/>
  <c r="K25" i="3"/>
  <c r="U24" i="3"/>
  <c r="K24" i="3"/>
  <c r="U23" i="3"/>
  <c r="K23" i="3"/>
  <c r="U22" i="3"/>
  <c r="K22" i="3"/>
  <c r="U21" i="3"/>
  <c r="K21" i="3"/>
  <c r="U20" i="3"/>
  <c r="K20" i="3"/>
  <c r="U19" i="3"/>
  <c r="K19" i="3"/>
  <c r="U18" i="3"/>
  <c r="K18" i="3"/>
  <c r="U17" i="3"/>
  <c r="K17" i="3"/>
  <c r="U16" i="3"/>
  <c r="K16" i="3"/>
  <c r="U15" i="3"/>
  <c r="K15" i="3"/>
  <c r="U14" i="3"/>
  <c r="K14" i="3"/>
  <c r="U13" i="3"/>
  <c r="K13" i="3"/>
  <c r="U12" i="3"/>
  <c r="K12" i="3"/>
  <c r="U11" i="3"/>
  <c r="K11" i="3"/>
  <c r="U10" i="3"/>
  <c r="U27" i="3" s="1"/>
  <c r="K10" i="3"/>
  <c r="K27" i="3" s="1"/>
  <c r="U57" i="2"/>
  <c r="R57" i="2"/>
  <c r="N57" i="2"/>
  <c r="K57" i="2"/>
  <c r="H57" i="2"/>
  <c r="G57" i="2"/>
  <c r="U56" i="2"/>
  <c r="R56" i="2"/>
  <c r="Q56" i="2"/>
  <c r="N56" i="2"/>
  <c r="K56" i="2"/>
  <c r="H56" i="2"/>
  <c r="G56" i="2"/>
  <c r="U55" i="2"/>
  <c r="R55" i="2"/>
  <c r="Q55" i="2"/>
  <c r="N55" i="2"/>
  <c r="K55" i="2"/>
  <c r="H55" i="2"/>
  <c r="G55" i="2"/>
  <c r="U54" i="2"/>
  <c r="R54" i="2"/>
  <c r="Q54" i="2"/>
  <c r="N54" i="2"/>
  <c r="K54" i="2"/>
  <c r="H54" i="2"/>
  <c r="G54" i="2"/>
  <c r="U53" i="2"/>
  <c r="R53" i="2"/>
  <c r="Q53" i="2"/>
  <c r="N53" i="2"/>
  <c r="K53" i="2"/>
  <c r="H53" i="2"/>
  <c r="G53" i="2"/>
  <c r="U52" i="2"/>
  <c r="R52" i="2"/>
  <c r="Q52" i="2"/>
  <c r="N52" i="2"/>
  <c r="K52" i="2"/>
  <c r="H52" i="2"/>
  <c r="G52" i="2"/>
  <c r="U51" i="2"/>
  <c r="R51" i="2"/>
  <c r="Q51" i="2"/>
  <c r="N51" i="2"/>
  <c r="K51" i="2"/>
  <c r="H51" i="2"/>
  <c r="G51" i="2"/>
  <c r="U50" i="2"/>
  <c r="R50" i="2"/>
  <c r="Q50" i="2"/>
  <c r="N50" i="2"/>
  <c r="K50" i="2"/>
  <c r="H50" i="2"/>
  <c r="G50" i="2"/>
  <c r="U49" i="2"/>
  <c r="R49" i="2"/>
  <c r="Q49" i="2"/>
  <c r="N49" i="2"/>
  <c r="K49" i="2"/>
  <c r="H49" i="2"/>
  <c r="G49" i="2"/>
  <c r="U48" i="2"/>
  <c r="R48" i="2"/>
  <c r="Q48" i="2"/>
  <c r="N48" i="2"/>
  <c r="K48" i="2"/>
  <c r="H48" i="2"/>
  <c r="G48" i="2"/>
  <c r="U47" i="2"/>
  <c r="R47" i="2"/>
  <c r="Q47" i="2"/>
  <c r="N47" i="2"/>
  <c r="K47" i="2"/>
  <c r="H47" i="2"/>
  <c r="G47" i="2"/>
  <c r="U46" i="2"/>
  <c r="R46" i="2"/>
  <c r="Q46" i="2"/>
  <c r="N46" i="2"/>
  <c r="K46" i="2"/>
  <c r="H46" i="2"/>
  <c r="G46" i="2"/>
  <c r="U45" i="2"/>
  <c r="R45" i="2"/>
  <c r="Q45" i="2"/>
  <c r="N45" i="2"/>
  <c r="K45" i="2"/>
  <c r="H45" i="2"/>
  <c r="G45" i="2"/>
  <c r="U44" i="2"/>
  <c r="R44" i="2"/>
  <c r="Q44" i="2"/>
  <c r="N44" i="2"/>
  <c r="K44" i="2"/>
  <c r="H44" i="2"/>
  <c r="G44" i="2"/>
  <c r="U43" i="2"/>
  <c r="U58" i="2" s="1"/>
  <c r="R43" i="2"/>
  <c r="Q43" i="2"/>
  <c r="N43" i="2"/>
  <c r="K43" i="2"/>
  <c r="H43" i="2"/>
  <c r="G43" i="2"/>
  <c r="U42" i="2"/>
  <c r="R42" i="2"/>
  <c r="R58" i="2" s="1"/>
  <c r="K42" i="2"/>
  <c r="N42" i="2" s="1"/>
  <c r="N58" i="2" s="1"/>
  <c r="E59" i="2" s="1"/>
  <c r="H42" i="2"/>
  <c r="G42" i="2"/>
  <c r="P40" i="2"/>
  <c r="F40" i="2"/>
  <c r="U39" i="2"/>
  <c r="R39" i="2"/>
  <c r="K39" i="2"/>
  <c r="U38" i="2"/>
  <c r="R38" i="2"/>
  <c r="K38" i="2"/>
  <c r="U37" i="2"/>
  <c r="R37" i="2"/>
  <c r="K37" i="2"/>
  <c r="U36" i="2"/>
  <c r="R36" i="2"/>
  <c r="K36" i="2"/>
  <c r="U35" i="2"/>
  <c r="R35" i="2"/>
  <c r="K35" i="2"/>
  <c r="U34" i="2"/>
  <c r="R34" i="2"/>
  <c r="K34" i="2"/>
  <c r="U33" i="2"/>
  <c r="R33" i="2"/>
  <c r="K33" i="2"/>
  <c r="U32" i="2"/>
  <c r="R32" i="2"/>
  <c r="K32" i="2"/>
  <c r="U31" i="2"/>
  <c r="R31" i="2"/>
  <c r="K31" i="2"/>
  <c r="U30" i="2"/>
  <c r="U40" i="2" s="1"/>
  <c r="R30" i="2"/>
  <c r="K30" i="2"/>
  <c r="K40" i="2" s="1"/>
  <c r="U26" i="2"/>
  <c r="K26" i="2"/>
  <c r="U25" i="2"/>
  <c r="K25" i="2"/>
  <c r="U24" i="2"/>
  <c r="K24" i="2"/>
  <c r="U23" i="2"/>
  <c r="K23" i="2"/>
  <c r="U22" i="2"/>
  <c r="K22" i="2"/>
  <c r="U21" i="2"/>
  <c r="K21" i="2"/>
  <c r="U20" i="2"/>
  <c r="K20" i="2"/>
  <c r="U19" i="2"/>
  <c r="K19" i="2"/>
  <c r="U18" i="2"/>
  <c r="K18" i="2"/>
  <c r="U17" i="2"/>
  <c r="K17" i="2"/>
  <c r="U16" i="2"/>
  <c r="K16" i="2"/>
  <c r="U15" i="2"/>
  <c r="K15" i="2"/>
  <c r="U14" i="2"/>
  <c r="K14" i="2"/>
  <c r="U13" i="2"/>
  <c r="K13" i="2"/>
  <c r="U12" i="2"/>
  <c r="K12" i="2"/>
  <c r="U11" i="2"/>
  <c r="K11" i="2"/>
  <c r="U10" i="2"/>
  <c r="U27" i="2" s="1"/>
  <c r="K10" i="2"/>
  <c r="U57" i="1"/>
  <c r="R57" i="1"/>
  <c r="Q57" i="1"/>
  <c r="N57" i="1"/>
  <c r="K57" i="1"/>
  <c r="H57" i="1"/>
  <c r="G57" i="1"/>
  <c r="U56" i="1"/>
  <c r="R56" i="1"/>
  <c r="Q56" i="1"/>
  <c r="N56" i="1"/>
  <c r="K56" i="1"/>
  <c r="H56" i="1"/>
  <c r="G56" i="1"/>
  <c r="U55" i="1"/>
  <c r="R55" i="1"/>
  <c r="Q55" i="1"/>
  <c r="N55" i="1"/>
  <c r="K55" i="1"/>
  <c r="H55" i="1"/>
  <c r="G55" i="1"/>
  <c r="U54" i="1"/>
  <c r="R54" i="1"/>
  <c r="Q54" i="1"/>
  <c r="N54" i="1"/>
  <c r="K54" i="1"/>
  <c r="H54" i="1"/>
  <c r="G54" i="1"/>
  <c r="U53" i="1"/>
  <c r="R53" i="1"/>
  <c r="Q53" i="1"/>
  <c r="N53" i="1"/>
  <c r="K53" i="1"/>
  <c r="H53" i="1"/>
  <c r="G53" i="1"/>
  <c r="U52" i="1"/>
  <c r="R52" i="1"/>
  <c r="Q52" i="1"/>
  <c r="N52" i="1"/>
  <c r="K52" i="1"/>
  <c r="H52" i="1"/>
  <c r="G52" i="1"/>
  <c r="U51" i="1"/>
  <c r="R51" i="1"/>
  <c r="Q51" i="1"/>
  <c r="N51" i="1"/>
  <c r="K51" i="1"/>
  <c r="H51" i="1"/>
  <c r="G51" i="1"/>
  <c r="U50" i="1"/>
  <c r="R50" i="1"/>
  <c r="Q50" i="1"/>
  <c r="N50" i="1"/>
  <c r="K50" i="1"/>
  <c r="H50" i="1"/>
  <c r="G50" i="1"/>
  <c r="U49" i="1"/>
  <c r="R49" i="1"/>
  <c r="Q49" i="1"/>
  <c r="N49" i="1"/>
  <c r="K49" i="1"/>
  <c r="H49" i="1"/>
  <c r="G49" i="1"/>
  <c r="U48" i="1"/>
  <c r="R48" i="1"/>
  <c r="Q48" i="1"/>
  <c r="N48" i="1"/>
  <c r="K48" i="1"/>
  <c r="H48" i="1"/>
  <c r="G48" i="1"/>
  <c r="U47" i="1"/>
  <c r="R47" i="1"/>
  <c r="Q47" i="1"/>
  <c r="N47" i="1"/>
  <c r="K47" i="1"/>
  <c r="H47" i="1"/>
  <c r="G47" i="1"/>
  <c r="U46" i="1"/>
  <c r="R46" i="1"/>
  <c r="Q46" i="1"/>
  <c r="N46" i="1"/>
  <c r="K46" i="1"/>
  <c r="H46" i="1"/>
  <c r="G46" i="1"/>
  <c r="U45" i="1"/>
  <c r="R45" i="1"/>
  <c r="Q45" i="1"/>
  <c r="N45" i="1"/>
  <c r="K45" i="1"/>
  <c r="H45" i="1"/>
  <c r="G45" i="1"/>
  <c r="U44" i="1"/>
  <c r="R44" i="1"/>
  <c r="Q44" i="1"/>
  <c r="N44" i="1"/>
  <c r="K44" i="1"/>
  <c r="H44" i="1"/>
  <c r="G44" i="1"/>
  <c r="U43" i="1"/>
  <c r="R43" i="1"/>
  <c r="Q43" i="1"/>
  <c r="N43" i="1"/>
  <c r="K43" i="1"/>
  <c r="H43" i="1"/>
  <c r="G43" i="1"/>
  <c r="U42" i="1"/>
  <c r="U58" i="1" s="1"/>
  <c r="R42" i="1"/>
  <c r="R58" i="1" s="1"/>
  <c r="Q42" i="1"/>
  <c r="H42" i="1"/>
  <c r="K42" i="1" s="1"/>
  <c r="P40" i="1"/>
  <c r="U39" i="1"/>
  <c r="R39" i="1"/>
  <c r="K39" i="1"/>
  <c r="U38" i="1"/>
  <c r="R38" i="1"/>
  <c r="K38" i="1"/>
  <c r="U37" i="1"/>
  <c r="R37" i="1"/>
  <c r="K37" i="1"/>
  <c r="U36" i="1"/>
  <c r="R36" i="1"/>
  <c r="K36" i="1"/>
  <c r="U35" i="1"/>
  <c r="R35" i="1"/>
  <c r="K35" i="1"/>
  <c r="U34" i="1"/>
  <c r="R34" i="1"/>
  <c r="K34" i="1"/>
  <c r="U33" i="1"/>
  <c r="R33" i="1"/>
  <c r="K33" i="1"/>
  <c r="U32" i="1"/>
  <c r="R32" i="1"/>
  <c r="K32" i="1"/>
  <c r="U31" i="1"/>
  <c r="R31" i="1"/>
  <c r="K31" i="1"/>
  <c r="U30" i="1"/>
  <c r="U40" i="1" s="1"/>
  <c r="R30" i="1"/>
  <c r="U26" i="1"/>
  <c r="K26" i="1"/>
  <c r="U25" i="1"/>
  <c r="K25" i="1"/>
  <c r="U24" i="1"/>
  <c r="K24" i="1"/>
  <c r="U23" i="1"/>
  <c r="K23" i="1"/>
  <c r="U22" i="1"/>
  <c r="K22" i="1"/>
  <c r="U21" i="1"/>
  <c r="K21" i="1"/>
  <c r="U20" i="1"/>
  <c r="K20" i="1"/>
  <c r="U19" i="1"/>
  <c r="K19" i="1"/>
  <c r="U18" i="1"/>
  <c r="K18" i="1"/>
  <c r="U17" i="1"/>
  <c r="K17" i="1"/>
  <c r="U16" i="1"/>
  <c r="K16" i="1"/>
  <c r="U15" i="1"/>
  <c r="K15" i="1"/>
  <c r="U14" i="1"/>
  <c r="K14" i="1"/>
  <c r="U13" i="1"/>
  <c r="K13" i="1"/>
  <c r="U12" i="1"/>
  <c r="K12" i="1"/>
  <c r="U11" i="1"/>
  <c r="K11" i="1"/>
  <c r="U10" i="1"/>
  <c r="U27" i="1" s="1"/>
  <c r="K10" i="1"/>
  <c r="K58" i="2" l="1"/>
  <c r="N58" i="5"/>
  <c r="E59" i="5" s="1"/>
  <c r="F40" i="1"/>
  <c r="K27" i="1"/>
  <c r="K27" i="5"/>
  <c r="K27" i="2"/>
  <c r="E60" i="2" s="1"/>
  <c r="E61" i="2" s="1"/>
  <c r="N42" i="1"/>
  <c r="N58" i="1" s="1"/>
  <c r="K58" i="1"/>
  <c r="E60" i="3"/>
  <c r="E61" i="3" s="1"/>
  <c r="E60" i="4"/>
  <c r="E61" i="4" s="1"/>
  <c r="E64" i="4" s="1"/>
  <c r="N42" i="6"/>
  <c r="N58" i="6" s="1"/>
  <c r="E59" i="6" s="1"/>
  <c r="K58" i="6"/>
  <c r="R42" i="6"/>
  <c r="R58" i="6" s="1"/>
  <c r="K58" i="5"/>
  <c r="U42" i="6"/>
  <c r="U58" i="6" s="1"/>
  <c r="G42" i="1"/>
  <c r="G42" i="6"/>
  <c r="E59" i="1" l="1"/>
  <c r="E60" i="1" s="1"/>
  <c r="E60" i="6"/>
  <c r="E60" i="5"/>
  <c r="E61" i="5" s="1"/>
  <c r="E64" i="5" s="1"/>
  <c r="E64" i="3"/>
  <c r="E66" i="3" s="1"/>
  <c r="E67" i="3" s="1"/>
  <c r="E66" i="4"/>
  <c r="E67" i="4" s="1"/>
  <c r="E61" i="6"/>
  <c r="E64" i="6" s="1"/>
  <c r="E64" i="2"/>
  <c r="E68" i="3" l="1"/>
  <c r="E69" i="3" s="1"/>
  <c r="E61" i="1"/>
  <c r="E64" i="1" s="1"/>
  <c r="E66" i="2"/>
  <c r="E67" i="2" s="1"/>
  <c r="E66" i="6"/>
  <c r="E67" i="6" s="1"/>
  <c r="E66" i="5"/>
  <c r="E67" i="5" s="1"/>
  <c r="E68" i="4"/>
  <c r="E69" i="4" s="1"/>
  <c r="E68" i="2" l="1"/>
  <c r="E69" i="2" s="1"/>
  <c r="E68" i="5"/>
  <c r="E69" i="5" s="1"/>
  <c r="E66" i="1"/>
  <c r="E67" i="1" s="1"/>
  <c r="E68" i="6"/>
  <c r="E69" i="6" s="1"/>
  <c r="E68" i="1" l="1"/>
  <c r="E69" i="1" s="1"/>
</calcChain>
</file>

<file path=xl/sharedStrings.xml><?xml version="1.0" encoding="utf-8"?>
<sst xmlns="http://schemas.openxmlformats.org/spreadsheetml/2006/main" count="915" uniqueCount="152">
  <si>
    <t>上海金榕汽车零部件股份有限公司</t>
  </si>
  <si>
    <t>供应商产品报价表</t>
  </si>
  <si>
    <t>供应商商务信息</t>
  </si>
  <si>
    <t>供应商名称</t>
  </si>
  <si>
    <t>杭州深远工贸有限公司</t>
  </si>
  <si>
    <t>年销售额
（万元）</t>
  </si>
  <si>
    <t>报价产品商务信息</t>
  </si>
  <si>
    <t>零件名称</t>
  </si>
  <si>
    <t>SPOILER-FR LH WH SHIELD (PHEV/HEV)</t>
  </si>
  <si>
    <t>报价日期</t>
  </si>
  <si>
    <t>成品重量KG</t>
  </si>
  <si>
    <t>公司法人</t>
  </si>
  <si>
    <t>许燊</t>
  </si>
  <si>
    <t>年纳税额
（万元）</t>
  </si>
  <si>
    <t>零件号</t>
  </si>
  <si>
    <t>638431477R</t>
  </si>
  <si>
    <t>OTS时间</t>
  </si>
  <si>
    <t>必填项</t>
  </si>
  <si>
    <t>毛坯重量KG</t>
  </si>
  <si>
    <t>企业规模</t>
  </si>
  <si>
    <t>80人</t>
  </si>
  <si>
    <t>注册资本
（万元）</t>
  </si>
  <si>
    <t>总采购量
（万件）</t>
  </si>
  <si>
    <t xml:space="preserve">工价（元/h)
一键修正
</t>
  </si>
  <si>
    <t>业务联系人</t>
  </si>
  <si>
    <t>陈思远</t>
  </si>
  <si>
    <t>经营地址</t>
  </si>
  <si>
    <t>浙江省杭州市萧山区宁围街道宁安路</t>
  </si>
  <si>
    <t>采购几年</t>
  </si>
  <si>
    <t>PPAP时间</t>
  </si>
  <si>
    <t>能耗单价
￥/Kwh</t>
  </si>
  <si>
    <t>联系电话</t>
  </si>
  <si>
    <t>主营业务</t>
  </si>
  <si>
    <t>塑料制品制造销售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</si>
  <si>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</si>
  <si>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</si>
  <si>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</si>
  <si>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</si>
  <si>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</si>
  <si>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</si>
  <si>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</si>
  <si>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</si>
  <si>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</si>
  <si>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</si>
  <si>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</si>
  <si>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</si>
  <si>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</si>
  <si>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</si>
  <si>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</si>
  <si>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</si>
  <si>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</si>
  <si>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</si>
  <si>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</si>
  <si>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</si>
  <si>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</si>
  <si>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</si>
  <si>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</si>
  <si>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</si>
  <si>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</si>
  <si>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</si>
  <si>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</si>
  <si>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</si>
  <si>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</si>
  <si>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</si>
  <si>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</si>
  <si>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</si>
  <si>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</si>
  <si>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</si>
  <si>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</si>
  <si>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</si>
  <si>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</si>
  <si>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</si>
  <si>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气坝FR LH+RH 1+1一副模(外观件,含晒纹+优质钢)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</si>
  <si>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</si>
  <si>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</si>
  <si>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</si>
  <si>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</si>
  <si>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</si>
  <si>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</si>
  <si>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</si>
  <si>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</si>
  <si>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</si>
  <si>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</si>
  <si>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</si>
  <si>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</si>
  <si>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</si>
  <si>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</si>
  <si>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</si>
  <si>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</si>
  <si>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</si>
  <si>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</si>
  <si>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</si>
  <si>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</si>
  <si>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</si>
  <si>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</si>
  <si>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360T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</si>
  <si>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</si>
  <si>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</si>
  <si>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</si>
  <si>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</si>
  <si>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</si>
  <si>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</si>
  <si>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</si>
  <si>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</si>
  <si>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</si>
  <si>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</si>
  <si>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</si>
  <si>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</si>
  <si>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</si>
  <si>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</si>
  <si>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</si>
  <si>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</si>
  <si>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</si>
  <si>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</si>
  <si>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</si>
  <si>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</si>
  <si>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</si>
  <si>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</si>
  <si>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</si>
  <si>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</si>
  <si>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</si>
  <si>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</si>
  <si>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</si>
  <si>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</si>
  <si>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</si>
  <si>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</si>
  <si>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</si>
  <si>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</si>
  <si>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</si>
  <si>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</si>
  <si>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</si>
  <si>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</si>
  <si>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</si>
  <si>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t>增值税13%</t>
  </si>
  <si>
    <t>计算依据：税率13%，费用=E67*0.13</t>
  </si>
  <si>
    <t>十六</t>
  </si>
  <si>
    <t>含税总价</t>
  </si>
  <si>
    <t>计算依据：=E67+E68各项的总和</t>
  </si>
  <si>
    <t>SPOILER-FR RH WH SHIELD (PHEV/HEV)</t>
  </si>
  <si>
    <t>638422166R</t>
  </si>
  <si>
    <t>10年2班折90%</t>
  </si>
  <si>
    <t>SPOILER-FR LH WH SHIELD (BEV)</t>
  </si>
  <si>
    <t>638439763R</t>
  </si>
  <si>
    <t>SPOILER-FR RH WH SHIELD (BEV)</t>
  </si>
  <si>
    <t>638424366R</t>
  </si>
  <si>
    <t>SPOILER-RR LH WH SHIELD</t>
  </si>
  <si>
    <t>767496296R</t>
  </si>
  <si>
    <t>气坝RR LH+RH 1+1一副模(外观件,含晒纹+优质钢)</t>
  </si>
  <si>
    <t>160T</t>
  </si>
  <si>
    <t>SPOILER-RR RH WH SHIELD</t>
  </si>
  <si>
    <t>767483010R</t>
  </si>
  <si>
    <t>TPV Santoprene 103-40
替代塑料粒子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</si>
</sst>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&quot;年&quot;m&quot;月&quot;d&quot;日&quot;;@"/>
    <numFmt numFmtId="165" formatCode="0.000_ "/>
    <numFmt numFmtId="166" formatCode="0_ "/>
    <numFmt numFmtId="167" formatCode="0.0000_ "/>
    <numFmt numFmtId="168" formatCode="0.0_ "/>
    <numFmt numFmtId="169" formatCode="&quot;¥&quot;#,##0.00;&quot;¥&quot;\-#,##0.00"/>
    <numFmt numFmtId="170" formatCode="&quot;¥&quot;#,##0.000;&quot;¥&quot;\-#,##0.000"/>
  </numFmts>
  <fonts count="16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5" fillId="0" borderId="0">
      <alignment vertical="center"/>
    </xf>
  </cellStyleXfs>
  <cellXfs count="177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/>
      <protection hidden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6" fillId="4" borderId="17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 wrapText="1"/>
      <protection hidden="1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8" fillId="2" borderId="26" xfId="0" applyFont="1" applyFill="1" applyBorder="1" applyAlignment="1" applyProtection="1">
      <alignment horizontal="center" vertical="center"/>
      <protection hidden="1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5" fillId="2" borderId="30" xfId="0" applyFont="1" applyFill="1" applyBorder="1" applyAlignment="1" applyProtection="1">
      <alignment horizontal="center" vertical="center"/>
      <protection hidden="1"/>
    </xf>
    <xf numFmtId="0" fontId="10" fillId="3" borderId="31" xfId="0" applyFont="1" applyFill="1" applyBorder="1" applyAlignment="1" applyProtection="1">
      <alignment horizontal="left" vertical="center" wrapText="1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9" fontId="6" fillId="3" borderId="31" xfId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Protection="1">
      <alignment vertical="center"/>
      <protection hidden="1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 applyProtection="1">
      <alignment horizontal="left" vertical="center"/>
      <protection locked="0"/>
    </xf>
    <xf numFmtId="0" fontId="1" fillId="3" borderId="31" xfId="1" applyNumberFormat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Alignment="1" applyProtection="1">
      <alignment horizontal="center" vertical="center"/>
      <protection hidden="1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9" fontId="6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Protection="1">
      <alignment vertical="center"/>
      <protection hidden="1"/>
    </xf>
    <xf numFmtId="0" fontId="12" fillId="3" borderId="15" xfId="0" applyFont="1" applyFill="1" applyBorder="1" applyAlignment="1" applyProtection="1">
      <alignment horizontal="left" vertical="center"/>
      <protection locked="0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Alignment="1" applyProtection="1">
      <alignment horizontal="center" vertical="center"/>
      <protection hidden="1"/>
    </xf>
    <xf numFmtId="49" fontId="6" fillId="3" borderId="15" xfId="0" applyNumberFormat="1" applyFont="1" applyFill="1" applyBorder="1" applyAlignment="1" applyProtection="1">
      <alignment horizontal="left" vertical="center"/>
      <protection locked="0"/>
    </xf>
    <xf numFmtId="49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 applyProtection="1">
      <alignment horizontal="left" vertical="center" wrapText="1"/>
      <protection locked="0"/>
    </xf>
    <xf numFmtId="0" fontId="6" fillId="3" borderId="15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/>
      <protection hidden="1"/>
    </xf>
    <xf numFmtId="165" fontId="6" fillId="2" borderId="21" xfId="0" applyNumberFormat="1" applyFont="1" applyFill="1" applyBorder="1" applyAlignment="1" applyProtection="1">
      <alignment horizontal="right"/>
      <protection hidden="1"/>
    </xf>
    <xf numFmtId="165" fontId="4" fillId="2" borderId="23" xfId="0" applyNumberFormat="1" applyFont="1" applyFill="1" applyBorder="1" applyAlignment="1" applyProtection="1">
      <alignment horizontal="center" vertical="center"/>
      <protection hidden="1"/>
    </xf>
    <xf numFmtId="0" fontId="12" fillId="2" borderId="21" xfId="0" applyFont="1" applyFill="1" applyBorder="1" applyAlignment="1" applyProtection="1">
      <alignment horizontal="left" vertical="center" indent="1"/>
      <protection hidden="1"/>
    </xf>
    <xf numFmtId="0" fontId="5" fillId="2" borderId="37" xfId="0" applyFont="1" applyFill="1" applyBorder="1" applyProtection="1">
      <alignment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5" fillId="2" borderId="39" xfId="0" applyFont="1" applyFill="1" applyBorder="1" applyAlignment="1" applyProtection="1">
      <alignment horizontal="center" vertical="center" wrapText="1"/>
      <protection hidden="1"/>
    </xf>
    <xf numFmtId="165" fontId="5" fillId="2" borderId="37" xfId="0" applyNumberFormat="1" applyFont="1" applyFill="1" applyBorder="1" applyProtection="1">
      <alignment vertical="center"/>
      <protection hidden="1"/>
    </xf>
    <xf numFmtId="0" fontId="10" fillId="3" borderId="31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165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31" xfId="0" applyFont="1" applyFill="1" applyBorder="1" applyProtection="1">
      <alignment vertical="center"/>
      <protection locked="0"/>
    </xf>
    <xf numFmtId="0" fontId="1" fillId="3" borderId="31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hidden="1"/>
    </xf>
    <xf numFmtId="165" fontId="6" fillId="3" borderId="15" xfId="0" applyNumberFormat="1" applyFont="1" applyFill="1" applyBorder="1" applyAlignment="1" applyProtection="1">
      <alignment horizontal="center" vertical="center"/>
      <protection locked="0"/>
    </xf>
    <xf numFmtId="165" fontId="6" fillId="2" borderId="40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Protection="1">
      <alignment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horizontal="right" vertical="center" indent="1"/>
      <protection hidden="1"/>
    </xf>
    <xf numFmtId="165" fontId="4" fillId="2" borderId="41" xfId="0" applyNumberFormat="1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vertical="center" textRotation="255" wrapText="1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 wrapText="1"/>
      <protection hidden="1"/>
    </xf>
    <xf numFmtId="166" fontId="5" fillId="2" borderId="26" xfId="0" applyNumberFormat="1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 vertical="center" wrapText="1"/>
      <protection hidden="1"/>
    </xf>
    <xf numFmtId="166" fontId="6" fillId="2" borderId="31" xfId="0" applyNumberFormat="1" applyFont="1" applyFill="1" applyBorder="1" applyAlignment="1" applyProtection="1">
      <alignment horizontal="center" vertical="center"/>
      <protection hidden="1"/>
    </xf>
    <xf numFmtId="167" fontId="6" fillId="2" borderId="31" xfId="0" applyNumberFormat="1" applyFont="1" applyFill="1" applyBorder="1" applyAlignment="1" applyProtection="1">
      <alignment horizontal="center" vertical="center"/>
      <protection hidden="1"/>
    </xf>
    <xf numFmtId="168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1" xfId="0" applyNumberFormat="1" applyFont="1" applyFill="1" applyBorder="1" applyAlignment="1" applyProtection="1">
      <alignment horizontal="center" vertical="center"/>
      <protection hidden="1"/>
    </xf>
    <xf numFmtId="166" fontId="6" fillId="3" borderId="31" xfId="0" applyNumberFormat="1" applyFont="1" applyFill="1" applyBorder="1" applyAlignment="1" applyProtection="1">
      <alignment horizontal="center" vertical="center"/>
      <protection locked="0"/>
    </xf>
    <xf numFmtId="168" fontId="6" fillId="3" borderId="15" xfId="0" applyNumberFormat="1" applyFont="1" applyFill="1" applyBorder="1" applyAlignment="1" applyProtection="1">
      <alignment horizontal="center" vertical="center"/>
      <protection locked="0"/>
    </xf>
    <xf numFmtId="166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5" fillId="2" borderId="44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Protection="1">
      <alignment vertical="center"/>
      <protection hidden="1"/>
    </xf>
    <xf numFmtId="0" fontId="5" fillId="2" borderId="21" xfId="0" applyFont="1" applyFill="1" applyBorder="1" applyProtection="1">
      <alignment vertical="center"/>
      <protection hidden="1"/>
    </xf>
    <xf numFmtId="0" fontId="5" fillId="2" borderId="45" xfId="0" applyFont="1" applyFill="1" applyBorder="1" applyProtection="1">
      <alignment vertical="center"/>
      <protection hidden="1"/>
    </xf>
    <xf numFmtId="169" fontId="5" fillId="2" borderId="45" xfId="0" applyNumberFormat="1" applyFont="1" applyFill="1" applyBorder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center" vertical="center"/>
      <protection hidden="1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169" fontId="5" fillId="2" borderId="46" xfId="0" applyNumberFormat="1" applyFont="1" applyFill="1" applyBorder="1" applyAlignment="1" applyProtection="1">
      <alignment horizontal="center" vertical="center"/>
      <protection hidden="1"/>
    </xf>
    <xf numFmtId="169" fontId="6" fillId="2" borderId="6" xfId="0" applyNumberFormat="1" applyFont="1" applyFill="1" applyBorder="1" applyAlignment="1" applyProtection="1">
      <alignment horizontal="center" vertical="center"/>
      <protection hidden="1"/>
    </xf>
    <xf numFmtId="169" fontId="6" fillId="2" borderId="49" xfId="0" applyNumberFormat="1" applyFont="1" applyFill="1" applyBorder="1" applyAlignment="1" applyProtection="1">
      <alignment horizontal="center" vertical="center"/>
      <protection hidden="1"/>
    </xf>
    <xf numFmtId="169" fontId="11" fillId="5" borderId="49" xfId="0" applyNumberFormat="1" applyFont="1" applyFill="1" applyBorder="1" applyAlignment="1" applyProtection="1">
      <alignment horizontal="center" vertical="center"/>
      <protection locked="0"/>
    </xf>
    <xf numFmtId="169" fontId="6" fillId="5" borderId="49" xfId="0" applyNumberFormat="1" applyFont="1" applyFill="1" applyBorder="1" applyAlignment="1" applyProtection="1">
      <alignment horizontal="center" vertical="center"/>
      <protection locked="0"/>
    </xf>
    <xf numFmtId="170" fontId="5" fillId="2" borderId="49" xfId="0" applyNumberFormat="1" applyFont="1" applyFill="1" applyBorder="1" applyAlignment="1" applyProtection="1">
      <alignment horizontal="center" vertical="center"/>
      <protection hidden="1"/>
    </xf>
    <xf numFmtId="9" fontId="6" fillId="5" borderId="49" xfId="1" applyFont="1" applyFill="1" applyBorder="1" applyAlignment="1" applyProtection="1">
      <alignment horizontal="center" vertical="center"/>
      <protection locked="0"/>
    </xf>
    <xf numFmtId="169" fontId="14" fillId="2" borderId="57" xfId="0" applyNumberFormat="1" applyFont="1" applyFill="1" applyBorder="1" applyAlignment="1" applyProtection="1">
      <alignment horizontal="center" vertical="center"/>
      <protection hidden="1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165" fontId="1" fillId="2" borderId="31" xfId="0" applyNumberFormat="1" applyFont="1" applyFill="1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protection hidden="1"/>
    </xf>
    <xf numFmtId="164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protection locked="0"/>
    </xf>
    <xf numFmtId="0" fontId="6" fillId="2" borderId="9" xfId="0" applyFont="1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protection hidden="1"/>
    </xf>
    <xf numFmtId="0" fontId="0" fillId="0" borderId="8" xfId="0" applyBorder="1" applyAlignment="1" applyProtection="1">
      <protection hidden="1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48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0" fontId="0" fillId="0" borderId="56" xfId="0" applyBorder="1" applyAlignment="1" applyProtection="1"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0" fillId="0" borderId="12" xfId="0" applyBorder="1" applyAlignment="1" applyProtection="1">
      <protection hidden="1"/>
    </xf>
    <xf numFmtId="0" fontId="0" fillId="0" borderId="18" xfId="0" applyBorder="1" applyAlignment="1" applyProtection="1">
      <protection hidden="1"/>
    </xf>
    <xf numFmtId="0" fontId="5" fillId="2" borderId="53" xfId="0" applyFont="1" applyFill="1" applyBorder="1" applyAlignment="1" applyProtection="1">
      <alignment horizontal="center" vertical="center"/>
      <protection hidden="1"/>
    </xf>
    <xf numFmtId="0" fontId="0" fillId="0" borderId="53" xfId="0" applyBorder="1" applyAlignment="1" applyProtection="1">
      <protection hidden="1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textRotation="255" wrapText="1"/>
      <protection hidden="1"/>
    </xf>
    <xf numFmtId="0" fontId="0" fillId="0" borderId="29" xfId="0" applyBorder="1" applyAlignment="1" applyProtection="1">
      <protection hidden="1"/>
    </xf>
    <xf numFmtId="0" fontId="0" fillId="0" borderId="33" xfId="0" applyBorder="1" applyAlignment="1" applyProtection="1">
      <protection hidden="1"/>
    </xf>
    <xf numFmtId="9" fontId="1" fillId="3" borderId="21" xfId="1" applyFont="1" applyFill="1" applyBorder="1" applyAlignment="1" applyProtection="1">
      <alignment horizontal="center" vertical="center"/>
      <protection locked="0"/>
    </xf>
    <xf numFmtId="0" fontId="8" fillId="2" borderId="34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protection hidden="1"/>
    </xf>
    <xf numFmtId="0" fontId="0" fillId="0" borderId="36" xfId="0" applyBorder="1" applyAlignment="1" applyProtection="1">
      <protection hidden="1"/>
    </xf>
    <xf numFmtId="164" fontId="6" fillId="3" borderId="21" xfId="0" applyNumberFormat="1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protection locked="0"/>
    </xf>
    <xf numFmtId="9" fontId="1" fillId="3" borderId="31" xfId="1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protection locked="0"/>
    </xf>
    <xf numFmtId="164" fontId="6" fillId="3" borderId="9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5" fillId="2" borderId="50" xfId="0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protection locked="0"/>
    </xf>
    <xf numFmtId="0" fontId="0" fillId="0" borderId="51" xfId="0" applyBorder="1" applyAlignment="1" applyProtection="1">
      <protection locked="0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protection hidden="1"/>
    </xf>
    <xf numFmtId="0" fontId="13" fillId="2" borderId="26" xfId="0" applyFont="1" applyFill="1" applyBorder="1" applyAlignment="1" applyProtection="1">
      <alignment horizontal="center" vertical="center" wrapText="1"/>
      <protection hidden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165" fontId="13" fillId="2" borderId="21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protection hidden="1"/>
    </xf>
    <xf numFmtId="0" fontId="0" fillId="0" borderId="30" xfId="0" applyBorder="1" applyAlignment="1" applyProtection="1"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5" fillId="2" borderId="47" xfId="0" applyFont="1" applyFill="1" applyBorder="1" applyAlignment="1" applyProtection="1">
      <alignment horizontal="center" vertical="center"/>
      <protection hidden="1"/>
    </xf>
    <xf numFmtId="0" fontId="0" fillId="0" borderId="48" xfId="0" applyBorder="1" applyAlignment="1" applyProtection="1">
      <protection hidden="1"/>
    </xf>
    <xf numFmtId="0" fontId="0" fillId="0" borderId="47" xfId="0" applyBorder="1" applyAlignme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left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0" borderId="5" xfId="0" applyBorder="1" applyAlignment="1" applyProtection="1">
      <protection hidden="1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0"/>
  <sheetViews>
    <sheetView showGridLines="0" tabSelected="1" view="pageBreakPreview" topLeftCell="A52" zoomScale="144" zoomScaleNormal="85" zoomScaleSheetLayoutView="110" workbookViewId="0">
      <selection activeCell="I42" sqref="I4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8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15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6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2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ref="K31:K39" si="3">IF(E31="","",IF(J31="",F31/I31,F31/J31))</f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2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3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2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3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2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3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2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3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2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3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2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3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2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3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2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3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2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1.1499999999999999</v>
      </c>
      <c r="J42" s="71">
        <v>24</v>
      </c>
      <c r="K42" s="72">
        <f t="shared" ref="K42:K57" si="7">IF(E42="","",H42*I42/L42)</f>
        <v>2.1296296296296296E-2</v>
      </c>
      <c r="L42" s="138">
        <v>0.75</v>
      </c>
      <c r="M42" s="139"/>
      <c r="N42" s="93">
        <f t="shared" ref="N42:N57" si="8">IF(F42="","",IF(E42="","",J42*K42))</f>
        <v>0.51111111111111107</v>
      </c>
      <c r="O42" s="94"/>
      <c r="P42" s="50">
        <v>70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0.17676767676767677</v>
      </c>
      <c r="S42" s="73">
        <v>90</v>
      </c>
      <c r="T42" s="22">
        <v>0.5</v>
      </c>
      <c r="U42" s="27">
        <f t="shared" ref="U42:U57" si="11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2.1296296296296296E-2</v>
      </c>
      <c r="L58" s="118" t="s">
        <v>97</v>
      </c>
      <c r="M58" s="117"/>
      <c r="N58" s="156">
        <f>SUM(N42:O57)</f>
        <v>0.51111111111111107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0.51111111111111107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5.9884833978660491E-2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0.12477780664558426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3.6942043395572699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7.3884086791145401E-2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3.7680884263484153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0.48985149542529399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4.2579399217737093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3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0"/>
  <sheetViews>
    <sheetView topLeftCell="B51" zoomScale="139" workbookViewId="0">
      <selection activeCell="E64" sqref="E64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138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139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69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 t="shared" ref="K30:K39" si="2"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1.1499999999999999</v>
      </c>
      <c r="J42" s="71">
        <v>24</v>
      </c>
      <c r="K42" s="72">
        <f t="shared" ref="K42:K57" si="7">IF(E42="","",H42*I42/L42)</f>
        <v>2.1296296296296296E-2</v>
      </c>
      <c r="L42" s="138">
        <v>0.75</v>
      </c>
      <c r="M42" s="139"/>
      <c r="N42" s="93">
        <f t="shared" ref="N42:N57" si="8">IF(F42="","",IF(E42="","",J42*K42))</f>
        <v>0.51111111111111107</v>
      </c>
      <c r="O42" s="94"/>
      <c r="P42" s="50">
        <v>70</v>
      </c>
      <c r="Q42" s="55" t="s">
        <v>140</v>
      </c>
      <c r="R42" s="72">
        <f t="shared" ref="R42:R57" si="9">IF(E42="","",P42*0.9/10/$U$8/22*H42*10000/L42)</f>
        <v>0.17676767676767677</v>
      </c>
      <c r="S42" s="73">
        <v>90</v>
      </c>
      <c r="T42" s="22">
        <v>0.5</v>
      </c>
      <c r="U42" s="27">
        <f t="shared" ref="U42:U57" si="10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ref="Q43:Q57" si="11">IF(E43="","","10年2班折90%")</f>
        <v/>
      </c>
      <c r="R43" s="72" t="str">
        <f t="shared" si="9"/>
        <v/>
      </c>
      <c r="S43" s="75"/>
      <c r="T43" s="30"/>
      <c r="U43" s="27" t="str">
        <f t="shared" si="10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11"/>
        <v/>
      </c>
      <c r="R44" s="72" t="str">
        <f t="shared" si="9"/>
        <v/>
      </c>
      <c r="S44" s="75"/>
      <c r="T44" s="30"/>
      <c r="U44" s="27" t="str">
        <f t="shared" si="10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11"/>
        <v/>
      </c>
      <c r="R45" s="72" t="str">
        <f t="shared" si="9"/>
        <v/>
      </c>
      <c r="S45" s="75"/>
      <c r="T45" s="30"/>
      <c r="U45" s="27" t="str">
        <f t="shared" si="10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11"/>
        <v/>
      </c>
      <c r="R46" s="72" t="str">
        <f t="shared" si="9"/>
        <v/>
      </c>
      <c r="S46" s="75"/>
      <c r="T46" s="30"/>
      <c r="U46" s="27" t="str">
        <f t="shared" si="10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11"/>
        <v/>
      </c>
      <c r="R47" s="72" t="str">
        <f t="shared" si="9"/>
        <v/>
      </c>
      <c r="S47" s="75"/>
      <c r="T47" s="30"/>
      <c r="U47" s="27" t="str">
        <f t="shared" si="10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11"/>
        <v/>
      </c>
      <c r="R48" s="72" t="str">
        <f t="shared" si="9"/>
        <v/>
      </c>
      <c r="S48" s="75"/>
      <c r="T48" s="30"/>
      <c r="U48" s="27" t="str">
        <f t="shared" si="10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11"/>
        <v/>
      </c>
      <c r="R49" s="72" t="str">
        <f t="shared" si="9"/>
        <v/>
      </c>
      <c r="S49" s="75"/>
      <c r="T49" s="30"/>
      <c r="U49" s="27" t="str">
        <f t="shared" si="10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11"/>
        <v/>
      </c>
      <c r="R50" s="72" t="str">
        <f t="shared" si="9"/>
        <v/>
      </c>
      <c r="S50" s="75"/>
      <c r="T50" s="30"/>
      <c r="U50" s="27" t="str">
        <f t="shared" si="10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11"/>
        <v/>
      </c>
      <c r="R51" s="72" t="str">
        <f t="shared" si="9"/>
        <v/>
      </c>
      <c r="S51" s="75"/>
      <c r="T51" s="30"/>
      <c r="U51" s="27" t="str">
        <f t="shared" si="10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11"/>
        <v/>
      </c>
      <c r="R52" s="72" t="str">
        <f t="shared" si="9"/>
        <v/>
      </c>
      <c r="S52" s="75"/>
      <c r="T52" s="30"/>
      <c r="U52" s="27" t="str">
        <f t="shared" si="10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11"/>
        <v/>
      </c>
      <c r="R53" s="72" t="str">
        <f t="shared" si="9"/>
        <v/>
      </c>
      <c r="S53" s="75"/>
      <c r="T53" s="30"/>
      <c r="U53" s="27" t="str">
        <f t="shared" si="10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11"/>
        <v/>
      </c>
      <c r="R54" s="72" t="str">
        <f t="shared" si="9"/>
        <v/>
      </c>
      <c r="S54" s="75"/>
      <c r="T54" s="30"/>
      <c r="U54" s="27" t="str">
        <f t="shared" si="10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11"/>
        <v/>
      </c>
      <c r="R55" s="72" t="str">
        <f t="shared" si="9"/>
        <v/>
      </c>
      <c r="S55" s="75"/>
      <c r="T55" s="30"/>
      <c r="U55" s="27" t="str">
        <f t="shared" si="10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11"/>
        <v/>
      </c>
      <c r="R56" s="72" t="str">
        <f t="shared" si="9"/>
        <v/>
      </c>
      <c r="S56" s="75"/>
      <c r="T56" s="30"/>
      <c r="U56" s="27" t="str">
        <f t="shared" si="10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>IF(E57="","","10年2班折90%")</f>
        <v/>
      </c>
      <c r="R57" s="72" t="str">
        <f t="shared" si="9"/>
        <v/>
      </c>
      <c r="S57" s="75"/>
      <c r="T57" s="30"/>
      <c r="U57" s="27" t="str">
        <f t="shared" si="10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2.1296296296296296E-2</v>
      </c>
      <c r="L58" s="118" t="s">
        <v>97</v>
      </c>
      <c r="M58" s="117"/>
      <c r="N58" s="156">
        <f>SUM(N42:O57)</f>
        <v>0.51111111111111107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0.51111111111111107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5.9884833978660491E-2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0.12477780664558426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3.6942043395572699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7.3884086791145401E-2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3.7680884263484153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0.48985149542529399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4.2579399217737093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0"/>
  <sheetViews>
    <sheetView topLeftCell="A58" zoomScale="181" workbookViewId="0">
      <selection activeCell="E63" sqref="E63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141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142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5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 t="shared" ref="K30:K39" si="2"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1.1499999999999999</v>
      </c>
      <c r="J42" s="71">
        <v>24</v>
      </c>
      <c r="K42" s="72">
        <f t="shared" ref="K42:K57" si="7">IF(E42="","",H42*I42/L42)</f>
        <v>2.1296296296296296E-2</v>
      </c>
      <c r="L42" s="138">
        <v>0.75</v>
      </c>
      <c r="M42" s="139"/>
      <c r="N42" s="93">
        <f t="shared" ref="N42:N57" si="8">IF(F42="","",IF(E42="","",J42*K42))</f>
        <v>0.51111111111111107</v>
      </c>
      <c r="O42" s="94"/>
      <c r="P42" s="50">
        <v>70</v>
      </c>
      <c r="Q42" s="55" t="s">
        <v>140</v>
      </c>
      <c r="R42" s="72">
        <f t="shared" ref="R42:R57" si="9">IF(E42="","",P42*0.9/10/$U$8/22*H42*10000/L42)</f>
        <v>0.17676767676767677</v>
      </c>
      <c r="S42" s="73">
        <v>90</v>
      </c>
      <c r="T42" s="22">
        <v>0.5</v>
      </c>
      <c r="U42" s="27">
        <f t="shared" ref="U42:U57" si="10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ref="Q43:Q57" si="11">IF(E43="","","10年2班折90%")</f>
        <v/>
      </c>
      <c r="R43" s="72" t="str">
        <f t="shared" si="9"/>
        <v/>
      </c>
      <c r="S43" s="75"/>
      <c r="T43" s="30"/>
      <c r="U43" s="27" t="str">
        <f t="shared" si="10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11"/>
        <v/>
      </c>
      <c r="R44" s="72" t="str">
        <f t="shared" si="9"/>
        <v/>
      </c>
      <c r="S44" s="75"/>
      <c r="T44" s="30"/>
      <c r="U44" s="27" t="str">
        <f t="shared" si="10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11"/>
        <v/>
      </c>
      <c r="R45" s="72" t="str">
        <f t="shared" si="9"/>
        <v/>
      </c>
      <c r="S45" s="75"/>
      <c r="T45" s="30"/>
      <c r="U45" s="27" t="str">
        <f t="shared" si="10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11"/>
        <v/>
      </c>
      <c r="R46" s="72" t="str">
        <f t="shared" si="9"/>
        <v/>
      </c>
      <c r="S46" s="75"/>
      <c r="T46" s="30"/>
      <c r="U46" s="27" t="str">
        <f t="shared" si="10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11"/>
        <v/>
      </c>
      <c r="R47" s="72" t="str">
        <f t="shared" si="9"/>
        <v/>
      </c>
      <c r="S47" s="75"/>
      <c r="T47" s="30"/>
      <c r="U47" s="27" t="str">
        <f t="shared" si="10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11"/>
        <v/>
      </c>
      <c r="R48" s="72" t="str">
        <f t="shared" si="9"/>
        <v/>
      </c>
      <c r="S48" s="75"/>
      <c r="T48" s="30"/>
      <c r="U48" s="27" t="str">
        <f t="shared" si="10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11"/>
        <v/>
      </c>
      <c r="R49" s="72" t="str">
        <f t="shared" si="9"/>
        <v/>
      </c>
      <c r="S49" s="75"/>
      <c r="T49" s="30"/>
      <c r="U49" s="27" t="str">
        <f t="shared" si="10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11"/>
        <v/>
      </c>
      <c r="R50" s="72" t="str">
        <f t="shared" si="9"/>
        <v/>
      </c>
      <c r="S50" s="75"/>
      <c r="T50" s="30"/>
      <c r="U50" s="27" t="str">
        <f t="shared" si="10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11"/>
        <v/>
      </c>
      <c r="R51" s="72" t="str">
        <f t="shared" si="9"/>
        <v/>
      </c>
      <c r="S51" s="75"/>
      <c r="T51" s="30"/>
      <c r="U51" s="27" t="str">
        <f t="shared" si="10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11"/>
        <v/>
      </c>
      <c r="R52" s="72" t="str">
        <f t="shared" si="9"/>
        <v/>
      </c>
      <c r="S52" s="75"/>
      <c r="T52" s="30"/>
      <c r="U52" s="27" t="str">
        <f t="shared" si="10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11"/>
        <v/>
      </c>
      <c r="R53" s="72" t="str">
        <f t="shared" si="9"/>
        <v/>
      </c>
      <c r="S53" s="75"/>
      <c r="T53" s="30"/>
      <c r="U53" s="27" t="str">
        <f t="shared" si="10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11"/>
        <v/>
      </c>
      <c r="R54" s="72" t="str">
        <f t="shared" si="9"/>
        <v/>
      </c>
      <c r="S54" s="75"/>
      <c r="T54" s="30"/>
      <c r="U54" s="27" t="str">
        <f t="shared" si="10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11"/>
        <v/>
      </c>
      <c r="R55" s="72" t="str">
        <f t="shared" si="9"/>
        <v/>
      </c>
      <c r="S55" s="75"/>
      <c r="T55" s="30"/>
      <c r="U55" s="27" t="str">
        <f t="shared" si="10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11"/>
        <v/>
      </c>
      <c r="R56" s="72" t="str">
        <f t="shared" si="9"/>
        <v/>
      </c>
      <c r="S56" s="75"/>
      <c r="T56" s="30"/>
      <c r="U56" s="27" t="str">
        <f t="shared" si="10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11"/>
        <v/>
      </c>
      <c r="R57" s="72" t="str">
        <f t="shared" si="9"/>
        <v/>
      </c>
      <c r="S57" s="75"/>
      <c r="T57" s="30"/>
      <c r="U57" s="27" t="str">
        <f t="shared" si="10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2.1296296296296296E-2</v>
      </c>
      <c r="L58" s="118" t="s">
        <v>97</v>
      </c>
      <c r="M58" s="117"/>
      <c r="N58" s="156">
        <f>SUM(N42:O57)</f>
        <v>0.51111111111111107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0.51111111111111107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5.9884833978660491E-2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0.12477780664558426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3.6942043395572699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7.3884086791145401E-2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3.7680884263484153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0.48985149542529399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4.2579399217737093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0"/>
  <sheetViews>
    <sheetView topLeftCell="A47" workbookViewId="0">
      <selection activeCell="E63" sqref="E63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143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144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8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 t="shared" ref="K30:K39" si="2"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1.1499999999999999</v>
      </c>
      <c r="J42" s="71">
        <v>24</v>
      </c>
      <c r="K42" s="72">
        <f t="shared" ref="K42:K57" si="7">IF(E42="","",H42*I42/L42)</f>
        <v>2.1296296296296296E-2</v>
      </c>
      <c r="L42" s="138">
        <v>0.75</v>
      </c>
      <c r="M42" s="139"/>
      <c r="N42" s="93">
        <f t="shared" ref="N42:N57" si="8">IF(F42="","",IF(E42="","",J42*K42))</f>
        <v>0.51111111111111107</v>
      </c>
      <c r="O42" s="94"/>
      <c r="P42" s="50">
        <v>70</v>
      </c>
      <c r="Q42" s="55" t="s">
        <v>140</v>
      </c>
      <c r="R42" s="72">
        <f t="shared" ref="R42:R57" si="9">IF(E42="","",P42*0.9/10/$U$8/22*H42*10000/L42)</f>
        <v>0.17676767676767677</v>
      </c>
      <c r="S42" s="73">
        <v>90</v>
      </c>
      <c r="T42" s="22">
        <v>0.5</v>
      </c>
      <c r="U42" s="27">
        <f t="shared" ref="U42:U57" si="10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ref="Q43:Q57" si="11">IF(E43="","","10年2班折90%")</f>
        <v/>
      </c>
      <c r="R43" s="72" t="str">
        <f t="shared" si="9"/>
        <v/>
      </c>
      <c r="S43" s="75"/>
      <c r="T43" s="30"/>
      <c r="U43" s="27" t="str">
        <f t="shared" si="10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11"/>
        <v/>
      </c>
      <c r="R44" s="72" t="str">
        <f t="shared" si="9"/>
        <v/>
      </c>
      <c r="S44" s="75"/>
      <c r="T44" s="30"/>
      <c r="U44" s="27" t="str">
        <f t="shared" si="10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11"/>
        <v/>
      </c>
      <c r="R45" s="72" t="str">
        <f t="shared" si="9"/>
        <v/>
      </c>
      <c r="S45" s="75"/>
      <c r="T45" s="30"/>
      <c r="U45" s="27" t="str">
        <f t="shared" si="10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11"/>
        <v/>
      </c>
      <c r="R46" s="72" t="str">
        <f t="shared" si="9"/>
        <v/>
      </c>
      <c r="S46" s="75"/>
      <c r="T46" s="30"/>
      <c r="U46" s="27" t="str">
        <f t="shared" si="10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11"/>
        <v/>
      </c>
      <c r="R47" s="72" t="str">
        <f t="shared" si="9"/>
        <v/>
      </c>
      <c r="S47" s="75"/>
      <c r="T47" s="30"/>
      <c r="U47" s="27" t="str">
        <f t="shared" si="10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11"/>
        <v/>
      </c>
      <c r="R48" s="72" t="str">
        <f t="shared" si="9"/>
        <v/>
      </c>
      <c r="S48" s="75"/>
      <c r="T48" s="30"/>
      <c r="U48" s="27" t="str">
        <f t="shared" si="10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11"/>
        <v/>
      </c>
      <c r="R49" s="72" t="str">
        <f t="shared" si="9"/>
        <v/>
      </c>
      <c r="S49" s="75"/>
      <c r="T49" s="30"/>
      <c r="U49" s="27" t="str">
        <f t="shared" si="10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11"/>
        <v/>
      </c>
      <c r="R50" s="72" t="str">
        <f t="shared" si="9"/>
        <v/>
      </c>
      <c r="S50" s="75"/>
      <c r="T50" s="30"/>
      <c r="U50" s="27" t="str">
        <f t="shared" si="10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11"/>
        <v/>
      </c>
      <c r="R51" s="72" t="str">
        <f t="shared" si="9"/>
        <v/>
      </c>
      <c r="S51" s="75"/>
      <c r="T51" s="30"/>
      <c r="U51" s="27" t="str">
        <f t="shared" si="10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11"/>
        <v/>
      </c>
      <c r="R52" s="72" t="str">
        <f t="shared" si="9"/>
        <v/>
      </c>
      <c r="S52" s="75"/>
      <c r="T52" s="30"/>
      <c r="U52" s="27" t="str">
        <f t="shared" si="10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11"/>
        <v/>
      </c>
      <c r="R53" s="72" t="str">
        <f t="shared" si="9"/>
        <v/>
      </c>
      <c r="S53" s="75"/>
      <c r="T53" s="30"/>
      <c r="U53" s="27" t="str">
        <f t="shared" si="10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11"/>
        <v/>
      </c>
      <c r="R54" s="72" t="str">
        <f t="shared" si="9"/>
        <v/>
      </c>
      <c r="S54" s="75"/>
      <c r="T54" s="30"/>
      <c r="U54" s="27" t="str">
        <f t="shared" si="10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11"/>
        <v/>
      </c>
      <c r="R55" s="72" t="str">
        <f t="shared" si="9"/>
        <v/>
      </c>
      <c r="S55" s="75"/>
      <c r="T55" s="30"/>
      <c r="U55" s="27" t="str">
        <f t="shared" si="10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11"/>
        <v/>
      </c>
      <c r="R56" s="72" t="str">
        <f t="shared" si="9"/>
        <v/>
      </c>
      <c r="S56" s="75"/>
      <c r="T56" s="30"/>
      <c r="U56" s="27" t="str">
        <f t="shared" si="10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11"/>
        <v/>
      </c>
      <c r="R57" s="72" t="str">
        <f t="shared" si="9"/>
        <v/>
      </c>
      <c r="S57" s="75"/>
      <c r="T57" s="30"/>
      <c r="U57" s="27" t="str">
        <f t="shared" si="10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2.1296296296296296E-2</v>
      </c>
      <c r="L58" s="118" t="s">
        <v>97</v>
      </c>
      <c r="M58" s="117"/>
      <c r="N58" s="156">
        <f>SUM(N42:O57)</f>
        <v>0.51111111111111107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0.51111111111111107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5.9884833978660491E-2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0.12477780664558426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3.6942043395572699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7.3884086791145401E-2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3.7680884263484153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0.48985149542529399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4.2579399217737093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0"/>
  <sheetViews>
    <sheetView topLeftCell="B46" workbookViewId="0">
      <selection activeCell="F30" sqref="F30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145</v>
      </c>
      <c r="P4" s="141"/>
      <c r="Q4" s="2" t="s">
        <v>9</v>
      </c>
      <c r="R4" s="140">
        <v>46192</v>
      </c>
      <c r="S4" s="141"/>
      <c r="T4" s="3" t="s">
        <v>10</v>
      </c>
      <c r="U4" s="4">
        <v>2.69E-2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146</v>
      </c>
      <c r="P5" s="98"/>
      <c r="Q5" s="8" t="s">
        <v>16</v>
      </c>
      <c r="R5" s="97" t="s">
        <v>17</v>
      </c>
      <c r="S5" s="98"/>
      <c r="T5" s="8" t="s">
        <v>18</v>
      </c>
      <c r="U5" s="9">
        <v>3.1800000000000002E-2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51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3.1800000000000002E-2</v>
      </c>
      <c r="I10" s="22">
        <v>0.01</v>
      </c>
      <c r="J10" s="21">
        <v>15.5</v>
      </c>
      <c r="K10" s="23">
        <f>IF(J10="","",J10*H10*(1+I10))</f>
        <v>0.49782900000000002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0.49782900000000002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147</v>
      </c>
      <c r="F30" s="50">
        <f>14*0.75</f>
        <v>10.5</v>
      </c>
      <c r="G30" s="50">
        <v>2</v>
      </c>
      <c r="H30" s="50">
        <v>50</v>
      </c>
      <c r="I30" s="50">
        <f>23*2</f>
        <v>46</v>
      </c>
      <c r="J30" s="51">
        <f>22.9566*2</f>
        <v>45.913200000000003</v>
      </c>
      <c r="K30" s="52">
        <f t="shared" ref="K30:K39" si="2">IF(E30="","",IF(J30="",F30/I30,F30/J30))</f>
        <v>0.22869240218499254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10.5</v>
      </c>
      <c r="G40" s="40"/>
      <c r="H40" s="118" t="s">
        <v>75</v>
      </c>
      <c r="I40" s="117"/>
      <c r="J40" s="60"/>
      <c r="K40" s="61">
        <f>SUM(K30:K39)</f>
        <v>0.22869240218499254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148</v>
      </c>
      <c r="F42" s="50">
        <v>22.5</v>
      </c>
      <c r="G42" s="69">
        <f t="shared" ref="G42:G57" si="5">IF(E42="","",12/H42*L42)</f>
        <v>1440</v>
      </c>
      <c r="H42" s="70">
        <f t="shared" ref="H42:H57" si="6">IF(E42="","",F42/3600)</f>
        <v>6.2500000000000003E-3</v>
      </c>
      <c r="I42" s="50">
        <v>3.05</v>
      </c>
      <c r="J42" s="71">
        <v>24</v>
      </c>
      <c r="K42" s="72">
        <f t="shared" ref="K42:K57" si="7">IF(E42="","",H42*I42/L42)</f>
        <v>2.5416666666666667E-2</v>
      </c>
      <c r="L42" s="138">
        <v>0.75</v>
      </c>
      <c r="M42" s="139"/>
      <c r="N42" s="93">
        <f t="shared" ref="N42:N57" si="8">IF(F42="","",IF(E42="","",J42*K42))</f>
        <v>0.61</v>
      </c>
      <c r="O42" s="94"/>
      <c r="P42" s="50">
        <v>20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2.2727272727272731E-2</v>
      </c>
      <c r="S42" s="73">
        <v>45</v>
      </c>
      <c r="T42" s="22">
        <v>0.5</v>
      </c>
      <c r="U42" s="27">
        <f t="shared" ref="U42:U57" si="11">IF(S42="","",S42*T42*$U$7*H42/((L42+(1-L42)/1.4)))</f>
        <v>0.15144230769230768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2.5416666666666667E-2</v>
      </c>
      <c r="L58" s="118" t="s">
        <v>97</v>
      </c>
      <c r="M58" s="117"/>
      <c r="N58" s="156">
        <f>SUM(N42:O57)</f>
        <v>0.61</v>
      </c>
      <c r="O58" s="117"/>
      <c r="P58" s="78"/>
      <c r="Q58" s="79" t="s">
        <v>98</v>
      </c>
      <c r="R58" s="80">
        <f>SUM(R42:R57)</f>
        <v>2.2727272727272731E-2</v>
      </c>
      <c r="S58" s="81"/>
      <c r="T58" s="82" t="s">
        <v>99</v>
      </c>
      <c r="U58" s="83">
        <f>SUM(U42:U57)</f>
        <v>0.15144230769230768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0.61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3.0213819652091464E-2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6.7088660112833209E-2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0.1643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0.1027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1.8749934623694977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3.7499869247389954E-2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1.9124933316168877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0.24862413311019541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2.161117464727083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topLeftCell="A28" zoomScale="110" zoomScaleNormal="110" workbookViewId="0">
      <selection activeCell="F42" sqref="F4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149</v>
      </c>
      <c r="P4" s="141"/>
      <c r="Q4" s="2" t="s">
        <v>9</v>
      </c>
      <c r="R4" s="140">
        <v>46192</v>
      </c>
      <c r="S4" s="141"/>
      <c r="T4" s="3" t="s">
        <v>10</v>
      </c>
      <c r="U4" s="4">
        <v>2.69E-2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150</v>
      </c>
      <c r="P5" s="98"/>
      <c r="Q5" s="8" t="s">
        <v>16</v>
      </c>
      <c r="R5" s="97" t="s">
        <v>17</v>
      </c>
      <c r="S5" s="98"/>
      <c r="T5" s="8" t="s">
        <v>18</v>
      </c>
      <c r="U5" s="9">
        <v>3.1800000000000002E-2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4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3.1800000000000002E-2</v>
      </c>
      <c r="I10" s="22">
        <v>0.01</v>
      </c>
      <c r="J10" s="21">
        <v>15.5</v>
      </c>
      <c r="K10" s="23">
        <f>IF(J10="","",J10*H10*(1+I10))</f>
        <v>0.49782900000000002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0.49782900000000002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147</v>
      </c>
      <c r="F30" s="50">
        <f>14*0.75</f>
        <v>10.5</v>
      </c>
      <c r="G30" s="50">
        <v>2</v>
      </c>
      <c r="H30" s="50">
        <v>50</v>
      </c>
      <c r="I30" s="50">
        <f>23*2</f>
        <v>46</v>
      </c>
      <c r="J30" s="51">
        <f>22.9566*2</f>
        <v>45.913200000000003</v>
      </c>
      <c r="K30" s="52">
        <f t="shared" ref="K30:K39" si="2">IF(E30="","",IF(J30="",F30/I30,F30/J30))</f>
        <v>0.22869240218499254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10.5</v>
      </c>
      <c r="G40" s="40"/>
      <c r="H40" s="118" t="s">
        <v>75</v>
      </c>
      <c r="I40" s="117"/>
      <c r="J40" s="60"/>
      <c r="K40" s="61">
        <f>SUM(K30:K39)</f>
        <v>0.22869240218499254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148</v>
      </c>
      <c r="F42" s="50">
        <v>22.5</v>
      </c>
      <c r="G42" s="69">
        <f t="shared" ref="G42:G57" si="5">IF(E42="","",12/H42*L42)</f>
        <v>1440</v>
      </c>
      <c r="H42" s="70">
        <f t="shared" ref="H42:H57" si="6">IF(E42="","",F42/3600)</f>
        <v>6.2500000000000003E-3</v>
      </c>
      <c r="I42" s="50">
        <v>3.05</v>
      </c>
      <c r="J42" s="71">
        <v>24</v>
      </c>
      <c r="K42" s="72">
        <f t="shared" ref="K42:K57" si="7">IF(E42="","",H42*I42/L42)</f>
        <v>2.5416666666666667E-2</v>
      </c>
      <c r="L42" s="138">
        <v>0.75</v>
      </c>
      <c r="M42" s="139"/>
      <c r="N42" s="93">
        <f t="shared" ref="N42:N57" si="8">IF(F42="","",IF(E42="","",J42*K42))</f>
        <v>0.61</v>
      </c>
      <c r="O42" s="94"/>
      <c r="P42" s="50">
        <v>20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2.2727272727272731E-2</v>
      </c>
      <c r="S42" s="73">
        <v>45</v>
      </c>
      <c r="T42" s="22">
        <v>0.5</v>
      </c>
      <c r="U42" s="27">
        <f t="shared" ref="U42:U57" si="11">IF(S42="","",S42*T42*$U$7*H42/((L42+(1-L42)/1.4)))</f>
        <v>0.15144230769230768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2.5416666666666667E-2</v>
      </c>
      <c r="L58" s="118" t="s">
        <v>97</v>
      </c>
      <c r="M58" s="117"/>
      <c r="N58" s="156">
        <f>SUM(N42:O57)</f>
        <v>0.61</v>
      </c>
      <c r="O58" s="117"/>
      <c r="P58" s="78"/>
      <c r="Q58" s="79" t="s">
        <v>98</v>
      </c>
      <c r="R58" s="80">
        <f>SUM(R42:R57)</f>
        <v>2.2727272727272731E-2</v>
      </c>
      <c r="S58" s="81"/>
      <c r="T58" s="82" t="s">
        <v>99</v>
      </c>
      <c r="U58" s="83">
        <f>SUM(U42:U57)</f>
        <v>0.15144230769230768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0.61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3.0213819652091464E-2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6.7088660112833209E-2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0.1643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0.1027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1.8749934623694977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3.7499869247389954E-2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1.9124933316168877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0.24862413311019541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2.161117464727083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FR-LH-PHEV</vt:lpstr>
      <vt:lpstr>FR-RH-PHEV</vt:lpstr>
      <vt:lpstr>FR-LH-BEV</vt:lpstr>
      <vt:lpstr>FR-RH-BEV</vt:lpstr>
      <vt:lpstr>RR-LH</vt:lpstr>
      <vt:lpstr>RR-RH</vt:lpstr>
      <vt:lpstr>'FR-LH-PHEV'!Print_Area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2025-11-10T15:53:00Z</dcterms:created>
  <dcterms:modified xsi:type="dcterms:W3CDTF">2026-07-02T13:15:16Z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767655C5C58A486FACD1DBA5DAC88AC2_13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