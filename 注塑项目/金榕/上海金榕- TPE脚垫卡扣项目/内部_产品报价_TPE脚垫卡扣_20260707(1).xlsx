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上海金榕- TPE脚垫卡扣项目/"/>
    </mc:Choice>
  </mc:AlternateContent>
  <xr:revisionPtr revIDLastSave="0" documentId="13_ncr:1_{E83B6C25-D7C0-0B45-B975-D90CAAE98476}" xr6:coauthVersionLast="47" xr6:coauthVersionMax="47" xr10:uidLastSave="{00000000-0000-0000-0000-000000000000}"/>
  <bookViews>
    <workbookView xWindow="380" yWindow="600" windowWidth="40960" windowHeight="18520" tabRatio="566" xr2:uid="{00000000-000D-0000-FFFF-FFFF00000000}"/>
  </bookViews>
  <sheets>
    <sheet name="最终报价" sheetId="2" r:id="rId1"/>
  </sheets>
  <externalReferences>
    <externalReference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5" i="2" l="1"/>
  <c r="AY5" i="2"/>
  <c r="AW5" i="2"/>
  <c r="AU5" i="2"/>
  <c r="AS5" i="2"/>
  <c r="AK5" i="2"/>
  <c r="AA5" i="2"/>
  <c r="Z5" i="2"/>
  <c r="AB5" i="2" s="1"/>
  <c r="M5" i="2"/>
  <c r="S5" i="2" s="1"/>
  <c r="V5" i="2" s="1"/>
  <c r="BA4" i="2"/>
  <c r="AY4" i="2"/>
  <c r="AW4" i="2"/>
  <c r="AU4" i="2"/>
  <c r="AS4" i="2"/>
  <c r="AK4" i="2"/>
  <c r="AA4" i="2"/>
  <c r="Z4" i="2"/>
  <c r="AB4" i="2" s="1"/>
  <c r="M4" i="2"/>
  <c r="S4" i="2" s="1"/>
  <c r="V4" i="2" s="1"/>
  <c r="AD5" i="2" l="1"/>
  <c r="AC5" i="2"/>
  <c r="AI5" i="2" s="1"/>
  <c r="AC4" i="2"/>
  <c r="AD4" i="2"/>
  <c r="AI4" i="2" s="1"/>
  <c r="AL4" i="2" l="1"/>
  <c r="AL5" i="2"/>
  <c r="AH5" i="2" l="1"/>
  <c r="AF5" i="2"/>
  <c r="AP5" i="2"/>
  <c r="AF4" i="2"/>
  <c r="AH4" i="2"/>
  <c r="AP4" i="2"/>
  <c r="AT4" i="2" l="1"/>
  <c r="AV4" i="2" s="1"/>
  <c r="AX4" i="2" s="1"/>
  <c r="AQ4" i="2"/>
  <c r="AT5" i="2"/>
  <c r="AV5" i="2" s="1"/>
  <c r="AX5" i="2" s="1"/>
  <c r="AQ5" i="2"/>
  <c r="BB5" i="2" l="1"/>
  <c r="AZ5" i="2"/>
  <c r="BB4" i="2"/>
  <c r="AZ4" i="2"/>
</calcChain>
</file>

<file path=xl/sharedStrings.xml><?xml version="1.0" encoding="utf-8"?>
<sst xmlns="http://schemas.openxmlformats.org/spreadsheetml/2006/main" count="77" uniqueCount="70">
  <si>
    <t>GEA新项目报价</t>
  </si>
  <si>
    <t>报价注意点：</t>
  </si>
  <si>
    <t>1、运输费按照100公里距离计算
2、包装按照周转箱计算。
3、料头重量按照0%回收比例计算（实际可回收），非外观件可针阀直接点在产品上。
4、产品克重统一根据数据体积*密度1.2计算。
5、原材料价格参考锦湖日丽，普利特类似材料价格
6、报价不含年降</t>
  </si>
  <si>
    <t>年降%</t>
  </si>
  <si>
    <t>年降
SOP+1</t>
  </si>
  <si>
    <t>年降
SOP+2</t>
  </si>
  <si>
    <t>年降
SOP+3</t>
  </si>
  <si>
    <t>年降
SOP+4</t>
  </si>
  <si>
    <t>年降
SOP+5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</si>
  <si>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</si>
  <si>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</si>
  <si>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</si>
  <si>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</si>
  <si>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</si>
  <si>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</si>
  <si>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</si>
  <si>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</si>
  <si>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</si>
  <si>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</si>
  <si>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</si>
  <si>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</si>
  <si>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</si>
  <si>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</si>
  <si>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</si>
  <si>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</si>
  <si>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</si>
  <si>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</si>
  <si>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</si>
  <si>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</si>
  <si>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</si>
  <si>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</si>
  <si>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</si>
  <si>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友成加工时间 (S)</t>
  </si>
  <si>
    <t>机台费率/分</t>
  </si>
  <si>
    <t>分钟机台费率
/60/机台效率90%（RMB/S）</t>
  </si>
  <si>
    <t>加工费 (RMB)</t>
  </si>
  <si>
    <t>材料管理费用</t>
  </si>
  <si>
    <t>加工管理费（RMB）</t>
  </si>
  <si>
    <t>运输  (RMB)</t>
  </si>
  <si>
    <t>包装（RMB）</t>
  </si>
  <si>
    <t>利润                      （RMB）</t>
  </si>
  <si>
    <t>模具费</t>
  </si>
  <si>
    <t>模具实验分摊费(3年分摊35511套)</t>
  </si>
  <si>
    <t xml:space="preserve">总计价格
/RMB未税
</t>
  </si>
  <si>
    <t>返利BL:</t>
  </si>
  <si>
    <t>LTA年降%</t>
  </si>
  <si>
    <t>年降期限</t>
  </si>
  <si>
    <t>总计价格
/RMB未税
含LTA/BL</t>
  </si>
  <si>
    <t>原材料占比</t>
  </si>
  <si>
    <t>年降金额</t>
  </si>
  <si>
    <t>模具总费用(RMB)不含税</t>
  </si>
  <si>
    <t>实验费用
(RMB)不含税</t>
  </si>
  <si>
    <t>检具</t>
  </si>
  <si>
    <t>工装</t>
  </si>
  <si>
    <t>检具+工装费用 (RMB)
不含税</t>
  </si>
  <si>
    <t>分摊数</t>
  </si>
  <si>
    <t>分摊年限</t>
  </si>
  <si>
    <t>分摊费/RMB</t>
  </si>
  <si>
    <t>月产值</t>
  </si>
  <si>
    <t>总产值</t>
  </si>
  <si>
    <t>雷诺 Renault</t>
  </si>
  <si>
    <t>749990518R</t>
  </si>
  <si>
    <t>上卡扣 CLIP UPPER</t>
  </si>
  <si>
    <t>Φ39×H9.3mm</t>
  </si>
  <si>
    <t>PA6 MG30 HSBK101 黑</t>
  </si>
  <si>
    <t>60T</t>
  </si>
  <si>
    <t>749997963R</t>
  </si>
  <si>
    <t>下卡扣 CLIP LOWER</t>
  </si>
  <si>
    <t>Φ39×H5.4mm</t>
  </si>
  <si>
    <t>POM 500P NC010 黑(待询价)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</si>
</sst>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6" formatCode="_ * #,##0.00_ ;_ * \-#,##0.00_ ;_ * &quot;-&quot;??_ ;_ @_ "/>
    <numFmt numFmtId="168" formatCode="_-* #,##0.00\ [$€-1]_-;\-* #,##0.00\ [$€-1]_-;_-* &quot;-&quot;??\ [$€-1]_-"/>
    <numFmt numFmtId="169" formatCode="0.00_ "/>
    <numFmt numFmtId="170" formatCode="\¥#,##0.00_);[Red]\(\¥#,##0.00\)"/>
    <numFmt numFmtId="171" formatCode="\¥#,##0_);[Red]\(\¥#,##0\)"/>
    <numFmt numFmtId="172" formatCode="0.0000_ "/>
    <numFmt numFmtId="173" formatCode="0.00_);[Red]\(0.00\)"/>
    <numFmt numFmtId="174" formatCode="_ * #,##0.0000_ ;_ * \-#,##0.0000_ ;_ * &quot;-&quot;??.00_ ;_ @_ "/>
    <numFmt numFmtId="175" formatCode="#,##0_ "/>
    <numFmt numFmtId="176" formatCode="#,##0.00_ "/>
    <numFmt numFmtId="177" formatCode="#,##0.000_ "/>
    <numFmt numFmtId="178" formatCode="#,##0.0000_);[Red]\(#,##0.0000\)"/>
    <numFmt numFmtId="179" formatCode="0.0%"/>
    <numFmt numFmtId="180" formatCode="#,##0.000_);[Red]\(#,##0.000\)"/>
    <numFmt numFmtId="181" formatCode="_ * #,##0.0000_ ;_ * \-#,##0.0000_ ;_ * &quot;-&quot;??.0000_ ;_ @_ "/>
    <numFmt numFmtId="182" formatCode="_ * #,##0_ ;_ * \-#,##0_ ;_ * &quot;-&quot;??_ ;_ @_ "/>
  </numFmts>
  <fonts count="23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11"/>
      <name val="Arial"/>
      <charset val="134"/>
    </font>
    <font>
      <b/>
      <sz val="11"/>
      <name val="宋体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11"/>
      <name val="ＭＳ Ｐゴシック"/>
      <charset val="134"/>
    </font>
    <font>
      <sz val="14"/>
      <name val="System"/>
      <charset val="134"/>
    </font>
    <font>
      <sz val="11"/>
      <color indexed="8"/>
      <name val="宋体"/>
      <charset val="134"/>
    </font>
    <font>
      <sz val="11"/>
      <name val="微软雅黑"/>
      <family val="2"/>
      <charset val="134"/>
    </font>
    <font>
      <sz val="18"/>
      <name val="微软雅黑"/>
      <family val="2"/>
      <charset val="134"/>
    </font>
    <font>
      <b/>
      <sz val="18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sz val="18"/>
      <color indexed="8"/>
      <name val="微软雅黑"/>
      <family val="2"/>
      <charset val="134"/>
    </font>
    <font>
      <sz val="18"/>
      <color rgb="FF0070C0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>
      <alignment vertical="center"/>
    </xf>
    <xf numFmtId="9" fontId="12" fillId="0" borderId="0">
      <alignment vertical="center"/>
    </xf>
    <xf numFmtId="166" fontId="8" fillId="0" borderId="0"/>
    <xf numFmtId="168" fontId="8" fillId="0" borderId="0"/>
    <xf numFmtId="168" fontId="8" fillId="0" borderId="0"/>
    <xf numFmtId="0" fontId="7" fillId="0" borderId="0">
      <alignment vertical="center"/>
    </xf>
    <xf numFmtId="0" fontId="9" fillId="0" borderId="0">
      <alignment vertical="center"/>
    </xf>
    <xf numFmtId="0" fontId="8" fillId="0" borderId="0"/>
    <xf numFmtId="0" fontId="10" fillId="0" borderId="0"/>
    <xf numFmtId="0" fontId="8" fillId="0" borderId="0"/>
    <xf numFmtId="0" fontId="9" fillId="0" borderId="0"/>
    <xf numFmtId="0" fontId="11" fillId="0" borderId="0"/>
    <xf numFmtId="0" fontId="9" fillId="0" borderId="0"/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10" applyFont="1" applyBorder="1" applyAlignment="1">
      <alignment horizontal="left" vertical="center" wrapText="1"/>
    </xf>
    <xf numFmtId="0" fontId="3" fillId="0" borderId="1" xfId="10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5" fillId="0" borderId="1" xfId="7" applyFont="1" applyBorder="1" applyAlignment="1">
      <alignment horizontal="center" vertical="center" wrapText="1"/>
    </xf>
    <xf numFmtId="0" fontId="3" fillId="2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/>
      <protection locked="0"/>
    </xf>
    <xf numFmtId="10" fontId="5" fillId="0" borderId="1" xfId="7" applyNumberFormat="1" applyFont="1" applyBorder="1" applyAlignment="1" applyProtection="1">
      <alignment horizontal="center" vertical="center" wrapText="1"/>
      <protection locked="0"/>
    </xf>
    <xf numFmtId="10" fontId="5" fillId="0" borderId="1" xfId="7" applyNumberFormat="1" applyFont="1" applyBorder="1" applyAlignment="1">
      <alignment vertical="center" wrapText="1"/>
    </xf>
    <xf numFmtId="0" fontId="5" fillId="0" borderId="1" xfId="9" applyFont="1" applyBorder="1" applyAlignment="1">
      <alignment horizontal="center" vertical="center"/>
    </xf>
    <xf numFmtId="173" fontId="6" fillId="0" borderId="1" xfId="6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174" fontId="3" fillId="0" borderId="1" xfId="6" applyNumberFormat="1" applyFont="1" applyBorder="1" applyAlignment="1">
      <alignment horizontal="right" vertical="center"/>
    </xf>
    <xf numFmtId="175" fontId="2" fillId="2" borderId="1" xfId="0" applyNumberFormat="1" applyFont="1" applyFill="1" applyBorder="1" applyAlignment="1">
      <alignment horizontal="right" vertical="center"/>
    </xf>
    <xf numFmtId="175" fontId="3" fillId="5" borderId="1" xfId="0" applyNumberFormat="1" applyFont="1" applyFill="1" applyBorder="1" applyAlignment="1">
      <alignment horizontal="right" vertical="center"/>
    </xf>
    <xf numFmtId="176" fontId="3" fillId="2" borderId="1" xfId="0" applyNumberFormat="1" applyFont="1" applyFill="1" applyBorder="1" applyAlignment="1">
      <alignment horizontal="right" vertical="center"/>
    </xf>
    <xf numFmtId="177" fontId="3" fillId="0" borderId="1" xfId="6" applyNumberFormat="1" applyFont="1" applyBorder="1" applyAlignment="1">
      <alignment horizontal="right" vertical="center"/>
    </xf>
    <xf numFmtId="9" fontId="3" fillId="0" borderId="1" xfId="1" applyFont="1" applyBorder="1" applyAlignment="1">
      <alignment horizontal="right" vertical="center"/>
    </xf>
    <xf numFmtId="177" fontId="3" fillId="5" borderId="1" xfId="6" applyNumberFormat="1" applyFont="1" applyFill="1" applyBorder="1" applyAlignment="1">
      <alignment horizontal="right" vertical="center"/>
    </xf>
    <xf numFmtId="177" fontId="3" fillId="2" borderId="1" xfId="6" applyNumberFormat="1" applyFont="1" applyFill="1" applyBorder="1" applyAlignment="1">
      <alignment horizontal="right" vertical="center"/>
    </xf>
    <xf numFmtId="175" fontId="3" fillId="5" borderId="1" xfId="6" applyNumberFormat="1" applyFont="1" applyFill="1" applyBorder="1" applyAlignment="1">
      <alignment horizontal="right" vertical="center"/>
    </xf>
    <xf numFmtId="178" fontId="3" fillId="0" borderId="1" xfId="6" applyNumberFormat="1" applyFont="1" applyBorder="1" applyAlignment="1">
      <alignment horizontal="right" vertical="center"/>
    </xf>
    <xf numFmtId="179" fontId="3" fillId="0" borderId="1" xfId="1" applyNumberFormat="1" applyFont="1" applyBorder="1" applyAlignment="1">
      <alignment horizontal="right" vertical="center"/>
    </xf>
    <xf numFmtId="0" fontId="3" fillId="0" borderId="1" xfId="6" applyFont="1" applyBorder="1" applyAlignment="1">
      <alignment horizontal="center" vertical="center"/>
    </xf>
    <xf numFmtId="180" fontId="3" fillId="0" borderId="1" xfId="6" applyNumberFormat="1" applyFont="1" applyBorder="1" applyAlignment="1">
      <alignment horizontal="right" vertical="center"/>
    </xf>
    <xf numFmtId="9" fontId="6" fillId="0" borderId="1" xfId="1" applyFont="1" applyBorder="1" applyAlignment="1">
      <alignment horizontal="right" vertical="center"/>
    </xf>
    <xf numFmtId="170" fontId="3" fillId="0" borderId="0" xfId="0" applyNumberFormat="1" applyFont="1" applyAlignment="1" applyProtection="1">
      <protection locked="0"/>
    </xf>
    <xf numFmtId="9" fontId="3" fillId="0" borderId="1" xfId="1" applyFont="1" applyBorder="1" applyAlignment="1"/>
    <xf numFmtId="181" fontId="5" fillId="0" borderId="1" xfId="9" applyNumberFormat="1" applyFont="1" applyBorder="1" applyAlignment="1">
      <alignment horizontal="center" vertical="center"/>
    </xf>
    <xf numFmtId="9" fontId="12" fillId="0" borderId="1" xfId="1" applyBorder="1" applyAlignment="1">
      <alignment horizontal="right" vertical="center" wrapText="1"/>
    </xf>
    <xf numFmtId="182" fontId="3" fillId="0" borderId="1" xfId="0" applyNumberFormat="1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182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 vertical="center"/>
      <protection locked="0"/>
    </xf>
    <xf numFmtId="182" fontId="5" fillId="0" borderId="1" xfId="9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3" fillId="0" borderId="1" xfId="0" applyNumberFormat="1" applyFont="1" applyBorder="1" applyAlignment="1" applyProtection="1">
      <alignment horizontal="center" vertical="center" wrapText="1"/>
      <protection locked="0"/>
    </xf>
    <xf numFmtId="10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3" fontId="6" fillId="0" borderId="1" xfId="0" applyNumberFormat="1" applyFont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174" fontId="3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177" fontId="3" fillId="2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179" fontId="3" fillId="0" borderId="1" xfId="0" applyNumberFormat="1" applyFont="1" applyBorder="1" applyAlignment="1">
      <alignment horizontal="right" vertical="center"/>
    </xf>
    <xf numFmtId="180" fontId="3" fillId="0" borderId="1" xfId="0" applyNumberFormat="1" applyFont="1" applyBorder="1" applyAlignment="1">
      <alignment horizontal="right" vertical="center"/>
    </xf>
    <xf numFmtId="9" fontId="6" fillId="0" borderId="1" xfId="0" applyNumberFormat="1" applyFont="1" applyBorder="1" applyAlignment="1">
      <alignment horizontal="right" vertical="center"/>
    </xf>
    <xf numFmtId="9" fontId="3" fillId="0" borderId="1" xfId="0" applyNumberFormat="1" applyFont="1" applyBorder="1" applyAlignment="1"/>
    <xf numFmtId="181" fontId="3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right" vertical="center" wrapText="1"/>
    </xf>
    <xf numFmtId="0" fontId="0" fillId="0" borderId="2" xfId="0" applyBorder="1" applyAlignment="1"/>
    <xf numFmtId="0" fontId="0" fillId="0" borderId="0" xfId="0" applyAlignment="1" applyProtection="1">
      <protection locked="0"/>
    </xf>
    <xf numFmtId="0" fontId="14" fillId="0" borderId="0" xfId="0" applyFo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top" wrapText="1"/>
      <protection locked="0"/>
    </xf>
    <xf numFmtId="0" fontId="17" fillId="2" borderId="0" xfId="0" applyFont="1" applyFill="1" applyAlignment="1" applyProtection="1">
      <alignment horizontal="left" vertical="top" wrapText="1"/>
      <protection locked="0"/>
    </xf>
    <xf numFmtId="169" fontId="15" fillId="0" borderId="0" xfId="0" applyNumberFormat="1" applyFont="1" applyAlignment="1" applyProtection="1">
      <alignment horizontal="center" vertical="center"/>
      <protection locked="0"/>
    </xf>
    <xf numFmtId="170" fontId="15" fillId="0" borderId="0" xfId="0" applyNumberFormat="1" applyFont="1" applyAlignment="1" applyProtection="1">
      <alignment horizontal="center" vertical="center"/>
      <protection locked="0"/>
    </xf>
    <xf numFmtId="170" fontId="14" fillId="0" borderId="0" xfId="0" applyNumberFormat="1" applyFont="1" applyProtection="1">
      <alignment vertical="center"/>
      <protection locked="0"/>
    </xf>
    <xf numFmtId="171" fontId="14" fillId="0" borderId="0" xfId="0" applyNumberFormat="1" applyFont="1" applyAlignment="1" applyProtection="1">
      <alignment horizontal="left" vertical="center"/>
      <protection locked="0"/>
    </xf>
    <xf numFmtId="171" fontId="14" fillId="0" borderId="0" xfId="0" applyNumberFormat="1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0" fontId="18" fillId="0" borderId="0" xfId="0" applyFont="1">
      <alignment vertical="center"/>
    </xf>
    <xf numFmtId="0" fontId="15" fillId="0" borderId="0" xfId="8" applyFont="1" applyAlignment="1">
      <alignment horizontal="left" vertical="center"/>
    </xf>
    <xf numFmtId="0" fontId="14" fillId="0" borderId="0" xfId="0" applyFont="1">
      <alignment vertical="center"/>
    </xf>
    <xf numFmtId="0" fontId="19" fillId="2" borderId="0" xfId="0" applyFont="1" applyFill="1" applyAlignment="1">
      <alignment vertical="center" wrapText="1"/>
    </xf>
    <xf numFmtId="169" fontId="14" fillId="0" borderId="0" xfId="0" applyNumberFormat="1" applyFont="1">
      <alignment vertical="center"/>
    </xf>
    <xf numFmtId="0" fontId="14" fillId="0" borderId="0" xfId="0" applyFont="1" applyAlignment="1">
      <alignment horizontal="center" vertical="center"/>
    </xf>
    <xf numFmtId="172" fontId="15" fillId="0" borderId="0" xfId="0" applyNumberFormat="1" applyFont="1" applyProtection="1">
      <alignment vertical="center"/>
      <protection locked="0"/>
    </xf>
    <xf numFmtId="170" fontId="14" fillId="0" borderId="0" xfId="0" applyNumberFormat="1" applyFont="1" applyAlignment="1" applyProtection="1">
      <alignment horizontal="center" vertical="center"/>
      <protection locked="0"/>
    </xf>
    <xf numFmtId="170" fontId="14" fillId="0" borderId="0" xfId="0" applyNumberFormat="1" applyFont="1" applyAlignment="1">
      <alignment horizontal="center" vertical="center"/>
    </xf>
    <xf numFmtId="170" fontId="14" fillId="2" borderId="1" xfId="0" applyNumberFormat="1" applyFont="1" applyFill="1" applyBorder="1" applyAlignment="1">
      <alignment horizontal="center" vertical="center" wrapText="1"/>
    </xf>
    <xf numFmtId="170" fontId="15" fillId="3" borderId="1" xfId="6" applyNumberFormat="1" applyFont="1" applyFill="1" applyBorder="1" applyAlignment="1">
      <alignment horizontal="center" vertical="center" wrapText="1"/>
    </xf>
    <xf numFmtId="171" fontId="14" fillId="0" borderId="0" xfId="0" applyNumberFormat="1" applyFont="1" applyAlignment="1">
      <alignment horizontal="left" vertical="center"/>
    </xf>
    <xf numFmtId="171" fontId="14" fillId="0" borderId="0" xfId="0" applyNumberFormat="1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6" applyFont="1" applyFill="1" applyBorder="1" applyAlignment="1">
      <alignment horizontal="center" vertical="center" wrapText="1"/>
    </xf>
    <xf numFmtId="169" fontId="20" fillId="3" borderId="1" xfId="6" applyNumberFormat="1" applyFont="1" applyFill="1" applyBorder="1" applyAlignment="1">
      <alignment horizontal="center" vertical="center" wrapText="1"/>
    </xf>
    <xf numFmtId="170" fontId="20" fillId="3" borderId="1" xfId="6" applyNumberFormat="1" applyFont="1" applyFill="1" applyBorder="1" applyAlignment="1">
      <alignment horizontal="center" vertical="center" wrapText="1"/>
    </xf>
    <xf numFmtId="170" fontId="20" fillId="2" borderId="1" xfId="6" applyNumberFormat="1" applyFont="1" applyFill="1" applyBorder="1" applyAlignment="1">
      <alignment horizontal="center" vertical="center" wrapText="1"/>
    </xf>
    <xf numFmtId="170" fontId="20" fillId="4" borderId="1" xfId="6" applyNumberFormat="1" applyFont="1" applyFill="1" applyBorder="1" applyAlignment="1">
      <alignment horizontal="center" vertical="center" wrapText="1"/>
    </xf>
    <xf numFmtId="170" fontId="13" fillId="0" borderId="0" xfId="0" applyNumberFormat="1" applyFont="1" applyAlignment="1" applyProtection="1">
      <protection locked="0"/>
    </xf>
    <xf numFmtId="9" fontId="21" fillId="3" borderId="1" xfId="1" applyFont="1" applyFill="1" applyBorder="1" applyAlignment="1" applyProtection="1">
      <alignment horizontal="center" vertical="center"/>
      <protection locked="0"/>
    </xf>
    <xf numFmtId="171" fontId="20" fillId="3" borderId="1" xfId="0" applyNumberFormat="1" applyFont="1" applyFill="1" applyBorder="1" applyAlignment="1">
      <alignment horizontal="center" vertical="center" wrapText="1"/>
    </xf>
    <xf numFmtId="170" fontId="20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>
      <alignment vertical="center"/>
    </xf>
    <xf numFmtId="0" fontId="22" fillId="0" borderId="0" xfId="0" applyFont="1">
      <alignment vertical="center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12" xr:uid="{00000000-0005-0000-0000-00003B000000}"/>
    <cellStyle name="Normal 2 2 2 2" xfId="10" xr:uid="{00000000-0005-0000-0000-000039000000}"/>
    <cellStyle name="Normal 3" xfId="4" xr:uid="{00000000-0005-0000-0000-000033000000}"/>
    <cellStyle name="Percent" xfId="1" builtinId="5"/>
    <cellStyle name="常规 4 2" xfId="5" xr:uid="{00000000-0005-0000-0000-000034000000}"/>
    <cellStyle name="常规_ (2)" xfId="11" xr:uid="{00000000-0005-0000-0000-00003A000000}"/>
    <cellStyle name="常规_030821XEROX确认" xfId="6" xr:uid="{00000000-0005-0000-0000-000035000000}"/>
    <cellStyle name="常规_IEM外协" xfId="7" xr:uid="{00000000-0005-0000-0000-000036000000}"/>
    <cellStyle name="常规_Sheet1" xfId="8" xr:uid="{00000000-0005-0000-0000-000037000000}"/>
    <cellStyle name="样式 1" xfId="9" xr:uid="{00000000-0005-0000-0000-000038000000}"/>
  </cellStyles>
  <dxfs count="19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2E46-87C1-1240-B4A1-B041644C7E95}">
  <dimension ref="A1:BL5"/>
  <sheetViews>
    <sheetView tabSelected="1" workbookViewId="0">
      <selection activeCell="G11" activeCellId="1" sqref="A4:XFD4 G11"/>
    </sheetView>
  </sheetViews>
  <sheetFormatPr baseColWidth="10" defaultRowHeight="14"/>
  <sheetData>
    <row r="1" spans="1:64" s="74" customFormat="1" ht="19" customHeight="1">
      <c r="A1" s="65"/>
      <c r="B1" s="65" t="s">
        <v>0</v>
      </c>
      <c r="C1" s="66"/>
      <c r="D1" s="67" t="s">
        <v>1</v>
      </c>
      <c r="E1" s="68" t="s">
        <v>2</v>
      </c>
      <c r="F1" s="64"/>
      <c r="G1" s="64"/>
      <c r="H1" s="64"/>
      <c r="I1" s="64"/>
      <c r="J1" s="64"/>
      <c r="K1" s="66"/>
      <c r="L1" s="66"/>
      <c r="M1" s="66"/>
      <c r="N1" s="69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70"/>
      <c r="AA1" s="66"/>
      <c r="AB1" s="70"/>
      <c r="AC1" s="66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1"/>
      <c r="AR1" s="71"/>
      <c r="AS1" s="71"/>
      <c r="AT1" s="71"/>
      <c r="AU1" s="71"/>
      <c r="AV1" s="71"/>
      <c r="AW1" s="71"/>
      <c r="AX1" s="71"/>
      <c r="AY1" s="71"/>
      <c r="AZ1" s="70"/>
      <c r="BA1" s="70"/>
      <c r="BB1" s="70"/>
      <c r="BC1" s="72"/>
      <c r="BD1" s="73"/>
      <c r="BE1" s="73"/>
      <c r="BF1" s="73"/>
      <c r="BG1" s="73"/>
      <c r="BH1" s="73"/>
      <c r="BI1" s="73"/>
      <c r="BJ1" s="73"/>
      <c r="BK1" s="71"/>
    </row>
    <row r="2" spans="1:64" s="75" customFormat="1" ht="44" customHeight="1">
      <c r="B2" s="76"/>
      <c r="C2" s="77"/>
      <c r="D2" s="78"/>
      <c r="E2" s="64"/>
      <c r="F2" s="64"/>
      <c r="G2" s="64"/>
      <c r="H2" s="64"/>
      <c r="I2" s="64"/>
      <c r="J2" s="64"/>
      <c r="K2" s="66"/>
      <c r="L2" s="66"/>
      <c r="M2" s="66"/>
      <c r="N2" s="79"/>
      <c r="O2" s="77"/>
      <c r="P2" s="77"/>
      <c r="Q2" s="77"/>
      <c r="R2" s="77"/>
      <c r="S2" s="80"/>
      <c r="T2" s="80"/>
      <c r="U2" s="77"/>
      <c r="V2" s="77"/>
      <c r="W2" s="77"/>
      <c r="X2" s="81"/>
      <c r="Y2" s="81"/>
      <c r="Z2" s="82"/>
      <c r="AA2" s="80"/>
      <c r="AB2" s="83"/>
      <c r="AC2" s="80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4" t="s">
        <v>3</v>
      </c>
      <c r="AO2" s="63"/>
      <c r="AP2" s="83"/>
      <c r="AQ2" s="83"/>
      <c r="AR2" s="71"/>
      <c r="AS2" s="85" t="s">
        <v>4</v>
      </c>
      <c r="AT2" s="63"/>
      <c r="AU2" s="85" t="s">
        <v>5</v>
      </c>
      <c r="AV2" s="63"/>
      <c r="AW2" s="85" t="s">
        <v>6</v>
      </c>
      <c r="AX2" s="63"/>
      <c r="AY2" s="85" t="s">
        <v>7</v>
      </c>
      <c r="AZ2" s="63"/>
      <c r="BA2" s="85" t="s">
        <v>8</v>
      </c>
      <c r="BB2" s="63"/>
      <c r="BC2" s="86"/>
      <c r="BD2" s="87"/>
      <c r="BE2" s="87"/>
      <c r="BF2" s="87"/>
      <c r="BG2" s="87"/>
      <c r="BH2" s="87"/>
      <c r="BI2" s="87"/>
      <c r="BJ2" s="87"/>
      <c r="BK2" s="83"/>
    </row>
    <row r="3" spans="1:64" s="99" customFormat="1" ht="68" customHeight="1">
      <c r="A3" s="88" t="s">
        <v>9</v>
      </c>
      <c r="B3" s="88" t="s">
        <v>10</v>
      </c>
      <c r="C3" s="88" t="s">
        <v>11</v>
      </c>
      <c r="D3" s="88" t="s">
        <v>12</v>
      </c>
      <c r="E3" s="88" t="s">
        <v>13</v>
      </c>
      <c r="F3" s="88" t="s">
        <v>14</v>
      </c>
      <c r="G3" s="88" t="s">
        <v>15</v>
      </c>
      <c r="H3" s="89" t="s">
        <v>16</v>
      </c>
      <c r="I3" s="89" t="s">
        <v>17</v>
      </c>
      <c r="J3" s="89" t="s">
        <v>18</v>
      </c>
      <c r="K3" s="89" t="s">
        <v>19</v>
      </c>
      <c r="L3" s="89" t="s">
        <v>20</v>
      </c>
      <c r="M3" s="89" t="s">
        <v>21</v>
      </c>
      <c r="N3" s="90" t="s">
        <v>22</v>
      </c>
      <c r="O3" s="89" t="s">
        <v>23</v>
      </c>
      <c r="P3" s="89" t="s">
        <v>24</v>
      </c>
      <c r="Q3" s="89" t="s">
        <v>25</v>
      </c>
      <c r="R3" s="89" t="s">
        <v>26</v>
      </c>
      <c r="S3" s="89" t="s">
        <v>27</v>
      </c>
      <c r="T3" s="89" t="s">
        <v>28</v>
      </c>
      <c r="U3" s="89" t="s">
        <v>29</v>
      </c>
      <c r="V3" s="89" t="s">
        <v>30</v>
      </c>
      <c r="W3" s="89" t="s">
        <v>31</v>
      </c>
      <c r="X3" s="89" t="s">
        <v>32</v>
      </c>
      <c r="Y3" s="89" t="s">
        <v>33</v>
      </c>
      <c r="Z3" s="91" t="s">
        <v>34</v>
      </c>
      <c r="AA3" s="89" t="s">
        <v>29</v>
      </c>
      <c r="AB3" s="91" t="s">
        <v>35</v>
      </c>
      <c r="AC3" s="89" t="s">
        <v>36</v>
      </c>
      <c r="AD3" s="91" t="s">
        <v>37</v>
      </c>
      <c r="AE3" s="91" t="s">
        <v>38</v>
      </c>
      <c r="AF3" s="91"/>
      <c r="AG3" s="91" t="s">
        <v>39</v>
      </c>
      <c r="AH3" s="91"/>
      <c r="AI3" s="91" t="s">
        <v>40</v>
      </c>
      <c r="AJ3" s="91" t="s">
        <v>41</v>
      </c>
      <c r="AK3" s="91" t="s">
        <v>42</v>
      </c>
      <c r="AL3" s="91" t="s">
        <v>43</v>
      </c>
      <c r="AM3" s="92" t="s">
        <v>44</v>
      </c>
      <c r="AN3" s="92" t="s">
        <v>45</v>
      </c>
      <c r="AO3" s="92" t="s">
        <v>46</v>
      </c>
      <c r="AP3" s="93" t="s">
        <v>47</v>
      </c>
      <c r="AQ3" s="91" t="s">
        <v>48</v>
      </c>
      <c r="AR3" s="94"/>
      <c r="AS3" s="95"/>
      <c r="AT3" s="91" t="s">
        <v>49</v>
      </c>
      <c r="AU3" s="95"/>
      <c r="AV3" s="91" t="s">
        <v>49</v>
      </c>
      <c r="AW3" s="95"/>
      <c r="AX3" s="91" t="s">
        <v>49</v>
      </c>
      <c r="AY3" s="95"/>
      <c r="AZ3" s="91" t="s">
        <v>49</v>
      </c>
      <c r="BA3" s="95"/>
      <c r="BB3" s="91" t="s">
        <v>49</v>
      </c>
      <c r="BC3" s="96" t="s">
        <v>50</v>
      </c>
      <c r="BD3" s="96" t="s">
        <v>51</v>
      </c>
      <c r="BE3" s="96" t="s">
        <v>52</v>
      </c>
      <c r="BF3" s="96" t="s">
        <v>53</v>
      </c>
      <c r="BG3" s="96" t="s">
        <v>54</v>
      </c>
      <c r="BH3" s="96" t="s">
        <v>55</v>
      </c>
      <c r="BI3" s="96" t="s">
        <v>56</v>
      </c>
      <c r="BJ3" s="96" t="s">
        <v>57</v>
      </c>
      <c r="BK3" s="97" t="s">
        <v>58</v>
      </c>
      <c r="BL3" s="98" t="s">
        <v>59</v>
      </c>
    </row>
    <row r="4" spans="1:64" s="1" customFormat="1" ht="66" customHeight="1">
      <c r="A4" s="2">
        <v>1</v>
      </c>
      <c r="B4" s="3" t="s">
        <v>60</v>
      </c>
      <c r="C4" s="3" t="s">
        <v>61</v>
      </c>
      <c r="D4" s="4" t="s">
        <v>62</v>
      </c>
      <c r="E4" s="5"/>
      <c r="F4" s="6" t="s">
        <v>63</v>
      </c>
      <c r="G4" s="7">
        <v>4</v>
      </c>
      <c r="H4" s="8">
        <v>4</v>
      </c>
      <c r="I4" s="9"/>
      <c r="J4" s="10" t="s">
        <v>64</v>
      </c>
      <c r="K4" s="11">
        <v>3.5510999999999999</v>
      </c>
      <c r="L4" s="12">
        <v>3</v>
      </c>
      <c r="M4" s="13">
        <f t="shared" ref="M4:M5" si="0">ROUND(K4/L4/12*10000,-2)</f>
        <v>1000</v>
      </c>
      <c r="N4" s="14">
        <v>3</v>
      </c>
      <c r="O4" s="15">
        <v>4</v>
      </c>
      <c r="P4" s="16">
        <v>0</v>
      </c>
      <c r="Q4" s="17"/>
      <c r="R4" s="18">
        <v>15000</v>
      </c>
      <c r="S4" s="19">
        <f t="shared" ref="S4:S5" si="1">(N4+O4*(1-P4)/H4)*(1+Q4)+R4/M4</f>
        <v>19</v>
      </c>
      <c r="T4" s="15">
        <v>17</v>
      </c>
      <c r="U4" s="20">
        <v>0.1</v>
      </c>
      <c r="V4" s="21">
        <f t="shared" ref="V4:V5" si="2">(S4*T4/1000)*(1+U4)</f>
        <v>0.35530000000000006</v>
      </c>
      <c r="W4" s="22" t="s">
        <v>65</v>
      </c>
      <c r="X4" s="23">
        <v>30</v>
      </c>
      <c r="Y4" s="24">
        <v>0.8</v>
      </c>
      <c r="Z4" s="25">
        <f t="shared" ref="Z4:Z5" si="3">Y4/60/0.9</f>
        <v>1.4814814814814815E-2</v>
      </c>
      <c r="AA4" s="26">
        <f t="shared" ref="AA4:AA5" si="4">U4</f>
        <v>0.1</v>
      </c>
      <c r="AB4" s="25">
        <f t="shared" ref="AB4:AB5" si="5">(Z4*X4/H4)*(1+AA4)</f>
        <v>0.12222222222222225</v>
      </c>
      <c r="AC4" s="27">
        <f>V4*0.15</f>
        <v>5.3295000000000009E-2</v>
      </c>
      <c r="AD4" s="25">
        <f t="shared" ref="AD4:AD5" si="6">(AB4)*0.08</f>
        <v>9.7777777777777793E-3</v>
      </c>
      <c r="AE4" s="28">
        <v>0.27</v>
      </c>
      <c r="AF4" s="31">
        <f t="shared" ref="AF4:AF5" si="7">AE4/$AL4</f>
        <v>9.9798189517509531E-2</v>
      </c>
      <c r="AG4" s="28">
        <v>0.13</v>
      </c>
      <c r="AH4" s="31">
        <f t="shared" ref="AH4:AH5" si="8">AG4/$AL4</f>
        <v>4.805098013806014E-2</v>
      </c>
      <c r="AI4" s="25">
        <f t="shared" ref="AI4:AI5" si="9">(AB4+AC4+AD4+AE4+AG4+V4)*8%</f>
        <v>7.5247600000000012E-2</v>
      </c>
      <c r="AJ4" s="29">
        <v>60000</v>
      </c>
      <c r="AK4" s="25">
        <f t="shared" ref="AK4:AK5" si="10">AJ4/35511</f>
        <v>1.6896173016811693</v>
      </c>
      <c r="AL4" s="30">
        <f t="shared" ref="AL4:AL5" si="11">SUM($V4+$AB4+$AC4+$AD4+$AE4+$AG4+$AI4+$AK4)</f>
        <v>2.7054599016811691</v>
      </c>
      <c r="AM4" s="31"/>
      <c r="AN4" s="26"/>
      <c r="AO4" s="32"/>
      <c r="AP4" s="33">
        <f t="shared" ref="AP4:AP5" si="12">PRODUCT($AL4,1/(1-AM4),1/(1-$AS4),1/(1-$AU4),1/(1-$AW4),1/(1-$AY4),1/(1-$BA4))</f>
        <v>2.7054599016811691</v>
      </c>
      <c r="AQ4" s="34">
        <f t="shared" ref="AQ4:AQ5" si="13">V4/AP4</f>
        <v>0.13132702494655979</v>
      </c>
      <c r="AR4" s="35"/>
      <c r="AS4" s="36">
        <f t="shared" ref="AS4:AS5" si="14">$AS$3</f>
        <v>0</v>
      </c>
      <c r="AT4" s="37">
        <f t="shared" ref="AT4:AT5" si="15">AP4*(1-$AM4)</f>
        <v>2.7054599016811691</v>
      </c>
      <c r="AU4" s="36">
        <f t="shared" ref="AU4:AU5" si="16">$AU$3</f>
        <v>0</v>
      </c>
      <c r="AV4" s="37">
        <f t="shared" ref="AV4:AV5" si="17">$AT4*(1-$AU4)</f>
        <v>2.7054599016811691</v>
      </c>
      <c r="AW4" s="36">
        <f t="shared" ref="AW4:AW5" si="18">$AW$3</f>
        <v>0</v>
      </c>
      <c r="AX4" s="37">
        <f t="shared" ref="AX4:AX5" si="19">$AV4*(1-$AW4)</f>
        <v>2.7054599016811691</v>
      </c>
      <c r="AY4" s="36">
        <f t="shared" ref="AY4:AY5" si="20">$AY$3</f>
        <v>0</v>
      </c>
      <c r="AZ4" s="37">
        <f t="shared" ref="AZ4:AZ5" si="21">$AX4*(1-$AY4)</f>
        <v>2.7054599016811691</v>
      </c>
      <c r="BA4" s="36">
        <f t="shared" ref="BA4:BA5" si="22">$BA$3</f>
        <v>0</v>
      </c>
      <c r="BB4" s="37">
        <f t="shared" ref="BB4:BB5" si="23">$AX4*(1-$AY4)</f>
        <v>2.7054599016811691</v>
      </c>
      <c r="BC4" s="38"/>
      <c r="BD4" s="39"/>
      <c r="BE4" s="39"/>
      <c r="BF4" s="40"/>
      <c r="BG4" s="41"/>
      <c r="BH4" s="41"/>
      <c r="BI4" s="41"/>
      <c r="BJ4" s="42"/>
      <c r="BK4" s="43"/>
      <c r="BL4" s="43"/>
    </row>
    <row r="5" spans="1:64" ht="75">
      <c r="A5" s="2">
        <v>2</v>
      </c>
      <c r="B5" s="3" t="s">
        <v>60</v>
      </c>
      <c r="C5" s="3" t="s">
        <v>66</v>
      </c>
      <c r="D5" s="4" t="s">
        <v>67</v>
      </c>
      <c r="E5" s="5"/>
      <c r="F5" s="6" t="s">
        <v>68</v>
      </c>
      <c r="G5" s="7">
        <v>4</v>
      </c>
      <c r="H5" s="8">
        <v>4</v>
      </c>
      <c r="I5" s="9"/>
      <c r="J5" s="44" t="s">
        <v>69</v>
      </c>
      <c r="K5" s="45">
        <v>3.5510999999999999</v>
      </c>
      <c r="L5" s="12">
        <v>3</v>
      </c>
      <c r="M5" s="45">
        <f t="shared" si="0"/>
        <v>1000</v>
      </c>
      <c r="N5" s="46">
        <v>2.8</v>
      </c>
      <c r="O5" s="15">
        <v>4</v>
      </c>
      <c r="P5" s="47">
        <v>0</v>
      </c>
      <c r="Q5" s="48"/>
      <c r="R5" s="49">
        <v>15000</v>
      </c>
      <c r="S5" s="50">
        <f t="shared" si="1"/>
        <v>18.8</v>
      </c>
      <c r="T5" s="15">
        <v>20</v>
      </c>
      <c r="U5" s="51">
        <v>0.1</v>
      </c>
      <c r="V5" s="52">
        <f t="shared" si="2"/>
        <v>0.41360000000000002</v>
      </c>
      <c r="W5" s="22" t="s">
        <v>65</v>
      </c>
      <c r="X5" s="23">
        <v>30</v>
      </c>
      <c r="Y5" s="24">
        <v>0.8</v>
      </c>
      <c r="Z5" s="53">
        <f t="shared" si="3"/>
        <v>1.4814814814814815E-2</v>
      </c>
      <c r="AA5" s="54">
        <f t="shared" si="4"/>
        <v>0.1</v>
      </c>
      <c r="AB5" s="53">
        <f t="shared" si="5"/>
        <v>0.12222222222222225</v>
      </c>
      <c r="AC5" s="27">
        <f>V5*0.15</f>
        <v>6.2039999999999998E-2</v>
      </c>
      <c r="AD5" s="53">
        <f t="shared" si="6"/>
        <v>9.7777777777777793E-3</v>
      </c>
      <c r="AE5" s="55">
        <v>0.18</v>
      </c>
      <c r="AF5" s="57">
        <f t="shared" si="7"/>
        <v>0.10040945576797369</v>
      </c>
      <c r="AG5" s="55">
        <v>0.09</v>
      </c>
      <c r="AH5" s="57">
        <f t="shared" si="8"/>
        <v>5.0204727883986847E-2</v>
      </c>
      <c r="AI5" s="53">
        <f t="shared" si="9"/>
        <v>7.0211200000000001E-2</v>
      </c>
      <c r="AJ5" s="29">
        <v>30000</v>
      </c>
      <c r="AK5" s="53">
        <f t="shared" si="10"/>
        <v>0.84480865084058465</v>
      </c>
      <c r="AL5" s="56">
        <f t="shared" si="11"/>
        <v>1.7926598508405847</v>
      </c>
      <c r="AM5" s="57"/>
      <c r="AN5" s="54"/>
      <c r="AO5" s="49"/>
      <c r="AP5" s="58">
        <f t="shared" si="12"/>
        <v>1.7926598508405847</v>
      </c>
      <c r="AQ5" s="59">
        <f t="shared" si="13"/>
        <v>0.23071861614241068</v>
      </c>
      <c r="AR5" s="35"/>
      <c r="AS5" s="60">
        <f t="shared" si="14"/>
        <v>0</v>
      </c>
      <c r="AT5" s="61">
        <f t="shared" si="15"/>
        <v>1.7926598508405847</v>
      </c>
      <c r="AU5" s="60">
        <f t="shared" si="16"/>
        <v>0</v>
      </c>
      <c r="AV5" s="61">
        <f t="shared" si="17"/>
        <v>1.7926598508405847</v>
      </c>
      <c r="AW5" s="60">
        <f t="shared" si="18"/>
        <v>0</v>
      </c>
      <c r="AX5" s="61">
        <f t="shared" si="19"/>
        <v>1.7926598508405847</v>
      </c>
      <c r="AY5" s="60">
        <f t="shared" si="20"/>
        <v>0</v>
      </c>
      <c r="AZ5" s="61">
        <f t="shared" si="21"/>
        <v>1.7926598508405847</v>
      </c>
      <c r="BA5" s="60">
        <f t="shared" si="22"/>
        <v>0</v>
      </c>
      <c r="BB5" s="61">
        <f t="shared" si="23"/>
        <v>1.7926598508405847</v>
      </c>
      <c r="BC5" s="62"/>
      <c r="BD5" s="39"/>
      <c r="BE5" s="39"/>
      <c r="BF5" s="40"/>
      <c r="BG5" s="41"/>
      <c r="BH5" s="41"/>
      <c r="BI5" s="41"/>
      <c r="BJ5" s="42"/>
      <c r="BK5" s="39"/>
      <c r="BL5" s="39"/>
    </row>
  </sheetData>
  <mergeCells count="7">
    <mergeCell ref="BA2:BB2"/>
    <mergeCell ref="E1:J2"/>
    <mergeCell ref="AN2:AO2"/>
    <mergeCell ref="AS2:AT2"/>
    <mergeCell ref="AU2:AV2"/>
    <mergeCell ref="AW2:AX2"/>
    <mergeCell ref="AY2:AZ2"/>
  </mergeCells>
  <conditionalFormatting sqref="AS4:BB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最终报价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2026-07-08T15:07:30Z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B3ACE354EE9B4FFCBE2508B6C178A21A_13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