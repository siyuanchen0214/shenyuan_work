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chensiyuan5/Desktop/Github/shenyuan_work/注塑项目/金榕/上海金榕- TPE脚垫卡扣项目/"/>
    </mc:Choice>
  </mc:AlternateContent>
  <xr:revisionPtr revIDLastSave="0" documentId="13_ncr:1_{5AD05B11-0D81-4949-A312-1AE20C6655E1}" xr6:coauthVersionLast="47" xr6:coauthVersionMax="47" xr10:uidLastSave="{00000000-0000-0000-0000-000000000000}"/>
  <bookViews>
    <workbookView xWindow="0" yWindow="600" windowWidth="38920" windowHeight="20620" tabRatio="724" activeTab="1" xr2:uid="{00000000-000D-0000-FFFF-FFFF00000000}"/>
  </bookViews>
  <sheets>
    <sheet name="上卡扣749990518R" sheetId="1" r:id="rId1"/>
    <sheet name="下卡扣749997963R" sheetId="2" r:id="rId2"/>
  </sheets>
  <definedNames>
    <definedName name="_xlnm.Print_Area" localSheetId="0">上卡扣749990518R!$A$1:$U$69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7" i="2" l="1"/>
  <c r="R57" i="2"/>
  <c r="Q57" i="2"/>
  <c r="N57" i="2"/>
  <c r="K57" i="2"/>
  <c r="H57" i="2"/>
  <c r="G57" i="2"/>
  <c r="U56" i="2"/>
  <c r="R56" i="2"/>
  <c r="Q56" i="2"/>
  <c r="N56" i="2"/>
  <c r="K56" i="2"/>
  <c r="H56" i="2"/>
  <c r="G56" i="2"/>
  <c r="U55" i="2"/>
  <c r="R55" i="2"/>
  <c r="Q55" i="2"/>
  <c r="N55" i="2"/>
  <c r="K55" i="2"/>
  <c r="H55" i="2"/>
  <c r="G55" i="2"/>
  <c r="U54" i="2"/>
  <c r="R54" i="2"/>
  <c r="Q54" i="2"/>
  <c r="N54" i="2"/>
  <c r="K54" i="2"/>
  <c r="H54" i="2"/>
  <c r="G54" i="2"/>
  <c r="U53" i="2"/>
  <c r="R53" i="2"/>
  <c r="Q53" i="2"/>
  <c r="N53" i="2"/>
  <c r="K53" i="2"/>
  <c r="H53" i="2"/>
  <c r="G53" i="2"/>
  <c r="U52" i="2"/>
  <c r="R52" i="2"/>
  <c r="Q52" i="2"/>
  <c r="N52" i="2"/>
  <c r="K52" i="2"/>
  <c r="H52" i="2"/>
  <c r="G52" i="2"/>
  <c r="U51" i="2"/>
  <c r="R51" i="2"/>
  <c r="Q51" i="2"/>
  <c r="N51" i="2"/>
  <c r="K51" i="2"/>
  <c r="H51" i="2"/>
  <c r="G51" i="2"/>
  <c r="U50" i="2"/>
  <c r="R50" i="2"/>
  <c r="Q50" i="2"/>
  <c r="N50" i="2"/>
  <c r="K50" i="2"/>
  <c r="H50" i="2"/>
  <c r="G50" i="2"/>
  <c r="U49" i="2"/>
  <c r="R49" i="2"/>
  <c r="Q49" i="2"/>
  <c r="N49" i="2"/>
  <c r="K49" i="2"/>
  <c r="H49" i="2"/>
  <c r="G49" i="2"/>
  <c r="U48" i="2"/>
  <c r="R48" i="2"/>
  <c r="Q48" i="2"/>
  <c r="N48" i="2"/>
  <c r="K48" i="2"/>
  <c r="H48" i="2"/>
  <c r="G48" i="2"/>
  <c r="U47" i="2"/>
  <c r="R47" i="2"/>
  <c r="Q47" i="2"/>
  <c r="N47" i="2"/>
  <c r="K47" i="2"/>
  <c r="H47" i="2"/>
  <c r="G47" i="2"/>
  <c r="U46" i="2"/>
  <c r="R46" i="2"/>
  <c r="Q46" i="2"/>
  <c r="N46" i="2"/>
  <c r="K46" i="2"/>
  <c r="H46" i="2"/>
  <c r="G46" i="2"/>
  <c r="U45" i="2"/>
  <c r="R45" i="2"/>
  <c r="Q45" i="2"/>
  <c r="N45" i="2"/>
  <c r="K45" i="2"/>
  <c r="H45" i="2"/>
  <c r="G45" i="2"/>
  <c r="U44" i="2"/>
  <c r="R44" i="2"/>
  <c r="Q44" i="2"/>
  <c r="N44" i="2"/>
  <c r="K44" i="2"/>
  <c r="H44" i="2"/>
  <c r="G44" i="2"/>
  <c r="U43" i="2"/>
  <c r="R43" i="2"/>
  <c r="Q43" i="2"/>
  <c r="N43" i="2"/>
  <c r="K43" i="2"/>
  <c r="H43" i="2"/>
  <c r="G43" i="2"/>
  <c r="U42" i="2"/>
  <c r="U58" i="2" s="1"/>
  <c r="R42" i="2"/>
  <c r="R58" i="2" s="1"/>
  <c r="Q42" i="2"/>
  <c r="H42" i="2"/>
  <c r="K42" i="2" s="1"/>
  <c r="G42" i="2"/>
  <c r="P40" i="2"/>
  <c r="F40" i="2"/>
  <c r="U39" i="2"/>
  <c r="R39" i="2"/>
  <c r="K39" i="2"/>
  <c r="U38" i="2"/>
  <c r="R38" i="2"/>
  <c r="K38" i="2"/>
  <c r="U37" i="2"/>
  <c r="R37" i="2"/>
  <c r="K37" i="2"/>
  <c r="U36" i="2"/>
  <c r="R36" i="2"/>
  <c r="K36" i="2"/>
  <c r="U35" i="2"/>
  <c r="R35" i="2"/>
  <c r="K35" i="2"/>
  <c r="U34" i="2"/>
  <c r="R34" i="2"/>
  <c r="K34" i="2"/>
  <c r="U33" i="2"/>
  <c r="R33" i="2"/>
  <c r="K33" i="2"/>
  <c r="U32" i="2"/>
  <c r="R32" i="2"/>
  <c r="K32" i="2"/>
  <c r="U31" i="2"/>
  <c r="R31" i="2"/>
  <c r="K31" i="2"/>
  <c r="U30" i="2"/>
  <c r="U40" i="2" s="1"/>
  <c r="R30" i="2"/>
  <c r="K30" i="2"/>
  <c r="K40" i="2" s="1"/>
  <c r="U26" i="2"/>
  <c r="K26" i="2"/>
  <c r="U25" i="2"/>
  <c r="K25" i="2"/>
  <c r="U24" i="2"/>
  <c r="K24" i="2"/>
  <c r="U23" i="2"/>
  <c r="K23" i="2"/>
  <c r="U22" i="2"/>
  <c r="K22" i="2"/>
  <c r="U21" i="2"/>
  <c r="K21" i="2"/>
  <c r="U20" i="2"/>
  <c r="K20" i="2"/>
  <c r="U19" i="2"/>
  <c r="K19" i="2"/>
  <c r="U18" i="2"/>
  <c r="K18" i="2"/>
  <c r="U17" i="2"/>
  <c r="K17" i="2"/>
  <c r="U16" i="2"/>
  <c r="K16" i="2"/>
  <c r="U15" i="2"/>
  <c r="K15" i="2"/>
  <c r="U14" i="2"/>
  <c r="K14" i="2"/>
  <c r="U13" i="2"/>
  <c r="K13" i="2"/>
  <c r="U12" i="2"/>
  <c r="K12" i="2"/>
  <c r="U11" i="2"/>
  <c r="K11" i="2"/>
  <c r="U10" i="2"/>
  <c r="U27" i="2" s="1"/>
  <c r="K10" i="2"/>
  <c r="K27" i="2" s="1"/>
  <c r="R58" i="1"/>
  <c r="U57" i="1"/>
  <c r="R57" i="1"/>
  <c r="Q57" i="1"/>
  <c r="N57" i="1"/>
  <c r="K57" i="1"/>
  <c r="H57" i="1"/>
  <c r="G57" i="1"/>
  <c r="U56" i="1"/>
  <c r="R56" i="1"/>
  <c r="Q56" i="1"/>
  <c r="N56" i="1"/>
  <c r="K56" i="1"/>
  <c r="H56" i="1"/>
  <c r="G56" i="1"/>
  <c r="U55" i="1"/>
  <c r="R55" i="1"/>
  <c r="Q55" i="1"/>
  <c r="N55" i="1"/>
  <c r="K55" i="1"/>
  <c r="H55" i="1"/>
  <c r="G55" i="1"/>
  <c r="U54" i="1"/>
  <c r="R54" i="1"/>
  <c r="Q54" i="1"/>
  <c r="N54" i="1"/>
  <c r="K54" i="1"/>
  <c r="H54" i="1"/>
  <c r="G54" i="1"/>
  <c r="U53" i="1"/>
  <c r="R53" i="1"/>
  <c r="Q53" i="1"/>
  <c r="N53" i="1"/>
  <c r="K53" i="1"/>
  <c r="H53" i="1"/>
  <c r="G53" i="1"/>
  <c r="U52" i="1"/>
  <c r="R52" i="1"/>
  <c r="Q52" i="1"/>
  <c r="N52" i="1"/>
  <c r="K52" i="1"/>
  <c r="H52" i="1"/>
  <c r="G52" i="1"/>
  <c r="U51" i="1"/>
  <c r="R51" i="1"/>
  <c r="Q51" i="1"/>
  <c r="N51" i="1"/>
  <c r="K51" i="1"/>
  <c r="H51" i="1"/>
  <c r="G51" i="1"/>
  <c r="U50" i="1"/>
  <c r="R50" i="1"/>
  <c r="Q50" i="1"/>
  <c r="N50" i="1"/>
  <c r="K50" i="1"/>
  <c r="H50" i="1"/>
  <c r="G50" i="1"/>
  <c r="U49" i="1"/>
  <c r="U58" i="1" s="1"/>
  <c r="R49" i="1"/>
  <c r="Q49" i="1"/>
  <c r="N49" i="1"/>
  <c r="K49" i="1"/>
  <c r="H49" i="1"/>
  <c r="G49" i="1"/>
  <c r="U48" i="1"/>
  <c r="R48" i="1"/>
  <c r="Q48" i="1"/>
  <c r="N48" i="1"/>
  <c r="K48" i="1"/>
  <c r="H48" i="1"/>
  <c r="G48" i="1"/>
  <c r="U47" i="1"/>
  <c r="R47" i="1"/>
  <c r="Q47" i="1"/>
  <c r="N47" i="1"/>
  <c r="K47" i="1"/>
  <c r="H47" i="1"/>
  <c r="G47" i="1"/>
  <c r="U46" i="1"/>
  <c r="R46" i="1"/>
  <c r="Q46" i="1"/>
  <c r="N46" i="1"/>
  <c r="K46" i="1"/>
  <c r="H46" i="1"/>
  <c r="G46" i="1"/>
  <c r="U45" i="1"/>
  <c r="R45" i="1"/>
  <c r="Q45" i="1"/>
  <c r="N45" i="1"/>
  <c r="K45" i="1"/>
  <c r="H45" i="1"/>
  <c r="G45" i="1"/>
  <c r="U44" i="1"/>
  <c r="R44" i="1"/>
  <c r="Q44" i="1"/>
  <c r="N44" i="1"/>
  <c r="K44" i="1"/>
  <c r="H44" i="1"/>
  <c r="G44" i="1"/>
  <c r="U43" i="1"/>
  <c r="R43" i="1"/>
  <c r="Q43" i="1"/>
  <c r="N43" i="1"/>
  <c r="K43" i="1"/>
  <c r="H43" i="1"/>
  <c r="G43" i="1"/>
  <c r="U42" i="1"/>
  <c r="R42" i="1"/>
  <c r="Q42" i="1"/>
  <c r="H42" i="1"/>
  <c r="K42" i="1" s="1"/>
  <c r="P40" i="1"/>
  <c r="F40" i="1"/>
  <c r="U39" i="1"/>
  <c r="R39" i="1"/>
  <c r="K39" i="1"/>
  <c r="U38" i="1"/>
  <c r="R38" i="1"/>
  <c r="K38" i="1"/>
  <c r="U37" i="1"/>
  <c r="R37" i="1"/>
  <c r="K37" i="1"/>
  <c r="U36" i="1"/>
  <c r="R36" i="1"/>
  <c r="K36" i="1"/>
  <c r="U35" i="1"/>
  <c r="R35" i="1"/>
  <c r="K35" i="1"/>
  <c r="U34" i="1"/>
  <c r="R34" i="1"/>
  <c r="K34" i="1"/>
  <c r="U33" i="1"/>
  <c r="R33" i="1"/>
  <c r="K33" i="1"/>
  <c r="U32" i="1"/>
  <c r="R32" i="1"/>
  <c r="K32" i="1"/>
  <c r="U31" i="1"/>
  <c r="R31" i="1"/>
  <c r="K31" i="1"/>
  <c r="U30" i="1"/>
  <c r="U40" i="1" s="1"/>
  <c r="R30" i="1"/>
  <c r="K30" i="1"/>
  <c r="K40" i="1" s="1"/>
  <c r="U26" i="1"/>
  <c r="K26" i="1"/>
  <c r="U25" i="1"/>
  <c r="K25" i="1"/>
  <c r="U24" i="1"/>
  <c r="K24" i="1"/>
  <c r="U23" i="1"/>
  <c r="K23" i="1"/>
  <c r="U22" i="1"/>
  <c r="K22" i="1"/>
  <c r="U21" i="1"/>
  <c r="K21" i="1"/>
  <c r="U20" i="1"/>
  <c r="K20" i="1"/>
  <c r="U19" i="1"/>
  <c r="K19" i="1"/>
  <c r="U18" i="1"/>
  <c r="K18" i="1"/>
  <c r="U17" i="1"/>
  <c r="K17" i="1"/>
  <c r="U16" i="1"/>
  <c r="K16" i="1"/>
  <c r="U15" i="1"/>
  <c r="K15" i="1"/>
  <c r="U14" i="1"/>
  <c r="K14" i="1"/>
  <c r="U13" i="1"/>
  <c r="K13" i="1"/>
  <c r="U12" i="1"/>
  <c r="K12" i="1"/>
  <c r="U11" i="1"/>
  <c r="K11" i="1"/>
  <c r="K27" i="1" s="1"/>
  <c r="U10" i="1"/>
  <c r="U27" i="1" s="1"/>
  <c r="K10" i="1"/>
  <c r="E61" i="1" l="1"/>
  <c r="N42" i="2"/>
  <c r="N58" i="2" s="1"/>
  <c r="E59" i="2" s="1"/>
  <c r="E60" i="2" s="1"/>
  <c r="K58" i="2"/>
  <c r="K58" i="1"/>
  <c r="N42" i="1"/>
  <c r="N58" i="1" s="1"/>
  <c r="E59" i="1" s="1"/>
  <c r="E60" i="1" s="1"/>
  <c r="E64" i="1" s="1"/>
  <c r="G42" i="1"/>
  <c r="E66" i="1" l="1"/>
  <c r="E67" i="1" s="1"/>
  <c r="E61" i="2"/>
  <c r="E64" i="2"/>
  <c r="E68" i="1" l="1"/>
  <c r="E69" i="1"/>
  <c r="E66" i="2"/>
  <c r="E67" i="2" s="1"/>
  <c r="E68" i="2" l="1"/>
  <c r="E69" i="2" s="1"/>
</calcChain>
</file>

<file path=xl/sharedStrings.xml><?xml version="1.0" encoding="utf-8"?>
<sst xmlns="http://schemas.openxmlformats.org/spreadsheetml/2006/main" count="316" uniqueCount="148">
  <si>
    <t>上海金榕汽车零部件股份有限公司</t>
  </si>
  <si>
    <t>供应商产品报价表</t>
  </si>
  <si>
    <t>供应商商务信息</t>
  </si>
  <si>
    <t>供应商名称</t>
  </si>
  <si>
    <t>杭州深远工贸有限公司</t>
  </si>
  <si>
    <t>年销售额
（万元）</t>
  </si>
  <si>
    <t>报价产品商务信息</t>
  </si>
  <si>
    <t>零件名称</t>
  </si>
  <si>
    <t>上卡扣 CLIP UPPER</t>
  </si>
  <si>
    <t>报价日期</t>
  </si>
  <si>
    <t>2026-07-08</t>
  </si>
  <si>
    <t>成品重量KG</t>
  </si>
  <si>
    <t>公司法人</t>
  </si>
  <si>
    <t>许燊</t>
  </si>
  <si>
    <t>年纳税额
（万元）</t>
  </si>
  <si>
    <t>零件号</t>
  </si>
  <si>
    <t>749990518R</t>
  </si>
  <si>
    <t>OTS时间</t>
  </si>
  <si>
    <t>必填项</t>
  </si>
  <si>
    <t>毛坯重量KG</t>
  </si>
  <si>
    <t>企业规模</t>
  </si>
  <si>
    <t>80人</t>
  </si>
  <si>
    <t>注册资本
（万元）</t>
  </si>
  <si>
    <t>总采购量
（万件）</t>
  </si>
  <si>
    <t xml:space="preserve">工价（元/h)
一键修正
</t>
  </si>
  <si>
    <t>业务联系人</t>
  </si>
  <si>
    <t>陈思远</t>
  </si>
  <si>
    <t>经营地址</t>
  </si>
  <si>
    <t>浙江省杭州市萧山区宁围街道宁安路</t>
  </si>
  <si>
    <t>采购几年</t>
  </si>
  <si>
    <t>PPAP时间</t>
  </si>
  <si>
    <t>能耗单价
￥/Kwh</t>
  </si>
  <si>
    <t>联系电话</t>
  </si>
  <si>
    <t>主营业务</t>
  </si>
  <si>
    <t>塑料制品制造销售</t>
  </si>
  <si>
    <t>综合
废品率</t>
  </si>
  <si>
    <t>SOP时间</t>
  </si>
  <si>
    <t>年生产天数</t>
  </si>
  <si>
    <t>一</t>
  </si>
  <si>
    <t>主要材料费用</t>
  </si>
  <si>
    <t>序号</t>
  </si>
  <si>
    <t>材料名称</t>
  </si>
  <si>
    <t>规格型号</t>
  </si>
  <si>
    <t>单位</t>
  </si>
  <si>
    <t>净用量</t>
  </si>
  <si>
    <t>耗用率%</t>
  </si>
  <si>
    <t>单价</t>
  </si>
  <si>
    <t>材料费用</t>
  </si>
  <si>
    <t>二</t>
  </si>
  <si>
    <t>外协外购费用</t>
  </si>
  <si>
    <t>外协费用</t>
  </si>
  <si>
    <t>制品+料头 PA6 MG30 HSBK101 黑</t>
  </si>
  <si>
    <t>kg</t>
  </si>
  <si>
    <t>段取(洗螺杆料 15kg/月÷1000件)</t>
  </si>
  <si>
    <t>材料费合计</t>
  </si>
  <si>
    <t>外协费合计</t>
  </si>
  <si>
    <t>三</t>
  </si>
  <si>
    <t xml:space="preserve"> 模具费用,刀夹具费用</t>
  </si>
  <si>
    <t>模具费用,刀夹具费用分摊</t>
  </si>
  <si>
    <t>四</t>
  </si>
  <si>
    <t>实验检测费、开发费、样件费</t>
  </si>
  <si>
    <t>批量生产主要检测工序检测单件分摊费</t>
  </si>
  <si>
    <t>模具名称</t>
  </si>
  <si>
    <t>模具价格
（万元）</t>
  </si>
  <si>
    <t>单模件数</t>
  </si>
  <si>
    <t>模具寿命（万模）</t>
  </si>
  <si>
    <t>分摊数量（万件）</t>
  </si>
  <si>
    <t>指定分摊
数量（万件）</t>
  </si>
  <si>
    <t>单件分摊
金额</t>
  </si>
  <si>
    <t>序列</t>
  </si>
  <si>
    <t>实验名称</t>
  </si>
  <si>
    <t>实验费用
（万元）</t>
  </si>
  <si>
    <t>是否委外</t>
  </si>
  <si>
    <t>产品总寿命
万件</t>
  </si>
  <si>
    <t>分摊数
万件</t>
  </si>
  <si>
    <t>单件分摊
（元）</t>
  </si>
  <si>
    <t>上卡扣 CLIP UPPER模具</t>
  </si>
  <si>
    <t>实验费用</t>
  </si>
  <si>
    <t>模具费用</t>
  </si>
  <si>
    <t>分摊合计</t>
  </si>
  <si>
    <t>实验费用汇总</t>
  </si>
  <si>
    <t>五</t>
  </si>
  <si>
    <t>加工工序人、机、设备耗能与折旧</t>
  </si>
  <si>
    <t>工序</t>
  </si>
  <si>
    <t>设备名称</t>
  </si>
  <si>
    <t>加工时间 
S/Pcs</t>
  </si>
  <si>
    <t>班产量 
件/班</t>
  </si>
  <si>
    <t xml:space="preserve">单件台时
H/Pcs </t>
  </si>
  <si>
    <t>操作人数</t>
  </si>
  <si>
    <t>工时单价
元/H</t>
  </si>
  <si>
    <t>加工工时</t>
  </si>
  <si>
    <t>生产稼动率
75%-85%</t>
  </si>
  <si>
    <t>人力费用</t>
  </si>
  <si>
    <t>设备费用
（万元）</t>
  </si>
  <si>
    <t>折旧方式</t>
  </si>
  <si>
    <t>折旧费用</t>
  </si>
  <si>
    <t>设备功率
Kwh</t>
  </si>
  <si>
    <t>能耗利用率
35%-70%</t>
  </si>
  <si>
    <t>耗能费用</t>
  </si>
  <si>
    <t>60T 注塑机 1模4腔</t>
  </si>
  <si>
    <t>共工时</t>
  </si>
  <si>
    <t>人工费合计</t>
  </si>
  <si>
    <t>折旧合计</t>
  </si>
  <si>
    <t>能耗合计</t>
  </si>
  <si>
    <t>六</t>
  </si>
  <si>
    <t>直接工资</t>
  </si>
  <si>
    <t>"计算依据：=N58  or U6*K58</t>
  </si>
  <si>
    <t>其它费用</t>
  </si>
  <si>
    <t>七</t>
  </si>
  <si>
    <t>废品费用</t>
  </si>
  <si>
    <t>计算依据：=(K27+K40+U40+R58+U58+E59+U27)*O8</t>
  </si>
  <si>
    <t>废料处理收益</t>
  </si>
  <si>
    <t>八</t>
  </si>
  <si>
    <t>管理费用</t>
  </si>
  <si>
    <t>计算依据：=(原材料+外购外协)*0.03+(模具分摊费用+检测分摊费用+折旧+能耗+工资+废品)*0.05</t>
  </si>
  <si>
    <t>模具总费万元</t>
  </si>
  <si>
    <t>九</t>
  </si>
  <si>
    <t>运输费用</t>
  </si>
  <si>
    <t>计算依据：=按国内公路运输距离、零担、拼货、整车，最终分摊到每个零件费用</t>
  </si>
  <si>
    <t>实验总费万元</t>
  </si>
  <si>
    <t>十</t>
  </si>
  <si>
    <t>包装费用</t>
  </si>
  <si>
    <t>计算依据：=按照甲方包装规范要求，分摊到每个零件的包装成本</t>
  </si>
  <si>
    <t>十一</t>
  </si>
  <si>
    <t>成本价</t>
  </si>
  <si>
    <t>计算依据：=K27+U27+K40+R58+U58+E59+E60+E61+E62+E63+U40-S60各项的总和</t>
  </si>
  <si>
    <t>产品报价备注说明</t>
  </si>
  <si>
    <t>十二</t>
  </si>
  <si>
    <t>利润率</t>
  </si>
  <si>
    <t>计算依据：=根据公司要求可选择任意%比</t>
  </si>
  <si>
    <t>十三</t>
  </si>
  <si>
    <t>利润</t>
  </si>
  <si>
    <t>计算依据：=E64*E65</t>
  </si>
  <si>
    <t>十四</t>
  </si>
  <si>
    <t>未税报价</t>
  </si>
  <si>
    <t>计算依据：=E64+E66</t>
  </si>
  <si>
    <t>十五</t>
  </si>
  <si>
    <t>增值税13%</t>
  </si>
  <si>
    <t>计算依据：税率13%，费用=E67*0.13</t>
  </si>
  <si>
    <t>十六</t>
  </si>
  <si>
    <t>含税总价</t>
  </si>
  <si>
    <t>计算依据：=E67+E68各项的总和</t>
  </si>
  <si>
    <t>下卡扣 CLIP LOWER</t>
  </si>
  <si>
    <t>749997963R</t>
  </si>
  <si>
    <t>制品+料头 POM 500P NC010 黑</t>
  </si>
  <si>
    <t>POM 500P NC010 黑</t>
  </si>
  <si>
    <t>下卡扣 CLIP LOWER模具</t>
  </si>
  <si>
    <t>PA6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</si>
</sst>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0.000_ "/>
    <numFmt numFmtId="165" formatCode="0_ "/>
    <numFmt numFmtId="166" formatCode="0.0000_ "/>
    <numFmt numFmtId="167" formatCode="0.0_ "/>
    <numFmt numFmtId="168" formatCode="&quot;¥&quot;#,##0.00;&quot;¥&quot;\-#,##0.00"/>
    <numFmt numFmtId="169" formatCode="&quot;¥&quot;#,##0.000;&quot;¥&quot;\-#,##0.000"/>
    <numFmt numFmtId="170" formatCode="yyyy&quot;年&quot;m&quot;月&quot;d&quot;日&quot;;@"/>
  </numFmts>
  <fonts count="16">
    <font>
      <sz val="11"/>
      <color theme="1"/>
      <name val="Calibri"/>
      <charset val="134"/>
      <scheme val="minor"/>
    </font>
    <font>
      <sz val="9"/>
      <name val="宋体"/>
      <charset val="134"/>
    </font>
    <font>
      <sz val="16"/>
      <name val="黑体"/>
      <charset val="134"/>
    </font>
    <font>
      <b/>
      <sz val="18"/>
      <name val="黑体"/>
      <charset val="134"/>
    </font>
    <font>
      <b/>
      <sz val="11"/>
      <name val="黑体"/>
      <charset val="134"/>
    </font>
    <font>
      <b/>
      <sz val="9"/>
      <name val="黑体"/>
      <charset val="134"/>
    </font>
    <font>
      <sz val="9"/>
      <name val="黑体"/>
      <charset val="134"/>
    </font>
    <font>
      <sz val="9"/>
      <color rgb="FF00B050"/>
      <name val="宋体"/>
      <charset val="134"/>
    </font>
    <font>
      <b/>
      <sz val="10"/>
      <name val="黑体"/>
      <charset val="134"/>
    </font>
    <font>
      <b/>
      <sz val="11"/>
      <name val="宋体"/>
      <charset val="134"/>
    </font>
    <font>
      <sz val="9"/>
      <color rgb="FF00B050"/>
      <name val="黑体"/>
      <charset val="134"/>
    </font>
    <font>
      <sz val="9"/>
      <color theme="1"/>
      <name val="黑体"/>
      <charset val="134"/>
    </font>
    <font>
      <sz val="10"/>
      <name val="黑体"/>
      <charset val="134"/>
    </font>
    <font>
      <b/>
      <sz val="9"/>
      <name val="宋体"/>
      <charset val="134"/>
    </font>
    <font>
      <b/>
      <sz val="11"/>
      <color theme="1"/>
      <name val="黑体"/>
      <charset val="134"/>
    </font>
    <font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9" fontId="15" fillId="0" borderId="0">
      <alignment vertical="center"/>
    </xf>
  </cellStyleXfs>
  <cellXfs count="178">
    <xf numFmtId="0" fontId="0" fillId="0" borderId="0" xfId="0">
      <alignment vertical="center"/>
    </xf>
    <xf numFmtId="0" fontId="1" fillId="2" borderId="0" xfId="0" applyFont="1" applyFill="1" applyAlignment="1" applyProtection="1">
      <alignment horizontal="center" vertical="center"/>
      <protection hidden="1"/>
    </xf>
    <xf numFmtId="0" fontId="5" fillId="2" borderId="7" xfId="0" applyFont="1" applyFill="1" applyBorder="1" applyAlignment="1" applyProtection="1">
      <alignment horizontal="center" vertical="center"/>
      <protection hidden="1"/>
    </xf>
    <xf numFmtId="0" fontId="5" fillId="2" borderId="7" xfId="0" applyFont="1" applyFill="1" applyBorder="1" applyAlignment="1" applyProtection="1">
      <alignment horizontal="center" vertical="center" wrapText="1"/>
      <protection hidden="1"/>
    </xf>
    <xf numFmtId="0" fontId="6" fillId="3" borderId="9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center"/>
      <protection hidden="1"/>
    </xf>
    <xf numFmtId="0" fontId="5" fillId="2" borderId="12" xfId="0" applyFont="1" applyFill="1" applyBorder="1" applyAlignment="1" applyProtection="1">
      <alignment horizontal="center" vertical="center"/>
      <protection hidden="1"/>
    </xf>
    <xf numFmtId="0" fontId="6" fillId="3" borderId="12" xfId="0" applyFont="1" applyFill="1" applyBorder="1" applyAlignment="1" applyProtection="1">
      <alignment horizontal="center" vertical="center"/>
      <protection locked="0"/>
    </xf>
    <xf numFmtId="0" fontId="5" fillId="2" borderId="12" xfId="0" applyFont="1" applyFill="1" applyBorder="1" applyAlignment="1" applyProtection="1">
      <alignment horizontal="center" vertical="center" wrapText="1"/>
      <protection hidden="1"/>
    </xf>
    <xf numFmtId="0" fontId="6" fillId="3" borderId="14" xfId="0" applyFont="1" applyFill="1" applyBorder="1" applyAlignment="1" applyProtection="1">
      <alignment horizontal="center" vertical="center"/>
      <protection locked="0"/>
    </xf>
    <xf numFmtId="0" fontId="1" fillId="3" borderId="12" xfId="0" applyFont="1" applyFill="1" applyBorder="1" applyAlignment="1" applyProtection="1">
      <alignment horizontal="center" vertical="center"/>
      <protection locked="0"/>
    </xf>
    <xf numFmtId="0" fontId="6" fillId="4" borderId="14" xfId="0" applyFont="1" applyFill="1" applyBorder="1" applyAlignment="1" applyProtection="1">
      <alignment horizontal="center" vertical="center"/>
      <protection locked="0"/>
    </xf>
    <xf numFmtId="0" fontId="5" fillId="2" borderId="15" xfId="0" applyFont="1" applyFill="1" applyBorder="1" applyAlignment="1" applyProtection="1">
      <alignment horizontal="center" vertical="center"/>
      <protection hidden="1"/>
    </xf>
    <xf numFmtId="0" fontId="5" fillId="2" borderId="16" xfId="0" applyFont="1" applyFill="1" applyBorder="1" applyAlignment="1" applyProtection="1">
      <alignment horizontal="center" vertical="center"/>
      <protection hidden="1"/>
    </xf>
    <xf numFmtId="0" fontId="6" fillId="3" borderId="18" xfId="0" applyFont="1" applyFill="1" applyBorder="1" applyAlignment="1" applyProtection="1">
      <alignment horizontal="center" vertical="center"/>
      <protection locked="0"/>
    </xf>
    <xf numFmtId="0" fontId="5" fillId="2" borderId="16" xfId="0" applyFont="1" applyFill="1" applyBorder="1" applyAlignment="1" applyProtection="1">
      <alignment horizontal="center" vertical="center" wrapText="1"/>
      <protection hidden="1"/>
    </xf>
    <xf numFmtId="0" fontId="8" fillId="2" borderId="19" xfId="0" applyFont="1" applyFill="1" applyBorder="1" applyAlignment="1" applyProtection="1">
      <alignment horizontal="center" vertical="center"/>
      <protection hidden="1"/>
    </xf>
    <xf numFmtId="0" fontId="8" fillId="2" borderId="20" xfId="0" applyFont="1" applyFill="1" applyBorder="1" applyAlignment="1" applyProtection="1">
      <alignment horizontal="center" vertical="center"/>
      <protection hidden="1"/>
    </xf>
    <xf numFmtId="0" fontId="8" fillId="2" borderId="21" xfId="0" applyFont="1" applyFill="1" applyBorder="1" applyAlignment="1" applyProtection="1">
      <alignment horizontal="center" vertical="center"/>
      <protection hidden="1"/>
    </xf>
    <xf numFmtId="0" fontId="5" fillId="2" borderId="22" xfId="0" applyFont="1" applyFill="1" applyBorder="1" applyAlignment="1" applyProtection="1">
      <alignment horizontal="center" vertical="center"/>
      <protection hidden="1"/>
    </xf>
    <xf numFmtId="0" fontId="10" fillId="3" borderId="23" xfId="0" applyFont="1" applyFill="1" applyBorder="1" applyAlignment="1" applyProtection="1">
      <alignment horizontal="left" vertical="center"/>
      <protection locked="0"/>
    </xf>
    <xf numFmtId="0" fontId="10" fillId="3" borderId="23" xfId="0" applyFont="1" applyFill="1" applyBorder="1" applyAlignment="1" applyProtection="1">
      <alignment horizontal="left" vertical="center" wrapText="1"/>
      <protection locked="0"/>
    </xf>
    <xf numFmtId="0" fontId="11" fillId="3" borderId="23" xfId="0" applyFont="1" applyFill="1" applyBorder="1" applyAlignment="1" applyProtection="1">
      <alignment horizontal="center" vertical="center"/>
      <protection locked="0"/>
    </xf>
    <xf numFmtId="9" fontId="6" fillId="3" borderId="23" xfId="1" applyFont="1" applyFill="1" applyBorder="1" applyAlignment="1" applyProtection="1">
      <alignment horizontal="center" vertical="center"/>
      <protection locked="0"/>
    </xf>
    <xf numFmtId="164" fontId="6" fillId="2" borderId="24" xfId="0" applyNumberFormat="1" applyFont="1" applyFill="1" applyBorder="1" applyProtection="1">
      <alignment vertical="center"/>
      <protection hidden="1"/>
    </xf>
    <xf numFmtId="0" fontId="12" fillId="3" borderId="23" xfId="0" applyFont="1" applyFill="1" applyBorder="1" applyAlignment="1" applyProtection="1">
      <alignment horizontal="left" vertical="center"/>
      <protection locked="0"/>
    </xf>
    <xf numFmtId="0" fontId="11" fillId="3" borderId="23" xfId="0" applyFont="1" applyFill="1" applyBorder="1" applyAlignment="1" applyProtection="1">
      <alignment horizontal="left" vertical="center"/>
      <protection locked="0"/>
    </xf>
    <xf numFmtId="164" fontId="6" fillId="2" borderId="24" xfId="0" applyNumberFormat="1" applyFont="1" applyFill="1" applyBorder="1" applyAlignment="1" applyProtection="1">
      <alignment horizontal="center" vertical="center"/>
      <protection hidden="1"/>
    </xf>
    <xf numFmtId="0" fontId="11" fillId="3" borderId="12" xfId="0" applyFont="1" applyFill="1" applyBorder="1" applyAlignment="1" applyProtection="1">
      <alignment horizontal="left" vertical="center"/>
      <protection locked="0"/>
    </xf>
    <xf numFmtId="0" fontId="11" fillId="3" borderId="12" xfId="0" applyFont="1" applyFill="1" applyBorder="1" applyAlignment="1" applyProtection="1">
      <alignment horizontal="center" vertical="center"/>
      <protection locked="0"/>
    </xf>
    <xf numFmtId="9" fontId="6" fillId="3" borderId="12" xfId="1" applyFont="1" applyFill="1" applyBorder="1" applyAlignment="1" applyProtection="1">
      <alignment horizontal="center" vertical="center"/>
      <protection locked="0"/>
    </xf>
    <xf numFmtId="164" fontId="6" fillId="2" borderId="14" xfId="0" applyNumberFormat="1" applyFont="1" applyFill="1" applyBorder="1" applyProtection="1">
      <alignment vertical="center"/>
      <protection hidden="1"/>
    </xf>
    <xf numFmtId="0" fontId="12" fillId="3" borderId="12" xfId="0" applyFont="1" applyFill="1" applyBorder="1" applyAlignment="1" applyProtection="1">
      <alignment horizontal="left" vertical="center"/>
      <protection locked="0"/>
    </xf>
    <xf numFmtId="9" fontId="1" fillId="3" borderId="12" xfId="1" applyFont="1" applyFill="1" applyBorder="1" applyAlignment="1" applyProtection="1">
      <alignment horizontal="center" vertical="center"/>
      <protection locked="0"/>
    </xf>
    <xf numFmtId="164" fontId="6" fillId="2" borderId="14" xfId="0" applyNumberFormat="1" applyFont="1" applyFill="1" applyBorder="1" applyAlignment="1" applyProtection="1">
      <alignment horizontal="center" vertical="center"/>
      <protection hidden="1"/>
    </xf>
    <xf numFmtId="49" fontId="6" fillId="3" borderId="12" xfId="0" applyNumberFormat="1" applyFont="1" applyFill="1" applyBorder="1" applyAlignment="1" applyProtection="1">
      <alignment horizontal="left" vertical="center"/>
      <protection locked="0"/>
    </xf>
    <xf numFmtId="49" fontId="6" fillId="3" borderId="12" xfId="0" applyNumberFormat="1" applyFont="1" applyFill="1" applyBorder="1" applyAlignment="1" applyProtection="1">
      <alignment horizontal="center" vertical="center"/>
      <protection locked="0"/>
    </xf>
    <xf numFmtId="0" fontId="6" fillId="3" borderId="12" xfId="0" applyFont="1" applyFill="1" applyBorder="1" applyAlignment="1" applyProtection="1">
      <alignment horizontal="left" vertical="center"/>
      <protection locked="0"/>
    </xf>
    <xf numFmtId="0" fontId="6" fillId="3" borderId="12" xfId="0" applyFont="1" applyFill="1" applyBorder="1" applyAlignment="1" applyProtection="1">
      <alignment horizontal="left" vertical="center" wrapText="1"/>
      <protection locked="0"/>
    </xf>
    <xf numFmtId="0" fontId="6" fillId="3" borderId="12" xfId="0" applyFont="1" applyFill="1" applyBorder="1" applyAlignment="1" applyProtection="1">
      <alignment horizontal="center" vertical="center" wrapText="1"/>
      <protection locked="0"/>
    </xf>
    <xf numFmtId="0" fontId="6" fillId="2" borderId="16" xfId="0" applyFont="1" applyFill="1" applyBorder="1" applyAlignment="1" applyProtection="1">
      <alignment horizontal="center" vertical="center"/>
      <protection hidden="1"/>
    </xf>
    <xf numFmtId="164" fontId="6" fillId="2" borderId="16" xfId="0" applyNumberFormat="1" applyFont="1" applyFill="1" applyBorder="1" applyAlignment="1" applyProtection="1">
      <alignment horizontal="right"/>
      <protection hidden="1"/>
    </xf>
    <xf numFmtId="164" fontId="4" fillId="2" borderId="18" xfId="0" applyNumberFormat="1" applyFont="1" applyFill="1" applyBorder="1" applyAlignment="1" applyProtection="1">
      <alignment horizontal="center" vertical="center"/>
      <protection hidden="1"/>
    </xf>
    <xf numFmtId="0" fontId="12" fillId="2" borderId="16" xfId="0" applyFont="1" applyFill="1" applyBorder="1" applyAlignment="1" applyProtection="1">
      <alignment horizontal="left" vertical="center" indent="1"/>
      <protection hidden="1"/>
    </xf>
    <xf numFmtId="0" fontId="5" fillId="2" borderId="27" xfId="0" applyFont="1" applyFill="1" applyBorder="1" applyProtection="1">
      <alignment vertical="center"/>
      <protection hidden="1"/>
    </xf>
    <xf numFmtId="0" fontId="5" fillId="2" borderId="28" xfId="0" applyFont="1" applyFill="1" applyBorder="1" applyAlignment="1" applyProtection="1">
      <alignment horizontal="center" vertical="center"/>
      <protection hidden="1"/>
    </xf>
    <xf numFmtId="0" fontId="5" fillId="2" borderId="28" xfId="0" applyFont="1" applyFill="1" applyBorder="1" applyAlignment="1" applyProtection="1">
      <alignment horizontal="center" vertical="center" wrapText="1"/>
      <protection hidden="1"/>
    </xf>
    <xf numFmtId="0" fontId="5" fillId="2" borderId="29" xfId="0" applyFont="1" applyFill="1" applyBorder="1" applyAlignment="1" applyProtection="1">
      <alignment horizontal="center" vertical="center" wrapText="1"/>
      <protection hidden="1"/>
    </xf>
    <xf numFmtId="164" fontId="5" fillId="2" borderId="27" xfId="0" applyNumberFormat="1" applyFont="1" applyFill="1" applyBorder="1" applyProtection="1">
      <alignment vertical="center"/>
      <protection hidden="1"/>
    </xf>
    <xf numFmtId="0" fontId="10" fillId="3" borderId="23" xfId="0" applyFont="1" applyFill="1" applyBorder="1" applyAlignment="1" applyProtection="1">
      <alignment horizontal="center" vertical="center"/>
      <protection locked="0"/>
    </xf>
    <xf numFmtId="0" fontId="6" fillId="3" borderId="23" xfId="0" applyFont="1" applyFill="1" applyBorder="1" applyAlignment="1" applyProtection="1">
      <alignment horizontal="center" vertical="center"/>
      <protection locked="0"/>
    </xf>
    <xf numFmtId="164" fontId="6" fillId="3" borderId="23" xfId="0" applyNumberFormat="1" applyFont="1" applyFill="1" applyBorder="1" applyAlignment="1" applyProtection="1">
      <alignment horizontal="center" vertical="center"/>
      <protection locked="0"/>
    </xf>
    <xf numFmtId="164" fontId="6" fillId="2" borderId="30" xfId="0" applyNumberFormat="1" applyFont="1" applyFill="1" applyBorder="1" applyAlignment="1" applyProtection="1">
      <alignment horizontal="center" vertical="center"/>
      <protection hidden="1"/>
    </xf>
    <xf numFmtId="0" fontId="6" fillId="3" borderId="23" xfId="0" applyFont="1" applyFill="1" applyBorder="1" applyProtection="1">
      <alignment vertical="center"/>
      <protection locked="0"/>
    </xf>
    <xf numFmtId="0" fontId="1" fillId="3" borderId="23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hidden="1"/>
    </xf>
    <xf numFmtId="164" fontId="6" fillId="3" borderId="12" xfId="0" applyNumberFormat="1" applyFont="1" applyFill="1" applyBorder="1" applyAlignment="1" applyProtection="1">
      <alignment horizontal="center" vertical="center"/>
      <protection locked="0"/>
    </xf>
    <xf numFmtId="164" fontId="6" fillId="2" borderId="13" xfId="0" applyNumberFormat="1" applyFont="1" applyFill="1" applyBorder="1" applyAlignment="1" applyProtection="1">
      <alignment horizontal="center" vertical="center"/>
      <protection hidden="1"/>
    </xf>
    <xf numFmtId="0" fontId="1" fillId="3" borderId="12" xfId="0" applyFont="1" applyFill="1" applyBorder="1" applyProtection="1">
      <alignment vertical="center"/>
      <protection locked="0"/>
    </xf>
    <xf numFmtId="0" fontId="6" fillId="2" borderId="12" xfId="0" applyFont="1" applyFill="1" applyBorder="1" applyAlignment="1" applyProtection="1">
      <alignment horizontal="center" vertical="center"/>
      <protection hidden="1"/>
    </xf>
    <xf numFmtId="0" fontId="6" fillId="2" borderId="16" xfId="0" applyFont="1" applyFill="1" applyBorder="1" applyAlignment="1" applyProtection="1">
      <alignment horizontal="right" vertical="center" indent="1"/>
      <protection hidden="1"/>
    </xf>
    <xf numFmtId="164" fontId="4" fillId="2" borderId="17" xfId="0" applyNumberFormat="1" applyFont="1" applyFill="1" applyBorder="1" applyAlignment="1" applyProtection="1">
      <alignment horizontal="center" vertical="center"/>
      <protection hidden="1"/>
    </xf>
    <xf numFmtId="0" fontId="5" fillId="2" borderId="15" xfId="0" applyFont="1" applyFill="1" applyBorder="1" applyAlignment="1" applyProtection="1">
      <alignment vertical="center" textRotation="255" wrapText="1"/>
      <protection hidden="1"/>
    </xf>
    <xf numFmtId="0" fontId="1" fillId="2" borderId="16" xfId="0" applyFont="1" applyFill="1" applyBorder="1" applyAlignment="1" applyProtection="1">
      <alignment horizontal="center" vertical="center"/>
      <protection hidden="1"/>
    </xf>
    <xf numFmtId="0" fontId="5" fillId="2" borderId="19" xfId="0" applyFont="1" applyFill="1" applyBorder="1" applyAlignment="1" applyProtection="1">
      <alignment horizontal="center" vertical="center"/>
      <protection hidden="1"/>
    </xf>
    <xf numFmtId="0" fontId="5" fillId="2" borderId="20" xfId="0" applyFont="1" applyFill="1" applyBorder="1" applyAlignment="1" applyProtection="1">
      <alignment horizontal="center" vertical="center"/>
      <protection hidden="1"/>
    </xf>
    <xf numFmtId="0" fontId="5" fillId="2" borderId="20" xfId="0" applyFont="1" applyFill="1" applyBorder="1" applyAlignment="1" applyProtection="1">
      <alignment horizontal="center" vertical="center" wrapText="1"/>
      <protection hidden="1"/>
    </xf>
    <xf numFmtId="165" fontId="5" fillId="2" borderId="20" xfId="0" applyNumberFormat="1" applyFont="1" applyFill="1" applyBorder="1" applyAlignment="1" applyProtection="1">
      <alignment horizontal="center" vertical="center"/>
      <protection hidden="1"/>
    </xf>
    <xf numFmtId="0" fontId="5" fillId="2" borderId="21" xfId="0" applyFont="1" applyFill="1" applyBorder="1" applyAlignment="1" applyProtection="1">
      <alignment horizontal="center" vertical="center" wrapText="1"/>
      <protection hidden="1"/>
    </xf>
    <xf numFmtId="165" fontId="6" fillId="2" borderId="23" xfId="0" applyNumberFormat="1" applyFont="1" applyFill="1" applyBorder="1" applyAlignment="1" applyProtection="1">
      <alignment horizontal="center" vertical="center"/>
      <protection hidden="1"/>
    </xf>
    <xf numFmtId="166" fontId="6" fillId="2" borderId="23" xfId="0" applyNumberFormat="1" applyFont="1" applyFill="1" applyBorder="1" applyAlignment="1" applyProtection="1">
      <alignment horizontal="center" vertical="center"/>
      <protection hidden="1"/>
    </xf>
    <xf numFmtId="167" fontId="6" fillId="3" borderId="23" xfId="0" applyNumberFormat="1" applyFont="1" applyFill="1" applyBorder="1" applyAlignment="1" applyProtection="1">
      <alignment horizontal="center" vertical="center"/>
      <protection locked="0"/>
    </xf>
    <xf numFmtId="164" fontId="6" fillId="2" borderId="23" xfId="0" applyNumberFormat="1" applyFont="1" applyFill="1" applyBorder="1" applyAlignment="1" applyProtection="1">
      <alignment horizontal="center" vertical="center"/>
      <protection hidden="1"/>
    </xf>
    <xf numFmtId="165" fontId="6" fillId="3" borderId="23" xfId="0" applyNumberFormat="1" applyFont="1" applyFill="1" applyBorder="1" applyAlignment="1" applyProtection="1">
      <alignment horizontal="center" vertical="center"/>
      <protection locked="0"/>
    </xf>
    <xf numFmtId="167" fontId="6" fillId="3" borderId="12" xfId="0" applyNumberFormat="1" applyFont="1" applyFill="1" applyBorder="1" applyAlignment="1" applyProtection="1">
      <alignment horizontal="center" vertical="center"/>
      <protection locked="0"/>
    </xf>
    <xf numFmtId="165" fontId="6" fillId="3" borderId="12" xfId="0" applyNumberFormat="1" applyFont="1" applyFill="1" applyBorder="1" applyAlignment="1" applyProtection="1">
      <alignment horizontal="center" vertical="center"/>
      <protection locked="0"/>
    </xf>
    <xf numFmtId="0" fontId="5" fillId="2" borderId="31" xfId="0" applyFont="1" applyFill="1" applyBorder="1" applyAlignment="1" applyProtection="1">
      <alignment horizontal="center" vertical="center"/>
      <protection hidden="1"/>
    </xf>
    <xf numFmtId="0" fontId="6" fillId="2" borderId="16" xfId="0" applyFont="1" applyFill="1" applyBorder="1" applyProtection="1">
      <alignment vertical="center"/>
      <protection hidden="1"/>
    </xf>
    <xf numFmtId="0" fontId="5" fillId="2" borderId="16" xfId="0" applyFont="1" applyFill="1" applyBorder="1" applyProtection="1">
      <alignment vertical="center"/>
      <protection hidden="1"/>
    </xf>
    <xf numFmtId="0" fontId="5" fillId="2" borderId="32" xfId="0" applyFont="1" applyFill="1" applyBorder="1" applyProtection="1">
      <alignment vertical="center"/>
      <protection hidden="1"/>
    </xf>
    <xf numFmtId="168" fontId="5" fillId="2" borderId="32" xfId="0" applyNumberFormat="1" applyFont="1" applyFill="1" applyBorder="1" applyAlignment="1" applyProtection="1">
      <alignment horizontal="center" vertical="center"/>
      <protection hidden="1"/>
    </xf>
    <xf numFmtId="0" fontId="6" fillId="2" borderId="32" xfId="0" applyFont="1" applyFill="1" applyBorder="1" applyAlignment="1" applyProtection="1">
      <alignment horizontal="center" vertical="center"/>
      <protection hidden="1"/>
    </xf>
    <xf numFmtId="0" fontId="5" fillId="2" borderId="32" xfId="0" applyFont="1" applyFill="1" applyBorder="1" applyAlignment="1" applyProtection="1">
      <alignment horizontal="center" vertical="center"/>
      <protection hidden="1"/>
    </xf>
    <xf numFmtId="168" fontId="5" fillId="2" borderId="33" xfId="0" applyNumberFormat="1" applyFont="1" applyFill="1" applyBorder="1" applyAlignment="1" applyProtection="1">
      <alignment horizontal="center" vertical="center"/>
      <protection hidden="1"/>
    </xf>
    <xf numFmtId="168" fontId="6" fillId="2" borderId="5" xfId="0" applyNumberFormat="1" applyFont="1" applyFill="1" applyBorder="1" applyAlignment="1" applyProtection="1">
      <alignment horizontal="center" vertical="center"/>
      <protection hidden="1"/>
    </xf>
    <xf numFmtId="168" fontId="6" fillId="2" borderId="10" xfId="0" applyNumberFormat="1" applyFont="1" applyFill="1" applyBorder="1" applyAlignment="1" applyProtection="1">
      <alignment horizontal="center" vertical="center"/>
      <protection hidden="1"/>
    </xf>
    <xf numFmtId="168" fontId="11" fillId="5" borderId="10" xfId="0" applyNumberFormat="1" applyFont="1" applyFill="1" applyBorder="1" applyAlignment="1" applyProtection="1">
      <alignment horizontal="center" vertical="center"/>
      <protection locked="0"/>
    </xf>
    <xf numFmtId="168" fontId="6" fillId="5" borderId="10" xfId="0" applyNumberFormat="1" applyFont="1" applyFill="1" applyBorder="1" applyAlignment="1" applyProtection="1">
      <alignment horizontal="center" vertical="center"/>
      <protection locked="0"/>
    </xf>
    <xf numFmtId="169" fontId="5" fillId="2" borderId="10" xfId="0" applyNumberFormat="1" applyFont="1" applyFill="1" applyBorder="1" applyAlignment="1" applyProtection="1">
      <alignment horizontal="center" vertical="center"/>
      <protection hidden="1"/>
    </xf>
    <xf numFmtId="9" fontId="6" fillId="5" borderId="10" xfId="1" applyFont="1" applyFill="1" applyBorder="1" applyAlignment="1" applyProtection="1">
      <alignment horizontal="center" vertical="center"/>
      <protection locked="0"/>
    </xf>
    <xf numFmtId="168" fontId="14" fillId="2" borderId="41" xfId="0" applyNumberFormat="1" applyFont="1" applyFill="1" applyBorder="1" applyAlignment="1" applyProtection="1">
      <alignment horizontal="center" vertical="center"/>
      <protection hidden="1"/>
    </xf>
    <xf numFmtId="0" fontId="1" fillId="3" borderId="23" xfId="1" applyNumberFormat="1" applyFont="1" applyFill="1" applyBorder="1" applyAlignment="1" applyProtection="1">
      <alignment horizontal="center" vertical="center"/>
      <protection locked="0"/>
    </xf>
    <xf numFmtId="0" fontId="1" fillId="3" borderId="12" xfId="0" applyFont="1" applyFill="1" applyBorder="1" applyAlignment="1" applyProtection="1">
      <alignment horizontal="center" vertical="center"/>
      <protection locked="0"/>
    </xf>
    <xf numFmtId="0" fontId="0" fillId="0" borderId="49" xfId="0" applyBorder="1" applyAlignment="1" applyProtection="1">
      <protection locked="0"/>
    </xf>
    <xf numFmtId="0" fontId="9" fillId="2" borderId="6" xfId="0" applyFont="1" applyFill="1" applyBorder="1" applyAlignment="1" applyProtection="1">
      <alignment horizontal="center" vertical="center"/>
      <protection hidden="1"/>
    </xf>
    <xf numFmtId="0" fontId="0" fillId="0" borderId="45" xfId="0" applyBorder="1" applyAlignment="1" applyProtection="1">
      <protection hidden="1"/>
    </xf>
    <xf numFmtId="0" fontId="0" fillId="0" borderId="22" xfId="0" applyBorder="1" applyAlignment="1" applyProtection="1">
      <protection hidden="1"/>
    </xf>
    <xf numFmtId="0" fontId="5" fillId="2" borderId="11" xfId="0" applyFont="1" applyFill="1" applyBorder="1" applyAlignment="1" applyProtection="1">
      <alignment horizontal="center" vertical="center"/>
      <protection hidden="1"/>
    </xf>
    <xf numFmtId="0" fontId="0" fillId="0" borderId="49" xfId="0" applyBorder="1" applyAlignment="1" applyProtection="1">
      <protection hidden="1"/>
    </xf>
    <xf numFmtId="0" fontId="5" fillId="2" borderId="12" xfId="0" applyFont="1" applyFill="1" applyBorder="1" applyAlignment="1" applyProtection="1">
      <alignment horizontal="center" vertical="center"/>
      <protection hidden="1"/>
    </xf>
    <xf numFmtId="0" fontId="6" fillId="2" borderId="12" xfId="0" applyFont="1" applyFill="1" applyBorder="1" applyAlignment="1" applyProtection="1">
      <alignment horizontal="left" vertical="center"/>
      <protection hidden="1"/>
    </xf>
    <xf numFmtId="0" fontId="0" fillId="0" borderId="37" xfId="0" applyBorder="1" applyAlignment="1" applyProtection="1">
      <protection hidden="1"/>
    </xf>
    <xf numFmtId="0" fontId="5" fillId="2" borderId="37" xfId="0" applyFont="1" applyFill="1" applyBorder="1" applyAlignment="1" applyProtection="1">
      <alignment horizontal="center" vertical="center"/>
      <protection hidden="1"/>
    </xf>
    <xf numFmtId="9" fontId="1" fillId="3" borderId="12" xfId="1" applyFont="1" applyFill="1" applyBorder="1" applyAlignment="1" applyProtection="1">
      <alignment horizontal="center" vertical="center"/>
      <protection locked="0"/>
    </xf>
    <xf numFmtId="164" fontId="1" fillId="2" borderId="23" xfId="0" applyNumberFormat="1" applyFont="1" applyFill="1" applyBorder="1" applyAlignment="1" applyProtection="1">
      <alignment horizontal="center" vertical="center"/>
      <protection hidden="1"/>
    </xf>
    <xf numFmtId="0" fontId="0" fillId="0" borderId="51" xfId="0" applyBorder="1" applyAlignment="1" applyProtection="1">
      <protection hidden="1"/>
    </xf>
    <xf numFmtId="0" fontId="6" fillId="3" borderId="16" xfId="0" applyFont="1" applyFill="1" applyBorder="1" applyAlignment="1" applyProtection="1">
      <alignment horizontal="center" vertical="center"/>
      <protection locked="0"/>
    </xf>
    <xf numFmtId="0" fontId="0" fillId="0" borderId="48" xfId="0" applyBorder="1" applyAlignment="1" applyProtection="1">
      <protection locked="0"/>
    </xf>
    <xf numFmtId="0" fontId="6" fillId="2" borderId="7" xfId="0" applyFont="1" applyFill="1" applyBorder="1" applyAlignment="1" applyProtection="1">
      <alignment horizontal="left" vertical="center"/>
      <protection hidden="1"/>
    </xf>
    <xf numFmtId="0" fontId="0" fillId="0" borderId="52" xfId="0" applyBorder="1" applyAlignment="1" applyProtection="1">
      <protection hidden="1"/>
    </xf>
    <xf numFmtId="0" fontId="0" fillId="0" borderId="53" xfId="0" applyBorder="1" applyAlignment="1" applyProtection="1">
      <protection hidden="1"/>
    </xf>
    <xf numFmtId="0" fontId="4" fillId="2" borderId="5" xfId="0" applyFont="1" applyFill="1" applyBorder="1" applyAlignment="1" applyProtection="1">
      <alignment horizontal="center" vertical="center" textRotation="255" wrapText="1"/>
      <protection hidden="1"/>
    </xf>
    <xf numFmtId="0" fontId="0" fillId="0" borderId="3" xfId="0" applyBorder="1" applyAlignment="1" applyProtection="1">
      <protection hidden="1"/>
    </xf>
    <xf numFmtId="0" fontId="0" fillId="0" borderId="44" xfId="0" applyBorder="1" applyAlignment="1" applyProtection="1">
      <protection hidden="1"/>
    </xf>
    <xf numFmtId="170" fontId="6" fillId="3" borderId="12" xfId="0" applyNumberFormat="1" applyFont="1" applyFill="1" applyBorder="1" applyAlignment="1" applyProtection="1">
      <alignment horizontal="center" vertical="center"/>
      <protection locked="0"/>
    </xf>
    <xf numFmtId="0" fontId="5" fillId="2" borderId="39" xfId="0" applyFont="1" applyFill="1" applyBorder="1" applyAlignment="1" applyProtection="1">
      <alignment horizontal="center" vertical="center"/>
      <protection hidden="1"/>
    </xf>
    <xf numFmtId="0" fontId="0" fillId="0" borderId="39" xfId="0" applyBorder="1" applyAlignment="1" applyProtection="1">
      <protection hidden="1"/>
    </xf>
    <xf numFmtId="0" fontId="6" fillId="3" borderId="33" xfId="0" applyFont="1" applyFill="1" applyBorder="1" applyAlignment="1" applyProtection="1">
      <alignment horizontal="center" vertical="center"/>
      <protection locked="0"/>
    </xf>
    <xf numFmtId="0" fontId="0" fillId="0" borderId="39" xfId="0" applyBorder="1" applyAlignment="1" applyProtection="1">
      <protection locked="0"/>
    </xf>
    <xf numFmtId="0" fontId="0" fillId="0" borderId="40" xfId="0" applyBorder="1" applyAlignment="1" applyProtection="1">
      <protection locked="0"/>
    </xf>
    <xf numFmtId="0" fontId="4" fillId="2" borderId="8" xfId="0" applyFont="1" applyFill="1" applyBorder="1" applyAlignment="1" applyProtection="1">
      <alignment horizontal="center" vertical="center" textRotation="255" wrapText="1"/>
      <protection hidden="1"/>
    </xf>
    <xf numFmtId="0" fontId="0" fillId="0" borderId="46" xfId="0" applyBorder="1" applyAlignment="1" applyProtection="1">
      <protection hidden="1"/>
    </xf>
    <xf numFmtId="0" fontId="0" fillId="0" borderId="30" xfId="0" applyBorder="1" applyAlignment="1" applyProtection="1">
      <protection hidden="1"/>
    </xf>
    <xf numFmtId="0" fontId="5" fillId="2" borderId="15" xfId="0" applyFont="1" applyFill="1" applyBorder="1" applyAlignment="1" applyProtection="1">
      <alignment horizontal="center" vertical="center" wrapText="1"/>
      <protection hidden="1"/>
    </xf>
    <xf numFmtId="0" fontId="0" fillId="0" borderId="48" xfId="0" applyBorder="1" applyAlignment="1" applyProtection="1">
      <protection hidden="1"/>
    </xf>
    <xf numFmtId="9" fontId="1" fillId="3" borderId="16" xfId="1" applyFont="1" applyFill="1" applyBorder="1" applyAlignment="1" applyProtection="1">
      <alignment horizontal="center" vertical="center"/>
      <protection locked="0"/>
    </xf>
    <xf numFmtId="0" fontId="5" fillId="2" borderId="32" xfId="0" applyFont="1" applyFill="1" applyBorder="1" applyAlignment="1" applyProtection="1">
      <alignment horizontal="center" vertical="center"/>
      <protection hidden="1"/>
    </xf>
    <xf numFmtId="0" fontId="0" fillId="0" borderId="50" xfId="0" applyBorder="1" applyAlignment="1" applyProtection="1">
      <protection hidden="1"/>
    </xf>
    <xf numFmtId="170" fontId="6" fillId="3" borderId="16" xfId="0" applyNumberFormat="1" applyFont="1" applyFill="1" applyBorder="1" applyAlignment="1" applyProtection="1">
      <alignment horizontal="center" vertical="center"/>
      <protection locked="0"/>
    </xf>
    <xf numFmtId="0" fontId="6" fillId="3" borderId="12" xfId="0" applyFont="1" applyFill="1" applyBorder="1" applyAlignment="1" applyProtection="1">
      <alignment horizontal="center" vertical="center"/>
      <protection locked="0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6" fillId="3" borderId="7" xfId="0" applyFont="1" applyFill="1" applyBorder="1" applyAlignment="1" applyProtection="1">
      <alignment horizontal="center" vertical="center"/>
      <protection locked="0"/>
    </xf>
    <xf numFmtId="0" fontId="0" fillId="0" borderId="53" xfId="0" applyBorder="1" applyAlignment="1" applyProtection="1">
      <protection locked="0"/>
    </xf>
    <xf numFmtId="0" fontId="0" fillId="0" borderId="47" xfId="0" applyBorder="1" applyAlignment="1" applyProtection="1">
      <protection locked="0"/>
    </xf>
    <xf numFmtId="9" fontId="1" fillId="3" borderId="23" xfId="1" applyFont="1" applyFill="1" applyBorder="1" applyAlignment="1" applyProtection="1">
      <alignment horizontal="center" vertical="center"/>
      <protection locked="0"/>
    </xf>
    <xf numFmtId="0" fontId="0" fillId="0" borderId="51" xfId="0" applyBorder="1" applyAlignment="1" applyProtection="1">
      <protection locked="0"/>
    </xf>
    <xf numFmtId="0" fontId="5" fillId="2" borderId="34" xfId="0" applyFont="1" applyFill="1" applyBorder="1" applyAlignment="1" applyProtection="1">
      <alignment horizontal="center" vertical="center"/>
      <protection hidden="1"/>
    </xf>
    <xf numFmtId="0" fontId="0" fillId="0" borderId="42" xfId="0" applyBorder="1" applyAlignment="1" applyProtection="1">
      <protection hidden="1"/>
    </xf>
    <xf numFmtId="0" fontId="0" fillId="0" borderId="34" xfId="0" applyBorder="1" applyAlignment="1" applyProtection="1">
      <protection hidden="1"/>
    </xf>
    <xf numFmtId="0" fontId="5" fillId="2" borderId="15" xfId="0" applyFont="1" applyFill="1" applyBorder="1" applyAlignment="1" applyProtection="1">
      <alignment horizontal="center" vertical="center"/>
      <protection hidden="1"/>
    </xf>
    <xf numFmtId="0" fontId="5" fillId="2" borderId="20" xfId="0" applyFont="1" applyFill="1" applyBorder="1" applyAlignment="1" applyProtection="1">
      <alignment horizontal="center" vertical="center"/>
      <protection hidden="1"/>
    </xf>
    <xf numFmtId="0" fontId="0" fillId="0" borderId="54" xfId="0" applyBorder="1" applyAlignment="1" applyProtection="1">
      <protection hidden="1"/>
    </xf>
    <xf numFmtId="0" fontId="5" fillId="2" borderId="16" xfId="0" applyFont="1" applyFill="1" applyBorder="1" applyAlignment="1" applyProtection="1">
      <alignment horizontal="center" vertical="center"/>
      <protection hidden="1"/>
    </xf>
    <xf numFmtId="0" fontId="3" fillId="2" borderId="57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protection hidden="1"/>
    </xf>
    <xf numFmtId="0" fontId="0" fillId="0" borderId="4" xfId="0" applyBorder="1" applyAlignment="1" applyProtection="1">
      <protection hidden="1"/>
    </xf>
    <xf numFmtId="0" fontId="0" fillId="0" borderId="37" xfId="0" applyBorder="1" applyAlignment="1" applyProtection="1">
      <protection locked="0"/>
    </xf>
    <xf numFmtId="0" fontId="7" fillId="3" borderId="12" xfId="0" applyFont="1" applyFill="1" applyBorder="1" applyAlignment="1" applyProtection="1">
      <alignment horizontal="center" vertical="center"/>
      <protection locked="0"/>
    </xf>
    <xf numFmtId="164" fontId="13" fillId="2" borderId="16" xfId="0" applyNumberFormat="1" applyFont="1" applyFill="1" applyBorder="1" applyAlignment="1" applyProtection="1">
      <alignment horizontal="center" vertical="center"/>
      <protection hidden="1"/>
    </xf>
    <xf numFmtId="0" fontId="2" fillId="2" borderId="56" xfId="0" applyFont="1" applyFill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protection hidden="1"/>
    </xf>
    <xf numFmtId="0" fontId="0" fillId="0" borderId="2" xfId="0" applyBorder="1" applyAlignment="1" applyProtection="1">
      <protection hidden="1"/>
    </xf>
    <xf numFmtId="0" fontId="4" fillId="2" borderId="6" xfId="0" applyFont="1" applyFill="1" applyBorder="1" applyAlignment="1" applyProtection="1">
      <alignment horizontal="center" vertical="center"/>
      <protection hidden="1"/>
    </xf>
    <xf numFmtId="0" fontId="7" fillId="3" borderId="7" xfId="0" applyFont="1" applyFill="1" applyBorder="1" applyAlignment="1" applyProtection="1">
      <alignment horizontal="center" vertical="center"/>
      <protection locked="0"/>
    </xf>
    <xf numFmtId="0" fontId="5" fillId="2" borderId="23" xfId="0" applyFont="1" applyFill="1" applyBorder="1" applyAlignment="1" applyProtection="1">
      <alignment horizontal="center" vertical="center"/>
      <protection hidden="1"/>
    </xf>
    <xf numFmtId="0" fontId="4" fillId="2" borderId="6" xfId="0" applyFont="1" applyFill="1" applyBorder="1" applyAlignment="1" applyProtection="1">
      <alignment horizontal="center" vertical="center" wrapText="1"/>
      <protection hidden="1"/>
    </xf>
    <xf numFmtId="0" fontId="1" fillId="2" borderId="0" xfId="0" applyFont="1" applyFill="1" applyAlignment="1" applyProtection="1">
      <alignment horizontal="center" vertical="center"/>
      <protection hidden="1"/>
    </xf>
    <xf numFmtId="0" fontId="6" fillId="3" borderId="14" xfId="0" applyFont="1" applyFill="1" applyBorder="1" applyAlignment="1" applyProtection="1">
      <alignment horizontal="center" vertical="center"/>
      <protection locked="0"/>
    </xf>
    <xf numFmtId="0" fontId="0" fillId="0" borderId="38" xfId="0" applyBorder="1" applyAlignment="1" applyProtection="1">
      <protection locked="0"/>
    </xf>
    <xf numFmtId="0" fontId="6" fillId="2" borderId="32" xfId="0" applyFont="1" applyFill="1" applyBorder="1" applyAlignment="1" applyProtection="1">
      <alignment horizontal="left" vertical="center"/>
      <protection hidden="1"/>
    </xf>
    <xf numFmtId="170" fontId="6" fillId="3" borderId="7" xfId="0" applyNumberFormat="1" applyFont="1" applyFill="1" applyBorder="1" applyAlignment="1" applyProtection="1">
      <alignment horizontal="center" vertical="center"/>
      <protection locked="0"/>
    </xf>
    <xf numFmtId="0" fontId="5" fillId="2" borderId="26" xfId="0" applyFont="1" applyFill="1" applyBorder="1" applyAlignment="1" applyProtection="1">
      <alignment horizontal="center" vertical="center"/>
      <protection hidden="1"/>
    </xf>
    <xf numFmtId="0" fontId="0" fillId="0" borderId="25" xfId="0" applyBorder="1" applyAlignment="1" applyProtection="1">
      <protection hidden="1"/>
    </xf>
    <xf numFmtId="0" fontId="0" fillId="0" borderId="26" xfId="0" applyBorder="1" applyAlignment="1" applyProtection="1">
      <protection hidden="1"/>
    </xf>
    <xf numFmtId="0" fontId="5" fillId="2" borderId="35" xfId="0" applyFont="1" applyFill="1" applyBorder="1" applyAlignment="1" applyProtection="1">
      <alignment horizontal="center" vertical="center"/>
      <protection hidden="1"/>
    </xf>
    <xf numFmtId="0" fontId="0" fillId="0" borderId="35" xfId="0" applyBorder="1" applyAlignment="1" applyProtection="1">
      <protection hidden="1"/>
    </xf>
    <xf numFmtId="0" fontId="0" fillId="0" borderId="52" xfId="0" applyBorder="1" applyAlignment="1" applyProtection="1">
      <protection locked="0"/>
    </xf>
    <xf numFmtId="0" fontId="5" fillId="2" borderId="11" xfId="0" applyFont="1" applyFill="1" applyBorder="1" applyAlignment="1" applyProtection="1">
      <alignment horizontal="center" vertical="center" wrapText="1"/>
      <protection hidden="1"/>
    </xf>
    <xf numFmtId="0" fontId="6" fillId="3" borderId="24" xfId="0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 applyProtection="1">
      <protection locked="0"/>
    </xf>
    <xf numFmtId="0" fontId="0" fillId="0" borderId="36" xfId="0" applyBorder="1" applyAlignment="1" applyProtection="1">
      <protection locked="0"/>
    </xf>
    <xf numFmtId="0" fontId="8" fillId="2" borderId="55" xfId="0" applyFont="1" applyFill="1" applyBorder="1" applyAlignment="1" applyProtection="1">
      <alignment horizontal="center" vertical="center"/>
      <protection hidden="1"/>
    </xf>
    <xf numFmtId="0" fontId="13" fillId="2" borderId="20" xfId="0" applyFont="1" applyFill="1" applyBorder="1" applyAlignment="1" applyProtection="1">
      <alignment horizontal="center" vertical="center" wrapText="1"/>
      <protection hidden="1"/>
    </xf>
    <xf numFmtId="0" fontId="6" fillId="3" borderId="43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protection locked="0"/>
    </xf>
    <xf numFmtId="0" fontId="0" fillId="0" borderId="4" xfId="0" applyBorder="1" applyAlignment="1" applyProtection="1">
      <protection locked="0"/>
    </xf>
    <xf numFmtId="0" fontId="0" fillId="0" borderId="42" xfId="0" applyBorder="1" applyAlignment="1" applyProtection="1">
      <protection locked="0"/>
    </xf>
    <xf numFmtId="0" fontId="0" fillId="0" borderId="43" xfId="0" applyBorder="1" applyAlignment="1" applyProtection="1">
      <protection locked="0"/>
    </xf>
  </cellXfs>
  <cellStyles count="2">
    <cellStyle name="Normal" xfId="0" builtinId="0"/>
    <cellStyle name="Percent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69"/>
  <sheetViews>
    <sheetView showGridLines="0" view="pageBreakPreview" zoomScaleNormal="85" workbookViewId="0">
      <selection activeCell="F12" sqref="F12"/>
    </sheetView>
  </sheetViews>
  <sheetFormatPr baseColWidth="10" defaultColWidth="9" defaultRowHeight="13"/>
  <cols>
    <col min="1" max="1" width="3.6640625" style="1" customWidth="1"/>
    <col min="2" max="2" width="4.83203125" style="1" customWidth="1"/>
    <col min="3" max="3" width="5.83203125" style="1" customWidth="1"/>
    <col min="4" max="4" width="5.6640625" style="1" customWidth="1"/>
    <col min="5" max="6" width="16.1640625" style="1" customWidth="1"/>
    <col min="7" max="7" width="11.33203125" style="1" customWidth="1"/>
    <col min="8" max="8" width="8.83203125" style="1" customWidth="1"/>
    <col min="9" max="9" width="9.1640625" style="1" customWidth="1"/>
    <col min="10" max="10" width="12.6640625" style="1" customWidth="1"/>
    <col min="11" max="11" width="8.6640625" style="1" customWidth="1"/>
    <col min="12" max="12" width="5.1640625" style="1" customWidth="1"/>
    <col min="13" max="13" width="5.83203125" style="1" customWidth="1"/>
    <col min="14" max="14" width="4.6640625" style="1" customWidth="1"/>
    <col min="15" max="15" width="14.5" style="1" customWidth="1"/>
    <col min="16" max="16" width="12.6640625" style="1" customWidth="1"/>
    <col min="17" max="18" width="11" style="1" customWidth="1"/>
    <col min="19" max="19" width="11.1640625" style="1" customWidth="1"/>
    <col min="20" max="20" width="13.5" style="1" customWidth="1"/>
    <col min="21" max="21" width="11.33203125" style="1" customWidth="1"/>
    <col min="22" max="22" width="9" style="1" customWidth="1"/>
    <col min="23" max="16384" width="9" style="1"/>
  </cols>
  <sheetData>
    <row r="1" spans="1:21">
      <c r="A1" s="156"/>
    </row>
    <row r="2" spans="1:21" ht="40" customHeight="1">
      <c r="A2" s="144"/>
      <c r="B2" s="149" t="s">
        <v>0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1"/>
    </row>
    <row r="3" spans="1:21" ht="31" customHeight="1">
      <c r="A3" s="144"/>
      <c r="B3" s="143" t="s">
        <v>1</v>
      </c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5"/>
    </row>
    <row r="4" spans="1:21" ht="28" customHeight="1">
      <c r="A4" s="144"/>
      <c r="B4" s="111" t="s">
        <v>2</v>
      </c>
      <c r="C4" s="130" t="s">
        <v>3</v>
      </c>
      <c r="D4" s="110"/>
      <c r="E4" s="131" t="s">
        <v>4</v>
      </c>
      <c r="F4" s="132"/>
      <c r="G4" s="3" t="s">
        <v>5</v>
      </c>
      <c r="H4" s="131">
        <v>3000</v>
      </c>
      <c r="I4" s="166"/>
      <c r="J4" s="166"/>
      <c r="K4" s="132"/>
      <c r="L4" s="111" t="s">
        <v>6</v>
      </c>
      <c r="M4" s="130" t="s">
        <v>7</v>
      </c>
      <c r="N4" s="110"/>
      <c r="O4" s="153" t="s">
        <v>8</v>
      </c>
      <c r="P4" s="132"/>
      <c r="Q4" s="3" t="s">
        <v>9</v>
      </c>
      <c r="R4" s="160" t="s">
        <v>10</v>
      </c>
      <c r="S4" s="132"/>
      <c r="T4" s="2" t="s">
        <v>11</v>
      </c>
      <c r="U4" s="4">
        <v>3.0000000000000001E-3</v>
      </c>
    </row>
    <row r="5" spans="1:21" ht="28" customHeight="1">
      <c r="A5" s="144"/>
      <c r="B5" s="112"/>
      <c r="C5" s="97" t="s">
        <v>12</v>
      </c>
      <c r="D5" s="98"/>
      <c r="E5" s="129" t="s">
        <v>13</v>
      </c>
      <c r="F5" s="93"/>
      <c r="G5" s="8" t="s">
        <v>14</v>
      </c>
      <c r="H5" s="129">
        <v>120</v>
      </c>
      <c r="I5" s="146"/>
      <c r="J5" s="146"/>
      <c r="K5" s="93"/>
      <c r="L5" s="112"/>
      <c r="M5" s="97" t="s">
        <v>15</v>
      </c>
      <c r="N5" s="98"/>
      <c r="O5" s="147" t="s">
        <v>16</v>
      </c>
      <c r="P5" s="93"/>
      <c r="Q5" s="6" t="s">
        <v>17</v>
      </c>
      <c r="R5" s="114" t="s">
        <v>18</v>
      </c>
      <c r="S5" s="93"/>
      <c r="T5" s="6" t="s">
        <v>19</v>
      </c>
      <c r="U5" s="9">
        <v>3.9899999999999996E-3</v>
      </c>
    </row>
    <row r="6" spans="1:21" ht="28" customHeight="1">
      <c r="A6" s="144"/>
      <c r="B6" s="112"/>
      <c r="C6" s="97" t="s">
        <v>20</v>
      </c>
      <c r="D6" s="98"/>
      <c r="E6" s="129" t="s">
        <v>21</v>
      </c>
      <c r="F6" s="93"/>
      <c r="G6" s="8" t="s">
        <v>22</v>
      </c>
      <c r="H6" s="129">
        <v>50</v>
      </c>
      <c r="I6" s="146"/>
      <c r="J6" s="146"/>
      <c r="K6" s="93"/>
      <c r="L6" s="112"/>
      <c r="M6" s="167" t="s">
        <v>23</v>
      </c>
      <c r="N6" s="98"/>
      <c r="O6" s="92">
        <v>3.5510999999999999</v>
      </c>
      <c r="P6" s="93"/>
      <c r="Q6" s="6" t="s">
        <v>17</v>
      </c>
      <c r="R6" s="114" t="s">
        <v>18</v>
      </c>
      <c r="S6" s="93"/>
      <c r="T6" s="8" t="s">
        <v>24</v>
      </c>
      <c r="U6" s="11"/>
    </row>
    <row r="7" spans="1:21" ht="28" customHeight="1">
      <c r="A7" s="144"/>
      <c r="B7" s="112"/>
      <c r="C7" s="97" t="s">
        <v>25</v>
      </c>
      <c r="D7" s="98"/>
      <c r="E7" s="129" t="s">
        <v>26</v>
      </c>
      <c r="F7" s="93"/>
      <c r="G7" s="6" t="s">
        <v>27</v>
      </c>
      <c r="H7" s="129" t="s">
        <v>28</v>
      </c>
      <c r="I7" s="146"/>
      <c r="J7" s="146"/>
      <c r="K7" s="93"/>
      <c r="L7" s="112"/>
      <c r="M7" s="97" t="s">
        <v>29</v>
      </c>
      <c r="N7" s="98"/>
      <c r="O7" s="92">
        <v>3</v>
      </c>
      <c r="P7" s="93"/>
      <c r="Q7" s="6" t="s">
        <v>30</v>
      </c>
      <c r="R7" s="114" t="s">
        <v>18</v>
      </c>
      <c r="S7" s="93"/>
      <c r="T7" s="8" t="s">
        <v>31</v>
      </c>
      <c r="U7" s="9">
        <v>1</v>
      </c>
    </row>
    <row r="8" spans="1:21" ht="28" customHeight="1">
      <c r="A8" s="144"/>
      <c r="B8" s="113"/>
      <c r="C8" s="139" t="s">
        <v>32</v>
      </c>
      <c r="D8" s="124"/>
      <c r="E8" s="106">
        <v>13735526664</v>
      </c>
      <c r="F8" s="107"/>
      <c r="G8" s="13" t="s">
        <v>33</v>
      </c>
      <c r="H8" s="106" t="s">
        <v>34</v>
      </c>
      <c r="I8" s="133"/>
      <c r="J8" s="133"/>
      <c r="K8" s="107"/>
      <c r="L8" s="113"/>
      <c r="M8" s="123" t="s">
        <v>35</v>
      </c>
      <c r="N8" s="124"/>
      <c r="O8" s="125">
        <v>0</v>
      </c>
      <c r="P8" s="107"/>
      <c r="Q8" s="13" t="s">
        <v>36</v>
      </c>
      <c r="R8" s="128" t="s">
        <v>18</v>
      </c>
      <c r="S8" s="107"/>
      <c r="T8" s="15" t="s">
        <v>37</v>
      </c>
      <c r="U8" s="14">
        <v>300</v>
      </c>
    </row>
    <row r="9" spans="1:21" ht="25" customHeight="1">
      <c r="A9" s="144"/>
      <c r="B9" s="152" t="s">
        <v>38</v>
      </c>
      <c r="C9" s="120" t="s">
        <v>39</v>
      </c>
      <c r="D9" s="16" t="s">
        <v>40</v>
      </c>
      <c r="E9" s="17" t="s">
        <v>41</v>
      </c>
      <c r="F9" s="17" t="s">
        <v>42</v>
      </c>
      <c r="G9" s="17" t="s">
        <v>43</v>
      </c>
      <c r="H9" s="17" t="s">
        <v>44</v>
      </c>
      <c r="I9" s="17" t="s">
        <v>45</v>
      </c>
      <c r="J9" s="17" t="s">
        <v>46</v>
      </c>
      <c r="K9" s="18" t="s">
        <v>47</v>
      </c>
      <c r="L9" s="94" t="s">
        <v>48</v>
      </c>
      <c r="M9" s="120" t="s">
        <v>49</v>
      </c>
      <c r="N9" s="16" t="s">
        <v>40</v>
      </c>
      <c r="O9" s="17" t="s">
        <v>41</v>
      </c>
      <c r="P9" s="17" t="s">
        <v>42</v>
      </c>
      <c r="Q9" s="17" t="s">
        <v>43</v>
      </c>
      <c r="R9" s="17" t="s">
        <v>44</v>
      </c>
      <c r="S9" s="17" t="s">
        <v>45</v>
      </c>
      <c r="T9" s="17" t="s">
        <v>46</v>
      </c>
      <c r="U9" s="18" t="s">
        <v>50</v>
      </c>
    </row>
    <row r="10" spans="1:21" ht="25" customHeight="1">
      <c r="A10" s="144"/>
      <c r="B10" s="95"/>
      <c r="C10" s="121"/>
      <c r="D10" s="19">
        <v>1</v>
      </c>
      <c r="E10" s="20" t="s">
        <v>51</v>
      </c>
      <c r="F10" s="21" t="s">
        <v>147</v>
      </c>
      <c r="G10" s="22" t="s">
        <v>52</v>
      </c>
      <c r="H10" s="22">
        <v>4.0000000000000001E-3</v>
      </c>
      <c r="I10" s="23">
        <v>0.1</v>
      </c>
      <c r="J10" s="22">
        <v>17</v>
      </c>
      <c r="K10" s="24">
        <f>IF(J10="","",J10*H10*(1+I10))</f>
        <v>7.4800000000000005E-2</v>
      </c>
      <c r="L10" s="95"/>
      <c r="M10" s="121"/>
      <c r="N10" s="19">
        <v>1</v>
      </c>
      <c r="O10" s="25"/>
      <c r="P10" s="26"/>
      <c r="Q10" s="22"/>
      <c r="R10" s="22"/>
      <c r="S10" s="91"/>
      <c r="T10" s="22"/>
      <c r="U10" s="27" t="str">
        <f t="shared" ref="U10:U26" si="0">IF(T10="","",T10*R10*(1+S10))</f>
        <v/>
      </c>
    </row>
    <row r="11" spans="1:21" ht="25" customHeight="1">
      <c r="A11" s="144"/>
      <c r="B11" s="95"/>
      <c r="C11" s="121"/>
      <c r="D11" s="5">
        <v>2</v>
      </c>
      <c r="E11" s="28" t="s">
        <v>53</v>
      </c>
      <c r="F11" s="28" t="s">
        <v>147</v>
      </c>
      <c r="G11" s="29" t="s">
        <v>52</v>
      </c>
      <c r="H11" s="29">
        <v>1.4999999999999999E-2</v>
      </c>
      <c r="I11" s="30">
        <v>0.1</v>
      </c>
      <c r="J11" s="29">
        <v>17</v>
      </c>
      <c r="K11" s="31">
        <f>IF(J11="","",J11*H11*(1+I11))</f>
        <v>0.28050000000000003</v>
      </c>
      <c r="L11" s="95"/>
      <c r="M11" s="121"/>
      <c r="N11" s="5">
        <v>2</v>
      </c>
      <c r="O11" s="32"/>
      <c r="P11" s="28"/>
      <c r="Q11" s="29"/>
      <c r="R11" s="29"/>
      <c r="S11" s="33"/>
      <c r="T11" s="29"/>
      <c r="U11" s="34" t="str">
        <f t="shared" si="0"/>
        <v/>
      </c>
    </row>
    <row r="12" spans="1:21" ht="25" customHeight="1">
      <c r="A12" s="144"/>
      <c r="B12" s="95"/>
      <c r="C12" s="121"/>
      <c r="D12" s="5">
        <v>3</v>
      </c>
      <c r="E12" s="28"/>
      <c r="F12" s="28"/>
      <c r="G12" s="29"/>
      <c r="H12" s="29"/>
      <c r="I12" s="30"/>
      <c r="J12" s="29"/>
      <c r="K12" s="31" t="str">
        <f>IF(J12="","",J12*H12*(1+I12))</f>
        <v/>
      </c>
      <c r="L12" s="95"/>
      <c r="M12" s="121"/>
      <c r="N12" s="5">
        <v>3</v>
      </c>
      <c r="O12" s="32"/>
      <c r="P12" s="28"/>
      <c r="Q12" s="29"/>
      <c r="R12" s="29"/>
      <c r="S12" s="33"/>
      <c r="T12" s="29"/>
      <c r="U12" s="34" t="str">
        <f t="shared" si="0"/>
        <v/>
      </c>
    </row>
    <row r="13" spans="1:21" ht="25" customHeight="1">
      <c r="A13" s="144"/>
      <c r="B13" s="95"/>
      <c r="C13" s="121"/>
      <c r="D13" s="5">
        <v>4</v>
      </c>
      <c r="E13" s="28"/>
      <c r="F13" s="28"/>
      <c r="G13" s="29"/>
      <c r="I13" s="30"/>
      <c r="J13" s="10"/>
      <c r="K13" s="31" t="str">
        <f>IF(J13="","",J13*G13*(1+I13))</f>
        <v/>
      </c>
      <c r="L13" s="95"/>
      <c r="M13" s="121"/>
      <c r="N13" s="5">
        <v>4</v>
      </c>
      <c r="O13" s="32"/>
      <c r="P13" s="28"/>
      <c r="Q13" s="29"/>
      <c r="R13" s="29"/>
      <c r="S13" s="33"/>
      <c r="T13" s="29"/>
      <c r="U13" s="34" t="str">
        <f t="shared" si="0"/>
        <v/>
      </c>
    </row>
    <row r="14" spans="1:21" ht="25" customHeight="1">
      <c r="A14" s="144"/>
      <c r="B14" s="95"/>
      <c r="C14" s="121"/>
      <c r="D14" s="5">
        <v>5</v>
      </c>
      <c r="E14" s="28"/>
      <c r="F14" s="28"/>
      <c r="G14" s="29"/>
      <c r="H14" s="10"/>
      <c r="I14" s="29"/>
      <c r="J14" s="30"/>
      <c r="K14" s="31" t="str">
        <f t="shared" ref="K14:K26" si="1">IF(J14="","",J14*H14*(1+I14))</f>
        <v/>
      </c>
      <c r="L14" s="95"/>
      <c r="M14" s="121"/>
      <c r="N14" s="5">
        <v>5</v>
      </c>
      <c r="O14" s="32"/>
      <c r="P14" s="28"/>
      <c r="Q14" s="29"/>
      <c r="R14" s="29"/>
      <c r="S14" s="33"/>
      <c r="T14" s="29"/>
      <c r="U14" s="34" t="str">
        <f t="shared" si="0"/>
        <v/>
      </c>
    </row>
    <row r="15" spans="1:21" ht="25" customHeight="1">
      <c r="A15" s="144"/>
      <c r="B15" s="95"/>
      <c r="C15" s="121"/>
      <c r="D15" s="5">
        <v>6</v>
      </c>
      <c r="E15" s="28"/>
      <c r="F15" s="28"/>
      <c r="G15" s="29"/>
      <c r="H15" s="10"/>
      <c r="I15" s="29"/>
      <c r="J15" s="30"/>
      <c r="K15" s="31" t="str">
        <f t="shared" si="1"/>
        <v/>
      </c>
      <c r="L15" s="95"/>
      <c r="M15" s="121"/>
      <c r="N15" s="5">
        <v>6</v>
      </c>
      <c r="O15" s="32"/>
      <c r="P15" s="28"/>
      <c r="Q15" s="29"/>
      <c r="R15" s="29"/>
      <c r="S15" s="33"/>
      <c r="T15" s="29"/>
      <c r="U15" s="34" t="str">
        <f t="shared" si="0"/>
        <v/>
      </c>
    </row>
    <row r="16" spans="1:21" ht="25" customHeight="1">
      <c r="A16" s="144"/>
      <c r="B16" s="95"/>
      <c r="C16" s="121"/>
      <c r="D16" s="5">
        <v>7</v>
      </c>
      <c r="E16" s="28"/>
      <c r="F16" s="28"/>
      <c r="G16" s="29"/>
      <c r="H16" s="10"/>
      <c r="I16" s="29"/>
      <c r="J16" s="30"/>
      <c r="K16" s="31" t="str">
        <f t="shared" si="1"/>
        <v/>
      </c>
      <c r="L16" s="95"/>
      <c r="M16" s="121"/>
      <c r="N16" s="5">
        <v>7</v>
      </c>
      <c r="O16" s="32"/>
      <c r="P16" s="28"/>
      <c r="Q16" s="29"/>
      <c r="R16" s="29"/>
      <c r="S16" s="33"/>
      <c r="T16" s="29"/>
      <c r="U16" s="34" t="str">
        <f t="shared" si="0"/>
        <v/>
      </c>
    </row>
    <row r="17" spans="1:21" ht="25" customHeight="1">
      <c r="A17" s="144"/>
      <c r="B17" s="95"/>
      <c r="C17" s="121"/>
      <c r="D17" s="5">
        <v>8</v>
      </c>
      <c r="E17" s="28"/>
      <c r="F17" s="28"/>
      <c r="G17" s="29"/>
      <c r="H17" s="10"/>
      <c r="I17" s="29"/>
      <c r="J17" s="30"/>
      <c r="K17" s="31" t="str">
        <f t="shared" si="1"/>
        <v/>
      </c>
      <c r="L17" s="95"/>
      <c r="M17" s="121"/>
      <c r="N17" s="5">
        <v>8</v>
      </c>
      <c r="O17" s="32"/>
      <c r="P17" s="28"/>
      <c r="Q17" s="29"/>
      <c r="R17" s="29"/>
      <c r="S17" s="33"/>
      <c r="T17" s="29"/>
      <c r="U17" s="34" t="str">
        <f t="shared" si="0"/>
        <v/>
      </c>
    </row>
    <row r="18" spans="1:21" ht="25" customHeight="1">
      <c r="A18" s="144"/>
      <c r="B18" s="95"/>
      <c r="C18" s="121"/>
      <c r="D18" s="5">
        <v>9</v>
      </c>
      <c r="E18" s="28"/>
      <c r="F18" s="28"/>
      <c r="G18" s="29"/>
      <c r="H18" s="29"/>
      <c r="I18" s="29"/>
      <c r="J18" s="30"/>
      <c r="K18" s="31" t="str">
        <f t="shared" si="1"/>
        <v/>
      </c>
      <c r="L18" s="95"/>
      <c r="M18" s="121"/>
      <c r="N18" s="5">
        <v>9</v>
      </c>
      <c r="O18" s="32"/>
      <c r="P18" s="28"/>
      <c r="Q18" s="29"/>
      <c r="R18" s="29"/>
      <c r="S18" s="33"/>
      <c r="T18" s="29"/>
      <c r="U18" s="34" t="str">
        <f t="shared" si="0"/>
        <v/>
      </c>
    </row>
    <row r="19" spans="1:21" ht="25" customHeight="1">
      <c r="A19" s="144"/>
      <c r="B19" s="95"/>
      <c r="C19" s="121"/>
      <c r="D19" s="5">
        <v>10</v>
      </c>
      <c r="E19" s="28"/>
      <c r="F19" s="28"/>
      <c r="G19" s="29"/>
      <c r="H19" s="29"/>
      <c r="I19" s="29"/>
      <c r="J19" s="30"/>
      <c r="K19" s="31" t="str">
        <f t="shared" si="1"/>
        <v/>
      </c>
      <c r="L19" s="95"/>
      <c r="M19" s="121"/>
      <c r="N19" s="5">
        <v>10</v>
      </c>
      <c r="O19" s="32"/>
      <c r="P19" s="28"/>
      <c r="Q19" s="29"/>
      <c r="R19" s="29"/>
      <c r="S19" s="33"/>
      <c r="T19" s="29"/>
      <c r="U19" s="34" t="str">
        <f t="shared" si="0"/>
        <v/>
      </c>
    </row>
    <row r="20" spans="1:21" ht="25" customHeight="1">
      <c r="A20" s="144"/>
      <c r="B20" s="95"/>
      <c r="C20" s="121"/>
      <c r="D20" s="5">
        <v>11</v>
      </c>
      <c r="E20" s="28"/>
      <c r="F20" s="28"/>
      <c r="G20" s="29"/>
      <c r="H20" s="29"/>
      <c r="I20" s="29"/>
      <c r="J20" s="30"/>
      <c r="K20" s="31" t="str">
        <f t="shared" si="1"/>
        <v/>
      </c>
      <c r="L20" s="95"/>
      <c r="M20" s="121"/>
      <c r="N20" s="5">
        <v>11</v>
      </c>
      <c r="O20" s="32"/>
      <c r="P20" s="35"/>
      <c r="Q20" s="36"/>
      <c r="R20" s="29"/>
      <c r="S20" s="33"/>
      <c r="T20" s="29"/>
      <c r="U20" s="34" t="str">
        <f t="shared" si="0"/>
        <v/>
      </c>
    </row>
    <row r="21" spans="1:21" ht="25" customHeight="1">
      <c r="A21" s="144"/>
      <c r="B21" s="95"/>
      <c r="C21" s="121"/>
      <c r="D21" s="5">
        <v>12</v>
      </c>
      <c r="E21" s="37"/>
      <c r="F21" s="37"/>
      <c r="G21" s="7"/>
      <c r="H21" s="29"/>
      <c r="I21" s="29"/>
      <c r="J21" s="30"/>
      <c r="K21" s="31" t="str">
        <f t="shared" si="1"/>
        <v/>
      </c>
      <c r="L21" s="95"/>
      <c r="M21" s="121"/>
      <c r="N21" s="5">
        <v>12</v>
      </c>
      <c r="O21" s="32"/>
      <c r="P21" s="35"/>
      <c r="Q21" s="36"/>
      <c r="R21" s="29"/>
      <c r="S21" s="33"/>
      <c r="T21" s="29"/>
      <c r="U21" s="34" t="str">
        <f t="shared" si="0"/>
        <v/>
      </c>
    </row>
    <row r="22" spans="1:21" ht="25" customHeight="1">
      <c r="A22" s="144"/>
      <c r="B22" s="95"/>
      <c r="C22" s="121"/>
      <c r="D22" s="5">
        <v>13</v>
      </c>
      <c r="E22" s="37"/>
      <c r="F22" s="37"/>
      <c r="G22" s="7"/>
      <c r="H22" s="29"/>
      <c r="I22" s="29"/>
      <c r="J22" s="30"/>
      <c r="K22" s="31" t="str">
        <f t="shared" si="1"/>
        <v/>
      </c>
      <c r="L22" s="95"/>
      <c r="M22" s="121"/>
      <c r="N22" s="5">
        <v>13</v>
      </c>
      <c r="O22" s="32"/>
      <c r="P22" s="35"/>
      <c r="Q22" s="36"/>
      <c r="R22" s="29"/>
      <c r="S22" s="33"/>
      <c r="T22" s="29"/>
      <c r="U22" s="34" t="str">
        <f t="shared" si="0"/>
        <v/>
      </c>
    </row>
    <row r="23" spans="1:21" ht="25" customHeight="1">
      <c r="A23" s="144"/>
      <c r="B23" s="95"/>
      <c r="C23" s="121"/>
      <c r="D23" s="5">
        <v>14</v>
      </c>
      <c r="E23" s="37"/>
      <c r="F23" s="37"/>
      <c r="G23" s="7"/>
      <c r="H23" s="29"/>
      <c r="I23" s="29"/>
      <c r="J23" s="30"/>
      <c r="K23" s="31" t="str">
        <f t="shared" si="1"/>
        <v/>
      </c>
      <c r="L23" s="95"/>
      <c r="M23" s="121"/>
      <c r="N23" s="5">
        <v>14</v>
      </c>
      <c r="O23" s="32"/>
      <c r="P23" s="37"/>
      <c r="Q23" s="7"/>
      <c r="R23" s="29"/>
      <c r="S23" s="33"/>
      <c r="T23" s="29"/>
      <c r="U23" s="34" t="str">
        <f t="shared" si="0"/>
        <v/>
      </c>
    </row>
    <row r="24" spans="1:21" ht="25" customHeight="1">
      <c r="A24" s="144"/>
      <c r="B24" s="95"/>
      <c r="C24" s="121"/>
      <c r="D24" s="5">
        <v>15</v>
      </c>
      <c r="E24" s="37"/>
      <c r="F24" s="38"/>
      <c r="G24" s="39"/>
      <c r="H24" s="29"/>
      <c r="I24" s="29"/>
      <c r="J24" s="30"/>
      <c r="K24" s="31" t="str">
        <f t="shared" si="1"/>
        <v/>
      </c>
      <c r="L24" s="95"/>
      <c r="M24" s="121"/>
      <c r="N24" s="5">
        <v>15</v>
      </c>
      <c r="O24" s="32"/>
      <c r="P24" s="37"/>
      <c r="Q24" s="7"/>
      <c r="R24" s="29"/>
      <c r="S24" s="33"/>
      <c r="T24" s="29"/>
      <c r="U24" s="34" t="str">
        <f t="shared" si="0"/>
        <v/>
      </c>
    </row>
    <row r="25" spans="1:21" ht="25" customHeight="1">
      <c r="A25" s="144"/>
      <c r="B25" s="95"/>
      <c r="C25" s="121"/>
      <c r="D25" s="5">
        <v>16</v>
      </c>
      <c r="E25" s="37"/>
      <c r="F25" s="37"/>
      <c r="G25" s="7"/>
      <c r="H25" s="29"/>
      <c r="I25" s="29"/>
      <c r="J25" s="30"/>
      <c r="K25" s="31" t="str">
        <f t="shared" si="1"/>
        <v/>
      </c>
      <c r="L25" s="95"/>
      <c r="M25" s="121"/>
      <c r="N25" s="5">
        <v>16</v>
      </c>
      <c r="O25" s="32"/>
      <c r="P25" s="37"/>
      <c r="Q25" s="7"/>
      <c r="R25" s="29"/>
      <c r="S25" s="33"/>
      <c r="T25" s="29"/>
      <c r="U25" s="34" t="str">
        <f t="shared" si="0"/>
        <v/>
      </c>
    </row>
    <row r="26" spans="1:21" ht="25" customHeight="1">
      <c r="A26" s="144"/>
      <c r="B26" s="95"/>
      <c r="C26" s="121"/>
      <c r="D26" s="5">
        <v>17</v>
      </c>
      <c r="E26" s="37"/>
      <c r="F26" s="37"/>
      <c r="G26" s="7"/>
      <c r="H26" s="29"/>
      <c r="I26" s="29"/>
      <c r="J26" s="30"/>
      <c r="K26" s="31" t="str">
        <f t="shared" si="1"/>
        <v/>
      </c>
      <c r="L26" s="95"/>
      <c r="M26" s="121"/>
      <c r="N26" s="5">
        <v>17</v>
      </c>
      <c r="O26" s="32"/>
      <c r="P26" s="37"/>
      <c r="Q26" s="7"/>
      <c r="R26" s="29"/>
      <c r="S26" s="33"/>
      <c r="T26" s="29"/>
      <c r="U26" s="34" t="str">
        <f t="shared" si="0"/>
        <v/>
      </c>
    </row>
    <row r="27" spans="1:21" ht="25" customHeight="1">
      <c r="A27" s="144"/>
      <c r="B27" s="96"/>
      <c r="C27" s="122"/>
      <c r="D27" s="12"/>
      <c r="E27" s="40"/>
      <c r="F27" s="40"/>
      <c r="G27" s="40"/>
      <c r="H27" s="142" t="s">
        <v>54</v>
      </c>
      <c r="I27" s="124"/>
      <c r="J27" s="41"/>
      <c r="K27" s="42">
        <f>SUM(K10:K26)</f>
        <v>0.35530000000000006</v>
      </c>
      <c r="L27" s="96"/>
      <c r="M27" s="122"/>
      <c r="N27" s="12"/>
      <c r="O27" s="43"/>
      <c r="P27" s="13"/>
      <c r="Q27" s="13"/>
      <c r="R27" s="13"/>
      <c r="S27" s="142" t="s">
        <v>55</v>
      </c>
      <c r="T27" s="124"/>
      <c r="U27" s="42">
        <f>SUM(U10:U26)</f>
        <v>0</v>
      </c>
    </row>
    <row r="28" spans="1:21" ht="25" customHeight="1">
      <c r="A28" s="144"/>
      <c r="B28" s="152" t="s">
        <v>56</v>
      </c>
      <c r="C28" s="120" t="s">
        <v>57</v>
      </c>
      <c r="D28" s="171" t="s">
        <v>58</v>
      </c>
      <c r="E28" s="162"/>
      <c r="F28" s="162"/>
      <c r="G28" s="162"/>
      <c r="H28" s="162"/>
      <c r="I28" s="162"/>
      <c r="J28" s="162"/>
      <c r="K28" s="163"/>
      <c r="L28" s="94" t="s">
        <v>59</v>
      </c>
      <c r="M28" s="120" t="s">
        <v>60</v>
      </c>
      <c r="N28" s="171" t="s">
        <v>61</v>
      </c>
      <c r="O28" s="162"/>
      <c r="P28" s="162"/>
      <c r="Q28" s="162"/>
      <c r="R28" s="162"/>
      <c r="S28" s="162"/>
      <c r="T28" s="162"/>
      <c r="U28" s="163"/>
    </row>
    <row r="29" spans="1:21" ht="25" customHeight="1">
      <c r="A29" s="144"/>
      <c r="B29" s="95"/>
      <c r="C29" s="121"/>
      <c r="D29" s="44" t="s">
        <v>40</v>
      </c>
      <c r="E29" s="45" t="s">
        <v>62</v>
      </c>
      <c r="F29" s="46" t="s">
        <v>63</v>
      </c>
      <c r="G29" s="45" t="s">
        <v>64</v>
      </c>
      <c r="H29" s="46" t="s">
        <v>65</v>
      </c>
      <c r="I29" s="46" t="s">
        <v>66</v>
      </c>
      <c r="J29" s="46" t="s">
        <v>67</v>
      </c>
      <c r="K29" s="47" t="s">
        <v>68</v>
      </c>
      <c r="L29" s="95"/>
      <c r="M29" s="121"/>
      <c r="N29" s="48" t="s">
        <v>69</v>
      </c>
      <c r="O29" s="45" t="s">
        <v>70</v>
      </c>
      <c r="P29" s="46" t="s">
        <v>71</v>
      </c>
      <c r="Q29" s="45" t="s">
        <v>72</v>
      </c>
      <c r="R29" s="46" t="s">
        <v>73</v>
      </c>
      <c r="S29" s="46" t="s">
        <v>74</v>
      </c>
      <c r="T29" s="46" t="s">
        <v>67</v>
      </c>
      <c r="U29" s="47" t="s">
        <v>75</v>
      </c>
    </row>
    <row r="30" spans="1:21" ht="25" customHeight="1">
      <c r="A30" s="144"/>
      <c r="B30" s="95"/>
      <c r="C30" s="121"/>
      <c r="D30" s="19">
        <v>1</v>
      </c>
      <c r="E30" s="49" t="s">
        <v>76</v>
      </c>
      <c r="F30" s="50">
        <v>6</v>
      </c>
      <c r="G30" s="50">
        <v>4</v>
      </c>
      <c r="H30" s="50">
        <v>30</v>
      </c>
      <c r="I30" s="50">
        <v>3.5510999999999999</v>
      </c>
      <c r="J30" s="51"/>
      <c r="K30" s="52">
        <f t="shared" ref="K30:K39" si="2">IF(E30="","",IF(J30="",F30/I30,F30/J30))</f>
        <v>1.6896173016811693</v>
      </c>
      <c r="L30" s="95"/>
      <c r="M30" s="121"/>
      <c r="N30" s="19">
        <v>1</v>
      </c>
      <c r="O30" s="53" t="s">
        <v>77</v>
      </c>
      <c r="P30" s="50">
        <v>0</v>
      </c>
      <c r="Q30" s="54"/>
      <c r="R30" s="55">
        <f>O6</f>
        <v>3.5510999999999999</v>
      </c>
      <c r="S30" s="50">
        <v>23</v>
      </c>
      <c r="T30" s="54"/>
      <c r="U30" s="27">
        <f t="shared" ref="U30:U39" si="3">IF(O30="","",IF(T30="",P30/S30,P30/T30))</f>
        <v>0</v>
      </c>
    </row>
    <row r="31" spans="1:21" ht="25" customHeight="1">
      <c r="A31" s="144"/>
      <c r="B31" s="95"/>
      <c r="C31" s="121"/>
      <c r="D31" s="5">
        <v>2</v>
      </c>
      <c r="E31" s="7"/>
      <c r="F31" s="7"/>
      <c r="G31" s="7"/>
      <c r="H31" s="7"/>
      <c r="I31" s="7"/>
      <c r="J31" s="56"/>
      <c r="K31" s="57" t="str">
        <f t="shared" si="2"/>
        <v/>
      </c>
      <c r="L31" s="95"/>
      <c r="M31" s="121"/>
      <c r="N31" s="5">
        <v>2</v>
      </c>
      <c r="O31" s="58"/>
      <c r="P31" s="7"/>
      <c r="Q31" s="7"/>
      <c r="R31" s="59" t="str">
        <f t="shared" ref="R31:R39" si="4">IF(O31="","",R30)</f>
        <v/>
      </c>
      <c r="S31" s="7"/>
      <c r="T31" s="7"/>
      <c r="U31" s="34" t="str">
        <f t="shared" si="3"/>
        <v/>
      </c>
    </row>
    <row r="32" spans="1:21" ht="25" customHeight="1">
      <c r="A32" s="144"/>
      <c r="B32" s="95"/>
      <c r="C32" s="121"/>
      <c r="D32" s="5">
        <v>3</v>
      </c>
      <c r="E32" s="7"/>
      <c r="F32" s="7"/>
      <c r="G32" s="7"/>
      <c r="H32" s="7"/>
      <c r="I32" s="7"/>
      <c r="J32" s="56"/>
      <c r="K32" s="57" t="str">
        <f t="shared" si="2"/>
        <v/>
      </c>
      <c r="L32" s="95"/>
      <c r="M32" s="121"/>
      <c r="N32" s="5">
        <v>3</v>
      </c>
      <c r="O32" s="58"/>
      <c r="P32" s="7"/>
      <c r="Q32" s="7"/>
      <c r="R32" s="59" t="str">
        <f t="shared" si="4"/>
        <v/>
      </c>
      <c r="S32" s="7"/>
      <c r="T32" s="7"/>
      <c r="U32" s="34" t="str">
        <f t="shared" si="3"/>
        <v/>
      </c>
    </row>
    <row r="33" spans="1:21" ht="25" customHeight="1">
      <c r="A33" s="144"/>
      <c r="B33" s="95"/>
      <c r="C33" s="121"/>
      <c r="D33" s="5">
        <v>5</v>
      </c>
      <c r="E33" s="7"/>
      <c r="F33" s="7"/>
      <c r="G33" s="7"/>
      <c r="H33" s="7"/>
      <c r="I33" s="7"/>
      <c r="J33" s="56"/>
      <c r="K33" s="57" t="str">
        <f t="shared" si="2"/>
        <v/>
      </c>
      <c r="L33" s="95"/>
      <c r="M33" s="121"/>
      <c r="N33" s="5">
        <v>4</v>
      </c>
      <c r="O33" s="58"/>
      <c r="P33" s="7"/>
      <c r="Q33" s="7"/>
      <c r="R33" s="59" t="str">
        <f t="shared" si="4"/>
        <v/>
      </c>
      <c r="S33" s="7"/>
      <c r="T33" s="7"/>
      <c r="U33" s="34" t="str">
        <f t="shared" si="3"/>
        <v/>
      </c>
    </row>
    <row r="34" spans="1:21" ht="25" customHeight="1">
      <c r="A34" s="144"/>
      <c r="B34" s="95"/>
      <c r="C34" s="121"/>
      <c r="D34" s="5">
        <v>6</v>
      </c>
      <c r="E34" s="7"/>
      <c r="F34" s="7"/>
      <c r="G34" s="7"/>
      <c r="H34" s="7"/>
      <c r="I34" s="7"/>
      <c r="J34" s="56"/>
      <c r="K34" s="57" t="str">
        <f t="shared" si="2"/>
        <v/>
      </c>
      <c r="L34" s="95"/>
      <c r="M34" s="121"/>
      <c r="N34" s="5">
        <v>5</v>
      </c>
      <c r="O34" s="58"/>
      <c r="P34" s="7"/>
      <c r="Q34" s="7"/>
      <c r="R34" s="59" t="str">
        <f t="shared" si="4"/>
        <v/>
      </c>
      <c r="S34" s="7"/>
      <c r="T34" s="7"/>
      <c r="U34" s="34" t="str">
        <f t="shared" si="3"/>
        <v/>
      </c>
    </row>
    <row r="35" spans="1:21" ht="25" customHeight="1">
      <c r="A35" s="144"/>
      <c r="B35" s="95"/>
      <c r="C35" s="121"/>
      <c r="D35" s="5">
        <v>7</v>
      </c>
      <c r="E35" s="7"/>
      <c r="F35" s="7"/>
      <c r="G35" s="7"/>
      <c r="H35" s="7"/>
      <c r="I35" s="7"/>
      <c r="J35" s="56"/>
      <c r="K35" s="57" t="str">
        <f t="shared" si="2"/>
        <v/>
      </c>
      <c r="L35" s="95"/>
      <c r="M35" s="121"/>
      <c r="N35" s="5">
        <v>6</v>
      </c>
      <c r="O35" s="58"/>
      <c r="P35" s="7"/>
      <c r="Q35" s="7"/>
      <c r="R35" s="59" t="str">
        <f t="shared" si="4"/>
        <v/>
      </c>
      <c r="S35" s="7"/>
      <c r="T35" s="7"/>
      <c r="U35" s="34" t="str">
        <f t="shared" si="3"/>
        <v/>
      </c>
    </row>
    <row r="36" spans="1:21" ht="25" customHeight="1">
      <c r="A36" s="144"/>
      <c r="B36" s="95"/>
      <c r="C36" s="121"/>
      <c r="D36" s="5">
        <v>8</v>
      </c>
      <c r="E36" s="7"/>
      <c r="F36" s="7"/>
      <c r="G36" s="7"/>
      <c r="H36" s="7"/>
      <c r="I36" s="7"/>
      <c r="J36" s="56"/>
      <c r="K36" s="57" t="str">
        <f t="shared" si="2"/>
        <v/>
      </c>
      <c r="L36" s="95"/>
      <c r="M36" s="121"/>
      <c r="N36" s="5">
        <v>7</v>
      </c>
      <c r="O36" s="58"/>
      <c r="P36" s="7"/>
      <c r="Q36" s="7"/>
      <c r="R36" s="59" t="str">
        <f t="shared" si="4"/>
        <v/>
      </c>
      <c r="S36" s="7"/>
      <c r="T36" s="7"/>
      <c r="U36" s="34" t="str">
        <f t="shared" si="3"/>
        <v/>
      </c>
    </row>
    <row r="37" spans="1:21" ht="25" customHeight="1">
      <c r="A37" s="144"/>
      <c r="B37" s="95"/>
      <c r="C37" s="121"/>
      <c r="D37" s="5">
        <v>9</v>
      </c>
      <c r="E37" s="7"/>
      <c r="F37" s="7"/>
      <c r="G37" s="7"/>
      <c r="H37" s="7"/>
      <c r="I37" s="7"/>
      <c r="J37" s="56"/>
      <c r="K37" s="57" t="str">
        <f t="shared" si="2"/>
        <v/>
      </c>
      <c r="L37" s="95"/>
      <c r="M37" s="121"/>
      <c r="N37" s="5">
        <v>8</v>
      </c>
      <c r="O37" s="58"/>
      <c r="P37" s="7"/>
      <c r="Q37" s="7"/>
      <c r="R37" s="59" t="str">
        <f t="shared" si="4"/>
        <v/>
      </c>
      <c r="S37" s="7"/>
      <c r="T37" s="7"/>
      <c r="U37" s="34" t="str">
        <f t="shared" si="3"/>
        <v/>
      </c>
    </row>
    <row r="38" spans="1:21" ht="25" customHeight="1">
      <c r="A38" s="144"/>
      <c r="B38" s="95"/>
      <c r="C38" s="121"/>
      <c r="D38" s="5">
        <v>10</v>
      </c>
      <c r="E38" s="7"/>
      <c r="F38" s="7"/>
      <c r="G38" s="7"/>
      <c r="H38" s="7"/>
      <c r="I38" s="7"/>
      <c r="J38" s="56"/>
      <c r="K38" s="57" t="str">
        <f t="shared" si="2"/>
        <v/>
      </c>
      <c r="L38" s="95"/>
      <c r="M38" s="121"/>
      <c r="N38" s="5">
        <v>9</v>
      </c>
      <c r="O38" s="58"/>
      <c r="P38" s="7"/>
      <c r="Q38" s="7"/>
      <c r="R38" s="59" t="str">
        <f t="shared" si="4"/>
        <v/>
      </c>
      <c r="S38" s="7"/>
      <c r="T38" s="7"/>
      <c r="U38" s="34" t="str">
        <f t="shared" si="3"/>
        <v/>
      </c>
    </row>
    <row r="39" spans="1:21" ht="25" customHeight="1">
      <c r="A39" s="144"/>
      <c r="B39" s="95"/>
      <c r="C39" s="121"/>
      <c r="D39" s="5">
        <v>11</v>
      </c>
      <c r="E39" s="7"/>
      <c r="F39" s="7"/>
      <c r="G39" s="7"/>
      <c r="H39" s="7"/>
      <c r="I39" s="7"/>
      <c r="J39" s="56"/>
      <c r="K39" s="57" t="str">
        <f t="shared" si="2"/>
        <v/>
      </c>
      <c r="L39" s="95"/>
      <c r="M39" s="121"/>
      <c r="N39" s="5">
        <v>10</v>
      </c>
      <c r="O39" s="58"/>
      <c r="P39" s="7"/>
      <c r="Q39" s="7"/>
      <c r="R39" s="59" t="str">
        <f t="shared" si="4"/>
        <v/>
      </c>
      <c r="S39" s="7"/>
      <c r="T39" s="7"/>
      <c r="U39" s="34" t="str">
        <f t="shared" si="3"/>
        <v/>
      </c>
    </row>
    <row r="40" spans="1:21" ht="25" customHeight="1">
      <c r="A40" s="144"/>
      <c r="B40" s="96"/>
      <c r="C40" s="122"/>
      <c r="D40" s="12"/>
      <c r="E40" s="13" t="s">
        <v>78</v>
      </c>
      <c r="F40" s="40">
        <f>SUM(F30:F39)</f>
        <v>6</v>
      </c>
      <c r="G40" s="40"/>
      <c r="H40" s="142" t="s">
        <v>79</v>
      </c>
      <c r="I40" s="124"/>
      <c r="J40" s="60"/>
      <c r="K40" s="61">
        <f>SUM(K30:K39)</f>
        <v>1.6896173016811693</v>
      </c>
      <c r="L40" s="96"/>
      <c r="M40" s="122"/>
      <c r="N40" s="62"/>
      <c r="O40" s="13" t="s">
        <v>80</v>
      </c>
      <c r="P40" s="40">
        <f>SUM(P30:P39)</f>
        <v>0</v>
      </c>
      <c r="Q40" s="63"/>
      <c r="R40" s="40"/>
      <c r="S40" s="40"/>
      <c r="T40" s="40"/>
      <c r="U40" s="42">
        <f>SUM(U30:U39)</f>
        <v>0</v>
      </c>
    </row>
    <row r="41" spans="1:21" ht="34" customHeight="1">
      <c r="A41" s="144"/>
      <c r="B41" s="155" t="s">
        <v>81</v>
      </c>
      <c r="C41" s="120" t="s">
        <v>82</v>
      </c>
      <c r="D41" s="64" t="s">
        <v>83</v>
      </c>
      <c r="E41" s="65" t="s">
        <v>84</v>
      </c>
      <c r="F41" s="66" t="s">
        <v>85</v>
      </c>
      <c r="G41" s="66" t="s">
        <v>86</v>
      </c>
      <c r="H41" s="66" t="s">
        <v>87</v>
      </c>
      <c r="I41" s="65" t="s">
        <v>88</v>
      </c>
      <c r="J41" s="66" t="s">
        <v>89</v>
      </c>
      <c r="K41" s="65" t="s">
        <v>90</v>
      </c>
      <c r="L41" s="172" t="s">
        <v>91</v>
      </c>
      <c r="M41" s="141"/>
      <c r="N41" s="140" t="s">
        <v>92</v>
      </c>
      <c r="O41" s="141"/>
      <c r="P41" s="66" t="s">
        <v>93</v>
      </c>
      <c r="Q41" s="67" t="s">
        <v>94</v>
      </c>
      <c r="R41" s="65" t="s">
        <v>95</v>
      </c>
      <c r="S41" s="66" t="s">
        <v>96</v>
      </c>
      <c r="T41" s="66" t="s">
        <v>97</v>
      </c>
      <c r="U41" s="68" t="s">
        <v>98</v>
      </c>
    </row>
    <row r="42" spans="1:21" ht="25" customHeight="1">
      <c r="A42" s="144"/>
      <c r="B42" s="95"/>
      <c r="C42" s="121"/>
      <c r="D42" s="19">
        <v>1</v>
      </c>
      <c r="E42" s="50" t="s">
        <v>99</v>
      </c>
      <c r="F42" s="50">
        <v>7.5</v>
      </c>
      <c r="G42" s="69">
        <f t="shared" ref="G42:G57" si="5">IF(E42="","",12/H42*L42)</f>
        <v>4896</v>
      </c>
      <c r="H42" s="70">
        <f t="shared" ref="H42:H57" si="6">IF(E42="","",F42/3600)</f>
        <v>2.0833333333333333E-3</v>
      </c>
      <c r="I42" s="50">
        <v>1.7336928049148199</v>
      </c>
      <c r="J42" s="71">
        <v>24</v>
      </c>
      <c r="K42" s="72">
        <f t="shared" ref="K42:K57" si="7">IF(E42="","",H42*I42/L42)</f>
        <v>4.2492470708696568E-3</v>
      </c>
      <c r="L42" s="134">
        <v>0.85</v>
      </c>
      <c r="M42" s="135"/>
      <c r="N42" s="104">
        <f t="shared" ref="N42:N57" si="8">IF(F42="","",IF(E42="","",J42*K42))</f>
        <v>0.10198192970087176</v>
      </c>
      <c r="O42" s="105"/>
      <c r="P42" s="50">
        <v>16.600000000000001</v>
      </c>
      <c r="Q42" s="55" t="str">
        <f t="shared" ref="Q42:Q57" si="9">IF(E42="","","10年2班折90%")</f>
        <v>10年2班折90%</v>
      </c>
      <c r="R42" s="72">
        <f t="shared" ref="R42:R57" si="10">IF(E42="","",P42*0.9/10/$U$8/22*H42*10000/L42)</f>
        <v>5.5481283422459905E-3</v>
      </c>
      <c r="S42" s="73">
        <v>15</v>
      </c>
      <c r="T42" s="23">
        <v>0.45</v>
      </c>
      <c r="U42" s="27">
        <f t="shared" ref="U42:U57" si="11">IF(S42="","",S42*T42*$U$7*H42/((L42+(1-L42)/1.4)))</f>
        <v>1.4692164179104477E-2</v>
      </c>
    </row>
    <row r="43" spans="1:21" ht="25" customHeight="1">
      <c r="A43" s="144"/>
      <c r="B43" s="95"/>
      <c r="C43" s="121"/>
      <c r="D43" s="5">
        <v>2</v>
      </c>
      <c r="E43" s="7"/>
      <c r="F43" s="50"/>
      <c r="G43" s="69" t="str">
        <f t="shared" si="5"/>
        <v/>
      </c>
      <c r="H43" s="70" t="str">
        <f t="shared" si="6"/>
        <v/>
      </c>
      <c r="I43" s="7"/>
      <c r="J43" s="74"/>
      <c r="K43" s="72" t="str">
        <f t="shared" si="7"/>
        <v/>
      </c>
      <c r="L43" s="103"/>
      <c r="M43" s="93"/>
      <c r="N43" s="104" t="str">
        <f t="shared" si="8"/>
        <v/>
      </c>
      <c r="O43" s="105"/>
      <c r="P43" s="7"/>
      <c r="Q43" s="59" t="str">
        <f t="shared" si="9"/>
        <v/>
      </c>
      <c r="R43" s="72" t="str">
        <f t="shared" si="10"/>
        <v/>
      </c>
      <c r="S43" s="75"/>
      <c r="T43" s="30"/>
      <c r="U43" s="27" t="str">
        <f t="shared" si="11"/>
        <v/>
      </c>
    </row>
    <row r="44" spans="1:21" ht="25" customHeight="1">
      <c r="A44" s="144"/>
      <c r="B44" s="95"/>
      <c r="C44" s="121"/>
      <c r="D44" s="5">
        <v>3</v>
      </c>
      <c r="E44" s="7"/>
      <c r="F44" s="7"/>
      <c r="G44" s="69" t="str">
        <f t="shared" si="5"/>
        <v/>
      </c>
      <c r="H44" s="70" t="str">
        <f t="shared" si="6"/>
        <v/>
      </c>
      <c r="I44" s="7"/>
      <c r="J44" s="74"/>
      <c r="K44" s="72" t="str">
        <f t="shared" si="7"/>
        <v/>
      </c>
      <c r="L44" s="103"/>
      <c r="M44" s="93"/>
      <c r="N44" s="104" t="str">
        <f t="shared" si="8"/>
        <v/>
      </c>
      <c r="O44" s="105"/>
      <c r="P44" s="7"/>
      <c r="Q44" s="59" t="str">
        <f t="shared" si="9"/>
        <v/>
      </c>
      <c r="R44" s="72" t="str">
        <f t="shared" si="10"/>
        <v/>
      </c>
      <c r="S44" s="75"/>
      <c r="T44" s="30"/>
      <c r="U44" s="27" t="str">
        <f t="shared" si="11"/>
        <v/>
      </c>
    </row>
    <row r="45" spans="1:21" ht="25" customHeight="1">
      <c r="A45" s="144"/>
      <c r="B45" s="95"/>
      <c r="C45" s="121"/>
      <c r="D45" s="5">
        <v>4</v>
      </c>
      <c r="E45" s="7"/>
      <c r="F45" s="7"/>
      <c r="G45" s="69" t="str">
        <f t="shared" si="5"/>
        <v/>
      </c>
      <c r="H45" s="70" t="str">
        <f t="shared" si="6"/>
        <v/>
      </c>
      <c r="I45" s="7"/>
      <c r="J45" s="74"/>
      <c r="K45" s="72" t="str">
        <f t="shared" si="7"/>
        <v/>
      </c>
      <c r="L45" s="103"/>
      <c r="M45" s="93"/>
      <c r="N45" s="104" t="str">
        <f t="shared" si="8"/>
        <v/>
      </c>
      <c r="O45" s="105"/>
      <c r="P45" s="7"/>
      <c r="Q45" s="59" t="str">
        <f t="shared" si="9"/>
        <v/>
      </c>
      <c r="R45" s="72" t="str">
        <f t="shared" si="10"/>
        <v/>
      </c>
      <c r="S45" s="75"/>
      <c r="T45" s="30"/>
      <c r="U45" s="27" t="str">
        <f t="shared" si="11"/>
        <v/>
      </c>
    </row>
    <row r="46" spans="1:21" ht="25" customHeight="1">
      <c r="A46" s="144"/>
      <c r="B46" s="95"/>
      <c r="C46" s="121"/>
      <c r="D46" s="5">
        <v>5</v>
      </c>
      <c r="E46" s="7"/>
      <c r="F46" s="7"/>
      <c r="G46" s="69" t="str">
        <f t="shared" si="5"/>
        <v/>
      </c>
      <c r="H46" s="70" t="str">
        <f t="shared" si="6"/>
        <v/>
      </c>
      <c r="I46" s="7"/>
      <c r="J46" s="74"/>
      <c r="K46" s="72" t="str">
        <f t="shared" si="7"/>
        <v/>
      </c>
      <c r="L46" s="103"/>
      <c r="M46" s="93"/>
      <c r="N46" s="104" t="str">
        <f t="shared" si="8"/>
        <v/>
      </c>
      <c r="O46" s="105"/>
      <c r="P46" s="7"/>
      <c r="Q46" s="59" t="str">
        <f t="shared" si="9"/>
        <v/>
      </c>
      <c r="R46" s="72" t="str">
        <f t="shared" si="10"/>
        <v/>
      </c>
      <c r="S46" s="75"/>
      <c r="T46" s="30"/>
      <c r="U46" s="27" t="str">
        <f t="shared" si="11"/>
        <v/>
      </c>
    </row>
    <row r="47" spans="1:21" ht="25" customHeight="1">
      <c r="A47" s="144"/>
      <c r="B47" s="95"/>
      <c r="C47" s="121"/>
      <c r="D47" s="5">
        <v>6</v>
      </c>
      <c r="E47" s="7"/>
      <c r="F47" s="7"/>
      <c r="G47" s="69" t="str">
        <f t="shared" si="5"/>
        <v/>
      </c>
      <c r="H47" s="70" t="str">
        <f t="shared" si="6"/>
        <v/>
      </c>
      <c r="I47" s="7"/>
      <c r="J47" s="74"/>
      <c r="K47" s="72" t="str">
        <f t="shared" si="7"/>
        <v/>
      </c>
      <c r="L47" s="103"/>
      <c r="M47" s="93"/>
      <c r="N47" s="104" t="str">
        <f t="shared" si="8"/>
        <v/>
      </c>
      <c r="O47" s="105"/>
      <c r="P47" s="7"/>
      <c r="Q47" s="59" t="str">
        <f t="shared" si="9"/>
        <v/>
      </c>
      <c r="R47" s="72" t="str">
        <f t="shared" si="10"/>
        <v/>
      </c>
      <c r="S47" s="75"/>
      <c r="T47" s="30"/>
      <c r="U47" s="27" t="str">
        <f t="shared" si="11"/>
        <v/>
      </c>
    </row>
    <row r="48" spans="1:21" ht="25" customHeight="1">
      <c r="A48" s="144"/>
      <c r="B48" s="95"/>
      <c r="C48" s="121"/>
      <c r="D48" s="5">
        <v>7</v>
      </c>
      <c r="E48" s="7"/>
      <c r="F48" s="7"/>
      <c r="G48" s="69" t="str">
        <f t="shared" si="5"/>
        <v/>
      </c>
      <c r="H48" s="70" t="str">
        <f t="shared" si="6"/>
        <v/>
      </c>
      <c r="I48" s="7"/>
      <c r="J48" s="74"/>
      <c r="K48" s="72" t="str">
        <f t="shared" si="7"/>
        <v/>
      </c>
      <c r="L48" s="103"/>
      <c r="M48" s="93"/>
      <c r="N48" s="104" t="str">
        <f t="shared" si="8"/>
        <v/>
      </c>
      <c r="O48" s="105"/>
      <c r="P48" s="7"/>
      <c r="Q48" s="59" t="str">
        <f t="shared" si="9"/>
        <v/>
      </c>
      <c r="R48" s="72" t="str">
        <f t="shared" si="10"/>
        <v/>
      </c>
      <c r="S48" s="75"/>
      <c r="T48" s="30"/>
      <c r="U48" s="27" t="str">
        <f t="shared" si="11"/>
        <v/>
      </c>
    </row>
    <row r="49" spans="1:21" ht="25" customHeight="1">
      <c r="A49" s="144"/>
      <c r="B49" s="95"/>
      <c r="C49" s="121"/>
      <c r="D49" s="5">
        <v>8</v>
      </c>
      <c r="E49" s="7"/>
      <c r="F49" s="7"/>
      <c r="G49" s="69" t="str">
        <f t="shared" si="5"/>
        <v/>
      </c>
      <c r="H49" s="70" t="str">
        <f t="shared" si="6"/>
        <v/>
      </c>
      <c r="I49" s="7"/>
      <c r="J49" s="74"/>
      <c r="K49" s="72" t="str">
        <f t="shared" si="7"/>
        <v/>
      </c>
      <c r="L49" s="103"/>
      <c r="M49" s="93"/>
      <c r="N49" s="104" t="str">
        <f t="shared" si="8"/>
        <v/>
      </c>
      <c r="O49" s="105"/>
      <c r="P49" s="7"/>
      <c r="Q49" s="59" t="str">
        <f t="shared" si="9"/>
        <v/>
      </c>
      <c r="R49" s="72" t="str">
        <f t="shared" si="10"/>
        <v/>
      </c>
      <c r="S49" s="75"/>
      <c r="T49" s="30"/>
      <c r="U49" s="27" t="str">
        <f t="shared" si="11"/>
        <v/>
      </c>
    </row>
    <row r="50" spans="1:21" ht="25" customHeight="1">
      <c r="A50" s="144"/>
      <c r="B50" s="95"/>
      <c r="C50" s="121"/>
      <c r="D50" s="5">
        <v>9</v>
      </c>
      <c r="E50" s="7"/>
      <c r="F50" s="7"/>
      <c r="G50" s="69" t="str">
        <f t="shared" si="5"/>
        <v/>
      </c>
      <c r="H50" s="70" t="str">
        <f t="shared" si="6"/>
        <v/>
      </c>
      <c r="I50" s="7"/>
      <c r="J50" s="74"/>
      <c r="K50" s="72" t="str">
        <f t="shared" si="7"/>
        <v/>
      </c>
      <c r="L50" s="103"/>
      <c r="M50" s="93"/>
      <c r="N50" s="104" t="str">
        <f t="shared" si="8"/>
        <v/>
      </c>
      <c r="O50" s="105"/>
      <c r="P50" s="7"/>
      <c r="Q50" s="59" t="str">
        <f t="shared" si="9"/>
        <v/>
      </c>
      <c r="R50" s="72" t="str">
        <f t="shared" si="10"/>
        <v/>
      </c>
      <c r="S50" s="75"/>
      <c r="T50" s="30"/>
      <c r="U50" s="27" t="str">
        <f t="shared" si="11"/>
        <v/>
      </c>
    </row>
    <row r="51" spans="1:21" ht="25" customHeight="1">
      <c r="A51" s="144"/>
      <c r="B51" s="95"/>
      <c r="C51" s="121"/>
      <c r="D51" s="5">
        <v>10</v>
      </c>
      <c r="E51" s="7"/>
      <c r="F51" s="7"/>
      <c r="G51" s="69" t="str">
        <f t="shared" si="5"/>
        <v/>
      </c>
      <c r="H51" s="70" t="str">
        <f t="shared" si="6"/>
        <v/>
      </c>
      <c r="I51" s="7"/>
      <c r="J51" s="74"/>
      <c r="K51" s="72" t="str">
        <f t="shared" si="7"/>
        <v/>
      </c>
      <c r="L51" s="103"/>
      <c r="M51" s="93"/>
      <c r="N51" s="104" t="str">
        <f t="shared" si="8"/>
        <v/>
      </c>
      <c r="O51" s="105"/>
      <c r="P51" s="7"/>
      <c r="Q51" s="59" t="str">
        <f t="shared" si="9"/>
        <v/>
      </c>
      <c r="R51" s="72" t="str">
        <f t="shared" si="10"/>
        <v/>
      </c>
      <c r="S51" s="75"/>
      <c r="T51" s="30"/>
      <c r="U51" s="27" t="str">
        <f t="shared" si="11"/>
        <v/>
      </c>
    </row>
    <row r="52" spans="1:21" ht="25" customHeight="1">
      <c r="A52" s="144"/>
      <c r="B52" s="95"/>
      <c r="C52" s="121"/>
      <c r="D52" s="5">
        <v>11</v>
      </c>
      <c r="E52" s="7"/>
      <c r="F52" s="7"/>
      <c r="G52" s="69" t="str">
        <f t="shared" si="5"/>
        <v/>
      </c>
      <c r="H52" s="70" t="str">
        <f t="shared" si="6"/>
        <v/>
      </c>
      <c r="I52" s="7"/>
      <c r="J52" s="74"/>
      <c r="K52" s="72" t="str">
        <f t="shared" si="7"/>
        <v/>
      </c>
      <c r="L52" s="103"/>
      <c r="M52" s="93"/>
      <c r="N52" s="104" t="str">
        <f t="shared" si="8"/>
        <v/>
      </c>
      <c r="O52" s="105"/>
      <c r="P52" s="7"/>
      <c r="Q52" s="59" t="str">
        <f t="shared" si="9"/>
        <v/>
      </c>
      <c r="R52" s="72" t="str">
        <f t="shared" si="10"/>
        <v/>
      </c>
      <c r="S52" s="75"/>
      <c r="T52" s="30"/>
      <c r="U52" s="27" t="str">
        <f t="shared" si="11"/>
        <v/>
      </c>
    </row>
    <row r="53" spans="1:21" ht="25" customHeight="1">
      <c r="A53" s="144"/>
      <c r="B53" s="95"/>
      <c r="C53" s="121"/>
      <c r="D53" s="5">
        <v>12</v>
      </c>
      <c r="E53" s="7"/>
      <c r="F53" s="7"/>
      <c r="G53" s="69" t="str">
        <f t="shared" si="5"/>
        <v/>
      </c>
      <c r="H53" s="70" t="str">
        <f t="shared" si="6"/>
        <v/>
      </c>
      <c r="I53" s="7"/>
      <c r="J53" s="74"/>
      <c r="K53" s="72" t="str">
        <f t="shared" si="7"/>
        <v/>
      </c>
      <c r="L53" s="103"/>
      <c r="M53" s="93"/>
      <c r="N53" s="104" t="str">
        <f t="shared" si="8"/>
        <v/>
      </c>
      <c r="O53" s="105"/>
      <c r="P53" s="7"/>
      <c r="Q53" s="59" t="str">
        <f t="shared" si="9"/>
        <v/>
      </c>
      <c r="R53" s="72" t="str">
        <f t="shared" si="10"/>
        <v/>
      </c>
      <c r="S53" s="75"/>
      <c r="T53" s="30"/>
      <c r="U53" s="27" t="str">
        <f t="shared" si="11"/>
        <v/>
      </c>
    </row>
    <row r="54" spans="1:21" ht="25" customHeight="1">
      <c r="A54" s="144"/>
      <c r="B54" s="95"/>
      <c r="C54" s="121"/>
      <c r="D54" s="5">
        <v>13</v>
      </c>
      <c r="E54" s="7"/>
      <c r="F54" s="7"/>
      <c r="G54" s="69" t="str">
        <f t="shared" si="5"/>
        <v/>
      </c>
      <c r="H54" s="70" t="str">
        <f t="shared" si="6"/>
        <v/>
      </c>
      <c r="I54" s="7"/>
      <c r="J54" s="74"/>
      <c r="K54" s="72" t="str">
        <f t="shared" si="7"/>
        <v/>
      </c>
      <c r="L54" s="103"/>
      <c r="M54" s="93"/>
      <c r="N54" s="104" t="str">
        <f t="shared" si="8"/>
        <v/>
      </c>
      <c r="O54" s="105"/>
      <c r="P54" s="7"/>
      <c r="Q54" s="59" t="str">
        <f t="shared" si="9"/>
        <v/>
      </c>
      <c r="R54" s="72" t="str">
        <f t="shared" si="10"/>
        <v/>
      </c>
      <c r="S54" s="75"/>
      <c r="T54" s="30"/>
      <c r="U54" s="27" t="str">
        <f t="shared" si="11"/>
        <v/>
      </c>
    </row>
    <row r="55" spans="1:21" ht="25" customHeight="1">
      <c r="A55" s="144"/>
      <c r="B55" s="95"/>
      <c r="C55" s="121"/>
      <c r="D55" s="5">
        <v>14</v>
      </c>
      <c r="E55" s="7"/>
      <c r="F55" s="7"/>
      <c r="G55" s="69" t="str">
        <f t="shared" si="5"/>
        <v/>
      </c>
      <c r="H55" s="70" t="str">
        <f t="shared" si="6"/>
        <v/>
      </c>
      <c r="I55" s="7"/>
      <c r="J55" s="74"/>
      <c r="K55" s="72" t="str">
        <f t="shared" si="7"/>
        <v/>
      </c>
      <c r="L55" s="103"/>
      <c r="M55" s="93"/>
      <c r="N55" s="104" t="str">
        <f t="shared" si="8"/>
        <v/>
      </c>
      <c r="O55" s="105"/>
      <c r="P55" s="7"/>
      <c r="Q55" s="59" t="str">
        <f t="shared" si="9"/>
        <v/>
      </c>
      <c r="R55" s="72" t="str">
        <f t="shared" si="10"/>
        <v/>
      </c>
      <c r="S55" s="75"/>
      <c r="T55" s="30"/>
      <c r="U55" s="27" t="str">
        <f t="shared" si="11"/>
        <v/>
      </c>
    </row>
    <row r="56" spans="1:21" ht="25" customHeight="1">
      <c r="A56" s="144"/>
      <c r="B56" s="95"/>
      <c r="C56" s="121"/>
      <c r="D56" s="5">
        <v>15</v>
      </c>
      <c r="E56" s="7"/>
      <c r="F56" s="7"/>
      <c r="G56" s="69" t="str">
        <f t="shared" si="5"/>
        <v/>
      </c>
      <c r="H56" s="70" t="str">
        <f t="shared" si="6"/>
        <v/>
      </c>
      <c r="I56" s="7"/>
      <c r="J56" s="74"/>
      <c r="K56" s="72" t="str">
        <f t="shared" si="7"/>
        <v/>
      </c>
      <c r="L56" s="103"/>
      <c r="M56" s="93"/>
      <c r="N56" s="104" t="str">
        <f t="shared" si="8"/>
        <v/>
      </c>
      <c r="O56" s="105"/>
      <c r="P56" s="7"/>
      <c r="Q56" s="59" t="str">
        <f t="shared" si="9"/>
        <v/>
      </c>
      <c r="R56" s="72" t="str">
        <f t="shared" si="10"/>
        <v/>
      </c>
      <c r="S56" s="75"/>
      <c r="T56" s="30"/>
      <c r="U56" s="27" t="str">
        <f t="shared" si="11"/>
        <v/>
      </c>
    </row>
    <row r="57" spans="1:21" ht="25" customHeight="1">
      <c r="A57" s="144"/>
      <c r="B57" s="95"/>
      <c r="C57" s="121"/>
      <c r="D57" s="5">
        <v>16</v>
      </c>
      <c r="E57" s="7"/>
      <c r="F57" s="7"/>
      <c r="G57" s="69" t="str">
        <f t="shared" si="5"/>
        <v/>
      </c>
      <c r="H57" s="70" t="str">
        <f t="shared" si="6"/>
        <v/>
      </c>
      <c r="I57" s="7"/>
      <c r="J57" s="74"/>
      <c r="K57" s="72" t="str">
        <f t="shared" si="7"/>
        <v/>
      </c>
      <c r="L57" s="103"/>
      <c r="M57" s="93"/>
      <c r="N57" s="104" t="str">
        <f t="shared" si="8"/>
        <v/>
      </c>
      <c r="O57" s="105"/>
      <c r="P57" s="7"/>
      <c r="Q57" s="59" t="str">
        <f t="shared" si="9"/>
        <v/>
      </c>
      <c r="R57" s="72" t="str">
        <f t="shared" si="10"/>
        <v/>
      </c>
      <c r="S57" s="75"/>
      <c r="T57" s="30"/>
      <c r="U57" s="27" t="str">
        <f t="shared" si="11"/>
        <v/>
      </c>
    </row>
    <row r="58" spans="1:21" ht="25" customHeight="1">
      <c r="A58" s="144"/>
      <c r="B58" s="96"/>
      <c r="C58" s="122"/>
      <c r="D58" s="76">
        <v>17</v>
      </c>
      <c r="E58" s="77"/>
      <c r="F58" s="77"/>
      <c r="G58" s="77"/>
      <c r="H58" s="77"/>
      <c r="I58" s="77"/>
      <c r="J58" s="77" t="s">
        <v>100</v>
      </c>
      <c r="K58" s="13">
        <f>SUM(K42:K57)</f>
        <v>4.2492470708696568E-3</v>
      </c>
      <c r="L58" s="142" t="s">
        <v>101</v>
      </c>
      <c r="M58" s="124"/>
      <c r="N58" s="148">
        <f>SUM(N42:O57)</f>
        <v>0.10198192970087176</v>
      </c>
      <c r="O58" s="124"/>
      <c r="P58" s="78"/>
      <c r="Q58" s="79" t="s">
        <v>102</v>
      </c>
      <c r="R58" s="80">
        <f>SUM(R42:R57)</f>
        <v>5.5481283422459905E-3</v>
      </c>
      <c r="S58" s="81"/>
      <c r="T58" s="82" t="s">
        <v>103</v>
      </c>
      <c r="U58" s="83">
        <f>SUM(U42:U57)</f>
        <v>1.4692164179104477E-2</v>
      </c>
    </row>
    <row r="59" spans="1:21" ht="25" customHeight="1">
      <c r="A59" s="144"/>
      <c r="B59" s="19" t="s">
        <v>104</v>
      </c>
      <c r="C59" s="154" t="s">
        <v>105</v>
      </c>
      <c r="D59" s="105"/>
      <c r="E59" s="84">
        <f>IF(U6="",N58,U6*K58)</f>
        <v>0.10198192970087176</v>
      </c>
      <c r="F59" s="108" t="s">
        <v>106</v>
      </c>
      <c r="G59" s="109"/>
      <c r="H59" s="109"/>
      <c r="I59" s="109"/>
      <c r="J59" s="109"/>
      <c r="K59" s="109"/>
      <c r="L59" s="109"/>
      <c r="M59" s="109"/>
      <c r="N59" s="109"/>
      <c r="O59" s="109"/>
      <c r="P59" s="110"/>
      <c r="Q59" s="136" t="s">
        <v>107</v>
      </c>
      <c r="R59" s="137"/>
      <c r="S59" s="137"/>
      <c r="T59" s="137"/>
      <c r="U59" s="138"/>
    </row>
    <row r="60" spans="1:21" ht="25" customHeight="1">
      <c r="A60" s="144"/>
      <c r="B60" s="5" t="s">
        <v>108</v>
      </c>
      <c r="C60" s="99" t="s">
        <v>109</v>
      </c>
      <c r="D60" s="98"/>
      <c r="E60" s="85">
        <f>(K27+K40+U40+R58+U58+E59+U27)*O8</f>
        <v>0</v>
      </c>
      <c r="F60" s="100" t="s">
        <v>110</v>
      </c>
      <c r="G60" s="101"/>
      <c r="H60" s="101"/>
      <c r="I60" s="101"/>
      <c r="J60" s="101"/>
      <c r="K60" s="101"/>
      <c r="L60" s="101"/>
      <c r="M60" s="101"/>
      <c r="N60" s="101"/>
      <c r="O60" s="101"/>
      <c r="P60" s="98"/>
      <c r="Q60" s="164" t="s">
        <v>111</v>
      </c>
      <c r="R60" s="165"/>
      <c r="S60" s="168"/>
      <c r="T60" s="169"/>
      <c r="U60" s="170"/>
    </row>
    <row r="61" spans="1:21" ht="25" customHeight="1">
      <c r="A61" s="144"/>
      <c r="B61" s="5" t="s">
        <v>112</v>
      </c>
      <c r="C61" s="99" t="s">
        <v>113</v>
      </c>
      <c r="D61" s="98"/>
      <c r="E61" s="85">
        <f>(K27+U27)*0.15+(E59+R58+U58)*0.08</f>
        <v>6.3072777777777783E-2</v>
      </c>
      <c r="F61" s="100" t="s">
        <v>114</v>
      </c>
      <c r="G61" s="101"/>
      <c r="H61" s="101"/>
      <c r="I61" s="101"/>
      <c r="J61" s="101"/>
      <c r="K61" s="101"/>
      <c r="L61" s="101"/>
      <c r="M61" s="101"/>
      <c r="N61" s="101"/>
      <c r="O61" s="101"/>
      <c r="P61" s="98"/>
      <c r="Q61" s="102" t="s">
        <v>115</v>
      </c>
      <c r="R61" s="101"/>
      <c r="S61" s="157"/>
      <c r="T61" s="146"/>
      <c r="U61" s="158"/>
    </row>
    <row r="62" spans="1:21" ht="25" customHeight="1">
      <c r="A62" s="144"/>
      <c r="B62" s="5" t="s">
        <v>116</v>
      </c>
      <c r="C62" s="99" t="s">
        <v>117</v>
      </c>
      <c r="D62" s="98"/>
      <c r="E62" s="86">
        <v>0.27</v>
      </c>
      <c r="F62" s="100" t="s">
        <v>118</v>
      </c>
      <c r="G62" s="101"/>
      <c r="H62" s="101"/>
      <c r="I62" s="101"/>
      <c r="J62" s="101"/>
      <c r="K62" s="101"/>
      <c r="L62" s="101"/>
      <c r="M62" s="101"/>
      <c r="N62" s="101"/>
      <c r="O62" s="101"/>
      <c r="P62" s="98"/>
      <c r="Q62" s="102" t="s">
        <v>119</v>
      </c>
      <c r="R62" s="101"/>
      <c r="S62" s="157"/>
      <c r="T62" s="146"/>
      <c r="U62" s="158"/>
    </row>
    <row r="63" spans="1:21" ht="25" customHeight="1">
      <c r="A63" s="144"/>
      <c r="B63" s="5" t="s">
        <v>120</v>
      </c>
      <c r="C63" s="99" t="s">
        <v>121</v>
      </c>
      <c r="D63" s="98"/>
      <c r="E63" s="87">
        <v>0.13</v>
      </c>
      <c r="F63" s="100" t="s">
        <v>122</v>
      </c>
      <c r="G63" s="101"/>
      <c r="H63" s="101"/>
      <c r="I63" s="101"/>
      <c r="J63" s="101"/>
      <c r="K63" s="101"/>
      <c r="L63" s="101"/>
      <c r="M63" s="101"/>
      <c r="N63" s="101"/>
      <c r="O63" s="101"/>
      <c r="P63" s="98"/>
      <c r="Q63" s="115"/>
      <c r="R63" s="116"/>
      <c r="S63" s="117"/>
      <c r="T63" s="118"/>
      <c r="U63" s="119"/>
    </row>
    <row r="64" spans="1:21" ht="25" customHeight="1">
      <c r="A64" s="144"/>
      <c r="B64" s="5" t="s">
        <v>123</v>
      </c>
      <c r="C64" s="99" t="s">
        <v>124</v>
      </c>
      <c r="D64" s="98"/>
      <c r="E64" s="88">
        <f>K27+U27+K40+R58+U58+E59+E60+E61+E62+E63+U40-S60</f>
        <v>2.6302123016811692</v>
      </c>
      <c r="F64" s="100" t="s">
        <v>125</v>
      </c>
      <c r="G64" s="101"/>
      <c r="H64" s="101"/>
      <c r="I64" s="101"/>
      <c r="J64" s="101"/>
      <c r="K64" s="101"/>
      <c r="L64" s="101"/>
      <c r="M64" s="101"/>
      <c r="N64" s="101"/>
      <c r="O64" s="101"/>
      <c r="P64" s="98"/>
      <c r="Q64" s="161" t="s">
        <v>126</v>
      </c>
      <c r="R64" s="162"/>
      <c r="S64" s="162"/>
      <c r="T64" s="162"/>
      <c r="U64" s="163"/>
    </row>
    <row r="65" spans="1:21" ht="25" customHeight="1">
      <c r="A65" s="144"/>
      <c r="B65" s="5" t="s">
        <v>127</v>
      </c>
      <c r="C65" s="99" t="s">
        <v>128</v>
      </c>
      <c r="D65" s="98"/>
      <c r="E65" s="89">
        <v>0.08</v>
      </c>
      <c r="F65" s="100" t="s">
        <v>129</v>
      </c>
      <c r="G65" s="101"/>
      <c r="H65" s="101"/>
      <c r="I65" s="101"/>
      <c r="J65" s="101"/>
      <c r="K65" s="101"/>
      <c r="L65" s="101"/>
      <c r="M65" s="101"/>
      <c r="N65" s="101"/>
      <c r="O65" s="101"/>
      <c r="P65" s="98"/>
      <c r="Q65" s="173"/>
      <c r="R65" s="174"/>
      <c r="S65" s="174"/>
      <c r="T65" s="174"/>
      <c r="U65" s="175"/>
    </row>
    <row r="66" spans="1:21" ht="25" customHeight="1">
      <c r="A66" s="144"/>
      <c r="B66" s="5" t="s">
        <v>130</v>
      </c>
      <c r="C66" s="99" t="s">
        <v>131</v>
      </c>
      <c r="D66" s="98"/>
      <c r="E66" s="85">
        <f>(E64-K40)*E65</f>
        <v>7.5247599999999984E-2</v>
      </c>
      <c r="F66" s="100" t="s">
        <v>132</v>
      </c>
      <c r="G66" s="101"/>
      <c r="H66" s="101"/>
      <c r="I66" s="101"/>
      <c r="J66" s="101"/>
      <c r="K66" s="101"/>
      <c r="L66" s="101"/>
      <c r="M66" s="101"/>
      <c r="N66" s="101"/>
      <c r="O66" s="101"/>
      <c r="P66" s="98"/>
      <c r="Q66" s="174"/>
      <c r="R66" s="174"/>
      <c r="S66" s="174"/>
      <c r="T66" s="174"/>
      <c r="U66" s="175"/>
    </row>
    <row r="67" spans="1:21" ht="25" customHeight="1">
      <c r="A67" s="144"/>
      <c r="B67" s="5" t="s">
        <v>133</v>
      </c>
      <c r="C67" s="99" t="s">
        <v>134</v>
      </c>
      <c r="D67" s="98"/>
      <c r="E67" s="85">
        <f>E64+E66</f>
        <v>2.7054599016811691</v>
      </c>
      <c r="F67" s="100" t="s">
        <v>135</v>
      </c>
      <c r="G67" s="101"/>
      <c r="H67" s="101"/>
      <c r="I67" s="101"/>
      <c r="J67" s="101"/>
      <c r="K67" s="101"/>
      <c r="L67" s="101"/>
      <c r="M67" s="101"/>
      <c r="N67" s="101"/>
      <c r="O67" s="101"/>
      <c r="P67" s="98"/>
      <c r="Q67" s="174"/>
      <c r="R67" s="174"/>
      <c r="S67" s="174"/>
      <c r="T67" s="174"/>
      <c r="U67" s="175"/>
    </row>
    <row r="68" spans="1:21" ht="25" customHeight="1">
      <c r="A68" s="144"/>
      <c r="B68" s="5" t="s">
        <v>136</v>
      </c>
      <c r="C68" s="99" t="s">
        <v>137</v>
      </c>
      <c r="D68" s="98"/>
      <c r="E68" s="85">
        <f>E67*0.13</f>
        <v>0.35170978721855201</v>
      </c>
      <c r="F68" s="100" t="s">
        <v>138</v>
      </c>
      <c r="G68" s="101"/>
      <c r="H68" s="101"/>
      <c r="I68" s="101"/>
      <c r="J68" s="101"/>
      <c r="K68" s="101"/>
      <c r="L68" s="101"/>
      <c r="M68" s="101"/>
      <c r="N68" s="101"/>
      <c r="O68" s="101"/>
      <c r="P68" s="98"/>
      <c r="Q68" s="174"/>
      <c r="R68" s="174"/>
      <c r="S68" s="174"/>
      <c r="T68" s="174"/>
      <c r="U68" s="175"/>
    </row>
    <row r="69" spans="1:21" ht="25" customHeight="1">
      <c r="A69" s="144"/>
      <c r="B69" s="76" t="s">
        <v>139</v>
      </c>
      <c r="C69" s="126" t="s">
        <v>140</v>
      </c>
      <c r="D69" s="127"/>
      <c r="E69" s="90">
        <f>E67+E68</f>
        <v>3.0571696888997213</v>
      </c>
      <c r="F69" s="159" t="s">
        <v>141</v>
      </c>
      <c r="G69" s="116"/>
      <c r="H69" s="116"/>
      <c r="I69" s="116"/>
      <c r="J69" s="116"/>
      <c r="K69" s="116"/>
      <c r="L69" s="116"/>
      <c r="M69" s="116"/>
      <c r="N69" s="116"/>
      <c r="O69" s="116"/>
      <c r="P69" s="127"/>
      <c r="Q69" s="176"/>
      <c r="R69" s="176"/>
      <c r="S69" s="176"/>
      <c r="T69" s="176"/>
      <c r="U69" s="177"/>
    </row>
  </sheetData>
  <sheetProtection sheet="1" objects="1"/>
  <mergeCells count="119">
    <mergeCell ref="M4:N4"/>
    <mergeCell ref="B2:U2"/>
    <mergeCell ref="B28:B40"/>
    <mergeCell ref="O4:P4"/>
    <mergeCell ref="C59:D59"/>
    <mergeCell ref="B41:B58"/>
    <mergeCell ref="A1:A69"/>
    <mergeCell ref="E6:F6"/>
    <mergeCell ref="F66:P66"/>
    <mergeCell ref="L58:M58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F65:P65"/>
    <mergeCell ref="B3:U3"/>
    <mergeCell ref="H5:K5"/>
    <mergeCell ref="N56:O56"/>
    <mergeCell ref="L43:M43"/>
    <mergeCell ref="N43:O43"/>
    <mergeCell ref="R7:S7"/>
    <mergeCell ref="O5:P5"/>
    <mergeCell ref="C65:D65"/>
    <mergeCell ref="N58:O58"/>
    <mergeCell ref="S27:T27"/>
    <mergeCell ref="R4:S4"/>
    <mergeCell ref="Q64:U64"/>
    <mergeCell ref="M28:M40"/>
    <mergeCell ref="L55:M55"/>
    <mergeCell ref="Q60:R60"/>
    <mergeCell ref="H4:K4"/>
    <mergeCell ref="C9:C27"/>
    <mergeCell ref="L51:M51"/>
    <mergeCell ref="M6:N6"/>
    <mergeCell ref="L54:M54"/>
    <mergeCell ref="H6:K6"/>
    <mergeCell ref="S60:U60"/>
    <mergeCell ref="D28:K28"/>
    <mergeCell ref="N57:O57"/>
    <mergeCell ref="C69:D69"/>
    <mergeCell ref="R8:S8"/>
    <mergeCell ref="M9:M27"/>
    <mergeCell ref="C5:D5"/>
    <mergeCell ref="N50:O50"/>
    <mergeCell ref="E5:F5"/>
    <mergeCell ref="F63:P63"/>
    <mergeCell ref="L57:M57"/>
    <mergeCell ref="N51:O51"/>
    <mergeCell ref="H8:K8"/>
    <mergeCell ref="L42:M42"/>
    <mergeCell ref="N42:O42"/>
    <mergeCell ref="N52:O52"/>
    <mergeCell ref="M7:N7"/>
    <mergeCell ref="N44:O44"/>
    <mergeCell ref="C60:D60"/>
    <mergeCell ref="F62:P62"/>
    <mergeCell ref="Q59:U59"/>
    <mergeCell ref="L44:M44"/>
    <mergeCell ref="C8:D8"/>
    <mergeCell ref="F61:P61"/>
    <mergeCell ref="L46:M46"/>
    <mergeCell ref="C66:D66"/>
    <mergeCell ref="C41:C58"/>
    <mergeCell ref="B4:B8"/>
    <mergeCell ref="R6:S6"/>
    <mergeCell ref="Q63:R63"/>
    <mergeCell ref="L45:M45"/>
    <mergeCell ref="N48:O48"/>
    <mergeCell ref="S63:U63"/>
    <mergeCell ref="C28:C40"/>
    <mergeCell ref="M8:N8"/>
    <mergeCell ref="O8:P8"/>
    <mergeCell ref="F60:P60"/>
    <mergeCell ref="C4:D4"/>
    <mergeCell ref="E4:F4"/>
    <mergeCell ref="N55:O55"/>
    <mergeCell ref="L48:M48"/>
    <mergeCell ref="N54:O54"/>
    <mergeCell ref="N41:O41"/>
    <mergeCell ref="M5:N5"/>
    <mergeCell ref="L47:M47"/>
    <mergeCell ref="H40:I40"/>
    <mergeCell ref="L41:M41"/>
    <mergeCell ref="N28:U28"/>
    <mergeCell ref="H27:I27"/>
    <mergeCell ref="L56:M56"/>
    <mergeCell ref="L49:M49"/>
    <mergeCell ref="O7:P7"/>
    <mergeCell ref="L28:L40"/>
    <mergeCell ref="C6:D6"/>
    <mergeCell ref="C62:D62"/>
    <mergeCell ref="O6:P6"/>
    <mergeCell ref="F68:P68"/>
    <mergeCell ref="Q62:R62"/>
    <mergeCell ref="L53:M53"/>
    <mergeCell ref="C64:D64"/>
    <mergeCell ref="N53:O53"/>
    <mergeCell ref="E8:F8"/>
    <mergeCell ref="C63:D63"/>
    <mergeCell ref="N46:O46"/>
    <mergeCell ref="F59:P59"/>
    <mergeCell ref="C67:D67"/>
    <mergeCell ref="F64:P64"/>
    <mergeCell ref="C68:D68"/>
    <mergeCell ref="Q65:U69"/>
    <mergeCell ref="F67:P67"/>
    <mergeCell ref="N49:O49"/>
    <mergeCell ref="H7:K7"/>
    <mergeCell ref="S61:U61"/>
  </mergeCells>
  <pageMargins left="0.75" right="0.75" top="1" bottom="1" header="0.5" footer="0.5"/>
  <pageSetup paperSize="9" scale="3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69"/>
  <sheetViews>
    <sheetView tabSelected="1" workbookViewId="0">
      <selection activeCell="G20" sqref="G20"/>
    </sheetView>
  </sheetViews>
  <sheetFormatPr baseColWidth="10" defaultColWidth="9" defaultRowHeight="13"/>
  <cols>
    <col min="1" max="1" width="3.6640625" style="1" customWidth="1"/>
    <col min="2" max="2" width="4.83203125" style="1" customWidth="1"/>
    <col min="3" max="3" width="5.83203125" style="1" customWidth="1"/>
    <col min="4" max="4" width="5.6640625" style="1" customWidth="1"/>
    <col min="5" max="6" width="16.1640625" style="1" customWidth="1"/>
    <col min="7" max="7" width="11.33203125" style="1" customWidth="1"/>
    <col min="8" max="8" width="8.83203125" style="1" customWidth="1"/>
    <col min="9" max="9" width="9.1640625" style="1" customWidth="1"/>
    <col min="10" max="10" width="12.6640625" style="1" customWidth="1"/>
    <col min="11" max="11" width="8.6640625" style="1" customWidth="1"/>
    <col min="12" max="12" width="5.1640625" style="1" customWidth="1"/>
    <col min="13" max="13" width="5.83203125" style="1" customWidth="1"/>
    <col min="14" max="14" width="4.6640625" style="1" customWidth="1"/>
    <col min="15" max="15" width="14.5" style="1" customWidth="1"/>
    <col min="16" max="16" width="12.6640625" style="1" customWidth="1"/>
    <col min="17" max="18" width="11" style="1" customWidth="1"/>
    <col min="19" max="19" width="11.1640625" style="1" customWidth="1"/>
    <col min="20" max="20" width="13.5" style="1" customWidth="1"/>
    <col min="21" max="21" width="11.33203125" style="1" customWidth="1"/>
    <col min="22" max="22" width="9" style="1" customWidth="1"/>
    <col min="23" max="16384" width="9" style="1"/>
  </cols>
  <sheetData>
    <row r="1" spans="1:21">
      <c r="A1" s="156"/>
    </row>
    <row r="2" spans="1:21" ht="40" customHeight="1">
      <c r="A2" s="144"/>
      <c r="B2" s="149" t="s">
        <v>0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1"/>
    </row>
    <row r="3" spans="1:21" ht="31" customHeight="1">
      <c r="A3" s="144"/>
      <c r="B3" s="143" t="s">
        <v>1</v>
      </c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5"/>
    </row>
    <row r="4" spans="1:21" ht="28" customHeight="1">
      <c r="A4" s="144"/>
      <c r="B4" s="111" t="s">
        <v>2</v>
      </c>
      <c r="C4" s="130" t="s">
        <v>3</v>
      </c>
      <c r="D4" s="110"/>
      <c r="E4" s="131" t="s">
        <v>4</v>
      </c>
      <c r="F4" s="132"/>
      <c r="G4" s="3" t="s">
        <v>5</v>
      </c>
      <c r="H4" s="131">
        <v>3000</v>
      </c>
      <c r="I4" s="166"/>
      <c r="J4" s="166"/>
      <c r="K4" s="132"/>
      <c r="L4" s="111" t="s">
        <v>6</v>
      </c>
      <c r="M4" s="130" t="s">
        <v>7</v>
      </c>
      <c r="N4" s="110"/>
      <c r="O4" s="153" t="s">
        <v>142</v>
      </c>
      <c r="P4" s="132"/>
      <c r="Q4" s="3" t="s">
        <v>9</v>
      </c>
      <c r="R4" s="160" t="s">
        <v>10</v>
      </c>
      <c r="S4" s="132"/>
      <c r="T4" s="2" t="s">
        <v>11</v>
      </c>
      <c r="U4" s="4">
        <v>2.8E-3</v>
      </c>
    </row>
    <row r="5" spans="1:21" ht="28" customHeight="1">
      <c r="A5" s="144"/>
      <c r="B5" s="112"/>
      <c r="C5" s="97" t="s">
        <v>12</v>
      </c>
      <c r="D5" s="98"/>
      <c r="E5" s="129" t="s">
        <v>13</v>
      </c>
      <c r="F5" s="93"/>
      <c r="G5" s="8" t="s">
        <v>14</v>
      </c>
      <c r="H5" s="129">
        <v>120</v>
      </c>
      <c r="I5" s="146"/>
      <c r="J5" s="146"/>
      <c r="K5" s="93"/>
      <c r="L5" s="112"/>
      <c r="M5" s="97" t="s">
        <v>15</v>
      </c>
      <c r="N5" s="98"/>
      <c r="O5" s="147" t="s">
        <v>143</v>
      </c>
      <c r="P5" s="93"/>
      <c r="Q5" s="6" t="s">
        <v>17</v>
      </c>
      <c r="R5" s="114" t="s">
        <v>18</v>
      </c>
      <c r="S5" s="93"/>
      <c r="T5" s="6" t="s">
        <v>19</v>
      </c>
      <c r="U5" s="9">
        <v>3.7200000000000002E-3</v>
      </c>
    </row>
    <row r="6" spans="1:21" ht="28" customHeight="1">
      <c r="A6" s="144"/>
      <c r="B6" s="112"/>
      <c r="C6" s="97" t="s">
        <v>20</v>
      </c>
      <c r="D6" s="98"/>
      <c r="E6" s="129" t="s">
        <v>21</v>
      </c>
      <c r="F6" s="93"/>
      <c r="G6" s="8" t="s">
        <v>22</v>
      </c>
      <c r="H6" s="129">
        <v>50</v>
      </c>
      <c r="I6" s="146"/>
      <c r="J6" s="146"/>
      <c r="K6" s="93"/>
      <c r="L6" s="112"/>
      <c r="M6" s="167" t="s">
        <v>23</v>
      </c>
      <c r="N6" s="98"/>
      <c r="O6" s="92">
        <v>3.5510999999999999</v>
      </c>
      <c r="P6" s="93"/>
      <c r="Q6" s="6" t="s">
        <v>17</v>
      </c>
      <c r="R6" s="114" t="s">
        <v>18</v>
      </c>
      <c r="S6" s="93"/>
      <c r="T6" s="8" t="s">
        <v>24</v>
      </c>
      <c r="U6" s="11"/>
    </row>
    <row r="7" spans="1:21" ht="28" customHeight="1">
      <c r="A7" s="144"/>
      <c r="B7" s="112"/>
      <c r="C7" s="97" t="s">
        <v>25</v>
      </c>
      <c r="D7" s="98"/>
      <c r="E7" s="129" t="s">
        <v>26</v>
      </c>
      <c r="F7" s="93"/>
      <c r="G7" s="6" t="s">
        <v>27</v>
      </c>
      <c r="H7" s="129" t="s">
        <v>28</v>
      </c>
      <c r="I7" s="146"/>
      <c r="J7" s="146"/>
      <c r="K7" s="93"/>
      <c r="L7" s="112"/>
      <c r="M7" s="97" t="s">
        <v>29</v>
      </c>
      <c r="N7" s="98"/>
      <c r="O7" s="92">
        <v>3</v>
      </c>
      <c r="P7" s="93"/>
      <c r="Q7" s="6" t="s">
        <v>30</v>
      </c>
      <c r="R7" s="114" t="s">
        <v>18</v>
      </c>
      <c r="S7" s="93"/>
      <c r="T7" s="8" t="s">
        <v>31</v>
      </c>
      <c r="U7" s="9">
        <v>1</v>
      </c>
    </row>
    <row r="8" spans="1:21" ht="28" customHeight="1">
      <c r="A8" s="144"/>
      <c r="B8" s="113"/>
      <c r="C8" s="139" t="s">
        <v>32</v>
      </c>
      <c r="D8" s="124"/>
      <c r="E8" s="106">
        <v>13735526664</v>
      </c>
      <c r="F8" s="107"/>
      <c r="G8" s="13" t="s">
        <v>33</v>
      </c>
      <c r="H8" s="106" t="s">
        <v>34</v>
      </c>
      <c r="I8" s="133"/>
      <c r="J8" s="133"/>
      <c r="K8" s="107"/>
      <c r="L8" s="113"/>
      <c r="M8" s="123" t="s">
        <v>35</v>
      </c>
      <c r="N8" s="124"/>
      <c r="O8" s="125">
        <v>0</v>
      </c>
      <c r="P8" s="107"/>
      <c r="Q8" s="13" t="s">
        <v>36</v>
      </c>
      <c r="R8" s="128" t="s">
        <v>18</v>
      </c>
      <c r="S8" s="107"/>
      <c r="T8" s="15" t="s">
        <v>37</v>
      </c>
      <c r="U8" s="14">
        <v>300</v>
      </c>
    </row>
    <row r="9" spans="1:21" ht="25" customHeight="1">
      <c r="A9" s="144"/>
      <c r="B9" s="152" t="s">
        <v>38</v>
      </c>
      <c r="C9" s="120" t="s">
        <v>39</v>
      </c>
      <c r="D9" s="16" t="s">
        <v>40</v>
      </c>
      <c r="E9" s="17" t="s">
        <v>41</v>
      </c>
      <c r="F9" s="17" t="s">
        <v>42</v>
      </c>
      <c r="G9" s="17" t="s">
        <v>43</v>
      </c>
      <c r="H9" s="17" t="s">
        <v>44</v>
      </c>
      <c r="I9" s="17" t="s">
        <v>45</v>
      </c>
      <c r="J9" s="17" t="s">
        <v>46</v>
      </c>
      <c r="K9" s="18" t="s">
        <v>47</v>
      </c>
      <c r="L9" s="94" t="s">
        <v>48</v>
      </c>
      <c r="M9" s="120" t="s">
        <v>49</v>
      </c>
      <c r="N9" s="16" t="s">
        <v>40</v>
      </c>
      <c r="O9" s="17" t="s">
        <v>41</v>
      </c>
      <c r="P9" s="17" t="s">
        <v>42</v>
      </c>
      <c r="Q9" s="17" t="s">
        <v>43</v>
      </c>
      <c r="R9" s="17" t="s">
        <v>44</v>
      </c>
      <c r="S9" s="17" t="s">
        <v>45</v>
      </c>
      <c r="T9" s="17" t="s">
        <v>46</v>
      </c>
      <c r="U9" s="18" t="s">
        <v>50</v>
      </c>
    </row>
    <row r="10" spans="1:21" ht="25" customHeight="1">
      <c r="A10" s="144"/>
      <c r="B10" s="95"/>
      <c r="C10" s="121"/>
      <c r="D10" s="19">
        <v>1</v>
      </c>
      <c r="E10" s="20" t="s">
        <v>144</v>
      </c>
      <c r="F10" s="21" t="s">
        <v>145</v>
      </c>
      <c r="G10" s="22" t="s">
        <v>52</v>
      </c>
      <c r="H10" s="22">
        <v>3.8E-3</v>
      </c>
      <c r="I10" s="23">
        <v>0.1</v>
      </c>
      <c r="J10" s="22">
        <v>20</v>
      </c>
      <c r="K10" s="24">
        <f>IF(J10="","",J10*H10*(1+I10))</f>
        <v>8.3600000000000008E-2</v>
      </c>
      <c r="L10" s="95"/>
      <c r="M10" s="121"/>
      <c r="N10" s="19">
        <v>1</v>
      </c>
      <c r="O10" s="25"/>
      <c r="P10" s="26"/>
      <c r="Q10" s="22"/>
      <c r="R10" s="22"/>
      <c r="S10" s="91"/>
      <c r="T10" s="22"/>
      <c r="U10" s="27" t="str">
        <f t="shared" ref="U10:U26" si="0">IF(T10="","",T10*R10*(1+S10))</f>
        <v/>
      </c>
    </row>
    <row r="11" spans="1:21" ht="25" customHeight="1">
      <c r="A11" s="144"/>
      <c r="B11" s="95"/>
      <c r="C11" s="121"/>
      <c r="D11" s="5">
        <v>2</v>
      </c>
      <c r="E11" s="28" t="s">
        <v>53</v>
      </c>
      <c r="F11" s="28" t="s">
        <v>145</v>
      </c>
      <c r="G11" s="29" t="s">
        <v>52</v>
      </c>
      <c r="H11" s="29">
        <v>1.4999999999999999E-2</v>
      </c>
      <c r="I11" s="30">
        <v>0.1</v>
      </c>
      <c r="J11" s="29">
        <v>20</v>
      </c>
      <c r="K11" s="31">
        <f>IF(J11="","",J11*H11*(1+I11))</f>
        <v>0.33</v>
      </c>
      <c r="L11" s="95"/>
      <c r="M11" s="121"/>
      <c r="N11" s="5">
        <v>2</v>
      </c>
      <c r="O11" s="32"/>
      <c r="P11" s="28"/>
      <c r="Q11" s="29"/>
      <c r="R11" s="29"/>
      <c r="S11" s="33"/>
      <c r="T11" s="29"/>
      <c r="U11" s="34" t="str">
        <f t="shared" si="0"/>
        <v/>
      </c>
    </row>
    <row r="12" spans="1:21" ht="25" customHeight="1">
      <c r="A12" s="144"/>
      <c r="B12" s="95"/>
      <c r="C12" s="121"/>
      <c r="D12" s="5">
        <v>3</v>
      </c>
      <c r="E12" s="28"/>
      <c r="F12" s="28"/>
      <c r="G12" s="29"/>
      <c r="H12" s="29"/>
      <c r="I12" s="30"/>
      <c r="J12" s="29"/>
      <c r="K12" s="31" t="str">
        <f>IF(J12="","",J12*H12*(1+I12))</f>
        <v/>
      </c>
      <c r="L12" s="95"/>
      <c r="M12" s="121"/>
      <c r="N12" s="5">
        <v>3</v>
      </c>
      <c r="O12" s="32"/>
      <c r="P12" s="28"/>
      <c r="Q12" s="29"/>
      <c r="R12" s="29"/>
      <c r="S12" s="33"/>
      <c r="T12" s="29"/>
      <c r="U12" s="34" t="str">
        <f t="shared" si="0"/>
        <v/>
      </c>
    </row>
    <row r="13" spans="1:21" ht="25" customHeight="1">
      <c r="A13" s="144"/>
      <c r="B13" s="95"/>
      <c r="C13" s="121"/>
      <c r="D13" s="5">
        <v>4</v>
      </c>
      <c r="E13" s="28"/>
      <c r="F13" s="28"/>
      <c r="G13" s="29"/>
      <c r="I13" s="30"/>
      <c r="J13" s="10"/>
      <c r="K13" s="31" t="str">
        <f>IF(J13="","",J13*G13*(1+I13))</f>
        <v/>
      </c>
      <c r="L13" s="95"/>
      <c r="M13" s="121"/>
      <c r="N13" s="5">
        <v>4</v>
      </c>
      <c r="O13" s="32"/>
      <c r="P13" s="28"/>
      <c r="Q13" s="29"/>
      <c r="R13" s="29"/>
      <c r="S13" s="33"/>
      <c r="T13" s="29"/>
      <c r="U13" s="34" t="str">
        <f t="shared" si="0"/>
        <v/>
      </c>
    </row>
    <row r="14" spans="1:21" ht="25" customHeight="1">
      <c r="A14" s="144"/>
      <c r="B14" s="95"/>
      <c r="C14" s="121"/>
      <c r="D14" s="5">
        <v>5</v>
      </c>
      <c r="E14" s="28"/>
      <c r="F14" s="28"/>
      <c r="G14" s="29"/>
      <c r="H14" s="10"/>
      <c r="I14" s="29"/>
      <c r="J14" s="30"/>
      <c r="K14" s="31" t="str">
        <f t="shared" ref="K14:K26" si="1">IF(J14="","",J14*H14*(1+I14))</f>
        <v/>
      </c>
      <c r="L14" s="95"/>
      <c r="M14" s="121"/>
      <c r="N14" s="5">
        <v>5</v>
      </c>
      <c r="O14" s="32"/>
      <c r="P14" s="28"/>
      <c r="Q14" s="29"/>
      <c r="R14" s="29"/>
      <c r="S14" s="33"/>
      <c r="T14" s="29"/>
      <c r="U14" s="34" t="str">
        <f t="shared" si="0"/>
        <v/>
      </c>
    </row>
    <row r="15" spans="1:21" ht="25" customHeight="1">
      <c r="A15" s="144"/>
      <c r="B15" s="95"/>
      <c r="C15" s="121"/>
      <c r="D15" s="5">
        <v>6</v>
      </c>
      <c r="E15" s="28"/>
      <c r="F15" s="28"/>
      <c r="G15" s="29"/>
      <c r="H15" s="10"/>
      <c r="I15" s="29"/>
      <c r="J15" s="30"/>
      <c r="K15" s="31" t="str">
        <f t="shared" si="1"/>
        <v/>
      </c>
      <c r="L15" s="95"/>
      <c r="M15" s="121"/>
      <c r="N15" s="5">
        <v>6</v>
      </c>
      <c r="O15" s="32"/>
      <c r="P15" s="28"/>
      <c r="Q15" s="29"/>
      <c r="R15" s="29"/>
      <c r="S15" s="33"/>
      <c r="T15" s="29"/>
      <c r="U15" s="34" t="str">
        <f t="shared" si="0"/>
        <v/>
      </c>
    </row>
    <row r="16" spans="1:21" ht="25" customHeight="1">
      <c r="A16" s="144"/>
      <c r="B16" s="95"/>
      <c r="C16" s="121"/>
      <c r="D16" s="5">
        <v>7</v>
      </c>
      <c r="E16" s="28"/>
      <c r="F16" s="28"/>
      <c r="G16" s="29"/>
      <c r="H16" s="10"/>
      <c r="I16" s="29"/>
      <c r="J16" s="30"/>
      <c r="K16" s="31" t="str">
        <f t="shared" si="1"/>
        <v/>
      </c>
      <c r="L16" s="95"/>
      <c r="M16" s="121"/>
      <c r="N16" s="5">
        <v>7</v>
      </c>
      <c r="O16" s="32"/>
      <c r="P16" s="28"/>
      <c r="Q16" s="29"/>
      <c r="R16" s="29"/>
      <c r="S16" s="33"/>
      <c r="T16" s="29"/>
      <c r="U16" s="34" t="str">
        <f t="shared" si="0"/>
        <v/>
      </c>
    </row>
    <row r="17" spans="1:21" ht="25" customHeight="1">
      <c r="A17" s="144"/>
      <c r="B17" s="95"/>
      <c r="C17" s="121"/>
      <c r="D17" s="5">
        <v>8</v>
      </c>
      <c r="E17" s="28"/>
      <c r="F17" s="28"/>
      <c r="G17" s="29"/>
      <c r="H17" s="10"/>
      <c r="I17" s="29"/>
      <c r="J17" s="30"/>
      <c r="K17" s="31" t="str">
        <f t="shared" si="1"/>
        <v/>
      </c>
      <c r="L17" s="95"/>
      <c r="M17" s="121"/>
      <c r="N17" s="5">
        <v>8</v>
      </c>
      <c r="O17" s="32"/>
      <c r="P17" s="28"/>
      <c r="Q17" s="29"/>
      <c r="R17" s="29"/>
      <c r="S17" s="33"/>
      <c r="T17" s="29"/>
      <c r="U17" s="34" t="str">
        <f t="shared" si="0"/>
        <v/>
      </c>
    </row>
    <row r="18" spans="1:21" ht="25" customHeight="1">
      <c r="A18" s="144"/>
      <c r="B18" s="95"/>
      <c r="C18" s="121"/>
      <c r="D18" s="5">
        <v>9</v>
      </c>
      <c r="E18" s="28"/>
      <c r="F18" s="28"/>
      <c r="G18" s="29"/>
      <c r="H18" s="29"/>
      <c r="I18" s="29"/>
      <c r="J18" s="30"/>
      <c r="K18" s="31" t="str">
        <f t="shared" si="1"/>
        <v/>
      </c>
      <c r="L18" s="95"/>
      <c r="M18" s="121"/>
      <c r="N18" s="5">
        <v>9</v>
      </c>
      <c r="O18" s="32"/>
      <c r="P18" s="28"/>
      <c r="Q18" s="29"/>
      <c r="R18" s="29"/>
      <c r="S18" s="33"/>
      <c r="T18" s="29"/>
      <c r="U18" s="34" t="str">
        <f t="shared" si="0"/>
        <v/>
      </c>
    </row>
    <row r="19" spans="1:21" ht="25" customHeight="1">
      <c r="A19" s="144"/>
      <c r="B19" s="95"/>
      <c r="C19" s="121"/>
      <c r="D19" s="5">
        <v>10</v>
      </c>
      <c r="E19" s="28"/>
      <c r="F19" s="28"/>
      <c r="G19" s="29"/>
      <c r="H19" s="29"/>
      <c r="I19" s="29"/>
      <c r="J19" s="30"/>
      <c r="K19" s="31" t="str">
        <f t="shared" si="1"/>
        <v/>
      </c>
      <c r="L19" s="95"/>
      <c r="M19" s="121"/>
      <c r="N19" s="5">
        <v>10</v>
      </c>
      <c r="O19" s="32"/>
      <c r="P19" s="28"/>
      <c r="Q19" s="29"/>
      <c r="R19" s="29"/>
      <c r="S19" s="33"/>
      <c r="T19" s="29"/>
      <c r="U19" s="34" t="str">
        <f t="shared" si="0"/>
        <v/>
      </c>
    </row>
    <row r="20" spans="1:21" ht="25" customHeight="1">
      <c r="A20" s="144"/>
      <c r="B20" s="95"/>
      <c r="C20" s="121"/>
      <c r="D20" s="5">
        <v>11</v>
      </c>
      <c r="E20" s="28"/>
      <c r="F20" s="28"/>
      <c r="G20" s="29"/>
      <c r="H20" s="29"/>
      <c r="I20" s="29"/>
      <c r="J20" s="30"/>
      <c r="K20" s="31" t="str">
        <f t="shared" si="1"/>
        <v/>
      </c>
      <c r="L20" s="95"/>
      <c r="M20" s="121"/>
      <c r="N20" s="5">
        <v>11</v>
      </c>
      <c r="O20" s="32"/>
      <c r="P20" s="35"/>
      <c r="Q20" s="36"/>
      <c r="R20" s="29"/>
      <c r="S20" s="33"/>
      <c r="T20" s="29"/>
      <c r="U20" s="34" t="str">
        <f t="shared" si="0"/>
        <v/>
      </c>
    </row>
    <row r="21" spans="1:21" ht="25" customHeight="1">
      <c r="A21" s="144"/>
      <c r="B21" s="95"/>
      <c r="C21" s="121"/>
      <c r="D21" s="5">
        <v>12</v>
      </c>
      <c r="E21" s="37"/>
      <c r="F21" s="37"/>
      <c r="G21" s="7"/>
      <c r="H21" s="29"/>
      <c r="I21" s="29"/>
      <c r="J21" s="30"/>
      <c r="K21" s="31" t="str">
        <f t="shared" si="1"/>
        <v/>
      </c>
      <c r="L21" s="95"/>
      <c r="M21" s="121"/>
      <c r="N21" s="5">
        <v>12</v>
      </c>
      <c r="O21" s="32"/>
      <c r="P21" s="35"/>
      <c r="Q21" s="36"/>
      <c r="R21" s="29"/>
      <c r="S21" s="33"/>
      <c r="T21" s="29"/>
      <c r="U21" s="34" t="str">
        <f t="shared" si="0"/>
        <v/>
      </c>
    </row>
    <row r="22" spans="1:21" ht="25" customHeight="1">
      <c r="A22" s="144"/>
      <c r="B22" s="95"/>
      <c r="C22" s="121"/>
      <c r="D22" s="5">
        <v>13</v>
      </c>
      <c r="E22" s="37"/>
      <c r="F22" s="37"/>
      <c r="G22" s="7"/>
      <c r="H22" s="29"/>
      <c r="I22" s="29"/>
      <c r="J22" s="30"/>
      <c r="K22" s="31" t="str">
        <f t="shared" si="1"/>
        <v/>
      </c>
      <c r="L22" s="95"/>
      <c r="M22" s="121"/>
      <c r="N22" s="5">
        <v>13</v>
      </c>
      <c r="O22" s="32"/>
      <c r="P22" s="35"/>
      <c r="Q22" s="36"/>
      <c r="R22" s="29"/>
      <c r="S22" s="33"/>
      <c r="T22" s="29"/>
      <c r="U22" s="34" t="str">
        <f t="shared" si="0"/>
        <v/>
      </c>
    </row>
    <row r="23" spans="1:21" ht="25" customHeight="1">
      <c r="A23" s="144"/>
      <c r="B23" s="95"/>
      <c r="C23" s="121"/>
      <c r="D23" s="5">
        <v>14</v>
      </c>
      <c r="E23" s="37"/>
      <c r="F23" s="37"/>
      <c r="G23" s="7"/>
      <c r="H23" s="29"/>
      <c r="I23" s="29"/>
      <c r="J23" s="30"/>
      <c r="K23" s="31" t="str">
        <f t="shared" si="1"/>
        <v/>
      </c>
      <c r="L23" s="95"/>
      <c r="M23" s="121"/>
      <c r="N23" s="5">
        <v>14</v>
      </c>
      <c r="O23" s="32"/>
      <c r="P23" s="37"/>
      <c r="Q23" s="7"/>
      <c r="R23" s="29"/>
      <c r="S23" s="33"/>
      <c r="T23" s="29"/>
      <c r="U23" s="34" t="str">
        <f t="shared" si="0"/>
        <v/>
      </c>
    </row>
    <row r="24" spans="1:21" ht="25" customHeight="1">
      <c r="A24" s="144"/>
      <c r="B24" s="95"/>
      <c r="C24" s="121"/>
      <c r="D24" s="5">
        <v>15</v>
      </c>
      <c r="E24" s="37"/>
      <c r="F24" s="38"/>
      <c r="G24" s="39"/>
      <c r="H24" s="29"/>
      <c r="I24" s="29"/>
      <c r="J24" s="30"/>
      <c r="K24" s="31" t="str">
        <f t="shared" si="1"/>
        <v/>
      </c>
      <c r="L24" s="95"/>
      <c r="M24" s="121"/>
      <c r="N24" s="5">
        <v>15</v>
      </c>
      <c r="O24" s="32"/>
      <c r="P24" s="37"/>
      <c r="Q24" s="7"/>
      <c r="R24" s="29"/>
      <c r="S24" s="33"/>
      <c r="T24" s="29"/>
      <c r="U24" s="34" t="str">
        <f t="shared" si="0"/>
        <v/>
      </c>
    </row>
    <row r="25" spans="1:21" ht="25" customHeight="1">
      <c r="A25" s="144"/>
      <c r="B25" s="95"/>
      <c r="C25" s="121"/>
      <c r="D25" s="5">
        <v>16</v>
      </c>
      <c r="E25" s="37"/>
      <c r="F25" s="37"/>
      <c r="G25" s="7"/>
      <c r="H25" s="29"/>
      <c r="I25" s="29"/>
      <c r="J25" s="30"/>
      <c r="K25" s="31" t="str">
        <f t="shared" si="1"/>
        <v/>
      </c>
      <c r="L25" s="95"/>
      <c r="M25" s="121"/>
      <c r="N25" s="5">
        <v>16</v>
      </c>
      <c r="O25" s="32"/>
      <c r="P25" s="37"/>
      <c r="Q25" s="7"/>
      <c r="R25" s="29"/>
      <c r="S25" s="33"/>
      <c r="T25" s="29"/>
      <c r="U25" s="34" t="str">
        <f t="shared" si="0"/>
        <v/>
      </c>
    </row>
    <row r="26" spans="1:21" ht="25" customHeight="1">
      <c r="A26" s="144"/>
      <c r="B26" s="95"/>
      <c r="C26" s="121"/>
      <c r="D26" s="5">
        <v>17</v>
      </c>
      <c r="E26" s="37"/>
      <c r="F26" s="37"/>
      <c r="G26" s="7"/>
      <c r="H26" s="29"/>
      <c r="I26" s="29"/>
      <c r="J26" s="30"/>
      <c r="K26" s="31" t="str">
        <f t="shared" si="1"/>
        <v/>
      </c>
      <c r="L26" s="95"/>
      <c r="M26" s="121"/>
      <c r="N26" s="5">
        <v>17</v>
      </c>
      <c r="O26" s="32"/>
      <c r="P26" s="37"/>
      <c r="Q26" s="7"/>
      <c r="R26" s="29"/>
      <c r="S26" s="33"/>
      <c r="T26" s="29"/>
      <c r="U26" s="34" t="str">
        <f t="shared" si="0"/>
        <v/>
      </c>
    </row>
    <row r="27" spans="1:21" ht="25" customHeight="1">
      <c r="A27" s="144"/>
      <c r="B27" s="96"/>
      <c r="C27" s="122"/>
      <c r="D27" s="12"/>
      <c r="E27" s="40"/>
      <c r="F27" s="40"/>
      <c r="G27" s="40"/>
      <c r="H27" s="142" t="s">
        <v>54</v>
      </c>
      <c r="I27" s="124"/>
      <c r="J27" s="41"/>
      <c r="K27" s="42">
        <f>SUM(K10:K26)</f>
        <v>0.41360000000000002</v>
      </c>
      <c r="L27" s="96"/>
      <c r="M27" s="122"/>
      <c r="N27" s="12"/>
      <c r="O27" s="43"/>
      <c r="P27" s="13"/>
      <c r="Q27" s="13"/>
      <c r="R27" s="13"/>
      <c r="S27" s="142" t="s">
        <v>55</v>
      </c>
      <c r="T27" s="124"/>
      <c r="U27" s="42">
        <f>SUM(U10:U26)</f>
        <v>0</v>
      </c>
    </row>
    <row r="28" spans="1:21" ht="25" customHeight="1">
      <c r="A28" s="144"/>
      <c r="B28" s="152" t="s">
        <v>56</v>
      </c>
      <c r="C28" s="120" t="s">
        <v>57</v>
      </c>
      <c r="D28" s="171" t="s">
        <v>58</v>
      </c>
      <c r="E28" s="162"/>
      <c r="F28" s="162"/>
      <c r="G28" s="162"/>
      <c r="H28" s="162"/>
      <c r="I28" s="162"/>
      <c r="J28" s="162"/>
      <c r="K28" s="163"/>
      <c r="L28" s="94" t="s">
        <v>59</v>
      </c>
      <c r="M28" s="120" t="s">
        <v>60</v>
      </c>
      <c r="N28" s="171" t="s">
        <v>61</v>
      </c>
      <c r="O28" s="162"/>
      <c r="P28" s="162"/>
      <c r="Q28" s="162"/>
      <c r="R28" s="162"/>
      <c r="S28" s="162"/>
      <c r="T28" s="162"/>
      <c r="U28" s="163"/>
    </row>
    <row r="29" spans="1:21" ht="25" customHeight="1">
      <c r="A29" s="144"/>
      <c r="B29" s="95"/>
      <c r="C29" s="121"/>
      <c r="D29" s="44" t="s">
        <v>40</v>
      </c>
      <c r="E29" s="45" t="s">
        <v>62</v>
      </c>
      <c r="F29" s="46" t="s">
        <v>63</v>
      </c>
      <c r="G29" s="45" t="s">
        <v>64</v>
      </c>
      <c r="H29" s="46" t="s">
        <v>65</v>
      </c>
      <c r="I29" s="46" t="s">
        <v>66</v>
      </c>
      <c r="J29" s="46" t="s">
        <v>67</v>
      </c>
      <c r="K29" s="47" t="s">
        <v>68</v>
      </c>
      <c r="L29" s="95"/>
      <c r="M29" s="121"/>
      <c r="N29" s="48" t="s">
        <v>69</v>
      </c>
      <c r="O29" s="45" t="s">
        <v>70</v>
      </c>
      <c r="P29" s="46" t="s">
        <v>71</v>
      </c>
      <c r="Q29" s="45" t="s">
        <v>72</v>
      </c>
      <c r="R29" s="46" t="s">
        <v>73</v>
      </c>
      <c r="S29" s="46" t="s">
        <v>74</v>
      </c>
      <c r="T29" s="46" t="s">
        <v>67</v>
      </c>
      <c r="U29" s="47" t="s">
        <v>75</v>
      </c>
    </row>
    <row r="30" spans="1:21" ht="25" customHeight="1">
      <c r="A30" s="144"/>
      <c r="B30" s="95"/>
      <c r="C30" s="121"/>
      <c r="D30" s="19">
        <v>1</v>
      </c>
      <c r="E30" s="49" t="s">
        <v>146</v>
      </c>
      <c r="F30" s="50">
        <v>3</v>
      </c>
      <c r="G30" s="50">
        <v>4</v>
      </c>
      <c r="H30" s="50">
        <v>30</v>
      </c>
      <c r="I30" s="50">
        <v>3.5510999999999999</v>
      </c>
      <c r="J30" s="51"/>
      <c r="K30" s="52">
        <f t="shared" ref="K30:K39" si="2">IF(E30="","",IF(J30="",F30/I30,F30/J30))</f>
        <v>0.84480865084058465</v>
      </c>
      <c r="L30" s="95"/>
      <c r="M30" s="121"/>
      <c r="N30" s="19">
        <v>1</v>
      </c>
      <c r="O30" s="53" t="s">
        <v>77</v>
      </c>
      <c r="P30" s="50">
        <v>0</v>
      </c>
      <c r="Q30" s="54"/>
      <c r="R30" s="55">
        <f>O6</f>
        <v>3.5510999999999999</v>
      </c>
      <c r="S30" s="50">
        <v>23</v>
      </c>
      <c r="T30" s="54"/>
      <c r="U30" s="27">
        <f t="shared" ref="U30:U39" si="3">IF(O30="","",IF(T30="",P30/S30,P30/T30))</f>
        <v>0</v>
      </c>
    </row>
    <row r="31" spans="1:21" ht="25" customHeight="1">
      <c r="A31" s="144"/>
      <c r="B31" s="95"/>
      <c r="C31" s="121"/>
      <c r="D31" s="5">
        <v>2</v>
      </c>
      <c r="E31" s="7"/>
      <c r="F31" s="7"/>
      <c r="G31" s="7"/>
      <c r="H31" s="7"/>
      <c r="I31" s="7"/>
      <c r="J31" s="56"/>
      <c r="K31" s="57" t="str">
        <f t="shared" si="2"/>
        <v/>
      </c>
      <c r="L31" s="95"/>
      <c r="M31" s="121"/>
      <c r="N31" s="5">
        <v>2</v>
      </c>
      <c r="O31" s="58"/>
      <c r="P31" s="7"/>
      <c r="Q31" s="7"/>
      <c r="R31" s="59" t="str">
        <f t="shared" ref="R31:R39" si="4">IF(O31="","",R30)</f>
        <v/>
      </c>
      <c r="S31" s="7"/>
      <c r="T31" s="7"/>
      <c r="U31" s="34" t="str">
        <f t="shared" si="3"/>
        <v/>
      </c>
    </row>
    <row r="32" spans="1:21" ht="25" customHeight="1">
      <c r="A32" s="144"/>
      <c r="B32" s="95"/>
      <c r="C32" s="121"/>
      <c r="D32" s="5">
        <v>3</v>
      </c>
      <c r="E32" s="7"/>
      <c r="F32" s="7"/>
      <c r="G32" s="7"/>
      <c r="H32" s="7"/>
      <c r="I32" s="7"/>
      <c r="J32" s="56"/>
      <c r="K32" s="57" t="str">
        <f t="shared" si="2"/>
        <v/>
      </c>
      <c r="L32" s="95"/>
      <c r="M32" s="121"/>
      <c r="N32" s="5">
        <v>3</v>
      </c>
      <c r="O32" s="58"/>
      <c r="P32" s="7"/>
      <c r="Q32" s="7"/>
      <c r="R32" s="59" t="str">
        <f t="shared" si="4"/>
        <v/>
      </c>
      <c r="S32" s="7"/>
      <c r="T32" s="7"/>
      <c r="U32" s="34" t="str">
        <f t="shared" si="3"/>
        <v/>
      </c>
    </row>
    <row r="33" spans="1:21" ht="25" customHeight="1">
      <c r="A33" s="144"/>
      <c r="B33" s="95"/>
      <c r="C33" s="121"/>
      <c r="D33" s="5">
        <v>5</v>
      </c>
      <c r="E33" s="7"/>
      <c r="F33" s="7"/>
      <c r="G33" s="7"/>
      <c r="H33" s="7"/>
      <c r="I33" s="7"/>
      <c r="J33" s="56"/>
      <c r="K33" s="57" t="str">
        <f t="shared" si="2"/>
        <v/>
      </c>
      <c r="L33" s="95"/>
      <c r="M33" s="121"/>
      <c r="N33" s="5">
        <v>4</v>
      </c>
      <c r="O33" s="58"/>
      <c r="P33" s="7"/>
      <c r="Q33" s="7"/>
      <c r="R33" s="59" t="str">
        <f t="shared" si="4"/>
        <v/>
      </c>
      <c r="S33" s="7"/>
      <c r="T33" s="7"/>
      <c r="U33" s="34" t="str">
        <f t="shared" si="3"/>
        <v/>
      </c>
    </row>
    <row r="34" spans="1:21" ht="25" customHeight="1">
      <c r="A34" s="144"/>
      <c r="B34" s="95"/>
      <c r="C34" s="121"/>
      <c r="D34" s="5">
        <v>6</v>
      </c>
      <c r="E34" s="7"/>
      <c r="F34" s="7"/>
      <c r="G34" s="7"/>
      <c r="H34" s="7"/>
      <c r="I34" s="7"/>
      <c r="J34" s="56"/>
      <c r="K34" s="57" t="str">
        <f t="shared" si="2"/>
        <v/>
      </c>
      <c r="L34" s="95"/>
      <c r="M34" s="121"/>
      <c r="N34" s="5">
        <v>5</v>
      </c>
      <c r="O34" s="58"/>
      <c r="P34" s="7"/>
      <c r="Q34" s="7"/>
      <c r="R34" s="59" t="str">
        <f t="shared" si="4"/>
        <v/>
      </c>
      <c r="S34" s="7"/>
      <c r="T34" s="7"/>
      <c r="U34" s="34" t="str">
        <f t="shared" si="3"/>
        <v/>
      </c>
    </row>
    <row r="35" spans="1:21" ht="25" customHeight="1">
      <c r="A35" s="144"/>
      <c r="B35" s="95"/>
      <c r="C35" s="121"/>
      <c r="D35" s="5">
        <v>7</v>
      </c>
      <c r="E35" s="7"/>
      <c r="F35" s="7"/>
      <c r="G35" s="7"/>
      <c r="H35" s="7"/>
      <c r="I35" s="7"/>
      <c r="J35" s="56"/>
      <c r="K35" s="57" t="str">
        <f t="shared" si="2"/>
        <v/>
      </c>
      <c r="L35" s="95"/>
      <c r="M35" s="121"/>
      <c r="N35" s="5">
        <v>6</v>
      </c>
      <c r="O35" s="58"/>
      <c r="P35" s="7"/>
      <c r="Q35" s="7"/>
      <c r="R35" s="59" t="str">
        <f t="shared" si="4"/>
        <v/>
      </c>
      <c r="S35" s="7"/>
      <c r="T35" s="7"/>
      <c r="U35" s="34" t="str">
        <f t="shared" si="3"/>
        <v/>
      </c>
    </row>
    <row r="36" spans="1:21" ht="25" customHeight="1">
      <c r="A36" s="144"/>
      <c r="B36" s="95"/>
      <c r="C36" s="121"/>
      <c r="D36" s="5">
        <v>8</v>
      </c>
      <c r="E36" s="7"/>
      <c r="F36" s="7"/>
      <c r="G36" s="7"/>
      <c r="H36" s="7"/>
      <c r="I36" s="7"/>
      <c r="J36" s="56"/>
      <c r="K36" s="57" t="str">
        <f t="shared" si="2"/>
        <v/>
      </c>
      <c r="L36" s="95"/>
      <c r="M36" s="121"/>
      <c r="N36" s="5">
        <v>7</v>
      </c>
      <c r="O36" s="58"/>
      <c r="P36" s="7"/>
      <c r="Q36" s="7"/>
      <c r="R36" s="59" t="str">
        <f t="shared" si="4"/>
        <v/>
      </c>
      <c r="S36" s="7"/>
      <c r="T36" s="7"/>
      <c r="U36" s="34" t="str">
        <f t="shared" si="3"/>
        <v/>
      </c>
    </row>
    <row r="37" spans="1:21" ht="25" customHeight="1">
      <c r="A37" s="144"/>
      <c r="B37" s="95"/>
      <c r="C37" s="121"/>
      <c r="D37" s="5">
        <v>9</v>
      </c>
      <c r="E37" s="7"/>
      <c r="F37" s="7"/>
      <c r="G37" s="7"/>
      <c r="H37" s="7"/>
      <c r="I37" s="7"/>
      <c r="J37" s="56"/>
      <c r="K37" s="57" t="str">
        <f t="shared" si="2"/>
        <v/>
      </c>
      <c r="L37" s="95"/>
      <c r="M37" s="121"/>
      <c r="N37" s="5">
        <v>8</v>
      </c>
      <c r="O37" s="58"/>
      <c r="P37" s="7"/>
      <c r="Q37" s="7"/>
      <c r="R37" s="59" t="str">
        <f t="shared" si="4"/>
        <v/>
      </c>
      <c r="S37" s="7"/>
      <c r="T37" s="7"/>
      <c r="U37" s="34" t="str">
        <f t="shared" si="3"/>
        <v/>
      </c>
    </row>
    <row r="38" spans="1:21" ht="25" customHeight="1">
      <c r="A38" s="144"/>
      <c r="B38" s="95"/>
      <c r="C38" s="121"/>
      <c r="D38" s="5">
        <v>10</v>
      </c>
      <c r="E38" s="7"/>
      <c r="F38" s="7"/>
      <c r="G38" s="7"/>
      <c r="H38" s="7"/>
      <c r="I38" s="7"/>
      <c r="J38" s="56"/>
      <c r="K38" s="57" t="str">
        <f t="shared" si="2"/>
        <v/>
      </c>
      <c r="L38" s="95"/>
      <c r="M38" s="121"/>
      <c r="N38" s="5">
        <v>9</v>
      </c>
      <c r="O38" s="58"/>
      <c r="P38" s="7"/>
      <c r="Q38" s="7"/>
      <c r="R38" s="59" t="str">
        <f t="shared" si="4"/>
        <v/>
      </c>
      <c r="S38" s="7"/>
      <c r="T38" s="7"/>
      <c r="U38" s="34" t="str">
        <f t="shared" si="3"/>
        <v/>
      </c>
    </row>
    <row r="39" spans="1:21" ht="25" customHeight="1">
      <c r="A39" s="144"/>
      <c r="B39" s="95"/>
      <c r="C39" s="121"/>
      <c r="D39" s="5">
        <v>11</v>
      </c>
      <c r="E39" s="7"/>
      <c r="F39" s="7"/>
      <c r="G39" s="7"/>
      <c r="H39" s="7"/>
      <c r="I39" s="7"/>
      <c r="J39" s="56"/>
      <c r="K39" s="57" t="str">
        <f t="shared" si="2"/>
        <v/>
      </c>
      <c r="L39" s="95"/>
      <c r="M39" s="121"/>
      <c r="N39" s="5">
        <v>10</v>
      </c>
      <c r="O39" s="58"/>
      <c r="P39" s="7"/>
      <c r="Q39" s="7"/>
      <c r="R39" s="59" t="str">
        <f t="shared" si="4"/>
        <v/>
      </c>
      <c r="S39" s="7"/>
      <c r="T39" s="7"/>
      <c r="U39" s="34" t="str">
        <f t="shared" si="3"/>
        <v/>
      </c>
    </row>
    <row r="40" spans="1:21" ht="25" customHeight="1">
      <c r="A40" s="144"/>
      <c r="B40" s="96"/>
      <c r="C40" s="122"/>
      <c r="D40" s="12"/>
      <c r="E40" s="13" t="s">
        <v>78</v>
      </c>
      <c r="F40" s="40">
        <f>SUM(F30:F39)</f>
        <v>3</v>
      </c>
      <c r="G40" s="40"/>
      <c r="H40" s="142" t="s">
        <v>79</v>
      </c>
      <c r="I40" s="124"/>
      <c r="J40" s="60"/>
      <c r="K40" s="61">
        <f>SUM(K30:K39)</f>
        <v>0.84480865084058465</v>
      </c>
      <c r="L40" s="96"/>
      <c r="M40" s="122"/>
      <c r="N40" s="62"/>
      <c r="O40" s="13" t="s">
        <v>80</v>
      </c>
      <c r="P40" s="40">
        <f>SUM(P30:P39)</f>
        <v>0</v>
      </c>
      <c r="Q40" s="63"/>
      <c r="R40" s="40"/>
      <c r="S40" s="40"/>
      <c r="T40" s="40"/>
      <c r="U40" s="42">
        <f>SUM(U30:U39)</f>
        <v>0</v>
      </c>
    </row>
    <row r="41" spans="1:21" ht="34" customHeight="1">
      <c r="A41" s="144"/>
      <c r="B41" s="155" t="s">
        <v>81</v>
      </c>
      <c r="C41" s="120" t="s">
        <v>82</v>
      </c>
      <c r="D41" s="64" t="s">
        <v>83</v>
      </c>
      <c r="E41" s="65" t="s">
        <v>84</v>
      </c>
      <c r="F41" s="66" t="s">
        <v>85</v>
      </c>
      <c r="G41" s="66" t="s">
        <v>86</v>
      </c>
      <c r="H41" s="66" t="s">
        <v>87</v>
      </c>
      <c r="I41" s="65" t="s">
        <v>88</v>
      </c>
      <c r="J41" s="66" t="s">
        <v>89</v>
      </c>
      <c r="K41" s="65" t="s">
        <v>90</v>
      </c>
      <c r="L41" s="172" t="s">
        <v>91</v>
      </c>
      <c r="M41" s="141"/>
      <c r="N41" s="140" t="s">
        <v>92</v>
      </c>
      <c r="O41" s="141"/>
      <c r="P41" s="66" t="s">
        <v>93</v>
      </c>
      <c r="Q41" s="67" t="s">
        <v>94</v>
      </c>
      <c r="R41" s="65" t="s">
        <v>95</v>
      </c>
      <c r="S41" s="66" t="s">
        <v>96</v>
      </c>
      <c r="T41" s="66" t="s">
        <v>97</v>
      </c>
      <c r="U41" s="68" t="s">
        <v>98</v>
      </c>
    </row>
    <row r="42" spans="1:21" ht="25" customHeight="1">
      <c r="A42" s="144"/>
      <c r="B42" s="95"/>
      <c r="C42" s="121"/>
      <c r="D42" s="19">
        <v>1</v>
      </c>
      <c r="E42" s="50" t="s">
        <v>99</v>
      </c>
      <c r="F42" s="50">
        <v>7.5</v>
      </c>
      <c r="G42" s="69">
        <f t="shared" ref="G42:G57" si="5">IF(E42="","",12/H42*L42)</f>
        <v>4896</v>
      </c>
      <c r="H42" s="70">
        <f t="shared" ref="H42:H57" si="6">IF(E42="","",F42/3600)</f>
        <v>2.0833333333333333E-3</v>
      </c>
      <c r="I42" s="50">
        <v>1.7336928049148199</v>
      </c>
      <c r="J42" s="71">
        <v>24</v>
      </c>
      <c r="K42" s="72">
        <f t="shared" ref="K42:K57" si="7">IF(E42="","",H42*I42/L42)</f>
        <v>4.2492470708696568E-3</v>
      </c>
      <c r="L42" s="134">
        <v>0.85</v>
      </c>
      <c r="M42" s="135"/>
      <c r="N42" s="104">
        <f t="shared" ref="N42:N57" si="8">IF(F42="","",IF(E42="","",J42*K42))</f>
        <v>0.10198192970087176</v>
      </c>
      <c r="O42" s="105"/>
      <c r="P42" s="50">
        <v>16.600000000000001</v>
      </c>
      <c r="Q42" s="55" t="str">
        <f t="shared" ref="Q42:Q57" si="9">IF(E42="","","10年2班折90%")</f>
        <v>10年2班折90%</v>
      </c>
      <c r="R42" s="72">
        <f t="shared" ref="R42:R57" si="10">IF(E42="","",P42*0.9/10/$U$8/22*H42*10000/L42)</f>
        <v>5.5481283422459905E-3</v>
      </c>
      <c r="S42" s="73">
        <v>15</v>
      </c>
      <c r="T42" s="23">
        <v>0.45</v>
      </c>
      <c r="U42" s="27">
        <f t="shared" ref="U42:U57" si="11">IF(S42="","",S42*T42*$U$7*H42/((L42+(1-L42)/1.4)))</f>
        <v>1.4692164179104477E-2</v>
      </c>
    </row>
    <row r="43" spans="1:21" ht="25" customHeight="1">
      <c r="A43" s="144"/>
      <c r="B43" s="95"/>
      <c r="C43" s="121"/>
      <c r="D43" s="5">
        <v>2</v>
      </c>
      <c r="E43" s="7"/>
      <c r="F43" s="50"/>
      <c r="G43" s="69" t="str">
        <f t="shared" si="5"/>
        <v/>
      </c>
      <c r="H43" s="70" t="str">
        <f t="shared" si="6"/>
        <v/>
      </c>
      <c r="I43" s="7"/>
      <c r="J43" s="74"/>
      <c r="K43" s="72" t="str">
        <f t="shared" si="7"/>
        <v/>
      </c>
      <c r="L43" s="103"/>
      <c r="M43" s="93"/>
      <c r="N43" s="104" t="str">
        <f t="shared" si="8"/>
        <v/>
      </c>
      <c r="O43" s="105"/>
      <c r="P43" s="7"/>
      <c r="Q43" s="59" t="str">
        <f t="shared" si="9"/>
        <v/>
      </c>
      <c r="R43" s="72" t="str">
        <f t="shared" si="10"/>
        <v/>
      </c>
      <c r="S43" s="75"/>
      <c r="T43" s="30"/>
      <c r="U43" s="27" t="str">
        <f t="shared" si="11"/>
        <v/>
      </c>
    </row>
    <row r="44" spans="1:21" ht="25" customHeight="1">
      <c r="A44" s="144"/>
      <c r="B44" s="95"/>
      <c r="C44" s="121"/>
      <c r="D44" s="5">
        <v>3</v>
      </c>
      <c r="E44" s="7"/>
      <c r="F44" s="7"/>
      <c r="G44" s="69" t="str">
        <f t="shared" si="5"/>
        <v/>
      </c>
      <c r="H44" s="70" t="str">
        <f t="shared" si="6"/>
        <v/>
      </c>
      <c r="I44" s="7"/>
      <c r="J44" s="74"/>
      <c r="K44" s="72" t="str">
        <f t="shared" si="7"/>
        <v/>
      </c>
      <c r="L44" s="103"/>
      <c r="M44" s="93"/>
      <c r="N44" s="104" t="str">
        <f t="shared" si="8"/>
        <v/>
      </c>
      <c r="O44" s="105"/>
      <c r="P44" s="7"/>
      <c r="Q44" s="59" t="str">
        <f t="shared" si="9"/>
        <v/>
      </c>
      <c r="R44" s="72" t="str">
        <f t="shared" si="10"/>
        <v/>
      </c>
      <c r="S44" s="75"/>
      <c r="T44" s="30"/>
      <c r="U44" s="27" t="str">
        <f t="shared" si="11"/>
        <v/>
      </c>
    </row>
    <row r="45" spans="1:21" ht="25" customHeight="1">
      <c r="A45" s="144"/>
      <c r="B45" s="95"/>
      <c r="C45" s="121"/>
      <c r="D45" s="5">
        <v>4</v>
      </c>
      <c r="E45" s="7"/>
      <c r="F45" s="7"/>
      <c r="G45" s="69" t="str">
        <f t="shared" si="5"/>
        <v/>
      </c>
      <c r="H45" s="70" t="str">
        <f t="shared" si="6"/>
        <v/>
      </c>
      <c r="I45" s="7"/>
      <c r="J45" s="74"/>
      <c r="K45" s="72" t="str">
        <f t="shared" si="7"/>
        <v/>
      </c>
      <c r="L45" s="103"/>
      <c r="M45" s="93"/>
      <c r="N45" s="104" t="str">
        <f t="shared" si="8"/>
        <v/>
      </c>
      <c r="O45" s="105"/>
      <c r="P45" s="7"/>
      <c r="Q45" s="59" t="str">
        <f t="shared" si="9"/>
        <v/>
      </c>
      <c r="R45" s="72" t="str">
        <f t="shared" si="10"/>
        <v/>
      </c>
      <c r="S45" s="75"/>
      <c r="T45" s="30"/>
      <c r="U45" s="27" t="str">
        <f t="shared" si="11"/>
        <v/>
      </c>
    </row>
    <row r="46" spans="1:21" ht="25" customHeight="1">
      <c r="A46" s="144"/>
      <c r="B46" s="95"/>
      <c r="C46" s="121"/>
      <c r="D46" s="5">
        <v>5</v>
      </c>
      <c r="E46" s="7"/>
      <c r="F46" s="7"/>
      <c r="G46" s="69" t="str">
        <f t="shared" si="5"/>
        <v/>
      </c>
      <c r="H46" s="70" t="str">
        <f t="shared" si="6"/>
        <v/>
      </c>
      <c r="I46" s="7"/>
      <c r="J46" s="74"/>
      <c r="K46" s="72" t="str">
        <f t="shared" si="7"/>
        <v/>
      </c>
      <c r="L46" s="103"/>
      <c r="M46" s="93"/>
      <c r="N46" s="104" t="str">
        <f t="shared" si="8"/>
        <v/>
      </c>
      <c r="O46" s="105"/>
      <c r="P46" s="7"/>
      <c r="Q46" s="59" t="str">
        <f t="shared" si="9"/>
        <v/>
      </c>
      <c r="R46" s="72" t="str">
        <f t="shared" si="10"/>
        <v/>
      </c>
      <c r="S46" s="75"/>
      <c r="T46" s="30"/>
      <c r="U46" s="27" t="str">
        <f t="shared" si="11"/>
        <v/>
      </c>
    </row>
    <row r="47" spans="1:21" ht="25" customHeight="1">
      <c r="A47" s="144"/>
      <c r="B47" s="95"/>
      <c r="C47" s="121"/>
      <c r="D47" s="5">
        <v>6</v>
      </c>
      <c r="E47" s="7"/>
      <c r="F47" s="7"/>
      <c r="G47" s="69" t="str">
        <f t="shared" si="5"/>
        <v/>
      </c>
      <c r="H47" s="70" t="str">
        <f t="shared" si="6"/>
        <v/>
      </c>
      <c r="I47" s="7"/>
      <c r="J47" s="74"/>
      <c r="K47" s="72" t="str">
        <f t="shared" si="7"/>
        <v/>
      </c>
      <c r="L47" s="103"/>
      <c r="M47" s="93"/>
      <c r="N47" s="104" t="str">
        <f t="shared" si="8"/>
        <v/>
      </c>
      <c r="O47" s="105"/>
      <c r="P47" s="7"/>
      <c r="Q47" s="59" t="str">
        <f t="shared" si="9"/>
        <v/>
      </c>
      <c r="R47" s="72" t="str">
        <f t="shared" si="10"/>
        <v/>
      </c>
      <c r="S47" s="75"/>
      <c r="T47" s="30"/>
      <c r="U47" s="27" t="str">
        <f t="shared" si="11"/>
        <v/>
      </c>
    </row>
    <row r="48" spans="1:21" ht="25" customHeight="1">
      <c r="A48" s="144"/>
      <c r="B48" s="95"/>
      <c r="C48" s="121"/>
      <c r="D48" s="5">
        <v>7</v>
      </c>
      <c r="E48" s="7"/>
      <c r="F48" s="7"/>
      <c r="G48" s="69" t="str">
        <f t="shared" si="5"/>
        <v/>
      </c>
      <c r="H48" s="70" t="str">
        <f t="shared" si="6"/>
        <v/>
      </c>
      <c r="I48" s="7"/>
      <c r="J48" s="74"/>
      <c r="K48" s="72" t="str">
        <f t="shared" si="7"/>
        <v/>
      </c>
      <c r="L48" s="103"/>
      <c r="M48" s="93"/>
      <c r="N48" s="104" t="str">
        <f t="shared" si="8"/>
        <v/>
      </c>
      <c r="O48" s="105"/>
      <c r="P48" s="7"/>
      <c r="Q48" s="59" t="str">
        <f t="shared" si="9"/>
        <v/>
      </c>
      <c r="R48" s="72" t="str">
        <f t="shared" si="10"/>
        <v/>
      </c>
      <c r="S48" s="75"/>
      <c r="T48" s="30"/>
      <c r="U48" s="27" t="str">
        <f t="shared" si="11"/>
        <v/>
      </c>
    </row>
    <row r="49" spans="1:21" ht="25" customHeight="1">
      <c r="A49" s="144"/>
      <c r="B49" s="95"/>
      <c r="C49" s="121"/>
      <c r="D49" s="5">
        <v>8</v>
      </c>
      <c r="E49" s="7"/>
      <c r="F49" s="7"/>
      <c r="G49" s="69" t="str">
        <f t="shared" si="5"/>
        <v/>
      </c>
      <c r="H49" s="70" t="str">
        <f t="shared" si="6"/>
        <v/>
      </c>
      <c r="I49" s="7"/>
      <c r="J49" s="74"/>
      <c r="K49" s="72" t="str">
        <f t="shared" si="7"/>
        <v/>
      </c>
      <c r="L49" s="103"/>
      <c r="M49" s="93"/>
      <c r="N49" s="104" t="str">
        <f t="shared" si="8"/>
        <v/>
      </c>
      <c r="O49" s="105"/>
      <c r="P49" s="7"/>
      <c r="Q49" s="59" t="str">
        <f t="shared" si="9"/>
        <v/>
      </c>
      <c r="R49" s="72" t="str">
        <f t="shared" si="10"/>
        <v/>
      </c>
      <c r="S49" s="75"/>
      <c r="T49" s="30"/>
      <c r="U49" s="27" t="str">
        <f t="shared" si="11"/>
        <v/>
      </c>
    </row>
    <row r="50" spans="1:21" ht="25" customHeight="1">
      <c r="A50" s="144"/>
      <c r="B50" s="95"/>
      <c r="C50" s="121"/>
      <c r="D50" s="5">
        <v>9</v>
      </c>
      <c r="E50" s="7"/>
      <c r="F50" s="7"/>
      <c r="G50" s="69" t="str">
        <f t="shared" si="5"/>
        <v/>
      </c>
      <c r="H50" s="70" t="str">
        <f t="shared" si="6"/>
        <v/>
      </c>
      <c r="I50" s="7"/>
      <c r="J50" s="74"/>
      <c r="K50" s="72" t="str">
        <f t="shared" si="7"/>
        <v/>
      </c>
      <c r="L50" s="103"/>
      <c r="M50" s="93"/>
      <c r="N50" s="104" t="str">
        <f t="shared" si="8"/>
        <v/>
      </c>
      <c r="O50" s="105"/>
      <c r="P50" s="7"/>
      <c r="Q50" s="59" t="str">
        <f t="shared" si="9"/>
        <v/>
      </c>
      <c r="R50" s="72" t="str">
        <f t="shared" si="10"/>
        <v/>
      </c>
      <c r="S50" s="75"/>
      <c r="T50" s="30"/>
      <c r="U50" s="27" t="str">
        <f t="shared" si="11"/>
        <v/>
      </c>
    </row>
    <row r="51" spans="1:21" ht="25" customHeight="1">
      <c r="A51" s="144"/>
      <c r="B51" s="95"/>
      <c r="C51" s="121"/>
      <c r="D51" s="5">
        <v>10</v>
      </c>
      <c r="E51" s="7"/>
      <c r="F51" s="7"/>
      <c r="G51" s="69" t="str">
        <f t="shared" si="5"/>
        <v/>
      </c>
      <c r="H51" s="70" t="str">
        <f t="shared" si="6"/>
        <v/>
      </c>
      <c r="I51" s="7"/>
      <c r="J51" s="74"/>
      <c r="K51" s="72" t="str">
        <f t="shared" si="7"/>
        <v/>
      </c>
      <c r="L51" s="103"/>
      <c r="M51" s="93"/>
      <c r="N51" s="104" t="str">
        <f t="shared" si="8"/>
        <v/>
      </c>
      <c r="O51" s="105"/>
      <c r="P51" s="7"/>
      <c r="Q51" s="59" t="str">
        <f t="shared" si="9"/>
        <v/>
      </c>
      <c r="R51" s="72" t="str">
        <f t="shared" si="10"/>
        <v/>
      </c>
      <c r="S51" s="75"/>
      <c r="T51" s="30"/>
      <c r="U51" s="27" t="str">
        <f t="shared" si="11"/>
        <v/>
      </c>
    </row>
    <row r="52" spans="1:21" ht="25" customHeight="1">
      <c r="A52" s="144"/>
      <c r="B52" s="95"/>
      <c r="C52" s="121"/>
      <c r="D52" s="5">
        <v>11</v>
      </c>
      <c r="E52" s="7"/>
      <c r="F52" s="7"/>
      <c r="G52" s="69" t="str">
        <f t="shared" si="5"/>
        <v/>
      </c>
      <c r="H52" s="70" t="str">
        <f t="shared" si="6"/>
        <v/>
      </c>
      <c r="I52" s="7"/>
      <c r="J52" s="74"/>
      <c r="K52" s="72" t="str">
        <f t="shared" si="7"/>
        <v/>
      </c>
      <c r="L52" s="103"/>
      <c r="M52" s="93"/>
      <c r="N52" s="104" t="str">
        <f t="shared" si="8"/>
        <v/>
      </c>
      <c r="O52" s="105"/>
      <c r="P52" s="7"/>
      <c r="Q52" s="59" t="str">
        <f t="shared" si="9"/>
        <v/>
      </c>
      <c r="R52" s="72" t="str">
        <f t="shared" si="10"/>
        <v/>
      </c>
      <c r="S52" s="75"/>
      <c r="T52" s="30"/>
      <c r="U52" s="27" t="str">
        <f t="shared" si="11"/>
        <v/>
      </c>
    </row>
    <row r="53" spans="1:21" ht="25" customHeight="1">
      <c r="A53" s="144"/>
      <c r="B53" s="95"/>
      <c r="C53" s="121"/>
      <c r="D53" s="5">
        <v>12</v>
      </c>
      <c r="E53" s="7"/>
      <c r="F53" s="7"/>
      <c r="G53" s="69" t="str">
        <f t="shared" si="5"/>
        <v/>
      </c>
      <c r="H53" s="70" t="str">
        <f t="shared" si="6"/>
        <v/>
      </c>
      <c r="I53" s="7"/>
      <c r="J53" s="74"/>
      <c r="K53" s="72" t="str">
        <f t="shared" si="7"/>
        <v/>
      </c>
      <c r="L53" s="103"/>
      <c r="M53" s="93"/>
      <c r="N53" s="104" t="str">
        <f t="shared" si="8"/>
        <v/>
      </c>
      <c r="O53" s="105"/>
      <c r="P53" s="7"/>
      <c r="Q53" s="59" t="str">
        <f t="shared" si="9"/>
        <v/>
      </c>
      <c r="R53" s="72" t="str">
        <f t="shared" si="10"/>
        <v/>
      </c>
      <c r="S53" s="75"/>
      <c r="T53" s="30"/>
      <c r="U53" s="27" t="str">
        <f t="shared" si="11"/>
        <v/>
      </c>
    </row>
    <row r="54" spans="1:21" ht="25" customHeight="1">
      <c r="A54" s="144"/>
      <c r="B54" s="95"/>
      <c r="C54" s="121"/>
      <c r="D54" s="5">
        <v>13</v>
      </c>
      <c r="E54" s="7"/>
      <c r="F54" s="7"/>
      <c r="G54" s="69" t="str">
        <f t="shared" si="5"/>
        <v/>
      </c>
      <c r="H54" s="70" t="str">
        <f t="shared" si="6"/>
        <v/>
      </c>
      <c r="I54" s="7"/>
      <c r="J54" s="74"/>
      <c r="K54" s="72" t="str">
        <f t="shared" si="7"/>
        <v/>
      </c>
      <c r="L54" s="103"/>
      <c r="M54" s="93"/>
      <c r="N54" s="104" t="str">
        <f t="shared" si="8"/>
        <v/>
      </c>
      <c r="O54" s="105"/>
      <c r="P54" s="7"/>
      <c r="Q54" s="59" t="str">
        <f t="shared" si="9"/>
        <v/>
      </c>
      <c r="R54" s="72" t="str">
        <f t="shared" si="10"/>
        <v/>
      </c>
      <c r="S54" s="75"/>
      <c r="T54" s="30"/>
      <c r="U54" s="27" t="str">
        <f t="shared" si="11"/>
        <v/>
      </c>
    </row>
    <row r="55" spans="1:21" ht="25" customHeight="1">
      <c r="A55" s="144"/>
      <c r="B55" s="95"/>
      <c r="C55" s="121"/>
      <c r="D55" s="5">
        <v>14</v>
      </c>
      <c r="E55" s="7"/>
      <c r="F55" s="7"/>
      <c r="G55" s="69" t="str">
        <f t="shared" si="5"/>
        <v/>
      </c>
      <c r="H55" s="70" t="str">
        <f t="shared" si="6"/>
        <v/>
      </c>
      <c r="I55" s="7"/>
      <c r="J55" s="74"/>
      <c r="K55" s="72" t="str">
        <f t="shared" si="7"/>
        <v/>
      </c>
      <c r="L55" s="103"/>
      <c r="M55" s="93"/>
      <c r="N55" s="104" t="str">
        <f t="shared" si="8"/>
        <v/>
      </c>
      <c r="O55" s="105"/>
      <c r="P55" s="7"/>
      <c r="Q55" s="59" t="str">
        <f t="shared" si="9"/>
        <v/>
      </c>
      <c r="R55" s="72" t="str">
        <f t="shared" si="10"/>
        <v/>
      </c>
      <c r="S55" s="75"/>
      <c r="T55" s="30"/>
      <c r="U55" s="27" t="str">
        <f t="shared" si="11"/>
        <v/>
      </c>
    </row>
    <row r="56" spans="1:21" ht="25" customHeight="1">
      <c r="A56" s="144"/>
      <c r="B56" s="95"/>
      <c r="C56" s="121"/>
      <c r="D56" s="5">
        <v>15</v>
      </c>
      <c r="E56" s="7"/>
      <c r="F56" s="7"/>
      <c r="G56" s="69" t="str">
        <f t="shared" si="5"/>
        <v/>
      </c>
      <c r="H56" s="70" t="str">
        <f t="shared" si="6"/>
        <v/>
      </c>
      <c r="I56" s="7"/>
      <c r="J56" s="74"/>
      <c r="K56" s="72" t="str">
        <f t="shared" si="7"/>
        <v/>
      </c>
      <c r="L56" s="103"/>
      <c r="M56" s="93"/>
      <c r="N56" s="104" t="str">
        <f t="shared" si="8"/>
        <v/>
      </c>
      <c r="O56" s="105"/>
      <c r="P56" s="7"/>
      <c r="Q56" s="59" t="str">
        <f t="shared" si="9"/>
        <v/>
      </c>
      <c r="R56" s="72" t="str">
        <f t="shared" si="10"/>
        <v/>
      </c>
      <c r="S56" s="75"/>
      <c r="T56" s="30"/>
      <c r="U56" s="27" t="str">
        <f t="shared" si="11"/>
        <v/>
      </c>
    </row>
    <row r="57" spans="1:21" ht="25" customHeight="1">
      <c r="A57" s="144"/>
      <c r="B57" s="95"/>
      <c r="C57" s="121"/>
      <c r="D57" s="5">
        <v>16</v>
      </c>
      <c r="E57" s="7"/>
      <c r="F57" s="7"/>
      <c r="G57" s="69" t="str">
        <f t="shared" si="5"/>
        <v/>
      </c>
      <c r="H57" s="70" t="str">
        <f t="shared" si="6"/>
        <v/>
      </c>
      <c r="I57" s="7"/>
      <c r="J57" s="74"/>
      <c r="K57" s="72" t="str">
        <f t="shared" si="7"/>
        <v/>
      </c>
      <c r="L57" s="103"/>
      <c r="M57" s="93"/>
      <c r="N57" s="104" t="str">
        <f t="shared" si="8"/>
        <v/>
      </c>
      <c r="O57" s="105"/>
      <c r="P57" s="7"/>
      <c r="Q57" s="59" t="str">
        <f t="shared" si="9"/>
        <v/>
      </c>
      <c r="R57" s="72" t="str">
        <f t="shared" si="10"/>
        <v/>
      </c>
      <c r="S57" s="75"/>
      <c r="T57" s="30"/>
      <c r="U57" s="27" t="str">
        <f t="shared" si="11"/>
        <v/>
      </c>
    </row>
    <row r="58" spans="1:21" ht="25" customHeight="1">
      <c r="A58" s="144"/>
      <c r="B58" s="96"/>
      <c r="C58" s="122"/>
      <c r="D58" s="76">
        <v>17</v>
      </c>
      <c r="E58" s="77"/>
      <c r="F58" s="77"/>
      <c r="G58" s="77"/>
      <c r="H58" s="77"/>
      <c r="I58" s="77"/>
      <c r="J58" s="77" t="s">
        <v>100</v>
      </c>
      <c r="K58" s="13">
        <f>SUM(K42:K57)</f>
        <v>4.2492470708696568E-3</v>
      </c>
      <c r="L58" s="142" t="s">
        <v>101</v>
      </c>
      <c r="M58" s="124"/>
      <c r="N58" s="148">
        <f>SUM(N42:O57)</f>
        <v>0.10198192970087176</v>
      </c>
      <c r="O58" s="124"/>
      <c r="P58" s="78"/>
      <c r="Q58" s="79" t="s">
        <v>102</v>
      </c>
      <c r="R58" s="80">
        <f>SUM(R42:R57)</f>
        <v>5.5481283422459905E-3</v>
      </c>
      <c r="S58" s="81"/>
      <c r="T58" s="82" t="s">
        <v>103</v>
      </c>
      <c r="U58" s="83">
        <f>SUM(U42:U57)</f>
        <v>1.4692164179104477E-2</v>
      </c>
    </row>
    <row r="59" spans="1:21" ht="25" customHeight="1">
      <c r="A59" s="144"/>
      <c r="B59" s="19" t="s">
        <v>104</v>
      </c>
      <c r="C59" s="154" t="s">
        <v>105</v>
      </c>
      <c r="D59" s="105"/>
      <c r="E59" s="84">
        <f>IF(U6="",N58,U6*K58)</f>
        <v>0.10198192970087176</v>
      </c>
      <c r="F59" s="108" t="s">
        <v>106</v>
      </c>
      <c r="G59" s="109"/>
      <c r="H59" s="109"/>
      <c r="I59" s="109"/>
      <c r="J59" s="109"/>
      <c r="K59" s="109"/>
      <c r="L59" s="109"/>
      <c r="M59" s="109"/>
      <c r="N59" s="109"/>
      <c r="O59" s="109"/>
      <c r="P59" s="110"/>
      <c r="Q59" s="136" t="s">
        <v>107</v>
      </c>
      <c r="R59" s="137"/>
      <c r="S59" s="137"/>
      <c r="T59" s="137"/>
      <c r="U59" s="138"/>
    </row>
    <row r="60" spans="1:21" ht="25" customHeight="1">
      <c r="A60" s="144"/>
      <c r="B60" s="5" t="s">
        <v>108</v>
      </c>
      <c r="C60" s="99" t="s">
        <v>109</v>
      </c>
      <c r="D60" s="98"/>
      <c r="E60" s="85">
        <f>(K27+K40+U40+R58+U58+E59+U27)*O8</f>
        <v>0</v>
      </c>
      <c r="F60" s="100" t="s">
        <v>110</v>
      </c>
      <c r="G60" s="101"/>
      <c r="H60" s="101"/>
      <c r="I60" s="101"/>
      <c r="J60" s="101"/>
      <c r="K60" s="101"/>
      <c r="L60" s="101"/>
      <c r="M60" s="101"/>
      <c r="N60" s="101"/>
      <c r="O60" s="101"/>
      <c r="P60" s="98"/>
      <c r="Q60" s="164" t="s">
        <v>111</v>
      </c>
      <c r="R60" s="165"/>
      <c r="S60" s="168"/>
      <c r="T60" s="169"/>
      <c r="U60" s="170"/>
    </row>
    <row r="61" spans="1:21" ht="25" customHeight="1">
      <c r="A61" s="144"/>
      <c r="B61" s="5" t="s">
        <v>112</v>
      </c>
      <c r="C61" s="99" t="s">
        <v>113</v>
      </c>
      <c r="D61" s="98"/>
      <c r="E61" s="85">
        <f>(K27+U27)*0.15+(E59+R58+U58)*0.08</f>
        <v>7.1817777777777772E-2</v>
      </c>
      <c r="F61" s="100" t="s">
        <v>114</v>
      </c>
      <c r="G61" s="101"/>
      <c r="H61" s="101"/>
      <c r="I61" s="101"/>
      <c r="J61" s="101"/>
      <c r="K61" s="101"/>
      <c r="L61" s="101"/>
      <c r="M61" s="101"/>
      <c r="N61" s="101"/>
      <c r="O61" s="101"/>
      <c r="P61" s="98"/>
      <c r="Q61" s="102" t="s">
        <v>115</v>
      </c>
      <c r="R61" s="101"/>
      <c r="S61" s="157"/>
      <c r="T61" s="146"/>
      <c r="U61" s="158"/>
    </row>
    <row r="62" spans="1:21" ht="25" customHeight="1">
      <c r="A62" s="144"/>
      <c r="B62" s="5" t="s">
        <v>116</v>
      </c>
      <c r="C62" s="99" t="s">
        <v>117</v>
      </c>
      <c r="D62" s="98"/>
      <c r="E62" s="86">
        <v>0.18</v>
      </c>
      <c r="F62" s="100" t="s">
        <v>118</v>
      </c>
      <c r="G62" s="101"/>
      <c r="H62" s="101"/>
      <c r="I62" s="101"/>
      <c r="J62" s="101"/>
      <c r="K62" s="101"/>
      <c r="L62" s="101"/>
      <c r="M62" s="101"/>
      <c r="N62" s="101"/>
      <c r="O62" s="101"/>
      <c r="P62" s="98"/>
      <c r="Q62" s="102" t="s">
        <v>119</v>
      </c>
      <c r="R62" s="101"/>
      <c r="S62" s="157"/>
      <c r="T62" s="146"/>
      <c r="U62" s="158"/>
    </row>
    <row r="63" spans="1:21" ht="25" customHeight="1">
      <c r="A63" s="144"/>
      <c r="B63" s="5" t="s">
        <v>120</v>
      </c>
      <c r="C63" s="99" t="s">
        <v>121</v>
      </c>
      <c r="D63" s="98"/>
      <c r="E63" s="87">
        <v>0.09</v>
      </c>
      <c r="F63" s="100" t="s">
        <v>122</v>
      </c>
      <c r="G63" s="101"/>
      <c r="H63" s="101"/>
      <c r="I63" s="101"/>
      <c r="J63" s="101"/>
      <c r="K63" s="101"/>
      <c r="L63" s="101"/>
      <c r="M63" s="101"/>
      <c r="N63" s="101"/>
      <c r="O63" s="101"/>
      <c r="P63" s="98"/>
      <c r="Q63" s="115"/>
      <c r="R63" s="116"/>
      <c r="S63" s="117"/>
      <c r="T63" s="118"/>
      <c r="U63" s="119"/>
    </row>
    <row r="64" spans="1:21" ht="25" customHeight="1">
      <c r="A64" s="144"/>
      <c r="B64" s="5" t="s">
        <v>123</v>
      </c>
      <c r="C64" s="99" t="s">
        <v>124</v>
      </c>
      <c r="D64" s="98"/>
      <c r="E64" s="88">
        <f>K27+U27+K40+R58+U58+E59+E60+E61+E62+E63+U40-S60</f>
        <v>1.7224486508405847</v>
      </c>
      <c r="F64" s="100" t="s">
        <v>125</v>
      </c>
      <c r="G64" s="101"/>
      <c r="H64" s="101"/>
      <c r="I64" s="101"/>
      <c r="J64" s="101"/>
      <c r="K64" s="101"/>
      <c r="L64" s="101"/>
      <c r="M64" s="101"/>
      <c r="N64" s="101"/>
      <c r="O64" s="101"/>
      <c r="P64" s="98"/>
      <c r="Q64" s="161" t="s">
        <v>126</v>
      </c>
      <c r="R64" s="162"/>
      <c r="S64" s="162"/>
      <c r="T64" s="162"/>
      <c r="U64" s="163"/>
    </row>
    <row r="65" spans="1:21" ht="25" customHeight="1">
      <c r="A65" s="144"/>
      <c r="B65" s="5" t="s">
        <v>127</v>
      </c>
      <c r="C65" s="99" t="s">
        <v>128</v>
      </c>
      <c r="D65" s="98"/>
      <c r="E65" s="89">
        <v>0.08</v>
      </c>
      <c r="F65" s="100" t="s">
        <v>129</v>
      </c>
      <c r="G65" s="101"/>
      <c r="H65" s="101"/>
      <c r="I65" s="101"/>
      <c r="J65" s="101"/>
      <c r="K65" s="101"/>
      <c r="L65" s="101"/>
      <c r="M65" s="101"/>
      <c r="N65" s="101"/>
      <c r="O65" s="101"/>
      <c r="P65" s="98"/>
      <c r="Q65" s="173"/>
      <c r="R65" s="174"/>
      <c r="S65" s="174"/>
      <c r="T65" s="174"/>
      <c r="U65" s="175"/>
    </row>
    <row r="66" spans="1:21" ht="25" customHeight="1">
      <c r="A66" s="144"/>
      <c r="B66" s="5" t="s">
        <v>130</v>
      </c>
      <c r="C66" s="99" t="s">
        <v>131</v>
      </c>
      <c r="D66" s="98"/>
      <c r="E66" s="85">
        <f>(E64-K40)*E65</f>
        <v>7.0211200000000015E-2</v>
      </c>
      <c r="F66" s="100" t="s">
        <v>132</v>
      </c>
      <c r="G66" s="101"/>
      <c r="H66" s="101"/>
      <c r="I66" s="101"/>
      <c r="J66" s="101"/>
      <c r="K66" s="101"/>
      <c r="L66" s="101"/>
      <c r="M66" s="101"/>
      <c r="N66" s="101"/>
      <c r="O66" s="101"/>
      <c r="P66" s="98"/>
      <c r="Q66" s="174"/>
      <c r="R66" s="174"/>
      <c r="S66" s="174"/>
      <c r="T66" s="174"/>
      <c r="U66" s="175"/>
    </row>
    <row r="67" spans="1:21" ht="25" customHeight="1">
      <c r="A67" s="144"/>
      <c r="B67" s="5" t="s">
        <v>133</v>
      </c>
      <c r="C67" s="99" t="s">
        <v>134</v>
      </c>
      <c r="D67" s="98"/>
      <c r="E67" s="85">
        <f>E64+E66</f>
        <v>1.7926598508405847</v>
      </c>
      <c r="F67" s="100" t="s">
        <v>135</v>
      </c>
      <c r="G67" s="101"/>
      <c r="H67" s="101"/>
      <c r="I67" s="101"/>
      <c r="J67" s="101"/>
      <c r="K67" s="101"/>
      <c r="L67" s="101"/>
      <c r="M67" s="101"/>
      <c r="N67" s="101"/>
      <c r="O67" s="101"/>
      <c r="P67" s="98"/>
      <c r="Q67" s="174"/>
      <c r="R67" s="174"/>
      <c r="S67" s="174"/>
      <c r="T67" s="174"/>
      <c r="U67" s="175"/>
    </row>
    <row r="68" spans="1:21" ht="25" customHeight="1">
      <c r="A68" s="144"/>
      <c r="B68" s="5" t="s">
        <v>136</v>
      </c>
      <c r="C68" s="99" t="s">
        <v>137</v>
      </c>
      <c r="D68" s="98"/>
      <c r="E68" s="85">
        <f>E67*0.13</f>
        <v>0.23304578060927603</v>
      </c>
      <c r="F68" s="100" t="s">
        <v>138</v>
      </c>
      <c r="G68" s="101"/>
      <c r="H68" s="101"/>
      <c r="I68" s="101"/>
      <c r="J68" s="101"/>
      <c r="K68" s="101"/>
      <c r="L68" s="101"/>
      <c r="M68" s="101"/>
      <c r="N68" s="101"/>
      <c r="O68" s="101"/>
      <c r="P68" s="98"/>
      <c r="Q68" s="174"/>
      <c r="R68" s="174"/>
      <c r="S68" s="174"/>
      <c r="T68" s="174"/>
      <c r="U68" s="175"/>
    </row>
    <row r="69" spans="1:21" ht="25" customHeight="1">
      <c r="A69" s="144"/>
      <c r="B69" s="76" t="s">
        <v>139</v>
      </c>
      <c r="C69" s="126" t="s">
        <v>140</v>
      </c>
      <c r="D69" s="127"/>
      <c r="E69" s="90">
        <f>E67+E68</f>
        <v>2.0257056314498607</v>
      </c>
      <c r="F69" s="159" t="s">
        <v>141</v>
      </c>
      <c r="G69" s="116"/>
      <c r="H69" s="116"/>
      <c r="I69" s="116"/>
      <c r="J69" s="116"/>
      <c r="K69" s="116"/>
      <c r="L69" s="116"/>
      <c r="M69" s="116"/>
      <c r="N69" s="116"/>
      <c r="O69" s="116"/>
      <c r="P69" s="127"/>
      <c r="Q69" s="176"/>
      <c r="R69" s="176"/>
      <c r="S69" s="176"/>
      <c r="T69" s="176"/>
      <c r="U69" s="177"/>
    </row>
  </sheetData>
  <sheetProtection sheet="1" objects="1" scenarios="1"/>
  <mergeCells count="119">
    <mergeCell ref="M4:N4"/>
    <mergeCell ref="B2:U2"/>
    <mergeCell ref="B28:B40"/>
    <mergeCell ref="O4:P4"/>
    <mergeCell ref="C59:D59"/>
    <mergeCell ref="B41:B58"/>
    <mergeCell ref="A1:A69"/>
    <mergeCell ref="E6:F6"/>
    <mergeCell ref="F66:P66"/>
    <mergeCell ref="L58:M58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F65:P65"/>
    <mergeCell ref="B3:U3"/>
    <mergeCell ref="H5:K5"/>
    <mergeCell ref="N56:O56"/>
    <mergeCell ref="L43:M43"/>
    <mergeCell ref="N43:O43"/>
    <mergeCell ref="R7:S7"/>
    <mergeCell ref="O5:P5"/>
    <mergeCell ref="C65:D65"/>
    <mergeCell ref="N58:O58"/>
    <mergeCell ref="S27:T27"/>
    <mergeCell ref="R4:S4"/>
    <mergeCell ref="Q64:U64"/>
    <mergeCell ref="M28:M40"/>
    <mergeCell ref="L55:M55"/>
    <mergeCell ref="Q60:R60"/>
    <mergeCell ref="H4:K4"/>
    <mergeCell ref="C9:C27"/>
    <mergeCell ref="L51:M51"/>
    <mergeCell ref="M6:N6"/>
    <mergeCell ref="L54:M54"/>
    <mergeCell ref="H6:K6"/>
    <mergeCell ref="S60:U60"/>
    <mergeCell ref="D28:K28"/>
    <mergeCell ref="N57:O57"/>
    <mergeCell ref="C69:D69"/>
    <mergeCell ref="R8:S8"/>
    <mergeCell ref="M9:M27"/>
    <mergeCell ref="C5:D5"/>
    <mergeCell ref="N50:O50"/>
    <mergeCell ref="E5:F5"/>
    <mergeCell ref="F63:P63"/>
    <mergeCell ref="L57:M57"/>
    <mergeCell ref="N51:O51"/>
    <mergeCell ref="H8:K8"/>
    <mergeCell ref="L42:M42"/>
    <mergeCell ref="N42:O42"/>
    <mergeCell ref="N52:O52"/>
    <mergeCell ref="M7:N7"/>
    <mergeCell ref="N44:O44"/>
    <mergeCell ref="C60:D60"/>
    <mergeCell ref="F62:P62"/>
    <mergeCell ref="Q59:U59"/>
    <mergeCell ref="L44:M44"/>
    <mergeCell ref="C8:D8"/>
    <mergeCell ref="F61:P61"/>
    <mergeCell ref="L46:M46"/>
    <mergeCell ref="C66:D66"/>
    <mergeCell ref="C41:C58"/>
    <mergeCell ref="B4:B8"/>
    <mergeCell ref="R6:S6"/>
    <mergeCell ref="Q63:R63"/>
    <mergeCell ref="L45:M45"/>
    <mergeCell ref="N48:O48"/>
    <mergeCell ref="S63:U63"/>
    <mergeCell ref="C28:C40"/>
    <mergeCell ref="M8:N8"/>
    <mergeCell ref="O8:P8"/>
    <mergeCell ref="F60:P60"/>
    <mergeCell ref="C4:D4"/>
    <mergeCell ref="E4:F4"/>
    <mergeCell ref="N55:O55"/>
    <mergeCell ref="L48:M48"/>
    <mergeCell ref="N54:O54"/>
    <mergeCell ref="N41:O41"/>
    <mergeCell ref="M5:N5"/>
    <mergeCell ref="L47:M47"/>
    <mergeCell ref="H40:I40"/>
    <mergeCell ref="L41:M41"/>
    <mergeCell ref="N28:U28"/>
    <mergeCell ref="H27:I27"/>
    <mergeCell ref="L56:M56"/>
    <mergeCell ref="L49:M49"/>
    <mergeCell ref="O7:P7"/>
    <mergeCell ref="L28:L40"/>
    <mergeCell ref="C6:D6"/>
    <mergeCell ref="C62:D62"/>
    <mergeCell ref="O6:P6"/>
    <mergeCell ref="F68:P68"/>
    <mergeCell ref="Q62:R62"/>
    <mergeCell ref="L53:M53"/>
    <mergeCell ref="C64:D64"/>
    <mergeCell ref="N53:O53"/>
    <mergeCell ref="E8:F8"/>
    <mergeCell ref="C63:D63"/>
    <mergeCell ref="N46:O46"/>
    <mergeCell ref="F59:P59"/>
    <mergeCell ref="C67:D67"/>
    <mergeCell ref="F64:P64"/>
    <mergeCell ref="C68:D68"/>
    <mergeCell ref="Q65:U69"/>
    <mergeCell ref="F67:P67"/>
    <mergeCell ref="N49:O49"/>
    <mergeCell ref="H7:K7"/>
    <mergeCell ref="S61:U61"/>
  </mergeCells>
  <pageMargins left="0.75" right="0.75" top="1" bottom="1" header="0.5" footer="0.5"/>
  <pageSetup paperSize="9" scale="4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上卡扣749990518R</vt:lpstr>
      <vt:lpstr>下卡扣749997963R</vt:lpstr>
      <vt:lpstr>上卡扣749990518R!Print_Area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翊汉(陈思远)</cp:lastModifiedBy>
  <dcterms:created xsi:type="dcterms:W3CDTF">2025-11-10T15:53:00Z</dcterms:created>
  <dcterms:modified xsi:type="dcterms:W3CDTF">2026-07-08T16:19:35Z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18702106EBE4428581D52A478BD53529_13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