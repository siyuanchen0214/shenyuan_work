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745" windowHeight="9555" tabRatio="724" firstSheet="0" activeTab="0" autoFilterDateGrouping="1"/>
  </bookViews>
  <sheets>
    <sheet name="CHASSIS" sheetId="1" state="visible" r:id="rId1"/>
    <sheet name="AP COVER" sheetId="2" state="visible" r:id="rId2"/>
    <sheet name="Sheet1" sheetId="3" state="visible" r:id="rId3"/>
    <sheet name="Sheet2" sheetId="4" state="visible" r:id="rId4"/>
  </sheets>
  <definedNames>
    <definedName name="_xlnm.Print_Area" localSheetId="0">'CHASSIS'!$A$1:$U$69</definedName>
    <definedName name="_xlnm.Print_Area" localSheetId="1">'AP COVER'!$A$1:$U$69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00_ "/>
    <numFmt numFmtId="165" formatCode="0_ "/>
    <numFmt numFmtId="166" formatCode="0.0000_ "/>
    <numFmt numFmtId="167" formatCode="0.0_ "/>
    <numFmt numFmtId="168" formatCode="&quot;￥&quot;#,##0.00;&quot;￥&quot;\-#,##0.00"/>
    <numFmt numFmtId="169" formatCode="&quot;￥&quot;#,##0.000;&quot;￥&quot;\-#,##0.000"/>
    <numFmt numFmtId="170" formatCode="yyyy&quot;年&quot;m&quot;月&quot;d&quot;日&quot;;@"/>
  </numFmts>
  <fonts count="18">
    <font>
      <name val="宋体"/>
      <charset val="134"/>
      <color theme="1"/>
      <sz val="11"/>
      <scheme val="minor"/>
    </font>
    <font>
      <name val="宋体"/>
      <charset val="134"/>
      <sz val="9"/>
    </font>
    <font>
      <name val="黑体"/>
      <charset val="134"/>
      <sz val="16"/>
    </font>
    <font>
      <name val="黑体"/>
      <charset val="134"/>
      <b val="1"/>
      <sz val="18"/>
    </font>
    <font>
      <name val="黑体"/>
      <charset val="134"/>
      <b val="1"/>
      <sz val="11"/>
    </font>
    <font>
      <name val="黑体"/>
      <charset val="134"/>
      <b val="1"/>
      <sz val="9"/>
    </font>
    <font>
      <name val="黑体"/>
      <charset val="134"/>
      <sz val="9"/>
    </font>
    <font>
      <name val="宋体"/>
      <charset val="134"/>
      <color rgb="FF00B050"/>
      <sz val="9"/>
    </font>
    <font>
      <name val="黑体"/>
      <charset val="134"/>
      <b val="1"/>
      <sz val="10"/>
    </font>
    <font>
      <name val="宋体"/>
      <charset val="134"/>
      <b val="1"/>
      <sz val="11"/>
    </font>
    <font>
      <name val="黑体"/>
      <charset val="134"/>
      <color rgb="FF00B050"/>
      <sz val="9"/>
    </font>
    <font>
      <name val="黑体"/>
      <charset val="134"/>
      <color theme="1"/>
      <sz val="9"/>
    </font>
    <font>
      <name val="黑体"/>
      <charset val="134"/>
      <sz val="10"/>
    </font>
    <font>
      <name val="宋体"/>
      <charset val="134"/>
      <b val="1"/>
      <sz val="9"/>
    </font>
    <font>
      <name val="黑体"/>
      <charset val="134"/>
      <b val="1"/>
      <color theme="1"/>
      <sz val="11"/>
    </font>
    <font>
      <name val="宋体"/>
      <charset val="134"/>
      <color theme="1"/>
      <sz val="11"/>
      <scheme val="minor"/>
    </font>
    <font>
      <name val="黑体"/>
      <charset val="134"/>
      <b val="1"/>
      <strike val="1"/>
      <sz val="9"/>
    </font>
    <font>
      <name val="宋体"/>
      <charset val="134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15" fillId="0" borderId="0" applyAlignment="1">
      <alignment vertical="center"/>
    </xf>
    <xf numFmtId="9" fontId="15" fillId="0" borderId="0" applyAlignment="1">
      <alignment vertical="center"/>
    </xf>
  </cellStyleXfs>
  <cellXfs count="268">
    <xf numFmtId="0" fontId="0" fillId="0" borderId="0" applyAlignment="1" pivotButton="0" quotePrefix="0" xfId="0">
      <alignment vertical="center"/>
    </xf>
    <xf numFmtId="0" fontId="1" fillId="2" borderId="0" applyAlignment="1" applyProtection="1" pivotButton="0" quotePrefix="0" xfId="0">
      <alignment horizontal="center" vertical="center"/>
      <protection locked="1" hidden="1"/>
    </xf>
    <xf numFmtId="0" fontId="5" fillId="2" borderId="8" applyAlignment="1" applyProtection="1" pivotButton="0" quotePrefix="0" xfId="0">
      <alignment horizontal="center" vertical="center"/>
      <protection locked="1" hidden="1"/>
    </xf>
    <xf numFmtId="0" fontId="5" fillId="2" borderId="8" applyAlignment="1" applyProtection="1" pivotButton="0" quotePrefix="0" xfId="0">
      <alignment horizontal="center" vertical="center" wrapText="1"/>
      <protection locked="1" hidden="1"/>
    </xf>
    <xf numFmtId="0" fontId="6" fillId="3" borderId="10" applyAlignment="1" applyProtection="1" pivotButton="0" quotePrefix="0" xfId="0">
      <alignment horizontal="center" vertical="center"/>
      <protection locked="0" hidden="0"/>
    </xf>
    <xf numFmtId="0" fontId="5" fillId="2" borderId="12" applyAlignment="1" applyProtection="1" pivotButton="0" quotePrefix="0" xfId="0">
      <alignment horizontal="center" vertical="center"/>
      <protection locked="1" hidden="1"/>
    </xf>
    <xf numFmtId="0" fontId="5" fillId="2" borderId="13" applyAlignment="1" applyProtection="1" pivotButton="0" quotePrefix="0" xfId="0">
      <alignment horizontal="center" vertical="center"/>
      <protection locked="1" hidden="1"/>
    </xf>
    <xf numFmtId="0" fontId="6" fillId="3" borderId="13" applyAlignment="1" applyProtection="1" pivotButton="0" quotePrefix="0" xfId="0">
      <alignment horizontal="center" vertical="center"/>
      <protection locked="0" hidden="0"/>
    </xf>
    <xf numFmtId="0" fontId="5" fillId="2" borderId="13" applyAlignment="1" applyProtection="1" pivotButton="0" quotePrefix="0" xfId="0">
      <alignment horizontal="center" vertical="center" wrapText="1"/>
      <protection locked="1" hidden="1"/>
    </xf>
    <xf numFmtId="0" fontId="6" fillId="3" borderId="15" applyAlignment="1" applyProtection="1" pivotButton="0" quotePrefix="0" xfId="0">
      <alignment horizontal="center" vertical="center"/>
      <protection locked="0" hidden="0"/>
    </xf>
    <xf numFmtId="0" fontId="1" fillId="3" borderId="13" applyAlignment="1" applyProtection="1" pivotButton="0" quotePrefix="0" xfId="0">
      <alignment horizontal="center" vertical="center"/>
      <protection locked="0" hidden="0"/>
    </xf>
    <xf numFmtId="0" fontId="6" fillId="4" borderId="15" applyAlignment="1" applyProtection="1" pivotButton="0" quotePrefix="0" xfId="0">
      <alignment horizontal="center" vertical="center"/>
      <protection locked="0" hidden="0"/>
    </xf>
    <xf numFmtId="0" fontId="5" fillId="2" borderId="17" applyAlignment="1" applyProtection="1" pivotButton="0" quotePrefix="0" xfId="0">
      <alignment horizontal="center" vertical="center"/>
      <protection locked="1" hidden="1"/>
    </xf>
    <xf numFmtId="0" fontId="5" fillId="2" borderId="18" applyAlignment="1" applyProtection="1" pivotButton="0" quotePrefix="0" xfId="0">
      <alignment horizontal="center" vertical="center"/>
      <protection locked="1" hidden="1"/>
    </xf>
    <xf numFmtId="0" fontId="6" fillId="3" borderId="20" applyAlignment="1" applyProtection="1" pivotButton="0" quotePrefix="0" xfId="0">
      <alignment horizontal="center" vertical="center"/>
      <protection locked="0" hidden="0"/>
    </xf>
    <xf numFmtId="0" fontId="5" fillId="2" borderId="18" applyAlignment="1" applyProtection="1" pivotButton="0" quotePrefix="0" xfId="0">
      <alignment horizontal="center" vertical="center" wrapText="1"/>
      <protection locked="1" hidden="1"/>
    </xf>
    <xf numFmtId="0" fontId="8" fillId="2" borderId="21" applyAlignment="1" applyProtection="1" pivotButton="0" quotePrefix="0" xfId="0">
      <alignment horizontal="center" vertical="center"/>
      <protection locked="1" hidden="1"/>
    </xf>
    <xf numFmtId="0" fontId="8" fillId="2" borderId="22" applyAlignment="1" applyProtection="1" pivotButton="0" quotePrefix="0" xfId="0">
      <alignment horizontal="center" vertical="center"/>
      <protection locked="1" hidden="1"/>
    </xf>
    <xf numFmtId="0" fontId="8" fillId="2" borderId="23" applyAlignment="1" applyProtection="1" pivotButton="0" quotePrefix="0" xfId="0">
      <alignment horizontal="center" vertical="center"/>
      <protection locked="1" hidden="1"/>
    </xf>
    <xf numFmtId="0" fontId="5" fillId="2" borderId="24" applyAlignment="1" applyProtection="1" pivotButton="0" quotePrefix="0" xfId="0">
      <alignment horizontal="center" vertical="center"/>
      <protection locked="1" hidden="1"/>
    </xf>
    <xf numFmtId="0" fontId="10" fillId="3" borderId="25" applyAlignment="1" applyProtection="1" pivotButton="0" quotePrefix="0" xfId="0">
      <alignment horizontal="left" vertical="center"/>
      <protection locked="0" hidden="0"/>
    </xf>
    <xf numFmtId="0" fontId="10" fillId="3" borderId="25" applyAlignment="1" applyProtection="1" pivotButton="0" quotePrefix="0" xfId="0">
      <alignment horizontal="left" vertical="center" wrapText="1"/>
      <protection locked="0" hidden="0"/>
    </xf>
    <xf numFmtId="0" fontId="11" fillId="3" borderId="25" applyAlignment="1" applyProtection="1" pivotButton="0" quotePrefix="0" xfId="0">
      <alignment horizontal="center" vertical="center"/>
      <protection locked="0" hidden="0"/>
    </xf>
    <xf numFmtId="9" fontId="6" fillId="3" borderId="25" applyAlignment="1" applyProtection="1" pivotButton="0" quotePrefix="0" xfId="1">
      <alignment horizontal="center" vertical="center"/>
      <protection locked="0" hidden="0"/>
    </xf>
    <xf numFmtId="164" fontId="6" fillId="2" borderId="26" applyAlignment="1" applyProtection="1" pivotButton="0" quotePrefix="0" xfId="0">
      <alignment vertical="center"/>
      <protection locked="1" hidden="1"/>
    </xf>
    <xf numFmtId="0" fontId="12" fillId="3" borderId="25" applyAlignment="1" applyProtection="1" pivotButton="0" quotePrefix="0" xfId="0">
      <alignment horizontal="left" vertical="center"/>
      <protection locked="0" hidden="0"/>
    </xf>
    <xf numFmtId="0" fontId="11" fillId="3" borderId="25" applyAlignment="1" applyProtection="1" pivotButton="0" quotePrefix="0" xfId="0">
      <alignment horizontal="left" vertical="center"/>
      <protection locked="0" hidden="0"/>
    </xf>
    <xf numFmtId="9" fontId="1" fillId="3" borderId="25" applyAlignment="1" applyProtection="1" pivotButton="0" quotePrefix="0" xfId="1">
      <alignment horizontal="center" vertical="center"/>
      <protection locked="0" hidden="0"/>
    </xf>
    <xf numFmtId="164" fontId="6" fillId="2" borderId="26" applyAlignment="1" applyProtection="1" pivotButton="0" quotePrefix="0" xfId="0">
      <alignment horizontal="center" vertical="center"/>
      <protection locked="1" hidden="1"/>
    </xf>
    <xf numFmtId="0" fontId="11" fillId="3" borderId="13" applyAlignment="1" applyProtection="1" pivotButton="0" quotePrefix="0" xfId="0">
      <alignment horizontal="left" vertical="center"/>
      <protection locked="0" hidden="0"/>
    </xf>
    <xf numFmtId="0" fontId="11" fillId="3" borderId="13" applyAlignment="1" applyProtection="1" pivotButton="0" quotePrefix="0" xfId="0">
      <alignment horizontal="center" vertical="center"/>
      <protection locked="0" hidden="0"/>
    </xf>
    <xf numFmtId="9" fontId="6" fillId="3" borderId="13" applyAlignment="1" applyProtection="1" pivotButton="0" quotePrefix="0" xfId="1">
      <alignment horizontal="center" vertical="center"/>
      <protection locked="0" hidden="0"/>
    </xf>
    <xf numFmtId="164" fontId="6" fillId="2" borderId="15" applyAlignment="1" applyProtection="1" pivotButton="0" quotePrefix="0" xfId="0">
      <alignment vertical="center"/>
      <protection locked="1" hidden="1"/>
    </xf>
    <xf numFmtId="0" fontId="12" fillId="3" borderId="13" applyAlignment="1" applyProtection="1" pivotButton="0" quotePrefix="0" xfId="0">
      <alignment horizontal="left" vertical="center"/>
      <protection locked="0" hidden="0"/>
    </xf>
    <xf numFmtId="9" fontId="1" fillId="3" borderId="13" applyAlignment="1" applyProtection="1" pivotButton="0" quotePrefix="0" xfId="1">
      <alignment horizontal="center" vertical="center"/>
      <protection locked="0" hidden="0"/>
    </xf>
    <xf numFmtId="164" fontId="6" fillId="2" borderId="15" applyAlignment="1" applyProtection="1" pivotButton="0" quotePrefix="0" xfId="0">
      <alignment horizontal="center" vertical="center"/>
      <protection locked="1" hidden="1"/>
    </xf>
    <xf numFmtId="9" fontId="6" fillId="3" borderId="13" applyAlignment="1" applyProtection="1" pivotButton="0" quotePrefix="0" xfId="1">
      <alignment horizontal="center" vertical="center"/>
      <protection locked="0" hidden="0"/>
    </xf>
    <xf numFmtId="9" fontId="1" fillId="3" borderId="13" applyAlignment="1" applyProtection="1" pivotButton="0" quotePrefix="0" xfId="1">
      <alignment horizontal="center" vertical="center"/>
      <protection locked="0" hidden="0"/>
    </xf>
    <xf numFmtId="49" fontId="6" fillId="3" borderId="13" applyAlignment="1" applyProtection="1" pivotButton="0" quotePrefix="0" xfId="0">
      <alignment horizontal="left" vertical="center"/>
      <protection locked="0" hidden="0"/>
    </xf>
    <xf numFmtId="49" fontId="6" fillId="3" borderId="13" applyAlignment="1" applyProtection="1" pivotButton="0" quotePrefix="0" xfId="0">
      <alignment horizontal="center" vertical="center"/>
      <protection locked="0" hidden="0"/>
    </xf>
    <xf numFmtId="0" fontId="6" fillId="3" borderId="13" applyAlignment="1" applyProtection="1" pivotButton="0" quotePrefix="0" xfId="0">
      <alignment horizontal="left" vertical="center"/>
      <protection locked="0" hidden="0"/>
    </xf>
    <xf numFmtId="0" fontId="6" fillId="3" borderId="13" applyAlignment="1" applyProtection="1" pivotButton="0" quotePrefix="0" xfId="0">
      <alignment horizontal="left" vertical="center" wrapText="1"/>
      <protection locked="0" hidden="0"/>
    </xf>
    <xf numFmtId="0" fontId="6" fillId="3" borderId="13" applyAlignment="1" applyProtection="1" pivotButton="0" quotePrefix="0" xfId="0">
      <alignment horizontal="center" vertical="center" wrapText="1"/>
      <protection locked="0" hidden="0"/>
    </xf>
    <xf numFmtId="0" fontId="6" fillId="2" borderId="18" applyAlignment="1" applyProtection="1" pivotButton="0" quotePrefix="0" xfId="0">
      <alignment horizontal="center" vertical="center"/>
      <protection locked="1" hidden="1"/>
    </xf>
    <xf numFmtId="164" fontId="6" fillId="2" borderId="18" applyAlignment="1" applyProtection="1" pivotButton="0" quotePrefix="0" xfId="0">
      <alignment horizontal="right"/>
      <protection locked="1" hidden="1"/>
    </xf>
    <xf numFmtId="164" fontId="4" fillId="2" borderId="20" applyAlignment="1" applyProtection="1" pivotButton="0" quotePrefix="0" xfId="0">
      <alignment horizontal="center" vertical="center"/>
      <protection locked="1" hidden="1"/>
    </xf>
    <xf numFmtId="0" fontId="12" fillId="2" borderId="18" applyAlignment="1" applyProtection="1" pivotButton="0" quotePrefix="0" xfId="0">
      <alignment horizontal="left" vertical="center" indent="1"/>
      <protection locked="1" hidden="1"/>
    </xf>
    <xf numFmtId="0" fontId="5" fillId="2" borderId="30" applyAlignment="1" applyProtection="1" pivotButton="0" quotePrefix="0" xfId="0">
      <alignment vertical="center"/>
      <protection locked="1" hidden="1"/>
    </xf>
    <xf numFmtId="0" fontId="5" fillId="2" borderId="31" applyAlignment="1" applyProtection="1" pivotButton="0" quotePrefix="0" xfId="0">
      <alignment horizontal="center" vertical="center"/>
      <protection locked="1" hidden="1"/>
    </xf>
    <xf numFmtId="0" fontId="5" fillId="2" borderId="31" applyAlignment="1" applyProtection="1" pivotButton="0" quotePrefix="0" xfId="0">
      <alignment horizontal="center" vertical="center" wrapText="1"/>
      <protection locked="1" hidden="1"/>
    </xf>
    <xf numFmtId="0" fontId="5" fillId="2" borderId="32" applyAlignment="1" applyProtection="1" pivotButton="0" quotePrefix="0" xfId="0">
      <alignment horizontal="center" vertical="center" wrapText="1"/>
      <protection locked="1" hidden="1"/>
    </xf>
    <xf numFmtId="164" fontId="5" fillId="2" borderId="30" applyAlignment="1" applyProtection="1" pivotButton="0" quotePrefix="0" xfId="0">
      <alignment vertical="center"/>
      <protection locked="1" hidden="1"/>
    </xf>
    <xf numFmtId="0" fontId="10" fillId="3" borderId="25" applyAlignment="1" applyProtection="1" pivotButton="0" quotePrefix="0" xfId="0">
      <alignment horizontal="center" vertical="center"/>
      <protection locked="0" hidden="0"/>
    </xf>
    <xf numFmtId="0" fontId="6" fillId="3" borderId="25" applyAlignment="1" applyProtection="1" pivotButton="0" quotePrefix="0" xfId="0">
      <alignment horizontal="center" vertical="center"/>
      <protection locked="0" hidden="0"/>
    </xf>
    <xf numFmtId="164" fontId="6" fillId="3" borderId="25" applyAlignment="1" applyProtection="1" pivotButton="0" quotePrefix="0" xfId="0">
      <alignment horizontal="center" vertical="center"/>
      <protection locked="0" hidden="0"/>
    </xf>
    <xf numFmtId="164" fontId="6" fillId="2" borderId="33" applyAlignment="1" applyProtection="1" pivotButton="0" quotePrefix="0" xfId="0">
      <alignment horizontal="center" vertical="center"/>
      <protection locked="1" hidden="1"/>
    </xf>
    <xf numFmtId="0" fontId="6" fillId="3" borderId="25" applyAlignment="1" applyProtection="1" pivotButton="0" quotePrefix="0" xfId="0">
      <alignment vertical="center"/>
      <protection locked="0" hidden="0"/>
    </xf>
    <xf numFmtId="0" fontId="1" fillId="3" borderId="25" applyAlignment="1" applyProtection="1" pivotButton="0" quotePrefix="0" xfId="0">
      <alignment horizontal="center" vertical="center"/>
      <protection locked="0" hidden="0"/>
    </xf>
    <xf numFmtId="0" fontId="6" fillId="2" borderId="25" applyAlignment="1" applyProtection="1" pivotButton="0" quotePrefix="0" xfId="0">
      <alignment horizontal="center" vertical="center"/>
      <protection locked="1" hidden="1"/>
    </xf>
    <xf numFmtId="164" fontId="6" fillId="3" borderId="13" applyAlignment="1" applyProtection="1" pivotButton="0" quotePrefix="0" xfId="0">
      <alignment horizontal="center" vertical="center"/>
      <protection locked="0" hidden="0"/>
    </xf>
    <xf numFmtId="164" fontId="6" fillId="2" borderId="14" applyAlignment="1" applyProtection="1" pivotButton="0" quotePrefix="0" xfId="0">
      <alignment horizontal="center" vertical="center"/>
      <protection locked="1" hidden="1"/>
    </xf>
    <xf numFmtId="0" fontId="1" fillId="3" borderId="13" applyAlignment="1" applyProtection="1" pivotButton="0" quotePrefix="0" xfId="0">
      <alignment vertical="center"/>
      <protection locked="0" hidden="0"/>
    </xf>
    <xf numFmtId="0" fontId="6" fillId="2" borderId="13" applyAlignment="1" applyProtection="1" pivotButton="0" quotePrefix="0" xfId="0">
      <alignment horizontal="center" vertical="center"/>
      <protection locked="1" hidden="1"/>
    </xf>
    <xf numFmtId="0" fontId="6" fillId="2" borderId="18" applyAlignment="1" applyProtection="1" pivotButton="0" quotePrefix="0" xfId="0">
      <alignment horizontal="right" vertical="center" indent="1"/>
      <protection locked="1" hidden="1"/>
    </xf>
    <xf numFmtId="164" fontId="4" fillId="2" borderId="19" applyAlignment="1" applyProtection="1" pivotButton="0" quotePrefix="0" xfId="0">
      <alignment horizontal="center" vertical="center"/>
      <protection locked="1" hidden="1"/>
    </xf>
    <xf numFmtId="0" fontId="5" fillId="2" borderId="17" applyAlignment="1" applyProtection="1" pivotButton="0" quotePrefix="0" xfId="0">
      <alignment vertical="center" textRotation="255" wrapText="1"/>
      <protection locked="1" hidden="1"/>
    </xf>
    <xf numFmtId="0" fontId="1" fillId="2" borderId="18" applyAlignment="1" applyProtection="1" pivotButton="0" quotePrefix="0" xfId="0">
      <alignment horizontal="center" vertical="center"/>
      <protection locked="1" hidden="1"/>
    </xf>
    <xf numFmtId="0" fontId="5" fillId="2" borderId="21" applyAlignment="1" applyProtection="1" pivotButton="0" quotePrefix="0" xfId="0">
      <alignment horizontal="center" vertical="center"/>
      <protection locked="1" hidden="1"/>
    </xf>
    <xf numFmtId="0" fontId="5" fillId="2" borderId="22" applyAlignment="1" applyProtection="1" pivotButton="0" quotePrefix="0" xfId="0">
      <alignment horizontal="center" vertical="center"/>
      <protection locked="1" hidden="1"/>
    </xf>
    <xf numFmtId="0" fontId="5" fillId="2" borderId="22" applyAlignment="1" applyProtection="1" pivotButton="0" quotePrefix="0" xfId="0">
      <alignment horizontal="center" vertical="center" wrapText="1"/>
      <protection locked="1" hidden="1"/>
    </xf>
    <xf numFmtId="165" fontId="5" fillId="2" borderId="22" applyAlignment="1" applyProtection="1" pivotButton="0" quotePrefix="0" xfId="0">
      <alignment horizontal="center" vertical="center"/>
      <protection locked="1" hidden="1"/>
    </xf>
    <xf numFmtId="0" fontId="5" fillId="2" borderId="23" applyAlignment="1" applyProtection="1" pivotButton="0" quotePrefix="0" xfId="0">
      <alignment horizontal="center" vertical="center" wrapText="1"/>
      <protection locked="1" hidden="1"/>
    </xf>
    <xf numFmtId="165" fontId="6" fillId="2" borderId="25" applyAlignment="1" applyProtection="1" pivotButton="0" quotePrefix="0" xfId="0">
      <alignment horizontal="center" vertical="center"/>
      <protection locked="1" hidden="1"/>
    </xf>
    <xf numFmtId="166" fontId="6" fillId="2" borderId="25" applyAlignment="1" applyProtection="1" pivotButton="0" quotePrefix="0" xfId="0">
      <alignment horizontal="center" vertical="center"/>
      <protection locked="1" hidden="1"/>
    </xf>
    <xf numFmtId="167" fontId="6" fillId="3" borderId="25" applyAlignment="1" applyProtection="1" pivotButton="0" quotePrefix="0" xfId="0">
      <alignment horizontal="center" vertical="center"/>
      <protection locked="0" hidden="0"/>
    </xf>
    <xf numFmtId="164" fontId="6" fillId="2" borderId="25" applyAlignment="1" applyProtection="1" pivotButton="0" quotePrefix="0" xfId="0">
      <alignment horizontal="center" vertical="center"/>
      <protection locked="1" hidden="1"/>
    </xf>
    <xf numFmtId="165" fontId="6" fillId="3" borderId="25" applyAlignment="1" applyProtection="1" pivotButton="0" quotePrefix="0" xfId="0">
      <alignment horizontal="center" vertical="center"/>
      <protection locked="0" hidden="0"/>
    </xf>
    <xf numFmtId="167" fontId="6" fillId="3" borderId="13" applyAlignment="1" applyProtection="1" pivotButton="0" quotePrefix="0" xfId="0">
      <alignment horizontal="center" vertical="center"/>
      <protection locked="0" hidden="0"/>
    </xf>
    <xf numFmtId="165" fontId="6" fillId="3" borderId="13" applyAlignment="1" applyProtection="1" pivotButton="0" quotePrefix="0" xfId="0">
      <alignment horizontal="center" vertical="center"/>
      <protection locked="0" hidden="0"/>
    </xf>
    <xf numFmtId="0" fontId="5" fillId="2" borderId="34" applyAlignment="1" applyProtection="1" pivotButton="0" quotePrefix="0" xfId="0">
      <alignment horizontal="center" vertical="center"/>
      <protection locked="1" hidden="1"/>
    </xf>
    <xf numFmtId="0" fontId="6" fillId="2" borderId="18" applyAlignment="1" applyProtection="1" pivotButton="0" quotePrefix="0" xfId="0">
      <alignment vertical="center"/>
      <protection locked="1" hidden="1"/>
    </xf>
    <xf numFmtId="0" fontId="5" fillId="2" borderId="18" applyAlignment="1" applyProtection="1" pivotButton="0" quotePrefix="0" xfId="0">
      <alignment vertical="center"/>
      <protection locked="1" hidden="1"/>
    </xf>
    <xf numFmtId="0" fontId="5" fillId="2" borderId="36" applyAlignment="1" applyProtection="1" pivotButton="0" quotePrefix="0" xfId="0">
      <alignment vertical="center"/>
      <protection locked="1" hidden="1"/>
    </xf>
    <xf numFmtId="168" fontId="5" fillId="2" borderId="36" applyAlignment="1" applyProtection="1" pivotButton="0" quotePrefix="0" xfId="0">
      <alignment horizontal="center" vertical="center"/>
      <protection locked="1" hidden="1"/>
    </xf>
    <xf numFmtId="0" fontId="6" fillId="2" borderId="36" applyAlignment="1" applyProtection="1" pivotButton="0" quotePrefix="0" xfId="0">
      <alignment horizontal="center" vertical="center"/>
      <protection locked="1" hidden="1"/>
    </xf>
    <xf numFmtId="0" fontId="5" fillId="2" borderId="36" applyAlignment="1" applyProtection="1" pivotButton="0" quotePrefix="0" xfId="0">
      <alignment horizontal="center" vertical="center"/>
      <protection locked="1" hidden="1"/>
    </xf>
    <xf numFmtId="168" fontId="5" fillId="2" borderId="37" applyAlignment="1" applyProtection="1" pivotButton="0" quotePrefix="0" xfId="0">
      <alignment horizontal="center" vertical="center"/>
      <protection locked="1" hidden="1"/>
    </xf>
    <xf numFmtId="168" fontId="6" fillId="2" borderId="6" applyAlignment="1" applyProtection="1" pivotButton="0" quotePrefix="0" xfId="0">
      <alignment horizontal="center" vertical="center"/>
      <protection locked="1" hidden="1"/>
    </xf>
    <xf numFmtId="168" fontId="6" fillId="2" borderId="11" applyAlignment="1" applyProtection="1" pivotButton="0" quotePrefix="0" xfId="0">
      <alignment horizontal="center" vertical="center"/>
      <protection locked="1" hidden="1"/>
    </xf>
    <xf numFmtId="168" fontId="11" fillId="5" borderId="11" applyAlignment="1" applyProtection="1" pivotButton="0" quotePrefix="0" xfId="0">
      <alignment horizontal="center" vertical="center"/>
      <protection locked="0" hidden="0"/>
    </xf>
    <xf numFmtId="168" fontId="6" fillId="5" borderId="11" applyAlignment="1" applyProtection="1" pivotButton="0" quotePrefix="0" xfId="0">
      <alignment horizontal="center" vertical="center"/>
      <protection locked="0" hidden="0"/>
    </xf>
    <xf numFmtId="169" fontId="5" fillId="2" borderId="11" applyAlignment="1" applyProtection="1" pivotButton="0" quotePrefix="0" xfId="0">
      <alignment horizontal="center" vertical="center"/>
      <protection locked="1" hidden="1"/>
    </xf>
    <xf numFmtId="9" fontId="6" fillId="5" borderId="11" applyAlignment="1" applyProtection="1" pivotButton="0" quotePrefix="0" xfId="1">
      <alignment horizontal="center" vertical="center"/>
      <protection locked="0" hidden="0"/>
    </xf>
    <xf numFmtId="168" fontId="14" fillId="2" borderId="45" applyAlignment="1" applyProtection="1" pivotButton="0" quotePrefix="0" xfId="0">
      <alignment horizontal="center" vertical="center"/>
      <protection locked="1" hidden="1"/>
    </xf>
    <xf numFmtId="0" fontId="1" fillId="3" borderId="25" applyAlignment="1" applyProtection="1" pivotButton="0" quotePrefix="0" xfId="1">
      <alignment horizontal="center" vertical="center"/>
      <protection locked="0" hidden="0"/>
    </xf>
    <xf numFmtId="0" fontId="2" fillId="2" borderId="1" applyAlignment="1" applyProtection="1" pivotButton="0" quotePrefix="0" xfId="0">
      <alignment horizontal="center" vertical="center"/>
      <protection locked="1" hidden="1"/>
    </xf>
    <xf numFmtId="0" fontId="2" fillId="2" borderId="2" applyAlignment="1" applyProtection="1" pivotButton="0" quotePrefix="0" xfId="0">
      <alignment horizontal="center" vertical="center"/>
      <protection locked="1" hidden="1"/>
    </xf>
    <xf numFmtId="0" fontId="2" fillId="2" borderId="3" applyAlignment="1" applyProtection="1" pivotButton="0" quotePrefix="0" xfId="0">
      <alignment horizontal="center" vertical="center"/>
      <protection locked="1" hidden="1"/>
    </xf>
    <xf numFmtId="0" fontId="3" fillId="2" borderId="4" applyAlignment="1" applyProtection="1" pivotButton="0" quotePrefix="0" xfId="0">
      <alignment horizontal="center" vertical="center"/>
      <protection locked="1" hidden="1"/>
    </xf>
    <xf numFmtId="0" fontId="3" fillId="2" borderId="0" applyAlignment="1" applyProtection="1" pivotButton="0" quotePrefix="0" xfId="0">
      <alignment horizontal="center" vertical="center"/>
      <protection locked="1" hidden="1"/>
    </xf>
    <xf numFmtId="0" fontId="3" fillId="2" borderId="5" applyAlignment="1" applyProtection="1" pivotButton="0" quotePrefix="0" xfId="0">
      <alignment horizontal="center" vertical="center"/>
      <protection locked="1" hidden="1"/>
    </xf>
    <xf numFmtId="0" fontId="5" fillId="2" borderId="7" applyAlignment="1" applyProtection="1" pivotButton="0" quotePrefix="0" xfId="0">
      <alignment horizontal="center" vertical="center"/>
      <protection locked="1" hidden="1"/>
    </xf>
    <xf numFmtId="0" fontId="5" fillId="2" borderId="8" applyAlignment="1" applyProtection="1" pivotButton="0" quotePrefix="0" xfId="0">
      <alignment horizontal="center" vertical="center"/>
      <protection locked="1" hidden="1"/>
    </xf>
    <xf numFmtId="0" fontId="6" fillId="3" borderId="8" applyAlignment="1" applyProtection="1" pivotButton="0" quotePrefix="0" xfId="0">
      <alignment horizontal="center" vertical="center"/>
      <protection locked="0" hidden="0"/>
    </xf>
    <xf numFmtId="0" fontId="6" fillId="3" borderId="9" applyAlignment="1" applyProtection="1" pivotButton="0" quotePrefix="0" xfId="0">
      <alignment horizontal="center" vertical="center"/>
      <protection locked="0" hidden="0"/>
    </xf>
    <xf numFmtId="0" fontId="6" fillId="3" borderId="10" applyAlignment="1" applyProtection="1" pivotButton="0" quotePrefix="0" xfId="0">
      <alignment horizontal="center" vertical="center"/>
      <protection locked="0" hidden="0"/>
    </xf>
    <xf numFmtId="0" fontId="7" fillId="3" borderId="8" applyAlignment="1" applyProtection="1" pivotButton="0" quotePrefix="0" xfId="0">
      <alignment horizontal="center" vertical="center"/>
      <protection locked="0" hidden="0"/>
    </xf>
    <xf numFmtId="0" fontId="1" fillId="3" borderId="8" applyAlignment="1" applyProtection="1" pivotButton="0" quotePrefix="0" xfId="0">
      <alignment horizontal="center" vertical="center"/>
      <protection locked="0" hidden="0"/>
    </xf>
    <xf numFmtId="170" fontId="6" fillId="3" borderId="8" applyAlignment="1" applyProtection="1" pivotButton="0" quotePrefix="0" xfId="0">
      <alignment horizontal="center" vertical="center"/>
      <protection locked="0" hidden="0"/>
    </xf>
    <xf numFmtId="0" fontId="5" fillId="2" borderId="12" applyAlignment="1" applyProtection="1" pivotButton="0" quotePrefix="0" xfId="0">
      <alignment horizontal="center" vertical="center"/>
      <protection locked="1" hidden="1"/>
    </xf>
    <xf numFmtId="0" fontId="5" fillId="2" borderId="13" applyAlignment="1" applyProtection="1" pivotButton="0" quotePrefix="0" xfId="0">
      <alignment horizontal="center" vertical="center"/>
      <protection locked="1" hidden="1"/>
    </xf>
    <xf numFmtId="0" fontId="6" fillId="3" borderId="13" applyAlignment="1" applyProtection="1" pivotButton="0" quotePrefix="0" xfId="0">
      <alignment horizontal="center" vertical="center"/>
      <protection locked="0" hidden="0"/>
    </xf>
    <xf numFmtId="0" fontId="6" fillId="3" borderId="14" applyAlignment="1" applyProtection="1" pivotButton="0" quotePrefix="0" xfId="0">
      <alignment horizontal="center" vertical="center"/>
      <protection locked="0" hidden="0"/>
    </xf>
    <xf numFmtId="0" fontId="6" fillId="3" borderId="15" applyAlignment="1" applyProtection="1" pivotButton="0" quotePrefix="0" xfId="0">
      <alignment horizontal="center" vertical="center"/>
      <protection locked="0" hidden="0"/>
    </xf>
    <xf numFmtId="0" fontId="7" fillId="3" borderId="13" applyAlignment="1" applyProtection="1" pivotButton="0" quotePrefix="0" xfId="0">
      <alignment horizontal="center" vertical="center"/>
      <protection locked="0" hidden="0"/>
    </xf>
    <xf numFmtId="0" fontId="1" fillId="3" borderId="13" applyAlignment="1" applyProtection="1" pivotButton="0" quotePrefix="0" xfId="0">
      <alignment horizontal="center" vertical="center"/>
      <protection locked="0" hidden="0"/>
    </xf>
    <xf numFmtId="170" fontId="6" fillId="3" borderId="13" applyAlignment="1" applyProtection="1" pivotButton="0" quotePrefix="0" xfId="0">
      <alignment horizontal="center" vertical="center"/>
      <protection locked="0" hidden="0"/>
    </xf>
    <xf numFmtId="0" fontId="5" fillId="2" borderId="12" applyAlignment="1" applyProtection="1" pivotButton="0" quotePrefix="0" xfId="0">
      <alignment horizontal="center" vertical="center" wrapText="1"/>
      <protection locked="1" hidden="1"/>
    </xf>
    <xf numFmtId="0" fontId="5" fillId="2" borderId="17" applyAlignment="1" applyProtection="1" pivotButton="0" quotePrefix="0" xfId="0">
      <alignment horizontal="center" vertical="center"/>
      <protection locked="1" hidden="1"/>
    </xf>
    <xf numFmtId="0" fontId="5" fillId="2" borderId="18" applyAlignment="1" applyProtection="1" pivotButton="0" quotePrefix="0" xfId="0">
      <alignment horizontal="center" vertical="center"/>
      <protection locked="1" hidden="1"/>
    </xf>
    <xf numFmtId="0" fontId="6" fillId="3" borderId="18" applyAlignment="1" applyProtection="1" pivotButton="0" quotePrefix="0" xfId="0">
      <alignment horizontal="center" vertical="center"/>
      <protection locked="0" hidden="0"/>
    </xf>
    <xf numFmtId="0" fontId="6" fillId="3" borderId="19" applyAlignment="1" applyProtection="1" pivotButton="0" quotePrefix="0" xfId="0">
      <alignment horizontal="center" vertical="center"/>
      <protection locked="0" hidden="0"/>
    </xf>
    <xf numFmtId="0" fontId="6" fillId="3" borderId="20" applyAlignment="1" applyProtection="1" pivotButton="0" quotePrefix="0" xfId="0">
      <alignment horizontal="center" vertical="center"/>
      <protection locked="0" hidden="0"/>
    </xf>
    <xf numFmtId="0" fontId="5" fillId="2" borderId="17" applyAlignment="1" applyProtection="1" pivotButton="0" quotePrefix="0" xfId="0">
      <alignment horizontal="center" vertical="center" wrapText="1"/>
      <protection locked="1" hidden="1"/>
    </xf>
    <xf numFmtId="9" fontId="1" fillId="3" borderId="18" applyAlignment="1" applyProtection="1" pivotButton="0" quotePrefix="0" xfId="1">
      <alignment horizontal="center" vertical="center"/>
      <protection locked="0" hidden="0"/>
    </xf>
    <xf numFmtId="9" fontId="1" fillId="3" borderId="18" applyAlignment="1" applyProtection="1" pivotButton="0" quotePrefix="0" xfId="1">
      <alignment horizontal="center" vertical="center"/>
      <protection locked="0" hidden="0"/>
    </xf>
    <xf numFmtId="170" fontId="6" fillId="3" borderId="18" applyAlignment="1" applyProtection="1" pivotButton="0" quotePrefix="0" xfId="0">
      <alignment horizontal="center" vertical="center"/>
      <protection locked="0" hidden="0"/>
    </xf>
    <xf numFmtId="0" fontId="8" fillId="2" borderId="27" applyAlignment="1" applyProtection="1" pivotButton="0" quotePrefix="0" xfId="0">
      <alignment horizontal="center" vertical="center"/>
      <protection locked="1" hidden="1"/>
    </xf>
    <xf numFmtId="0" fontId="8" fillId="2" borderId="28" applyAlignment="1" applyProtection="1" pivotButton="0" quotePrefix="0" xfId="0">
      <alignment horizontal="center" vertical="center"/>
      <protection locked="1" hidden="1"/>
    </xf>
    <xf numFmtId="0" fontId="8" fillId="2" borderId="29" applyAlignment="1" applyProtection="1" pivotButton="0" quotePrefix="0" xfId="0">
      <alignment horizontal="center" vertical="center"/>
      <protection locked="1" hidden="1"/>
    </xf>
    <xf numFmtId="0" fontId="13" fillId="2" borderId="22" applyAlignment="1" applyProtection="1" pivotButton="0" quotePrefix="0" xfId="0">
      <alignment horizontal="center" vertical="center" wrapText="1"/>
      <protection locked="1" hidden="1"/>
    </xf>
    <xf numFmtId="0" fontId="13" fillId="2" borderId="22" applyAlignment="1" applyProtection="1" pivotButton="0" quotePrefix="0" xfId="0">
      <alignment horizontal="center" vertical="center"/>
      <protection locked="1" hidden="1"/>
    </xf>
    <xf numFmtId="0" fontId="5" fillId="2" borderId="22" applyAlignment="1" applyProtection="1" pivotButton="0" quotePrefix="0" xfId="0">
      <alignment horizontal="center" vertical="center"/>
      <protection locked="1" hidden="1"/>
    </xf>
    <xf numFmtId="9" fontId="1" fillId="3" borderId="25" applyAlignment="1" applyProtection="1" pivotButton="0" quotePrefix="0" xfId="1">
      <alignment horizontal="center" vertical="center"/>
      <protection locked="0" hidden="0"/>
    </xf>
    <xf numFmtId="9" fontId="1" fillId="3" borderId="25" applyAlignment="1" applyProtection="1" pivotButton="0" quotePrefix="0" xfId="1">
      <alignment horizontal="center" vertical="center"/>
      <protection locked="0" hidden="0"/>
    </xf>
    <xf numFmtId="164" fontId="1" fillId="2" borderId="25" applyAlignment="1" applyProtection="1" pivotButton="0" quotePrefix="0" xfId="0">
      <alignment horizontal="center" vertical="center"/>
      <protection locked="1" hidden="1"/>
    </xf>
    <xf numFmtId="9" fontId="1" fillId="3" borderId="13" applyAlignment="1" applyProtection="1" pivotButton="0" quotePrefix="0" xfId="1">
      <alignment horizontal="center" vertical="center"/>
      <protection locked="0" hidden="0"/>
    </xf>
    <xf numFmtId="9" fontId="1" fillId="3" borderId="13" applyAlignment="1" applyProtection="1" pivotButton="0" quotePrefix="0" xfId="1">
      <alignment horizontal="center" vertical="center"/>
      <protection locked="0" hidden="0"/>
    </xf>
    <xf numFmtId="164" fontId="13" fillId="2" borderId="18" applyAlignment="1" applyProtection="1" pivotButton="0" quotePrefix="0" xfId="0">
      <alignment horizontal="center" vertical="center"/>
      <protection locked="1" hidden="1"/>
    </xf>
    <xf numFmtId="0" fontId="5" fillId="2" borderId="25" applyAlignment="1" applyProtection="1" pivotButton="0" quotePrefix="0" xfId="0">
      <alignment horizontal="center" vertical="center"/>
      <protection locked="1" hidden="1"/>
    </xf>
    <xf numFmtId="0" fontId="5" fillId="2" borderId="26" applyAlignment="1" applyProtection="1" pivotButton="0" quotePrefix="0" xfId="0">
      <alignment horizontal="center" vertical="center"/>
      <protection locked="1" hidden="1"/>
    </xf>
    <xf numFmtId="0" fontId="6" fillId="2" borderId="8" applyAlignment="1" applyProtection="1" pivotButton="0" quotePrefix="0" xfId="0">
      <alignment horizontal="left" vertical="center"/>
      <protection locked="1" hidden="1"/>
    </xf>
    <xf numFmtId="0" fontId="6" fillId="2" borderId="10" applyAlignment="1" applyProtection="1" pivotButton="0" quotePrefix="0" xfId="0">
      <alignment horizontal="left" vertical="center"/>
      <protection locked="1" hidden="1"/>
    </xf>
    <xf numFmtId="0" fontId="5" fillId="2" borderId="38" applyAlignment="1" applyProtection="1" pivotButton="0" quotePrefix="0" xfId="0">
      <alignment horizontal="center" vertical="center"/>
      <protection locked="1" hidden="1"/>
    </xf>
    <xf numFmtId="0" fontId="5" fillId="2" borderId="31" applyAlignment="1" applyProtection="1" pivotButton="0" quotePrefix="0" xfId="0">
      <alignment horizontal="center" vertical="center"/>
      <protection locked="1" hidden="1"/>
    </xf>
    <xf numFmtId="0" fontId="5" fillId="2" borderId="32" applyAlignment="1" applyProtection="1" pivotButton="0" quotePrefix="0" xfId="0">
      <alignment horizontal="center" vertical="center"/>
      <protection locked="1" hidden="1"/>
    </xf>
    <xf numFmtId="0" fontId="5" fillId="2" borderId="15" applyAlignment="1" applyProtection="1" pivotButton="0" quotePrefix="0" xfId="0">
      <alignment horizontal="center" vertical="center"/>
      <protection locked="1" hidden="1"/>
    </xf>
    <xf numFmtId="0" fontId="6" fillId="2" borderId="13" applyAlignment="1" applyProtection="1" pivotButton="0" quotePrefix="0" xfId="0">
      <alignment horizontal="left" vertical="center"/>
      <protection locked="1" hidden="1"/>
    </xf>
    <xf numFmtId="0" fontId="6" fillId="2" borderId="15" applyAlignment="1" applyProtection="1" pivotButton="0" quotePrefix="0" xfId="0">
      <alignment horizontal="left" vertical="center"/>
      <protection locked="1" hidden="1"/>
    </xf>
    <xf numFmtId="0" fontId="5" fillId="2" borderId="39" applyAlignment="1" applyProtection="1" pivotButton="0" quotePrefix="0" xfId="0">
      <alignment horizontal="center" vertical="center"/>
      <protection locked="1" hidden="1"/>
    </xf>
    <xf numFmtId="0" fontId="6" fillId="3" borderId="33" applyAlignment="1" applyProtection="1" pivotButton="0" quotePrefix="0" xfId="0">
      <alignment horizontal="center" vertical="center"/>
      <protection locked="0" hidden="0"/>
    </xf>
    <xf numFmtId="0" fontId="6" fillId="3" borderId="39" applyAlignment="1" applyProtection="1" pivotButton="0" quotePrefix="0" xfId="0">
      <alignment horizontal="center" vertical="center"/>
      <protection locked="0" hidden="0"/>
    </xf>
    <xf numFmtId="0" fontId="6" fillId="3" borderId="40" applyAlignment="1" applyProtection="1" pivotButton="0" quotePrefix="0" xfId="0">
      <alignment horizontal="center" vertical="center"/>
      <protection locked="0" hidden="0"/>
    </xf>
    <xf numFmtId="0" fontId="5" fillId="2" borderId="41" applyAlignment="1" applyProtection="1" pivotButton="0" quotePrefix="0" xfId="0">
      <alignment horizontal="center" vertical="center"/>
      <protection locked="1" hidden="1"/>
    </xf>
    <xf numFmtId="0" fontId="6" fillId="3" borderId="41" applyAlignment="1" applyProtection="1" pivotButton="0" quotePrefix="0" xfId="0">
      <alignment horizontal="center" vertical="center"/>
      <protection locked="0" hidden="0"/>
    </xf>
    <xf numFmtId="0" fontId="6" fillId="3" borderId="42" applyAlignment="1" applyProtection="1" pivotButton="0" quotePrefix="0" xfId="0">
      <alignment horizontal="center" vertical="center"/>
      <protection locked="0" hidden="0"/>
    </xf>
    <xf numFmtId="0" fontId="5" fillId="2" borderId="43" applyAlignment="1" applyProtection="1" pivotButton="0" quotePrefix="0" xfId="0">
      <alignment horizontal="center" vertical="center"/>
      <protection locked="1" hidden="1"/>
    </xf>
    <xf numFmtId="0" fontId="6" fillId="3" borderId="35" applyAlignment="1" applyProtection="1" pivotButton="0" quotePrefix="0" xfId="0">
      <alignment horizontal="center" vertical="center"/>
      <protection locked="0" hidden="0"/>
    </xf>
    <xf numFmtId="0" fontId="6" fillId="3" borderId="43" applyAlignment="1" applyProtection="1" pivotButton="0" quotePrefix="0" xfId="0">
      <alignment horizontal="center" vertical="center"/>
      <protection locked="0" hidden="0"/>
    </xf>
    <xf numFmtId="0" fontId="6" fillId="3" borderId="44" applyAlignment="1" applyProtection="1" pivotButton="0" quotePrefix="0" xfId="0">
      <alignment horizontal="center" vertical="center"/>
      <protection locked="0" hidden="0"/>
    </xf>
    <xf numFmtId="0" fontId="5" fillId="2" borderId="28" applyAlignment="1" applyProtection="1" pivotButton="0" quotePrefix="0" xfId="0">
      <alignment horizontal="center" vertical="center"/>
      <protection locked="1" hidden="1"/>
    </xf>
    <xf numFmtId="0" fontId="5" fillId="2" borderId="29" applyAlignment="1" applyProtection="1" pivotButton="0" quotePrefix="0" xfId="0">
      <alignment horizontal="center" vertical="center"/>
      <protection locked="1" hidden="1"/>
    </xf>
    <xf numFmtId="0" fontId="5" fillId="2" borderId="36" applyAlignment="1" applyProtection="1" pivotButton="0" quotePrefix="0" xfId="0">
      <alignment horizontal="center" vertical="center"/>
      <protection locked="1" hidden="1"/>
    </xf>
    <xf numFmtId="0" fontId="5" fillId="2" borderId="37" applyAlignment="1" applyProtection="1" pivotButton="0" quotePrefix="0" xfId="0">
      <alignment horizontal="center" vertical="center"/>
      <protection locked="1" hidden="1"/>
    </xf>
    <xf numFmtId="0" fontId="6" fillId="2" borderId="36" applyAlignment="1" applyProtection="1" pivotButton="0" quotePrefix="0" xfId="0">
      <alignment horizontal="left" vertical="center"/>
      <protection locked="1" hidden="1"/>
    </xf>
    <xf numFmtId="0" fontId="6" fillId="2" borderId="37" applyAlignment="1" applyProtection="1" pivotButton="0" quotePrefix="0" xfId="0">
      <alignment horizontal="left" vertical="center"/>
      <protection locked="1" hidden="1"/>
    </xf>
    <xf numFmtId="0" fontId="1" fillId="2" borderId="0" applyAlignment="1" applyProtection="1" pivotButton="0" quotePrefix="0" xfId="0">
      <alignment horizontal="center" vertical="center"/>
      <protection locked="1" hidden="1"/>
    </xf>
    <xf numFmtId="0" fontId="4" fillId="2" borderId="6" applyAlignment="1" applyProtection="1" pivotButton="0" quotePrefix="0" xfId="0">
      <alignment horizontal="center" vertical="center" textRotation="255" wrapText="1"/>
      <protection locked="1" hidden="1"/>
    </xf>
    <xf numFmtId="0" fontId="4" fillId="2" borderId="11" applyAlignment="1" applyProtection="1" pivotButton="0" quotePrefix="0" xfId="0">
      <alignment horizontal="center" vertical="center" textRotation="255" wrapText="1"/>
      <protection locked="1" hidden="1"/>
    </xf>
    <xf numFmtId="0" fontId="4" fillId="2" borderId="16" applyAlignment="1" applyProtection="1" pivotButton="0" quotePrefix="0" xfId="0">
      <alignment horizontal="center" vertical="center" textRotation="255" wrapText="1"/>
      <protection locked="1" hidden="1"/>
    </xf>
    <xf numFmtId="0" fontId="4" fillId="2" borderId="7" applyAlignment="1" applyProtection="1" pivotButton="0" quotePrefix="0" xfId="0">
      <alignment horizontal="center" vertical="center"/>
      <protection locked="1" hidden="1"/>
    </xf>
    <xf numFmtId="0" fontId="4" fillId="2" borderId="12" applyAlignment="1" applyProtection="1" pivotButton="0" quotePrefix="0" xfId="0">
      <alignment horizontal="center" vertical="center"/>
      <protection locked="1" hidden="1"/>
    </xf>
    <xf numFmtId="0" fontId="4" fillId="2" borderId="17" applyAlignment="1" applyProtection="1" pivotButton="0" quotePrefix="0" xfId="0">
      <alignment horizontal="center" vertical="center"/>
      <protection locked="1" hidden="1"/>
    </xf>
    <xf numFmtId="0" fontId="4" fillId="2" borderId="7" applyAlignment="1" applyProtection="1" pivotButton="0" quotePrefix="0" xfId="0">
      <alignment horizontal="center" vertical="center" wrapText="1"/>
      <protection locked="1" hidden="1"/>
    </xf>
    <xf numFmtId="0" fontId="4" fillId="2" borderId="12" applyAlignment="1" applyProtection="1" pivotButton="0" quotePrefix="0" xfId="0">
      <alignment horizontal="center" vertical="center" wrapText="1"/>
      <protection locked="1" hidden="1"/>
    </xf>
    <xf numFmtId="0" fontId="4" fillId="2" borderId="34" applyAlignment="1" applyProtection="1" pivotButton="0" quotePrefix="0" xfId="0">
      <alignment horizontal="center" vertical="center" wrapText="1"/>
      <protection locked="1" hidden="1"/>
    </xf>
    <xf numFmtId="0" fontId="4" fillId="2" borderId="9" applyAlignment="1" applyProtection="1" pivotButton="0" quotePrefix="0" xfId="0">
      <alignment horizontal="center" vertical="center" textRotation="255" wrapText="1"/>
      <protection locked="1" hidden="1"/>
    </xf>
    <xf numFmtId="0" fontId="4" fillId="2" borderId="14" applyAlignment="1" applyProtection="1" pivotButton="0" quotePrefix="0" xfId="0">
      <alignment horizontal="center" vertical="center" textRotation="255" wrapText="1"/>
      <protection locked="1" hidden="1"/>
    </xf>
    <xf numFmtId="0" fontId="4" fillId="2" borderId="19" applyAlignment="1" applyProtection="1" pivotButton="0" quotePrefix="0" xfId="0">
      <alignment horizontal="center" vertical="center" textRotation="255" wrapText="1"/>
      <protection locked="1" hidden="1"/>
    </xf>
    <xf numFmtId="0" fontId="4" fillId="2" borderId="14" applyAlignment="1" applyProtection="1" pivotButton="0" quotePrefix="0" xfId="0">
      <alignment vertical="center" textRotation="255" wrapText="1"/>
      <protection locked="1" hidden="1"/>
    </xf>
    <xf numFmtId="0" fontId="4" fillId="2" borderId="19" applyAlignment="1" applyProtection="1" pivotButton="0" quotePrefix="0" xfId="0">
      <alignment vertical="center" textRotation="255" wrapText="1"/>
      <protection locked="1" hidden="1"/>
    </xf>
    <xf numFmtId="0" fontId="4" fillId="2" borderId="35" applyAlignment="1" applyProtection="1" pivotButton="0" quotePrefix="0" xfId="0">
      <alignment horizontal="center" vertical="center" textRotation="255" wrapText="1"/>
      <protection locked="1" hidden="1"/>
    </xf>
    <xf numFmtId="0" fontId="9" fillId="2" borderId="7" applyAlignment="1" applyProtection="1" pivotButton="0" quotePrefix="0" xfId="0">
      <alignment horizontal="center" vertical="center"/>
      <protection locked="1" hidden="1"/>
    </xf>
    <xf numFmtId="0" fontId="9" fillId="2" borderId="12" applyAlignment="1" applyProtection="1" pivotButton="0" quotePrefix="0" xfId="0">
      <alignment horizontal="center" vertical="center"/>
      <protection locked="1" hidden="1"/>
    </xf>
    <xf numFmtId="0" fontId="9" fillId="2" borderId="17" applyAlignment="1" applyProtection="1" pivotButton="0" quotePrefix="0" xfId="0">
      <alignment horizontal="center" vertical="center"/>
      <protection locked="1" hidden="1"/>
    </xf>
    <xf numFmtId="0" fontId="6" fillId="3" borderId="0" applyAlignment="1" applyProtection="1" pivotButton="0" quotePrefix="0" xfId="0">
      <alignment horizontal="center" vertical="center"/>
      <protection locked="0" hidden="0"/>
    </xf>
    <xf numFmtId="0" fontId="6" fillId="3" borderId="5" applyAlignment="1" applyProtection="1" pivotButton="0" quotePrefix="0" xfId="0">
      <alignment horizontal="center" vertical="center"/>
      <protection locked="0" hidden="0"/>
    </xf>
    <xf numFmtId="0" fontId="6" fillId="3" borderId="46" applyAlignment="1" applyProtection="1" pivotButton="0" quotePrefix="0" xfId="0">
      <alignment horizontal="center" vertical="center"/>
      <protection locked="0" hidden="0"/>
    </xf>
    <xf numFmtId="0" fontId="6" fillId="3" borderId="47" applyAlignment="1" applyProtection="1" pivotButton="0" quotePrefix="0" xfId="0">
      <alignment horizontal="center"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2" fillId="2" borderId="63" applyAlignment="1" applyProtection="1" pivotButton="0" quotePrefix="0" xfId="0">
      <alignment horizontal="center" vertical="center"/>
      <protection locked="1" hidden="1"/>
    </xf>
    <xf numFmtId="0" fontId="0" fillId="0" borderId="2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3" fillId="2" borderId="64" applyAlignment="1" applyProtection="1" pivotButton="0" quotePrefix="0" xfId="0">
      <alignment horizontal="center" vertical="center"/>
      <protection locked="1" hidden="1"/>
    </xf>
    <xf numFmtId="0" fontId="0" fillId="0" borderId="5" applyProtection="1" pivotButton="0" quotePrefix="0" xfId="0">
      <protection locked="1" hidden="1"/>
    </xf>
    <xf numFmtId="0" fontId="0" fillId="0" borderId="60" applyProtection="1" pivotButton="0" quotePrefix="0" xfId="0">
      <protection locked="1" hidden="1"/>
    </xf>
    <xf numFmtId="0" fontId="0" fillId="0" borderId="60" applyProtection="1" pivotButton="0" quotePrefix="0" xfId="0">
      <protection locked="0" hidden="0"/>
    </xf>
    <xf numFmtId="0" fontId="0" fillId="0" borderId="59" applyProtection="1" pivotButton="0" quotePrefix="0" xfId="0">
      <protection locked="0" hidden="0"/>
    </xf>
    <xf numFmtId="170" fontId="6" fillId="3" borderId="8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1" hidden="1"/>
    </xf>
    <xf numFmtId="0" fontId="0" fillId="0" borderId="53" applyProtection="1" pivotButton="0" quotePrefix="0" xfId="0">
      <protection locked="1" hidden="1"/>
    </xf>
    <xf numFmtId="0" fontId="0" fillId="0" borderId="53" applyProtection="1" pivotButton="0" quotePrefix="0" xfId="0">
      <protection locked="0" hidden="0"/>
    </xf>
    <xf numFmtId="0" fontId="0" fillId="0" borderId="41" applyProtection="1" pivotButton="0" quotePrefix="0" xfId="0">
      <protection locked="0" hidden="0"/>
    </xf>
    <xf numFmtId="170" fontId="6" fillId="3" borderId="13" applyAlignment="1" applyProtection="1" pivotButton="0" quotePrefix="0" xfId="0">
      <alignment horizontal="center" vertical="center"/>
      <protection locked="0" hidden="0"/>
    </xf>
    <xf numFmtId="0" fontId="0" fillId="0" borderId="48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  <xf numFmtId="0" fontId="0" fillId="0" borderId="52" applyProtection="1" pivotButton="0" quotePrefix="0" xfId="0">
      <protection locked="0" hidden="0"/>
    </xf>
    <xf numFmtId="0" fontId="0" fillId="0" borderId="51" applyProtection="1" pivotButton="0" quotePrefix="0" xfId="0">
      <protection locked="0" hidden="0"/>
    </xf>
    <xf numFmtId="170" fontId="6" fillId="3" borderId="18" applyAlignment="1" applyProtection="1" pivotButton="0" quotePrefix="0" xfId="0">
      <alignment horizontal="center" vertical="center"/>
      <protection locked="0" hidden="0"/>
    </xf>
    <xf numFmtId="0" fontId="0" fillId="0" borderId="49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  <xf numFmtId="164" fontId="6" fillId="2" borderId="26" applyAlignment="1" applyProtection="1" pivotButton="0" quotePrefix="0" xfId="0">
      <alignment vertical="center"/>
      <protection locked="1" hidden="1"/>
    </xf>
    <xf numFmtId="164" fontId="6" fillId="2" borderId="26" applyAlignment="1" applyProtection="1" pivotButton="0" quotePrefix="0" xfId="0">
      <alignment horizontal="center" vertical="center"/>
      <protection locked="1" hidden="1"/>
    </xf>
    <xf numFmtId="164" fontId="6" fillId="2" borderId="15" applyAlignment="1" applyProtection="1" pivotButton="0" quotePrefix="0" xfId="0">
      <alignment vertical="center"/>
      <protection locked="1" hidden="1"/>
    </xf>
    <xf numFmtId="164" fontId="6" fillId="2" borderId="15" applyAlignment="1" applyProtection="1" pivotButton="0" quotePrefix="0" xfId="0">
      <alignment horizontal="center" vertical="center"/>
      <protection locked="1" hidden="1"/>
    </xf>
    <xf numFmtId="0" fontId="0" fillId="0" borderId="24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164" fontId="6" fillId="2" borderId="18" applyAlignment="1" applyProtection="1" pivotButton="0" quotePrefix="0" xfId="0">
      <alignment horizontal="right"/>
      <protection locked="1" hidden="1"/>
    </xf>
    <xf numFmtId="164" fontId="4" fillId="2" borderId="20" applyAlignment="1" applyProtection="1" pivotButton="0" quotePrefix="0" xfId="0">
      <alignment horizontal="center" vertical="center"/>
      <protection locked="1" hidden="1"/>
    </xf>
    <xf numFmtId="0" fontId="8" fillId="2" borderId="62" applyAlignment="1" applyProtection="1" pivotButton="0" quotePrefix="0" xfId="0">
      <alignment horizontal="center" vertical="center"/>
      <protection locked="1" hidden="1"/>
    </xf>
    <xf numFmtId="0" fontId="0" fillId="0" borderId="28" applyProtection="1" pivotButton="0" quotePrefix="0" xfId="0">
      <protection locked="1" hidden="1"/>
    </xf>
    <xf numFmtId="0" fontId="0" fillId="0" borderId="29" applyProtection="1" pivotButton="0" quotePrefix="0" xfId="0">
      <protection locked="1" hidden="1"/>
    </xf>
    <xf numFmtId="164" fontId="5" fillId="2" borderId="30" applyAlignment="1" applyProtection="1" pivotButton="0" quotePrefix="0" xfId="0">
      <alignment vertical="center"/>
      <protection locked="1" hidden="1"/>
    </xf>
    <xf numFmtId="164" fontId="6" fillId="3" borderId="25" applyAlignment="1" applyProtection="1" pivotButton="0" quotePrefix="0" xfId="0">
      <alignment horizontal="center" vertical="center"/>
      <protection locked="0" hidden="0"/>
    </xf>
    <xf numFmtId="164" fontId="6" fillId="2" borderId="33" applyAlignment="1" applyProtection="1" pivotButton="0" quotePrefix="0" xfId="0">
      <alignment horizontal="center" vertical="center"/>
      <protection locked="1" hidden="1"/>
    </xf>
    <xf numFmtId="164" fontId="6" fillId="3" borderId="13" applyAlignment="1" applyProtection="1" pivotButton="0" quotePrefix="0" xfId="0">
      <alignment horizontal="center" vertical="center"/>
      <protection locked="0" hidden="0"/>
    </xf>
    <xf numFmtId="164" fontId="6" fillId="2" borderId="14" applyAlignment="1" applyProtection="1" pivotButton="0" quotePrefix="0" xfId="0">
      <alignment horizontal="center" vertical="center"/>
      <protection locked="1" hidden="1"/>
    </xf>
    <xf numFmtId="164" fontId="4" fillId="2" borderId="19" applyAlignment="1" applyProtection="1" pivotButton="0" quotePrefix="0" xfId="0">
      <alignment horizontal="center" vertical="center"/>
      <protection locked="1" hidden="1"/>
    </xf>
    <xf numFmtId="0" fontId="0" fillId="0" borderId="61" applyProtection="1" pivotButton="0" quotePrefix="0" xfId="0">
      <protection locked="1" hidden="1"/>
    </xf>
    <xf numFmtId="165" fontId="5" fillId="2" borderId="22" applyAlignment="1" applyProtection="1" pivotButton="0" quotePrefix="0" xfId="0">
      <alignment horizontal="center" vertical="center"/>
      <protection locked="1" hidden="1"/>
    </xf>
    <xf numFmtId="165" fontId="6" fillId="2" borderId="25" applyAlignment="1" applyProtection="1" pivotButton="0" quotePrefix="0" xfId="0">
      <alignment horizontal="center" vertical="center"/>
      <protection locked="1" hidden="1"/>
    </xf>
    <xf numFmtId="166" fontId="6" fillId="2" borderId="25" applyAlignment="1" applyProtection="1" pivotButton="0" quotePrefix="0" xfId="0">
      <alignment horizontal="center" vertical="center"/>
      <protection locked="1" hidden="1"/>
    </xf>
    <xf numFmtId="167" fontId="6" fillId="3" borderId="25" applyAlignment="1" applyProtection="1" pivotButton="0" quotePrefix="0" xfId="0">
      <alignment horizontal="center" vertical="center"/>
      <protection locked="0" hidden="0"/>
    </xf>
    <xf numFmtId="164" fontId="6" fillId="2" borderId="25" applyAlignment="1" applyProtection="1" pivotButton="0" quotePrefix="0" xfId="0">
      <alignment horizontal="center" vertical="center"/>
      <protection locked="1" hidden="1"/>
    </xf>
    <xf numFmtId="0" fontId="0" fillId="0" borderId="57" applyProtection="1" pivotButton="0" quotePrefix="0" xfId="0">
      <protection locked="0" hidden="0"/>
    </xf>
    <xf numFmtId="164" fontId="1" fillId="2" borderId="25" applyAlignment="1" applyProtection="1" pivotButton="0" quotePrefix="0" xfId="0">
      <alignment horizontal="center" vertical="center"/>
      <protection locked="1" hidden="1"/>
    </xf>
    <xf numFmtId="0" fontId="0" fillId="0" borderId="57" applyProtection="1" pivotButton="0" quotePrefix="0" xfId="0">
      <protection locked="1" hidden="1"/>
    </xf>
    <xf numFmtId="165" fontId="6" fillId="3" borderId="25" applyAlignment="1" applyProtection="1" pivotButton="0" quotePrefix="0" xfId="0">
      <alignment horizontal="center" vertical="center"/>
      <protection locked="0" hidden="0"/>
    </xf>
    <xf numFmtId="167" fontId="6" fillId="3" borderId="13" applyAlignment="1" applyProtection="1" pivotButton="0" quotePrefix="0" xfId="0">
      <alignment horizontal="center" vertical="center"/>
      <protection locked="0" hidden="0"/>
    </xf>
    <xf numFmtId="165" fontId="6" fillId="3" borderId="13" applyAlignment="1" applyProtection="1" pivotButton="0" quotePrefix="0" xfId="0">
      <alignment horizontal="center" vertical="center"/>
      <protection locked="0" hidden="0"/>
    </xf>
    <xf numFmtId="164" fontId="13" fillId="2" borderId="18" applyAlignment="1" applyProtection="1" pivotButton="0" quotePrefix="0" xfId="0">
      <alignment horizontal="center" vertical="center"/>
      <protection locked="1" hidden="1"/>
    </xf>
    <xf numFmtId="168" fontId="5" fillId="2" borderId="36" applyAlignment="1" applyProtection="1" pivotButton="0" quotePrefix="0" xfId="0">
      <alignment horizontal="center" vertical="center"/>
      <protection locked="1" hidden="1"/>
    </xf>
    <xf numFmtId="168" fontId="5" fillId="2" borderId="37" applyAlignment="1" applyProtection="1" pivotButton="0" quotePrefix="0" xfId="0">
      <alignment horizontal="center" vertical="center"/>
      <protection locked="1" hidden="1"/>
    </xf>
    <xf numFmtId="168" fontId="6" fillId="2" borderId="6" applyAlignment="1" applyProtection="1" pivotButton="0" quotePrefix="0" xfId="0">
      <alignment horizontal="center" vertical="center"/>
      <protection locked="1" hidden="1"/>
    </xf>
    <xf numFmtId="0" fontId="0" fillId="0" borderId="59" applyProtection="1" pivotButton="0" quotePrefix="0" xfId="0">
      <protection locked="1" hidden="1"/>
    </xf>
    <xf numFmtId="0" fontId="0" fillId="0" borderId="46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168" fontId="6" fillId="2" borderId="11" applyAlignment="1" applyProtection="1" pivotButton="0" quotePrefix="0" xfId="0">
      <alignment horizontal="center" vertical="center"/>
      <protection locked="1" hidden="1"/>
    </xf>
    <xf numFmtId="0" fontId="0" fillId="0" borderId="41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6" fillId="3" borderId="26" applyAlignment="1" applyProtection="1" pivotButton="0" quotePrefix="0" xfId="0">
      <alignment horizontal="center" vertical="center"/>
      <protection locked="0" hidden="0"/>
    </xf>
    <xf numFmtId="0" fontId="0" fillId="0" borderId="39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0" fontId="0" fillId="0" borderId="42" applyProtection="1" pivotButton="0" quotePrefix="0" xfId="0">
      <protection locked="0" hidden="0"/>
    </xf>
    <xf numFmtId="168" fontId="11" fillId="5" borderId="11" applyAlignment="1" applyProtection="1" pivotButton="0" quotePrefix="0" xfId="0">
      <alignment horizontal="center" vertical="center"/>
      <protection locked="0" hidden="0"/>
    </xf>
    <xf numFmtId="168" fontId="6" fillId="5" borderId="11" applyAlignment="1" applyProtection="1" pivotButton="0" quotePrefix="0" xfId="0">
      <alignment horizontal="center" vertical="center"/>
      <protection locked="0" hidden="0"/>
    </xf>
    <xf numFmtId="0" fontId="0" fillId="0" borderId="43" applyProtection="1" pivotButton="0" quotePrefix="0" xfId="0">
      <protection locked="1" hidden="1"/>
    </xf>
    <xf numFmtId="0" fontId="6" fillId="3" borderId="37" applyAlignment="1" applyProtection="1" pivotButton="0" quotePrefix="0" xfId="0">
      <alignment horizontal="center" vertical="center"/>
      <protection locked="0" hidden="0"/>
    </xf>
    <xf numFmtId="0" fontId="0" fillId="0" borderId="43" applyProtection="1" pivotButton="0" quotePrefix="0" xfId="0">
      <protection locked="0" hidden="0"/>
    </xf>
    <xf numFmtId="0" fontId="0" fillId="0" borderId="44" applyProtection="1" pivotButton="0" quotePrefix="0" xfId="0">
      <protection locked="0" hidden="0"/>
    </xf>
    <xf numFmtId="169" fontId="5" fillId="2" borderId="11" applyAlignment="1" applyProtection="1" pivotButton="0" quotePrefix="0" xfId="0">
      <alignment horizontal="center" vertical="center"/>
      <protection locked="1" hidden="1"/>
    </xf>
    <xf numFmtId="0" fontId="0" fillId="0" borderId="0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54" applyProtection="1" pivotButton="0" quotePrefix="0" xfId="0">
      <protection locked="1" hidden="1"/>
    </xf>
    <xf numFmtId="168" fontId="14" fillId="2" borderId="45" applyAlignment="1" applyProtection="1" pivotButton="0" quotePrefix="0" xfId="0">
      <alignment horizontal="center" vertical="center"/>
      <protection locked="1" hidden="1"/>
    </xf>
    <xf numFmtId="0" fontId="0" fillId="0" borderId="46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</cellXfs>
  <cellStyles count="2">
    <cellStyle name="常规" xfId="0" builtinId="0"/>
    <cellStyle name="百分比" xfId="1" builtinId="5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9"/>
  <sheetViews>
    <sheetView showGridLines="0" tabSelected="1" view="pageBreakPreview" topLeftCell="A49" zoomScaleNormal="85" workbookViewId="0">
      <selection activeCell="J15" sqref="J15"/>
    </sheetView>
  </sheetViews>
  <sheetFormatPr baseColWidth="8" defaultColWidth="9" defaultRowHeight="11.25"/>
  <cols>
    <col width="3.625" customWidth="1" style="166" min="1" max="1"/>
    <col width="4.875" customWidth="1" style="166" min="2" max="2"/>
    <col width="5.875" customWidth="1" style="166" min="3" max="3"/>
    <col width="5.625" customWidth="1" style="166" min="4" max="4"/>
    <col width="16.25" customWidth="1" style="166" min="5" max="6"/>
    <col width="11.375" customWidth="1" style="166" min="7" max="7"/>
    <col width="8.875" customWidth="1" style="166" min="8" max="8"/>
    <col width="9.125" customWidth="1" style="166" min="9" max="9"/>
    <col width="12.75" customWidth="1" style="166" min="10" max="10"/>
    <col width="8.75" customWidth="1" style="166" min="11" max="11"/>
    <col width="5.125" customWidth="1" style="166" min="12" max="12"/>
    <col width="5.875" customWidth="1" style="166" min="13" max="13"/>
    <col width="4.75" customWidth="1" style="166" min="14" max="14"/>
    <col width="14.5" customWidth="1" style="166" min="15" max="15"/>
    <col width="12.625" customWidth="1" style="166" min="16" max="16"/>
    <col width="11" customWidth="1" style="166" min="17" max="18"/>
    <col width="11.125" customWidth="1" style="166" min="19" max="19"/>
    <col width="13.5" customWidth="1" style="166" min="20" max="20"/>
    <col width="11.375" customWidth="1" style="166" min="21" max="21"/>
    <col width="9" customWidth="1" style="166" min="22" max="16384"/>
  </cols>
  <sheetData>
    <row r="1">
      <c r="A1" s="166" t="n"/>
    </row>
    <row r="2" ht="39.95" customHeight="1" s="189">
      <c r="A2" s="190" t="n"/>
      <c r="B2" s="191" t="inlineStr">
        <is>
          <t>上海金榕汽车零部件股份有限公司</t>
        </is>
      </c>
      <c r="C2" s="192" t="n"/>
      <c r="D2" s="192" t="n"/>
      <c r="E2" s="192" t="n"/>
      <c r="F2" s="192" t="n"/>
      <c r="G2" s="192" t="n"/>
      <c r="H2" s="192" t="n"/>
      <c r="I2" s="192" t="n"/>
      <c r="J2" s="192" t="n"/>
      <c r="K2" s="192" t="n"/>
      <c r="L2" s="192" t="n"/>
      <c r="M2" s="192" t="n"/>
      <c r="N2" s="192" t="n"/>
      <c r="O2" s="192" t="n"/>
      <c r="P2" s="192" t="n"/>
      <c r="Q2" s="192" t="n"/>
      <c r="R2" s="192" t="n"/>
      <c r="S2" s="192" t="n"/>
      <c r="T2" s="192" t="n"/>
      <c r="U2" s="193" t="n"/>
    </row>
    <row r="3" ht="30.95" customHeight="1" s="189">
      <c r="A3" s="190" t="n"/>
      <c r="B3" s="194" t="inlineStr">
        <is>
          <t>供应商产品报价表</t>
        </is>
      </c>
      <c r="C3" s="190" t="n"/>
      <c r="D3" s="190" t="n"/>
      <c r="E3" s="190" t="n"/>
      <c r="F3" s="190" t="n"/>
      <c r="G3" s="190" t="n"/>
      <c r="H3" s="190" t="n"/>
      <c r="I3" s="190" t="n"/>
      <c r="J3" s="190" t="n"/>
      <c r="K3" s="190" t="n"/>
      <c r="L3" s="190" t="n"/>
      <c r="M3" s="190" t="n"/>
      <c r="N3" s="190" t="n"/>
      <c r="O3" s="190" t="n"/>
      <c r="P3" s="190" t="n"/>
      <c r="Q3" s="190" t="n"/>
      <c r="R3" s="190" t="n"/>
      <c r="S3" s="190" t="n"/>
      <c r="T3" s="190" t="n"/>
      <c r="U3" s="195" t="n"/>
    </row>
    <row r="4" ht="27.95" customHeight="1" s="189">
      <c r="A4" s="190" t="n"/>
      <c r="B4" s="167" t="inlineStr">
        <is>
          <t>供应商商务信息</t>
        </is>
      </c>
      <c r="C4" s="101" t="inlineStr">
        <is>
          <t>供应商名称</t>
        </is>
      </c>
      <c r="D4" s="196" t="n"/>
      <c r="E4" s="103" t="inlineStr">
        <is>
          <t>杭州深远工贸有限公司</t>
        </is>
      </c>
      <c r="F4" s="197" t="n"/>
      <c r="G4" s="3" t="inlineStr">
        <is>
          <t>年销售额
（万元）</t>
        </is>
      </c>
      <c r="H4" s="103" t="n">
        <v>3000</v>
      </c>
      <c r="I4" s="198" t="n"/>
      <c r="J4" s="198" t="n"/>
      <c r="K4" s="197" t="n"/>
      <c r="L4" s="167" t="inlineStr">
        <is>
          <t>报价产品商务信息</t>
        </is>
      </c>
      <c r="M4" s="101" t="inlineStr">
        <is>
          <t>零件名称</t>
        </is>
      </c>
      <c r="N4" s="196" t="n"/>
      <c r="O4" s="106" t="inlineStr">
        <is>
          <t>CHASSIS</t>
        </is>
      </c>
      <c r="P4" s="197" t="n"/>
      <c r="Q4" s="3" t="inlineStr">
        <is>
          <t>报价日期</t>
        </is>
      </c>
      <c r="R4" s="199" t="n">
        <v>46192</v>
      </c>
      <c r="S4" s="197" t="n"/>
      <c r="T4" s="102" t="inlineStr">
        <is>
          <t>成品重量KG</t>
        </is>
      </c>
      <c r="U4" s="105" t="n">
        <v>0.32</v>
      </c>
    </row>
    <row r="5" ht="27.95" customHeight="1" s="189">
      <c r="A5" s="190" t="n"/>
      <c r="B5" s="200" t="n"/>
      <c r="C5" s="109" t="inlineStr">
        <is>
          <t>公司法人</t>
        </is>
      </c>
      <c r="D5" s="201" t="n"/>
      <c r="E5" s="111" t="inlineStr">
        <is>
          <t>许燊</t>
        </is>
      </c>
      <c r="F5" s="202" t="n"/>
      <c r="G5" s="8" t="inlineStr">
        <is>
          <t>年纳税额
（万元）</t>
        </is>
      </c>
      <c r="H5" s="111" t="n">
        <v>120</v>
      </c>
      <c r="I5" s="203" t="n"/>
      <c r="J5" s="203" t="n"/>
      <c r="K5" s="202" t="n"/>
      <c r="L5" s="200" t="n"/>
      <c r="M5" s="109" t="inlineStr">
        <is>
          <t>零件号</t>
        </is>
      </c>
      <c r="N5" s="201" t="n"/>
      <c r="O5" s="114" t="inlineStr">
        <is>
          <t>SP601-CHASSIS</t>
        </is>
      </c>
      <c r="P5" s="202" t="n"/>
      <c r="Q5" s="110" t="inlineStr">
        <is>
          <t>OTS时间</t>
        </is>
      </c>
      <c r="R5" s="204" t="inlineStr">
        <is>
          <t>必填项</t>
        </is>
      </c>
      <c r="S5" s="202" t="n"/>
      <c r="T5" s="110" t="inlineStr">
        <is>
          <t>毛坯重量KG</t>
        </is>
      </c>
      <c r="U5" s="113" t="n">
        <v>0.352</v>
      </c>
    </row>
    <row r="6" ht="27.95" customHeight="1" s="189">
      <c r="A6" s="190" t="n"/>
      <c r="B6" s="200" t="n"/>
      <c r="C6" s="109" t="inlineStr">
        <is>
          <t>企业规模</t>
        </is>
      </c>
      <c r="D6" s="201" t="n"/>
      <c r="E6" s="111" t="inlineStr">
        <is>
          <t>80人</t>
        </is>
      </c>
      <c r="F6" s="202" t="n"/>
      <c r="G6" s="8" t="inlineStr">
        <is>
          <t>注册资本
（万元）</t>
        </is>
      </c>
      <c r="H6" s="111" t="n">
        <v>50</v>
      </c>
      <c r="I6" s="203" t="n"/>
      <c r="J6" s="203" t="n"/>
      <c r="K6" s="202" t="n"/>
      <c r="L6" s="200" t="n"/>
      <c r="M6" s="117" t="inlineStr">
        <is>
          <t>总采购量
（万件）</t>
        </is>
      </c>
      <c r="N6" s="201" t="n"/>
      <c r="O6" s="115" t="n">
        <v>0.2</v>
      </c>
      <c r="P6" s="202" t="n"/>
      <c r="Q6" s="110" t="inlineStr">
        <is>
          <t>OTS时间</t>
        </is>
      </c>
      <c r="R6" s="204" t="inlineStr">
        <is>
          <t>必填项</t>
        </is>
      </c>
      <c r="S6" s="202" t="n"/>
      <c r="T6" s="8" t="inlineStr">
        <is>
          <t xml:space="preserve">工价（元/h)
一键修正
</t>
        </is>
      </c>
      <c r="U6" s="11" t="n"/>
    </row>
    <row r="7" ht="27.95" customHeight="1" s="189">
      <c r="A7" s="190" t="n"/>
      <c r="B7" s="200" t="n"/>
      <c r="C7" s="109" t="inlineStr">
        <is>
          <t>业务联系人</t>
        </is>
      </c>
      <c r="D7" s="201" t="n"/>
      <c r="E7" s="111" t="inlineStr">
        <is>
          <t>陈思远</t>
        </is>
      </c>
      <c r="F7" s="202" t="n"/>
      <c r="G7" s="110" t="inlineStr">
        <is>
          <t>经营地址</t>
        </is>
      </c>
      <c r="H7" s="111" t="inlineStr">
        <is>
          <t>浙江省杭州市萧山区宁围街道宁安路</t>
        </is>
      </c>
      <c r="I7" s="203" t="n"/>
      <c r="J7" s="203" t="n"/>
      <c r="K7" s="202" t="n"/>
      <c r="L7" s="200" t="n"/>
      <c r="M7" s="109" t="inlineStr">
        <is>
          <t>采购几年</t>
        </is>
      </c>
      <c r="N7" s="201" t="n"/>
      <c r="O7" s="115" t="n"/>
      <c r="P7" s="202" t="n"/>
      <c r="Q7" s="110" t="inlineStr">
        <is>
          <t>PPAP时间</t>
        </is>
      </c>
      <c r="R7" s="204" t="inlineStr">
        <is>
          <t>必填项</t>
        </is>
      </c>
      <c r="S7" s="202" t="n"/>
      <c r="T7" s="8" t="inlineStr">
        <is>
          <t>能耗单价
￥/Kwh</t>
        </is>
      </c>
      <c r="U7" s="113" t="n">
        <v>1</v>
      </c>
    </row>
    <row r="8" ht="27.95" customHeight="1" s="189">
      <c r="A8" s="190" t="n"/>
      <c r="B8" s="205" t="n"/>
      <c r="C8" s="118" t="inlineStr">
        <is>
          <t>联系电话</t>
        </is>
      </c>
      <c r="D8" s="206" t="n"/>
      <c r="E8" s="120" t="n">
        <v>13735526664</v>
      </c>
      <c r="F8" s="207" t="n"/>
      <c r="G8" s="119" t="inlineStr">
        <is>
          <t>主营业务</t>
        </is>
      </c>
      <c r="H8" s="120" t="inlineStr">
        <is>
          <t>塑料制品制造销售</t>
        </is>
      </c>
      <c r="I8" s="208" t="n"/>
      <c r="J8" s="208" t="n"/>
      <c r="K8" s="207" t="n"/>
      <c r="L8" s="205" t="n"/>
      <c r="M8" s="123" t="inlineStr">
        <is>
          <t>综合
废品率</t>
        </is>
      </c>
      <c r="N8" s="206" t="n"/>
      <c r="O8" s="125" t="n">
        <v>0.02</v>
      </c>
      <c r="P8" s="207" t="n"/>
      <c r="Q8" s="119" t="inlineStr">
        <is>
          <t>SOP时间</t>
        </is>
      </c>
      <c r="R8" s="209" t="inlineStr">
        <is>
          <t>必填项</t>
        </is>
      </c>
      <c r="S8" s="207" t="n"/>
      <c r="T8" s="15" t="inlineStr">
        <is>
          <t>年生产天数</t>
        </is>
      </c>
      <c r="U8" s="122" t="n">
        <v>300</v>
      </c>
    </row>
    <row r="9" ht="24.95" customHeight="1" s="189">
      <c r="A9" s="190" t="n"/>
      <c r="B9" s="170" t="inlineStr">
        <is>
          <t>一</t>
        </is>
      </c>
      <c r="C9" s="176" t="inlineStr">
        <is>
          <t>主要材料费用</t>
        </is>
      </c>
      <c r="D9" s="16" t="inlineStr">
        <is>
          <t>序号</t>
        </is>
      </c>
      <c r="E9" s="17" t="inlineStr">
        <is>
          <t>材料名称</t>
        </is>
      </c>
      <c r="F9" s="17" t="inlineStr">
        <is>
          <t>规格型号</t>
        </is>
      </c>
      <c r="G9" s="17" t="inlineStr">
        <is>
          <t>单位</t>
        </is>
      </c>
      <c r="H9" s="17" t="inlineStr">
        <is>
          <t>净用量</t>
        </is>
      </c>
      <c r="I9" s="17" t="inlineStr">
        <is>
          <t>耗用率%</t>
        </is>
      </c>
      <c r="J9" s="17" t="inlineStr">
        <is>
          <t>单价</t>
        </is>
      </c>
      <c r="K9" s="18" t="inlineStr">
        <is>
          <t>材料费用</t>
        </is>
      </c>
      <c r="L9" s="182" t="inlineStr">
        <is>
          <t>二</t>
        </is>
      </c>
      <c r="M9" s="176" t="inlineStr">
        <is>
          <t>外协外购费用</t>
        </is>
      </c>
      <c r="N9" s="16" t="inlineStr">
        <is>
          <t>序号</t>
        </is>
      </c>
      <c r="O9" s="17" t="inlineStr">
        <is>
          <t>材料名称</t>
        </is>
      </c>
      <c r="P9" s="17" t="inlineStr">
        <is>
          <t>规格型号</t>
        </is>
      </c>
      <c r="Q9" s="17" t="inlineStr">
        <is>
          <t>单位</t>
        </is>
      </c>
      <c r="R9" s="17" t="inlineStr">
        <is>
          <t>净用量</t>
        </is>
      </c>
      <c r="S9" s="17" t="inlineStr">
        <is>
          <t>耗用率%</t>
        </is>
      </c>
      <c r="T9" s="17" t="inlineStr">
        <is>
          <t>单价</t>
        </is>
      </c>
      <c r="U9" s="18" t="inlineStr">
        <is>
          <t>外协费用</t>
        </is>
      </c>
    </row>
    <row r="10" ht="24.95" customHeight="1" s="189">
      <c r="A10" s="190" t="n"/>
      <c r="B10" s="210" t="n"/>
      <c r="C10" s="211" t="n"/>
      <c r="D10" s="19" t="n">
        <v>1</v>
      </c>
      <c r="E10" s="20" t="inlineStr">
        <is>
          <t>PA66+CF10</t>
        </is>
      </c>
      <c r="F10" s="21" t="inlineStr">
        <is>
          <t>SP601-CG20 BK006 / KINGFA</t>
        </is>
      </c>
      <c r="G10" s="22" t="n"/>
      <c r="H10" s="22" t="n">
        <v>0.352</v>
      </c>
      <c r="I10" s="23" t="n">
        <v>0.02</v>
      </c>
      <c r="J10" s="22" t="n">
        <v>42</v>
      </c>
      <c r="K10" s="212" t="n">
        <v>15.07968</v>
      </c>
      <c r="L10" s="210" t="n"/>
      <c r="M10" s="211" t="n"/>
      <c r="N10" s="19" t="n">
        <v>1</v>
      </c>
      <c r="O10" s="25" t="n"/>
      <c r="P10" s="26" t="n"/>
      <c r="Q10" s="22" t="n"/>
      <c r="R10" s="22" t="n"/>
      <c r="S10" s="94" t="n"/>
      <c r="T10" s="22" t="n"/>
      <c r="U10" s="213">
        <f>IF(T10="","",T10*R10*(1+S10))</f>
        <v/>
      </c>
    </row>
    <row r="11" ht="24.95" customHeight="1" s="189">
      <c r="A11" s="190" t="n"/>
      <c r="B11" s="210" t="n"/>
      <c r="C11" s="211" t="n"/>
      <c r="D11" s="109" t="n">
        <v>2</v>
      </c>
      <c r="E11" s="29" t="n"/>
      <c r="F11" s="29" t="n"/>
      <c r="G11" s="30" t="n"/>
      <c r="H11" s="30" t="n"/>
      <c r="I11" s="36" t="n"/>
      <c r="J11" s="30" t="n"/>
      <c r="K11" s="214">
        <f>IF(J11="","",J11*H11*(1+I11))</f>
        <v/>
      </c>
      <c r="L11" s="210" t="n"/>
      <c r="M11" s="211" t="n"/>
      <c r="N11" s="109" t="n">
        <v>2</v>
      </c>
      <c r="O11" s="33" t="n"/>
      <c r="P11" s="29" t="n"/>
      <c r="Q11" s="30" t="n"/>
      <c r="R11" s="30" t="n"/>
      <c r="S11" s="137" t="n"/>
      <c r="T11" s="30" t="n"/>
      <c r="U11" s="215">
        <f>IF(T11="","",T11*R11*(1+S11))</f>
        <v/>
      </c>
    </row>
    <row r="12" ht="24.95" customHeight="1" s="189">
      <c r="A12" s="190" t="n"/>
      <c r="B12" s="210" t="n"/>
      <c r="C12" s="211" t="n"/>
      <c r="D12" s="109" t="n">
        <v>3</v>
      </c>
      <c r="E12" s="29" t="n"/>
      <c r="F12" s="29" t="n"/>
      <c r="G12" s="30" t="n"/>
      <c r="H12" s="30" t="n"/>
      <c r="I12" s="36" t="n"/>
      <c r="J12" s="30" t="n"/>
      <c r="K12" s="214">
        <f>IF(J12="","",J12*H12*(1+I12))</f>
        <v/>
      </c>
      <c r="L12" s="210" t="n"/>
      <c r="M12" s="211" t="n"/>
      <c r="N12" s="109" t="n">
        <v>3</v>
      </c>
      <c r="O12" s="33" t="n"/>
      <c r="P12" s="29" t="n"/>
      <c r="Q12" s="30" t="n"/>
      <c r="R12" s="30" t="n"/>
      <c r="S12" s="137" t="n"/>
      <c r="T12" s="30" t="n"/>
      <c r="U12" s="215">
        <f>IF(T12="","",T12*R12*(1+S12))</f>
        <v/>
      </c>
    </row>
    <row r="13" ht="24.95" customHeight="1" s="189">
      <c r="A13" s="190" t="n"/>
      <c r="B13" s="210" t="n"/>
      <c r="C13" s="211" t="n"/>
      <c r="D13" s="109" t="n">
        <v>4</v>
      </c>
      <c r="E13" s="29" t="n"/>
      <c r="F13" s="29" t="n"/>
      <c r="G13" s="30" t="n"/>
      <c r="I13" s="36" t="n"/>
      <c r="J13" s="115" t="n"/>
      <c r="K13" s="214">
        <f>IF(J13="","",J13*G13*(1+I13))</f>
        <v/>
      </c>
      <c r="L13" s="210" t="n"/>
      <c r="M13" s="211" t="n"/>
      <c r="N13" s="109" t="n">
        <v>4</v>
      </c>
      <c r="O13" s="33" t="n"/>
      <c r="P13" s="29" t="n"/>
      <c r="Q13" s="30" t="n"/>
      <c r="R13" s="30" t="n"/>
      <c r="S13" s="137" t="n"/>
      <c r="T13" s="30" t="n"/>
      <c r="U13" s="215">
        <f>IF(T13="","",T13*R13*(1+S13))</f>
        <v/>
      </c>
    </row>
    <row r="14" ht="24.95" customHeight="1" s="189">
      <c r="A14" s="190" t="n"/>
      <c r="B14" s="210" t="n"/>
      <c r="C14" s="211" t="n"/>
      <c r="D14" s="109" t="n">
        <v>5</v>
      </c>
      <c r="E14" s="29" t="n"/>
      <c r="F14" s="29" t="n"/>
      <c r="G14" s="30" t="n"/>
      <c r="H14" s="115" t="n"/>
      <c r="I14" s="30" t="n"/>
      <c r="J14" s="36" t="n"/>
      <c r="K14" s="214">
        <f>IF(J14="","",J14*H14*(1+I14))</f>
        <v/>
      </c>
      <c r="L14" s="210" t="n"/>
      <c r="M14" s="211" t="n"/>
      <c r="N14" s="109" t="n">
        <v>5</v>
      </c>
      <c r="O14" s="33" t="n"/>
      <c r="P14" s="29" t="n"/>
      <c r="Q14" s="30" t="n"/>
      <c r="R14" s="30" t="n"/>
      <c r="S14" s="137" t="n"/>
      <c r="T14" s="30" t="n"/>
      <c r="U14" s="215">
        <f>IF(T14="","",T14*R14*(1+S14))</f>
        <v/>
      </c>
    </row>
    <row r="15" ht="24.95" customHeight="1" s="189">
      <c r="A15" s="190" t="n"/>
      <c r="B15" s="210" t="n"/>
      <c r="C15" s="211" t="n"/>
      <c r="D15" s="109" t="n">
        <v>6</v>
      </c>
      <c r="E15" s="29" t="n"/>
      <c r="F15" s="29" t="n"/>
      <c r="G15" s="30" t="n"/>
      <c r="H15" s="115" t="n"/>
      <c r="I15" s="30" t="n"/>
      <c r="J15" s="36" t="n"/>
      <c r="K15" s="214">
        <f>IF(J15="","",J15*H15*(1+I15))</f>
        <v/>
      </c>
      <c r="L15" s="210" t="n"/>
      <c r="M15" s="211" t="n"/>
      <c r="N15" s="109" t="n">
        <v>6</v>
      </c>
      <c r="O15" s="33" t="n"/>
      <c r="P15" s="29" t="n"/>
      <c r="Q15" s="30" t="n"/>
      <c r="R15" s="30" t="n"/>
      <c r="S15" s="137" t="n"/>
      <c r="T15" s="30" t="n"/>
      <c r="U15" s="215">
        <f>IF(T15="","",T15*R15*(1+S15))</f>
        <v/>
      </c>
    </row>
    <row r="16" ht="24.95" customHeight="1" s="189">
      <c r="A16" s="190" t="n"/>
      <c r="B16" s="210" t="n"/>
      <c r="C16" s="211" t="n"/>
      <c r="D16" s="109" t="n">
        <v>7</v>
      </c>
      <c r="E16" s="29" t="n"/>
      <c r="F16" s="29" t="n"/>
      <c r="G16" s="30" t="n"/>
      <c r="H16" s="115" t="n"/>
      <c r="I16" s="30" t="n"/>
      <c r="J16" s="36" t="n"/>
      <c r="K16" s="214">
        <f>IF(J16="","",J16*H16*(1+I16))</f>
        <v/>
      </c>
      <c r="L16" s="210" t="n"/>
      <c r="M16" s="211" t="n"/>
      <c r="N16" s="109" t="n">
        <v>7</v>
      </c>
      <c r="O16" s="33" t="n"/>
      <c r="P16" s="29" t="n"/>
      <c r="Q16" s="30" t="n"/>
      <c r="R16" s="30" t="n"/>
      <c r="S16" s="137" t="n"/>
      <c r="T16" s="30" t="n"/>
      <c r="U16" s="215">
        <f>IF(T16="","",T16*R16*(1+S16))</f>
        <v/>
      </c>
    </row>
    <row r="17" ht="24.95" customHeight="1" s="189">
      <c r="A17" s="190" t="n"/>
      <c r="B17" s="210" t="n"/>
      <c r="C17" s="211" t="n"/>
      <c r="D17" s="109" t="n">
        <v>8</v>
      </c>
      <c r="E17" s="29" t="n"/>
      <c r="F17" s="29" t="n"/>
      <c r="G17" s="30" t="n"/>
      <c r="H17" s="115" t="n"/>
      <c r="I17" s="30" t="n"/>
      <c r="J17" s="36" t="n"/>
      <c r="K17" s="214">
        <f>IF(J17="","",J17*H17*(1+I17))</f>
        <v/>
      </c>
      <c r="L17" s="210" t="n"/>
      <c r="M17" s="211" t="n"/>
      <c r="N17" s="109" t="n">
        <v>8</v>
      </c>
      <c r="O17" s="33" t="n"/>
      <c r="P17" s="29" t="n"/>
      <c r="Q17" s="30" t="n"/>
      <c r="R17" s="30" t="n"/>
      <c r="S17" s="137" t="n"/>
      <c r="T17" s="30" t="n"/>
      <c r="U17" s="215">
        <f>IF(T17="","",T17*R17*(1+S17))</f>
        <v/>
      </c>
    </row>
    <row r="18" ht="24.95" customHeight="1" s="189">
      <c r="A18" s="190" t="n"/>
      <c r="B18" s="210" t="n"/>
      <c r="C18" s="211" t="n"/>
      <c r="D18" s="109" t="n">
        <v>9</v>
      </c>
      <c r="E18" s="29" t="n"/>
      <c r="F18" s="29" t="n"/>
      <c r="G18" s="30" t="n"/>
      <c r="H18" s="30" t="n"/>
      <c r="I18" s="30" t="n"/>
      <c r="J18" s="36" t="n"/>
      <c r="K18" s="214">
        <f>IF(J18="","",J18*H18*(1+I18))</f>
        <v/>
      </c>
      <c r="L18" s="210" t="n"/>
      <c r="M18" s="211" t="n"/>
      <c r="N18" s="109" t="n">
        <v>9</v>
      </c>
      <c r="O18" s="33" t="n"/>
      <c r="P18" s="29" t="n"/>
      <c r="Q18" s="30" t="n"/>
      <c r="R18" s="30" t="n"/>
      <c r="S18" s="137" t="n"/>
      <c r="T18" s="30" t="n"/>
      <c r="U18" s="215">
        <f>IF(T18="","",T18*R18*(1+S18))</f>
        <v/>
      </c>
    </row>
    <row r="19" ht="24.95" customHeight="1" s="189">
      <c r="A19" s="190" t="n"/>
      <c r="B19" s="210" t="n"/>
      <c r="C19" s="211" t="n"/>
      <c r="D19" s="109" t="n">
        <v>10</v>
      </c>
      <c r="E19" s="29" t="n"/>
      <c r="F19" s="29" t="n"/>
      <c r="G19" s="30" t="n"/>
      <c r="H19" s="30" t="n"/>
      <c r="I19" s="30" t="n"/>
      <c r="J19" s="36" t="n"/>
      <c r="K19" s="214">
        <f>IF(J19="","",J19*H19*(1+I19))</f>
        <v/>
      </c>
      <c r="L19" s="210" t="n"/>
      <c r="M19" s="211" t="n"/>
      <c r="N19" s="109" t="n">
        <v>10</v>
      </c>
      <c r="O19" s="33" t="n"/>
      <c r="P19" s="29" t="n"/>
      <c r="Q19" s="30" t="n"/>
      <c r="R19" s="30" t="n"/>
      <c r="S19" s="137" t="n"/>
      <c r="T19" s="30" t="n"/>
      <c r="U19" s="215">
        <f>IF(T19="","",T19*R19*(1+S19))</f>
        <v/>
      </c>
    </row>
    <row r="20" ht="24.95" customHeight="1" s="189">
      <c r="A20" s="190" t="n"/>
      <c r="B20" s="210" t="n"/>
      <c r="C20" s="211" t="n"/>
      <c r="D20" s="109" t="n">
        <v>11</v>
      </c>
      <c r="E20" s="29" t="n"/>
      <c r="F20" s="29" t="n"/>
      <c r="G20" s="30" t="n"/>
      <c r="H20" s="30" t="n"/>
      <c r="I20" s="30" t="n"/>
      <c r="J20" s="36" t="n"/>
      <c r="K20" s="214">
        <f>IF(J20="","",J20*H20*(1+I20))</f>
        <v/>
      </c>
      <c r="L20" s="210" t="n"/>
      <c r="M20" s="211" t="n"/>
      <c r="N20" s="109" t="n">
        <v>11</v>
      </c>
      <c r="O20" s="33" t="n"/>
      <c r="P20" s="38" t="n"/>
      <c r="Q20" s="39" t="n"/>
      <c r="R20" s="30" t="n"/>
      <c r="S20" s="137" t="n"/>
      <c r="T20" s="30" t="n"/>
      <c r="U20" s="215">
        <f>IF(T20="","",T20*R20*(1+S20))</f>
        <v/>
      </c>
    </row>
    <row r="21" ht="24.95" customHeight="1" s="189">
      <c r="A21" s="190" t="n"/>
      <c r="B21" s="210" t="n"/>
      <c r="C21" s="211" t="n"/>
      <c r="D21" s="109" t="n">
        <v>12</v>
      </c>
      <c r="E21" s="40" t="n"/>
      <c r="F21" s="40" t="n"/>
      <c r="G21" s="111" t="n"/>
      <c r="H21" s="30" t="n"/>
      <c r="I21" s="30" t="n"/>
      <c r="J21" s="36" t="n"/>
      <c r="K21" s="214">
        <f>IF(J21="","",J21*H21*(1+I21))</f>
        <v/>
      </c>
      <c r="L21" s="210" t="n"/>
      <c r="M21" s="211" t="n"/>
      <c r="N21" s="109" t="n">
        <v>12</v>
      </c>
      <c r="O21" s="33" t="n"/>
      <c r="P21" s="38" t="n"/>
      <c r="Q21" s="39" t="n"/>
      <c r="R21" s="30" t="n"/>
      <c r="S21" s="137" t="n"/>
      <c r="T21" s="30" t="n"/>
      <c r="U21" s="215">
        <f>IF(T21="","",T21*R21*(1+S21))</f>
        <v/>
      </c>
    </row>
    <row r="22" ht="24.95" customHeight="1" s="189">
      <c r="A22" s="190" t="n"/>
      <c r="B22" s="210" t="n"/>
      <c r="C22" s="211" t="n"/>
      <c r="D22" s="109" t="n">
        <v>13</v>
      </c>
      <c r="E22" s="40" t="n"/>
      <c r="F22" s="40" t="n"/>
      <c r="G22" s="111" t="n"/>
      <c r="H22" s="30" t="n"/>
      <c r="I22" s="30" t="n"/>
      <c r="J22" s="36" t="n"/>
      <c r="K22" s="214">
        <f>IF(J22="","",J22*H22*(1+I22))</f>
        <v/>
      </c>
      <c r="L22" s="210" t="n"/>
      <c r="M22" s="211" t="n"/>
      <c r="N22" s="109" t="n">
        <v>13</v>
      </c>
      <c r="O22" s="33" t="n"/>
      <c r="P22" s="38" t="n"/>
      <c r="Q22" s="39" t="n"/>
      <c r="R22" s="30" t="n"/>
      <c r="S22" s="137" t="n"/>
      <c r="T22" s="30" t="n"/>
      <c r="U22" s="215">
        <f>IF(T22="","",T22*R22*(1+S22))</f>
        <v/>
      </c>
    </row>
    <row r="23" ht="24.95" customHeight="1" s="189">
      <c r="A23" s="190" t="n"/>
      <c r="B23" s="210" t="n"/>
      <c r="C23" s="211" t="n"/>
      <c r="D23" s="109" t="n">
        <v>14</v>
      </c>
      <c r="E23" s="40" t="n"/>
      <c r="F23" s="40" t="n"/>
      <c r="G23" s="111" t="n"/>
      <c r="H23" s="30" t="n"/>
      <c r="I23" s="30" t="n"/>
      <c r="J23" s="36" t="n"/>
      <c r="K23" s="214">
        <f>IF(J23="","",J23*H23*(1+I23))</f>
        <v/>
      </c>
      <c r="L23" s="210" t="n"/>
      <c r="M23" s="211" t="n"/>
      <c r="N23" s="109" t="n">
        <v>14</v>
      </c>
      <c r="O23" s="33" t="n"/>
      <c r="P23" s="40" t="n"/>
      <c r="Q23" s="111" t="n"/>
      <c r="R23" s="30" t="n"/>
      <c r="S23" s="137" t="n"/>
      <c r="T23" s="30" t="n"/>
      <c r="U23" s="215">
        <f>IF(T23="","",T23*R23*(1+S23))</f>
        <v/>
      </c>
    </row>
    <row r="24" ht="24.95" customHeight="1" s="189">
      <c r="A24" s="190" t="n"/>
      <c r="B24" s="210" t="n"/>
      <c r="C24" s="211" t="n"/>
      <c r="D24" s="109" t="n">
        <v>15</v>
      </c>
      <c r="E24" s="40" t="n"/>
      <c r="F24" s="41" t="n"/>
      <c r="G24" s="42" t="n"/>
      <c r="H24" s="30" t="n"/>
      <c r="I24" s="30" t="n"/>
      <c r="J24" s="36" t="n"/>
      <c r="K24" s="214">
        <f>IF(J24="","",J24*H24*(1+I24))</f>
        <v/>
      </c>
      <c r="L24" s="210" t="n"/>
      <c r="M24" s="211" t="n"/>
      <c r="N24" s="109" t="n">
        <v>15</v>
      </c>
      <c r="O24" s="33" t="n"/>
      <c r="P24" s="40" t="n"/>
      <c r="Q24" s="111" t="n"/>
      <c r="R24" s="30" t="n"/>
      <c r="S24" s="137" t="n"/>
      <c r="T24" s="30" t="n"/>
      <c r="U24" s="215">
        <f>IF(T24="","",T24*R24*(1+S24))</f>
        <v/>
      </c>
    </row>
    <row r="25" ht="24.95" customHeight="1" s="189">
      <c r="A25" s="190" t="n"/>
      <c r="B25" s="210" t="n"/>
      <c r="C25" s="211" t="n"/>
      <c r="D25" s="109" t="n">
        <v>16</v>
      </c>
      <c r="E25" s="40" t="n"/>
      <c r="F25" s="40" t="n"/>
      <c r="G25" s="111" t="n"/>
      <c r="H25" s="30" t="n"/>
      <c r="I25" s="30" t="n"/>
      <c r="J25" s="36" t="n"/>
      <c r="K25" s="214">
        <f>IF(J25="","",J25*H25*(1+I25))</f>
        <v/>
      </c>
      <c r="L25" s="210" t="n"/>
      <c r="M25" s="211" t="n"/>
      <c r="N25" s="109" t="n">
        <v>16</v>
      </c>
      <c r="O25" s="33" t="n"/>
      <c r="P25" s="40" t="n"/>
      <c r="Q25" s="111" t="n"/>
      <c r="R25" s="30" t="n"/>
      <c r="S25" s="137" t="n"/>
      <c r="T25" s="30" t="n"/>
      <c r="U25" s="215">
        <f>IF(T25="","",T25*R25*(1+S25))</f>
        <v/>
      </c>
    </row>
    <row r="26" ht="24.95" customHeight="1" s="189">
      <c r="A26" s="190" t="n"/>
      <c r="B26" s="210" t="n"/>
      <c r="C26" s="211" t="n"/>
      <c r="D26" s="109" t="n">
        <v>17</v>
      </c>
      <c r="E26" s="40" t="n"/>
      <c r="F26" s="40" t="n"/>
      <c r="G26" s="111" t="n"/>
      <c r="H26" s="30" t="n"/>
      <c r="I26" s="30" t="n"/>
      <c r="J26" s="36" t="n"/>
      <c r="K26" s="214">
        <f>IF(J26="","",J26*H26*(1+I26))</f>
        <v/>
      </c>
      <c r="L26" s="210" t="n"/>
      <c r="M26" s="211" t="n"/>
      <c r="N26" s="109" t="n">
        <v>17</v>
      </c>
      <c r="O26" s="33" t="n"/>
      <c r="P26" s="40" t="n"/>
      <c r="Q26" s="111" t="n"/>
      <c r="R26" s="30" t="n"/>
      <c r="S26" s="137" t="n"/>
      <c r="T26" s="30" t="n"/>
      <c r="U26" s="215">
        <f>IF(T26="","",T26*R26*(1+S26))</f>
        <v/>
      </c>
    </row>
    <row r="27" ht="24.95" customHeight="1" s="189">
      <c r="A27" s="190" t="n"/>
      <c r="B27" s="216" t="n"/>
      <c r="C27" s="217" t="n"/>
      <c r="D27" s="118" t="n"/>
      <c r="E27" s="43" t="n"/>
      <c r="F27" s="43" t="n"/>
      <c r="G27" s="43" t="n"/>
      <c r="H27" s="119" t="inlineStr">
        <is>
          <t>材料费合计</t>
        </is>
      </c>
      <c r="I27" s="206" t="n"/>
      <c r="J27" s="218" t="n"/>
      <c r="K27" s="219" t="n">
        <v>15.07968</v>
      </c>
      <c r="L27" s="216" t="n"/>
      <c r="M27" s="217" t="n"/>
      <c r="N27" s="118" t="n"/>
      <c r="O27" s="46" t="n"/>
      <c r="P27" s="119" t="n"/>
      <c r="Q27" s="119" t="n"/>
      <c r="R27" s="119" t="n"/>
      <c r="S27" s="119" t="inlineStr">
        <is>
          <t>外协费合计</t>
        </is>
      </c>
      <c r="T27" s="206" t="n"/>
      <c r="U27" s="219">
        <f>SUM(U10:U26)</f>
        <v/>
      </c>
    </row>
    <row r="28" ht="24.95" customHeight="1" s="189">
      <c r="A28" s="190" t="n"/>
      <c r="B28" s="170" t="inlineStr">
        <is>
          <t>三</t>
        </is>
      </c>
      <c r="C28" s="176" t="inlineStr">
        <is>
          <t xml:space="preserve"> 模具费用,刀夹具费用</t>
        </is>
      </c>
      <c r="D28" s="220" t="inlineStr">
        <is>
          <t>模具费用,刀夹具费用分摊</t>
        </is>
      </c>
      <c r="E28" s="221" t="n"/>
      <c r="F28" s="221" t="n"/>
      <c r="G28" s="221" t="n"/>
      <c r="H28" s="221" t="n"/>
      <c r="I28" s="221" t="n"/>
      <c r="J28" s="221" t="n"/>
      <c r="K28" s="222" t="n"/>
      <c r="L28" s="182" t="inlineStr">
        <is>
          <t>四</t>
        </is>
      </c>
      <c r="M28" s="176" t="inlineStr">
        <is>
          <t>实验检测费、开发费、样件费</t>
        </is>
      </c>
      <c r="N28" s="220" t="inlineStr">
        <is>
          <t>批量生产主要检测工序检测单件分摊费</t>
        </is>
      </c>
      <c r="O28" s="221" t="n"/>
      <c r="P28" s="221" t="n"/>
      <c r="Q28" s="221" t="n"/>
      <c r="R28" s="221" t="n"/>
      <c r="S28" s="221" t="n"/>
      <c r="T28" s="221" t="n"/>
      <c r="U28" s="222" t="n"/>
    </row>
    <row r="29" ht="24.95" customHeight="1" s="189">
      <c r="A29" s="190" t="n"/>
      <c r="B29" s="210" t="n"/>
      <c r="C29" s="211" t="n"/>
      <c r="D29" s="47" t="inlineStr">
        <is>
          <t>序号</t>
        </is>
      </c>
      <c r="E29" s="144" t="inlineStr">
        <is>
          <t>模具名称</t>
        </is>
      </c>
      <c r="F29" s="49" t="inlineStr">
        <is>
          <t>模具价格
（万元）</t>
        </is>
      </c>
      <c r="G29" s="144" t="inlineStr">
        <is>
          <t>单模件数</t>
        </is>
      </c>
      <c r="H29" s="49" t="inlineStr">
        <is>
          <t>模具寿命（万模）</t>
        </is>
      </c>
      <c r="I29" s="49" t="inlineStr">
        <is>
          <t>分摊数量（万件）</t>
        </is>
      </c>
      <c r="J29" s="49" t="inlineStr">
        <is>
          <t>指定分摊
数量（万件）</t>
        </is>
      </c>
      <c r="K29" s="50" t="inlineStr">
        <is>
          <t>单件分摊
金额</t>
        </is>
      </c>
      <c r="L29" s="210" t="n"/>
      <c r="M29" s="211" t="n"/>
      <c r="N29" s="223" t="inlineStr">
        <is>
          <t>序列</t>
        </is>
      </c>
      <c r="O29" s="144" t="inlineStr">
        <is>
          <t>实验名称</t>
        </is>
      </c>
      <c r="P29" s="49" t="inlineStr">
        <is>
          <t>实验费用
（万元）</t>
        </is>
      </c>
      <c r="Q29" s="144" t="inlineStr">
        <is>
          <t>是否委外</t>
        </is>
      </c>
      <c r="R29" s="49" t="inlineStr">
        <is>
          <t>产品总寿命
万件</t>
        </is>
      </c>
      <c r="S29" s="49" t="inlineStr">
        <is>
          <t>分摊数
万件</t>
        </is>
      </c>
      <c r="T29" s="49" t="inlineStr">
        <is>
          <t>指定分摊
数量（万件）</t>
        </is>
      </c>
      <c r="U29" s="50" t="inlineStr">
        <is>
          <t>单件分摊
（元）</t>
        </is>
      </c>
    </row>
    <row r="30" ht="24.95" customHeight="1" s="189">
      <c r="A30" s="190" t="n"/>
      <c r="B30" s="210" t="n"/>
      <c r="C30" s="211" t="n"/>
      <c r="D30" s="19" t="n">
        <v>1</v>
      </c>
      <c r="E30" s="52" t="inlineStr">
        <is>
          <t>CHASSIS模具</t>
        </is>
      </c>
      <c r="F30" s="53" t="n">
        <v>18</v>
      </c>
      <c r="G30" s="53" t="n">
        <v>1</v>
      </c>
      <c r="H30" s="53" t="n">
        <v>10</v>
      </c>
      <c r="I30" s="53" t="n">
        <v>0.2</v>
      </c>
      <c r="J30" s="224" t="n"/>
      <c r="K30" s="225" t="n">
        <v>90</v>
      </c>
      <c r="L30" s="210" t="n"/>
      <c r="M30" s="211" t="n"/>
      <c r="N30" s="19" t="n">
        <v>1</v>
      </c>
      <c r="O30" s="56" t="inlineStr">
        <is>
          <t>实验费用</t>
        </is>
      </c>
      <c r="P30" s="53" t="n">
        <v>0</v>
      </c>
      <c r="Q30" s="57" t="n"/>
      <c r="R30" s="58">
        <f>O6</f>
        <v/>
      </c>
      <c r="S30" s="53" t="n">
        <v>23</v>
      </c>
      <c r="T30" s="57" t="n"/>
      <c r="U30" s="213">
        <f>IF(O30="","",IF(T30="",P30/S30,P30/T30))</f>
        <v/>
      </c>
    </row>
    <row r="31" ht="24.95" customHeight="1" s="189">
      <c r="A31" s="190" t="n"/>
      <c r="B31" s="210" t="n"/>
      <c r="C31" s="211" t="n"/>
      <c r="D31" s="109" t="n">
        <v>2</v>
      </c>
      <c r="E31" s="111" t="n"/>
      <c r="F31" s="111" t="n"/>
      <c r="G31" s="111" t="n"/>
      <c r="H31" s="111" t="n"/>
      <c r="I31" s="111" t="n"/>
      <c r="J31" s="226" t="n"/>
      <c r="K31" s="227">
        <f>IF(E31="","",IF(J31="",F31/I31,F31/J31))</f>
        <v/>
      </c>
      <c r="L31" s="210" t="n"/>
      <c r="M31" s="211" t="n"/>
      <c r="N31" s="109" t="n">
        <v>2</v>
      </c>
      <c r="O31" s="61" t="n"/>
      <c r="P31" s="111" t="n"/>
      <c r="Q31" s="111" t="n"/>
      <c r="R31" s="62">
        <f>IF(O31="","",R30)</f>
        <v/>
      </c>
      <c r="S31" s="111" t="n"/>
      <c r="T31" s="111" t="n"/>
      <c r="U31" s="215">
        <f>IF(O31="","",IF(T31="",P31/S31,P31/T31))</f>
        <v/>
      </c>
    </row>
    <row r="32" ht="24.95" customHeight="1" s="189">
      <c r="A32" s="190" t="n"/>
      <c r="B32" s="210" t="n"/>
      <c r="C32" s="211" t="n"/>
      <c r="D32" s="109" t="n">
        <v>3</v>
      </c>
      <c r="E32" s="111" t="n"/>
      <c r="F32" s="111" t="n"/>
      <c r="G32" s="111" t="n"/>
      <c r="H32" s="111" t="n"/>
      <c r="I32" s="111" t="n"/>
      <c r="J32" s="226" t="n"/>
      <c r="K32" s="227">
        <f>IF(E32="","",IF(J32="",F32/I32,F32/J32))</f>
        <v/>
      </c>
      <c r="L32" s="210" t="n"/>
      <c r="M32" s="211" t="n"/>
      <c r="N32" s="109" t="n">
        <v>3</v>
      </c>
      <c r="O32" s="61" t="n"/>
      <c r="P32" s="111" t="n"/>
      <c r="Q32" s="111" t="n"/>
      <c r="R32" s="62">
        <f>IF(O32="","",R31)</f>
        <v/>
      </c>
      <c r="S32" s="111" t="n"/>
      <c r="T32" s="111" t="n"/>
      <c r="U32" s="215">
        <f>IF(O32="","",IF(T32="",P32/S32,P32/T32))</f>
        <v/>
      </c>
    </row>
    <row r="33" ht="24.95" customHeight="1" s="189">
      <c r="A33" s="190" t="n"/>
      <c r="B33" s="210" t="n"/>
      <c r="C33" s="211" t="n"/>
      <c r="D33" s="109" t="n">
        <v>5</v>
      </c>
      <c r="E33" s="111" t="n"/>
      <c r="F33" s="111" t="n"/>
      <c r="G33" s="111" t="n"/>
      <c r="H33" s="111" t="n"/>
      <c r="I33" s="111" t="n"/>
      <c r="J33" s="226" t="n"/>
      <c r="K33" s="227">
        <f>IF(E33="","",IF(J33="",F33/I33,F33/J33))</f>
        <v/>
      </c>
      <c r="L33" s="210" t="n"/>
      <c r="M33" s="211" t="n"/>
      <c r="N33" s="109" t="n">
        <v>4</v>
      </c>
      <c r="O33" s="61" t="n"/>
      <c r="P33" s="111" t="n"/>
      <c r="Q33" s="111" t="n"/>
      <c r="R33" s="62">
        <f>IF(O33="","",R32)</f>
        <v/>
      </c>
      <c r="S33" s="111" t="n"/>
      <c r="T33" s="111" t="n"/>
      <c r="U33" s="215">
        <f>IF(O33="","",IF(T33="",P33/S33,P33/T33))</f>
        <v/>
      </c>
    </row>
    <row r="34" ht="24.95" customHeight="1" s="189">
      <c r="A34" s="190" t="n"/>
      <c r="B34" s="210" t="n"/>
      <c r="C34" s="211" t="n"/>
      <c r="D34" s="109" t="n">
        <v>6</v>
      </c>
      <c r="E34" s="111" t="n"/>
      <c r="F34" s="111" t="n"/>
      <c r="G34" s="111" t="n"/>
      <c r="H34" s="111" t="n"/>
      <c r="I34" s="111" t="n"/>
      <c r="J34" s="226" t="n"/>
      <c r="K34" s="227">
        <f>IF(E34="","",IF(J34="",F34/I34,F34/J34))</f>
        <v/>
      </c>
      <c r="L34" s="210" t="n"/>
      <c r="M34" s="211" t="n"/>
      <c r="N34" s="109" t="n">
        <v>5</v>
      </c>
      <c r="O34" s="61" t="n"/>
      <c r="P34" s="111" t="n"/>
      <c r="Q34" s="111" t="n"/>
      <c r="R34" s="62">
        <f>IF(O34="","",R33)</f>
        <v/>
      </c>
      <c r="S34" s="111" t="n"/>
      <c r="T34" s="111" t="n"/>
      <c r="U34" s="215">
        <f>IF(O34="","",IF(T34="",P34/S34,P34/T34))</f>
        <v/>
      </c>
    </row>
    <row r="35" ht="24.95" customHeight="1" s="189">
      <c r="A35" s="190" t="n"/>
      <c r="B35" s="210" t="n"/>
      <c r="C35" s="211" t="n"/>
      <c r="D35" s="109" t="n">
        <v>7</v>
      </c>
      <c r="E35" s="111" t="n"/>
      <c r="F35" s="111" t="n"/>
      <c r="G35" s="111" t="n"/>
      <c r="H35" s="111" t="n"/>
      <c r="I35" s="111" t="n"/>
      <c r="J35" s="226" t="n"/>
      <c r="K35" s="227">
        <f>IF(E35="","",IF(J35="",F35/I35,F35/J35))</f>
        <v/>
      </c>
      <c r="L35" s="210" t="n"/>
      <c r="M35" s="211" t="n"/>
      <c r="N35" s="109" t="n">
        <v>6</v>
      </c>
      <c r="O35" s="61" t="n"/>
      <c r="P35" s="111" t="n"/>
      <c r="Q35" s="111" t="n"/>
      <c r="R35" s="62">
        <f>IF(O35="","",R34)</f>
        <v/>
      </c>
      <c r="S35" s="111" t="n"/>
      <c r="T35" s="111" t="n"/>
      <c r="U35" s="215">
        <f>IF(O35="","",IF(T35="",P35/S35,P35/T35))</f>
        <v/>
      </c>
    </row>
    <row r="36" ht="24.95" customHeight="1" s="189">
      <c r="A36" s="190" t="n"/>
      <c r="B36" s="210" t="n"/>
      <c r="C36" s="211" t="n"/>
      <c r="D36" s="109" t="n">
        <v>8</v>
      </c>
      <c r="E36" s="111" t="n"/>
      <c r="F36" s="111" t="n"/>
      <c r="G36" s="111" t="n"/>
      <c r="H36" s="111" t="n"/>
      <c r="I36" s="111" t="n"/>
      <c r="J36" s="226" t="n"/>
      <c r="K36" s="227">
        <f>IF(E36="","",IF(J36="",F36/I36,F36/J36))</f>
        <v/>
      </c>
      <c r="L36" s="210" t="n"/>
      <c r="M36" s="211" t="n"/>
      <c r="N36" s="109" t="n">
        <v>7</v>
      </c>
      <c r="O36" s="61" t="n"/>
      <c r="P36" s="111" t="n"/>
      <c r="Q36" s="111" t="n"/>
      <c r="R36" s="62">
        <f>IF(O36="","",R35)</f>
        <v/>
      </c>
      <c r="S36" s="111" t="n"/>
      <c r="T36" s="111" t="n"/>
      <c r="U36" s="215">
        <f>IF(O36="","",IF(T36="",P36/S36,P36/T36))</f>
        <v/>
      </c>
    </row>
    <row r="37" ht="24.95" customHeight="1" s="189">
      <c r="A37" s="190" t="n"/>
      <c r="B37" s="210" t="n"/>
      <c r="C37" s="211" t="n"/>
      <c r="D37" s="109" t="n">
        <v>9</v>
      </c>
      <c r="E37" s="111" t="n"/>
      <c r="F37" s="111" t="n"/>
      <c r="G37" s="111" t="n"/>
      <c r="H37" s="111" t="n"/>
      <c r="I37" s="111" t="n"/>
      <c r="J37" s="226" t="n"/>
      <c r="K37" s="227">
        <f>IF(E37="","",IF(J37="",F37/I37,F37/J37))</f>
        <v/>
      </c>
      <c r="L37" s="210" t="n"/>
      <c r="M37" s="211" t="n"/>
      <c r="N37" s="109" t="n">
        <v>8</v>
      </c>
      <c r="O37" s="61" t="n"/>
      <c r="P37" s="111" t="n"/>
      <c r="Q37" s="111" t="n"/>
      <c r="R37" s="62">
        <f>IF(O37="","",R36)</f>
        <v/>
      </c>
      <c r="S37" s="111" t="n"/>
      <c r="T37" s="111" t="n"/>
      <c r="U37" s="215">
        <f>IF(O37="","",IF(T37="",P37/S37,P37/T37))</f>
        <v/>
      </c>
    </row>
    <row r="38" ht="24.95" customHeight="1" s="189">
      <c r="A38" s="190" t="n"/>
      <c r="B38" s="210" t="n"/>
      <c r="C38" s="211" t="n"/>
      <c r="D38" s="109" t="n">
        <v>10</v>
      </c>
      <c r="E38" s="111" t="n"/>
      <c r="F38" s="111" t="n"/>
      <c r="G38" s="111" t="n"/>
      <c r="H38" s="111" t="n"/>
      <c r="I38" s="111" t="n"/>
      <c r="J38" s="226" t="n"/>
      <c r="K38" s="227">
        <f>IF(E38="","",IF(J38="",F38/I38,F38/J38))</f>
        <v/>
      </c>
      <c r="L38" s="210" t="n"/>
      <c r="M38" s="211" t="n"/>
      <c r="N38" s="109" t="n">
        <v>9</v>
      </c>
      <c r="O38" s="61" t="n"/>
      <c r="P38" s="111" t="n"/>
      <c r="Q38" s="111" t="n"/>
      <c r="R38" s="62">
        <f>IF(O38="","",R37)</f>
        <v/>
      </c>
      <c r="S38" s="111" t="n"/>
      <c r="T38" s="111" t="n"/>
      <c r="U38" s="215">
        <f>IF(O38="","",IF(T38="",P38/S38,P38/T38))</f>
        <v/>
      </c>
    </row>
    <row r="39" ht="24.95" customHeight="1" s="189">
      <c r="A39" s="190" t="n"/>
      <c r="B39" s="210" t="n"/>
      <c r="C39" s="211" t="n"/>
      <c r="D39" s="109" t="n">
        <v>11</v>
      </c>
      <c r="E39" s="111" t="n"/>
      <c r="F39" s="111" t="n"/>
      <c r="G39" s="111" t="n"/>
      <c r="H39" s="111" t="n"/>
      <c r="I39" s="111" t="n"/>
      <c r="J39" s="226" t="n"/>
      <c r="K39" s="227">
        <f>IF(E39="","",IF(J39="",F39/I39,F39/J39))</f>
        <v/>
      </c>
      <c r="L39" s="210" t="n"/>
      <c r="M39" s="211" t="n"/>
      <c r="N39" s="109" t="n">
        <v>10</v>
      </c>
      <c r="O39" s="61" t="n"/>
      <c r="P39" s="111" t="n"/>
      <c r="Q39" s="111" t="n"/>
      <c r="R39" s="62">
        <f>IF(O39="","",R38)</f>
        <v/>
      </c>
      <c r="S39" s="111" t="n"/>
      <c r="T39" s="111" t="n"/>
      <c r="U39" s="215">
        <f>IF(O39="","",IF(T39="",P39/S39,P39/T39))</f>
        <v/>
      </c>
    </row>
    <row r="40" ht="24.95" customHeight="1" s="189">
      <c r="A40" s="190" t="n"/>
      <c r="B40" s="216" t="n"/>
      <c r="C40" s="217" t="n"/>
      <c r="D40" s="118" t="n"/>
      <c r="E40" s="119" t="inlineStr">
        <is>
          <t>模具费用</t>
        </is>
      </c>
      <c r="F40" s="43">
        <f>SUM(F30:F39)</f>
        <v/>
      </c>
      <c r="G40" s="43" t="n"/>
      <c r="H40" s="119" t="inlineStr">
        <is>
          <t>分摊合计</t>
        </is>
      </c>
      <c r="I40" s="206" t="n"/>
      <c r="J40" s="63" t="n"/>
      <c r="K40" s="228" t="n">
        <v>90</v>
      </c>
      <c r="L40" s="216" t="n"/>
      <c r="M40" s="217" t="n"/>
      <c r="N40" s="65" t="n"/>
      <c r="O40" s="119" t="inlineStr">
        <is>
          <t>实验费用汇总</t>
        </is>
      </c>
      <c r="P40" s="43">
        <f>SUM(P30:P39)</f>
        <v/>
      </c>
      <c r="Q40" s="66" t="n"/>
      <c r="R40" s="43" t="n"/>
      <c r="S40" s="43" t="n"/>
      <c r="T40" s="43" t="n"/>
      <c r="U40" s="219">
        <f>SUM(U30:U39)</f>
        <v/>
      </c>
    </row>
    <row r="41" ht="33.95" customHeight="1" s="189">
      <c r="A41" s="190" t="n"/>
      <c r="B41" s="173" t="inlineStr">
        <is>
          <t>五</t>
        </is>
      </c>
      <c r="C41" s="176" t="inlineStr">
        <is>
          <t>加工工序人、机、设备耗能与折旧</t>
        </is>
      </c>
      <c r="D41" s="67" t="inlineStr">
        <is>
          <t>工序</t>
        </is>
      </c>
      <c r="E41" s="132" t="inlineStr">
        <is>
          <t>设备名称</t>
        </is>
      </c>
      <c r="F41" s="69" t="inlineStr">
        <is>
          <t>加工时间 
S/Pcs</t>
        </is>
      </c>
      <c r="G41" s="69" t="inlineStr">
        <is>
          <t>班产量 
件/班</t>
        </is>
      </c>
      <c r="H41" s="69" t="inlineStr">
        <is>
          <t xml:space="preserve">单件台时
H/Pcs </t>
        </is>
      </c>
      <c r="I41" s="132" t="inlineStr">
        <is>
          <t>操作人数</t>
        </is>
      </c>
      <c r="J41" s="69" t="inlineStr">
        <is>
          <t>工时单价
元/H</t>
        </is>
      </c>
      <c r="K41" s="132" t="inlineStr">
        <is>
          <t>加工工时</t>
        </is>
      </c>
      <c r="L41" s="130" t="inlineStr">
        <is>
          <t>生产稼动率
75%-85%</t>
        </is>
      </c>
      <c r="M41" s="229" t="n"/>
      <c r="N41" s="132" t="inlineStr">
        <is>
          <t>人力费用</t>
        </is>
      </c>
      <c r="O41" s="229" t="n"/>
      <c r="P41" s="69" t="inlineStr">
        <is>
          <t>设备费用
（万元）</t>
        </is>
      </c>
      <c r="Q41" s="230" t="inlineStr">
        <is>
          <t>折旧方式</t>
        </is>
      </c>
      <c r="R41" s="132" t="inlineStr">
        <is>
          <t>折旧费用</t>
        </is>
      </c>
      <c r="S41" s="69" t="inlineStr">
        <is>
          <t>设备功率
Kwh</t>
        </is>
      </c>
      <c r="T41" s="69" t="inlineStr">
        <is>
          <t>能耗利用率
35%-70%</t>
        </is>
      </c>
      <c r="U41" s="71" t="inlineStr">
        <is>
          <t>耗能费用</t>
        </is>
      </c>
    </row>
    <row r="42" ht="24.95" customHeight="1" s="189">
      <c r="A42" s="190" t="n"/>
      <c r="B42" s="210" t="n"/>
      <c r="C42" s="211" t="n"/>
      <c r="D42" s="19" t="n">
        <v>1</v>
      </c>
      <c r="E42" s="53" t="inlineStr">
        <is>
          <t>400T</t>
        </is>
      </c>
      <c r="F42" s="53" t="n">
        <v>50</v>
      </c>
      <c r="G42" s="231" t="n">
        <v>828</v>
      </c>
      <c r="H42" s="232" t="n">
        <v>0.01388888888888889</v>
      </c>
      <c r="I42" s="53" t="n">
        <v>1</v>
      </c>
      <c r="J42" s="233" t="n">
        <v>24</v>
      </c>
      <c r="K42" s="234" t="n">
        <v>0.01851851851851852</v>
      </c>
      <c r="L42" s="134" t="n">
        <v>0.75</v>
      </c>
      <c r="M42" s="235" t="n"/>
      <c r="N42" s="236" t="n">
        <v>0.4444444444444444</v>
      </c>
      <c r="O42" s="237" t="n"/>
      <c r="P42" s="53" t="n">
        <v>40</v>
      </c>
      <c r="Q42" s="58" t="inlineStr">
        <is>
          <t>10年2班折90%</t>
        </is>
      </c>
      <c r="R42" s="234" t="n">
        <v>0.101010101010101</v>
      </c>
      <c r="S42" s="238" t="n">
        <v>90</v>
      </c>
      <c r="T42" s="23" t="n">
        <v>0.45</v>
      </c>
      <c r="U42" s="213" t="n">
        <v>0.6057692307692307</v>
      </c>
    </row>
    <row r="43" ht="24.95" customHeight="1" s="189">
      <c r="A43" s="190" t="n"/>
      <c r="B43" s="210" t="n"/>
      <c r="C43" s="211" t="n"/>
      <c r="D43" s="109" t="n">
        <v>2</v>
      </c>
      <c r="E43" s="111" t="n"/>
      <c r="F43" s="53" t="n"/>
      <c r="G43" s="231">
        <f>IF(E43="","",12/H43*L43)</f>
        <v/>
      </c>
      <c r="H43" s="232">
        <f>IF(E43="","",F43/3600)</f>
        <v/>
      </c>
      <c r="I43" s="111" t="n"/>
      <c r="J43" s="239" t="n"/>
      <c r="K43" s="234">
        <f>IF(E43="","",H43*I43/L43)</f>
        <v/>
      </c>
      <c r="L43" s="137" t="n"/>
      <c r="M43" s="202" t="n"/>
      <c r="N43" s="236">
        <f>IF(F43="","",IF(E43="","",J43*K43))</f>
        <v/>
      </c>
      <c r="O43" s="237" t="n"/>
      <c r="P43" s="111" t="n"/>
      <c r="Q43" s="62">
        <f>IF(E43="","","10年2班折90%")</f>
        <v/>
      </c>
      <c r="R43" s="234">
        <f>IF(E43="","",P43*0.9/10/$U$8/22*H43*10000/L43)</f>
        <v/>
      </c>
      <c r="S43" s="240" t="n"/>
      <c r="T43" s="36" t="n"/>
      <c r="U43" s="213">
        <f>IF(S43="","",S43*T43*$U$7*H43/((L43+(1-L43)/1.4)))</f>
        <v/>
      </c>
    </row>
    <row r="44" ht="24.95" customHeight="1" s="189">
      <c r="A44" s="190" t="n"/>
      <c r="B44" s="210" t="n"/>
      <c r="C44" s="211" t="n"/>
      <c r="D44" s="109" t="n">
        <v>3</v>
      </c>
      <c r="E44" s="111" t="n"/>
      <c r="F44" s="111" t="n"/>
      <c r="G44" s="231">
        <f>IF(E44="","",12/H44*L44)</f>
        <v/>
      </c>
      <c r="H44" s="232">
        <f>IF(E44="","",F44/3600)</f>
        <v/>
      </c>
      <c r="I44" s="111" t="n"/>
      <c r="J44" s="239" t="n"/>
      <c r="K44" s="234">
        <f>IF(E44="","",H44*I44/L44)</f>
        <v/>
      </c>
      <c r="L44" s="137" t="n"/>
      <c r="M44" s="202" t="n"/>
      <c r="N44" s="236">
        <f>IF(F44="","",IF(E44="","",J44*K44))</f>
        <v/>
      </c>
      <c r="O44" s="237" t="n"/>
      <c r="P44" s="111" t="n"/>
      <c r="Q44" s="62">
        <f>IF(E44="","","10年2班折90%")</f>
        <v/>
      </c>
      <c r="R44" s="234">
        <f>IF(E44="","",P44*0.9/10/$U$8/22*H44*10000/L44)</f>
        <v/>
      </c>
      <c r="S44" s="240" t="n"/>
      <c r="T44" s="36" t="n"/>
      <c r="U44" s="213">
        <f>IF(S44="","",S44*T44*$U$7*H44/((L44+(1-L44)/1.4)))</f>
        <v/>
      </c>
    </row>
    <row r="45" ht="24.95" customHeight="1" s="189">
      <c r="A45" s="190" t="n"/>
      <c r="B45" s="210" t="n"/>
      <c r="C45" s="211" t="n"/>
      <c r="D45" s="109" t="n">
        <v>4</v>
      </c>
      <c r="E45" s="111" t="n"/>
      <c r="F45" s="111" t="n"/>
      <c r="G45" s="231">
        <f>IF(E45="","",12/H45*L45)</f>
        <v/>
      </c>
      <c r="H45" s="232">
        <f>IF(E45="","",F45/3600)</f>
        <v/>
      </c>
      <c r="I45" s="111" t="n"/>
      <c r="J45" s="239" t="n"/>
      <c r="K45" s="234">
        <f>IF(E45="","",H45*I45/L45)</f>
        <v/>
      </c>
      <c r="L45" s="137" t="n"/>
      <c r="M45" s="202" t="n"/>
      <c r="N45" s="236">
        <f>IF(F45="","",IF(E45="","",J45*K45))</f>
        <v/>
      </c>
      <c r="O45" s="237" t="n"/>
      <c r="P45" s="111" t="n"/>
      <c r="Q45" s="62">
        <f>IF(E45="","","10年2班折90%")</f>
        <v/>
      </c>
      <c r="R45" s="234">
        <f>IF(E45="","",P45*0.9/10/$U$8/22*H45*10000/L45)</f>
        <v/>
      </c>
      <c r="S45" s="240" t="n"/>
      <c r="T45" s="36" t="n"/>
      <c r="U45" s="213">
        <f>IF(S45="","",S45*T45*$U$7*H45/((L45+(1-L45)/1.4)))</f>
        <v/>
      </c>
    </row>
    <row r="46" ht="24.95" customHeight="1" s="189">
      <c r="A46" s="190" t="n"/>
      <c r="B46" s="210" t="n"/>
      <c r="C46" s="211" t="n"/>
      <c r="D46" s="109" t="n">
        <v>5</v>
      </c>
      <c r="E46" s="111" t="n"/>
      <c r="F46" s="111" t="n"/>
      <c r="G46" s="231">
        <f>IF(E46="","",12/H46*L46)</f>
        <v/>
      </c>
      <c r="H46" s="232">
        <f>IF(E46="","",F46/3600)</f>
        <v/>
      </c>
      <c r="I46" s="111" t="n"/>
      <c r="J46" s="239" t="n"/>
      <c r="K46" s="234">
        <f>IF(E46="","",H46*I46/L46)</f>
        <v/>
      </c>
      <c r="L46" s="137" t="n"/>
      <c r="M46" s="202" t="n"/>
      <c r="N46" s="236">
        <f>IF(F46="","",IF(E46="","",J46*K46))</f>
        <v/>
      </c>
      <c r="O46" s="237" t="n"/>
      <c r="P46" s="111" t="n"/>
      <c r="Q46" s="62">
        <f>IF(E46="","","10年2班折90%")</f>
        <v/>
      </c>
      <c r="R46" s="234">
        <f>IF(E46="","",P46*0.9/10/$U$8/22*H46*10000/L46)</f>
        <v/>
      </c>
      <c r="S46" s="240" t="n"/>
      <c r="T46" s="36" t="n"/>
      <c r="U46" s="213">
        <f>IF(S46="","",S46*T46*$U$7*H46/((L46+(1-L46)/1.4)))</f>
        <v/>
      </c>
    </row>
    <row r="47" ht="24.95" customHeight="1" s="189">
      <c r="A47" s="190" t="n"/>
      <c r="B47" s="210" t="n"/>
      <c r="C47" s="211" t="n"/>
      <c r="D47" s="109" t="n">
        <v>6</v>
      </c>
      <c r="E47" s="111" t="n"/>
      <c r="F47" s="111" t="n"/>
      <c r="G47" s="231">
        <f>IF(E47="","",12/H47*L47)</f>
        <v/>
      </c>
      <c r="H47" s="232">
        <f>IF(E47="","",F47/3600)</f>
        <v/>
      </c>
      <c r="I47" s="111" t="n"/>
      <c r="J47" s="239" t="n"/>
      <c r="K47" s="234">
        <f>IF(E47="","",H47*I47/L47)</f>
        <v/>
      </c>
      <c r="L47" s="137" t="n"/>
      <c r="M47" s="202" t="n"/>
      <c r="N47" s="236">
        <f>IF(F47="","",IF(E47="","",J47*K47))</f>
        <v/>
      </c>
      <c r="O47" s="237" t="n"/>
      <c r="P47" s="111" t="n"/>
      <c r="Q47" s="62">
        <f>IF(E47="","","10年2班折90%")</f>
        <v/>
      </c>
      <c r="R47" s="234">
        <f>IF(E47="","",P47*0.9/10/$U$8/22*H47*10000/L47)</f>
        <v/>
      </c>
      <c r="S47" s="240" t="n"/>
      <c r="T47" s="36" t="n"/>
      <c r="U47" s="213">
        <f>IF(S47="","",S47*T47*$U$7*H47/((L47+(1-L47)/1.4)))</f>
        <v/>
      </c>
    </row>
    <row r="48" ht="24.95" customHeight="1" s="189">
      <c r="A48" s="190" t="n"/>
      <c r="B48" s="210" t="n"/>
      <c r="C48" s="211" t="n"/>
      <c r="D48" s="109" t="n">
        <v>7</v>
      </c>
      <c r="E48" s="111" t="n"/>
      <c r="F48" s="111" t="n"/>
      <c r="G48" s="231">
        <f>IF(E48="","",12/H48*L48)</f>
        <v/>
      </c>
      <c r="H48" s="232">
        <f>IF(E48="","",F48/3600)</f>
        <v/>
      </c>
      <c r="I48" s="111" t="n"/>
      <c r="J48" s="239" t="n"/>
      <c r="K48" s="234">
        <f>IF(E48="","",H48*I48/L48)</f>
        <v/>
      </c>
      <c r="L48" s="137" t="n"/>
      <c r="M48" s="202" t="n"/>
      <c r="N48" s="236">
        <f>IF(F48="","",IF(E48="","",J48*K48))</f>
        <v/>
      </c>
      <c r="O48" s="237" t="n"/>
      <c r="P48" s="111" t="n"/>
      <c r="Q48" s="62">
        <f>IF(E48="","","10年2班折90%")</f>
        <v/>
      </c>
      <c r="R48" s="234">
        <f>IF(E48="","",P48*0.9/10/$U$8/22*H48*10000/L48)</f>
        <v/>
      </c>
      <c r="S48" s="240" t="n"/>
      <c r="T48" s="36" t="n"/>
      <c r="U48" s="213">
        <f>IF(S48="","",S48*T48*$U$7*H48/((L48+(1-L48)/1.4)))</f>
        <v/>
      </c>
    </row>
    <row r="49" ht="24.95" customHeight="1" s="189">
      <c r="A49" s="190" t="n"/>
      <c r="B49" s="210" t="n"/>
      <c r="C49" s="211" t="n"/>
      <c r="D49" s="109" t="n">
        <v>8</v>
      </c>
      <c r="E49" s="111" t="n"/>
      <c r="F49" s="111" t="n"/>
      <c r="G49" s="231">
        <f>IF(E49="","",12/H49*L49)</f>
        <v/>
      </c>
      <c r="H49" s="232">
        <f>IF(E49="","",F49/3600)</f>
        <v/>
      </c>
      <c r="I49" s="111" t="n"/>
      <c r="J49" s="239" t="n"/>
      <c r="K49" s="234">
        <f>IF(E49="","",H49*I49/L49)</f>
        <v/>
      </c>
      <c r="L49" s="137" t="n"/>
      <c r="M49" s="202" t="n"/>
      <c r="N49" s="236">
        <f>IF(F49="","",IF(E49="","",J49*K49))</f>
        <v/>
      </c>
      <c r="O49" s="237" t="n"/>
      <c r="P49" s="111" t="n"/>
      <c r="Q49" s="62">
        <f>IF(E49="","","10年2班折90%")</f>
        <v/>
      </c>
      <c r="R49" s="234">
        <f>IF(E49="","",P49*0.9/10/$U$8/22*H49*10000/L49)</f>
        <v/>
      </c>
      <c r="S49" s="240" t="n"/>
      <c r="T49" s="36" t="n"/>
      <c r="U49" s="213">
        <f>IF(S49="","",S49*T49*$U$7*H49/((L49+(1-L49)/1.4)))</f>
        <v/>
      </c>
    </row>
    <row r="50" ht="24.95" customHeight="1" s="189">
      <c r="A50" s="190" t="n"/>
      <c r="B50" s="210" t="n"/>
      <c r="C50" s="211" t="n"/>
      <c r="D50" s="109" t="n">
        <v>9</v>
      </c>
      <c r="E50" s="111" t="n"/>
      <c r="F50" s="111" t="n"/>
      <c r="G50" s="231">
        <f>IF(E50="","",12/H50*L50)</f>
        <v/>
      </c>
      <c r="H50" s="232">
        <f>IF(E50="","",F50/3600)</f>
        <v/>
      </c>
      <c r="I50" s="111" t="n"/>
      <c r="J50" s="239" t="n"/>
      <c r="K50" s="234">
        <f>IF(E50="","",H50*I50/L50)</f>
        <v/>
      </c>
      <c r="L50" s="137" t="n"/>
      <c r="M50" s="202" t="n"/>
      <c r="N50" s="236">
        <f>IF(F50="","",IF(E50="","",J50*K50))</f>
        <v/>
      </c>
      <c r="O50" s="237" t="n"/>
      <c r="P50" s="111" t="n"/>
      <c r="Q50" s="62">
        <f>IF(E50="","","10年2班折90%")</f>
        <v/>
      </c>
      <c r="R50" s="234">
        <f>IF(E50="","",P50*0.9/10/$U$8/22*H50*10000/L50)</f>
        <v/>
      </c>
      <c r="S50" s="240" t="n"/>
      <c r="T50" s="36" t="n"/>
      <c r="U50" s="213">
        <f>IF(S50="","",S50*T50*$U$7*H50/((L50+(1-L50)/1.4)))</f>
        <v/>
      </c>
    </row>
    <row r="51" ht="24.95" customHeight="1" s="189">
      <c r="A51" s="190" t="n"/>
      <c r="B51" s="210" t="n"/>
      <c r="C51" s="211" t="n"/>
      <c r="D51" s="109" t="n">
        <v>10</v>
      </c>
      <c r="E51" s="111" t="n"/>
      <c r="F51" s="111" t="n"/>
      <c r="G51" s="231">
        <f>IF(E51="","",12/H51*L51)</f>
        <v/>
      </c>
      <c r="H51" s="232">
        <f>IF(E51="","",F51/3600)</f>
        <v/>
      </c>
      <c r="I51" s="111" t="n"/>
      <c r="J51" s="239" t="n"/>
      <c r="K51" s="234">
        <f>IF(E51="","",H51*I51/L51)</f>
        <v/>
      </c>
      <c r="L51" s="137" t="n"/>
      <c r="M51" s="202" t="n"/>
      <c r="N51" s="236">
        <f>IF(F51="","",IF(E51="","",J51*K51))</f>
        <v/>
      </c>
      <c r="O51" s="237" t="n"/>
      <c r="P51" s="111" t="n"/>
      <c r="Q51" s="62">
        <f>IF(E51="","","10年2班折90%")</f>
        <v/>
      </c>
      <c r="R51" s="234">
        <f>IF(E51="","",P51*0.9/10/$U$8/22*H51*10000/L51)</f>
        <v/>
      </c>
      <c r="S51" s="240" t="n"/>
      <c r="T51" s="36" t="n"/>
      <c r="U51" s="213">
        <f>IF(S51="","",S51*T51*$U$7*H51/((L51+(1-L51)/1.4)))</f>
        <v/>
      </c>
    </row>
    <row r="52" ht="24.95" customHeight="1" s="189">
      <c r="A52" s="190" t="n"/>
      <c r="B52" s="210" t="n"/>
      <c r="C52" s="211" t="n"/>
      <c r="D52" s="109" t="n">
        <v>11</v>
      </c>
      <c r="E52" s="111" t="n"/>
      <c r="F52" s="111" t="n"/>
      <c r="G52" s="231">
        <f>IF(E52="","",12/H52*L52)</f>
        <v/>
      </c>
      <c r="H52" s="232">
        <f>IF(E52="","",F52/3600)</f>
        <v/>
      </c>
      <c r="I52" s="111" t="n"/>
      <c r="J52" s="239" t="n"/>
      <c r="K52" s="234">
        <f>IF(E52="","",H52*I52/L52)</f>
        <v/>
      </c>
      <c r="L52" s="137" t="n"/>
      <c r="M52" s="202" t="n"/>
      <c r="N52" s="236">
        <f>IF(F52="","",IF(E52="","",J52*K52))</f>
        <v/>
      </c>
      <c r="O52" s="237" t="n"/>
      <c r="P52" s="111" t="n"/>
      <c r="Q52" s="62">
        <f>IF(E52="","","10年2班折90%")</f>
        <v/>
      </c>
      <c r="R52" s="234">
        <f>IF(E52="","",P52*0.9/10/$U$8/22*H52*10000/L52)</f>
        <v/>
      </c>
      <c r="S52" s="240" t="n"/>
      <c r="T52" s="36" t="n"/>
      <c r="U52" s="213">
        <f>IF(S52="","",S52*T52*$U$7*H52/((L52+(1-L52)/1.4)))</f>
        <v/>
      </c>
    </row>
    <row r="53" ht="24.95" customHeight="1" s="189">
      <c r="A53" s="190" t="n"/>
      <c r="B53" s="210" t="n"/>
      <c r="C53" s="211" t="n"/>
      <c r="D53" s="109" t="n">
        <v>12</v>
      </c>
      <c r="E53" s="111" t="n"/>
      <c r="F53" s="111" t="n"/>
      <c r="G53" s="231">
        <f>IF(E53="","",12/H53*L53)</f>
        <v/>
      </c>
      <c r="H53" s="232">
        <f>IF(E53="","",F53/3600)</f>
        <v/>
      </c>
      <c r="I53" s="111" t="n"/>
      <c r="J53" s="239" t="n"/>
      <c r="K53" s="234">
        <f>IF(E53="","",H53*I53/L53)</f>
        <v/>
      </c>
      <c r="L53" s="137" t="n"/>
      <c r="M53" s="202" t="n"/>
      <c r="N53" s="236">
        <f>IF(F53="","",IF(E53="","",J53*K53))</f>
        <v/>
      </c>
      <c r="O53" s="237" t="n"/>
      <c r="P53" s="111" t="n"/>
      <c r="Q53" s="62">
        <f>IF(E53="","","10年2班折90%")</f>
        <v/>
      </c>
      <c r="R53" s="234">
        <f>IF(E53="","",P53*0.9/10/$U$8/22*H53*10000/L53)</f>
        <v/>
      </c>
      <c r="S53" s="240" t="n"/>
      <c r="T53" s="36" t="n"/>
      <c r="U53" s="213">
        <f>IF(S53="","",S53*T53*$U$7*H53/((L53+(1-L53)/1.4)))</f>
        <v/>
      </c>
    </row>
    <row r="54" ht="24.95" customHeight="1" s="189">
      <c r="A54" s="190" t="n"/>
      <c r="B54" s="210" t="n"/>
      <c r="C54" s="211" t="n"/>
      <c r="D54" s="109" t="n">
        <v>13</v>
      </c>
      <c r="E54" s="111" t="n"/>
      <c r="F54" s="111" t="n"/>
      <c r="G54" s="231">
        <f>IF(E54="","",12/H54*L54)</f>
        <v/>
      </c>
      <c r="H54" s="232">
        <f>IF(E54="","",F54/3600)</f>
        <v/>
      </c>
      <c r="I54" s="111" t="n"/>
      <c r="J54" s="239" t="n"/>
      <c r="K54" s="234">
        <f>IF(E54="","",H54*I54/L54)</f>
        <v/>
      </c>
      <c r="L54" s="137" t="n"/>
      <c r="M54" s="202" t="n"/>
      <c r="N54" s="236">
        <f>IF(F54="","",IF(E54="","",J54*K54))</f>
        <v/>
      </c>
      <c r="O54" s="237" t="n"/>
      <c r="P54" s="111" t="n"/>
      <c r="Q54" s="62">
        <f>IF(E54="","","10年2班折90%")</f>
        <v/>
      </c>
      <c r="R54" s="234">
        <f>IF(E54="","",P54*0.9/10/$U$8/22*H54*10000/L54)</f>
        <v/>
      </c>
      <c r="S54" s="240" t="n"/>
      <c r="T54" s="36" t="n"/>
      <c r="U54" s="213">
        <f>IF(S54="","",S54*T54*$U$7*H54/((L54+(1-L54)/1.4)))</f>
        <v/>
      </c>
    </row>
    <row r="55" ht="24.95" customHeight="1" s="189">
      <c r="A55" s="190" t="n"/>
      <c r="B55" s="210" t="n"/>
      <c r="C55" s="211" t="n"/>
      <c r="D55" s="109" t="n">
        <v>14</v>
      </c>
      <c r="E55" s="111" t="n"/>
      <c r="F55" s="111" t="n"/>
      <c r="G55" s="231">
        <f>IF(E55="","",12/H55*L55)</f>
        <v/>
      </c>
      <c r="H55" s="232">
        <f>IF(E55="","",F55/3600)</f>
        <v/>
      </c>
      <c r="I55" s="111" t="n"/>
      <c r="J55" s="239" t="n"/>
      <c r="K55" s="234">
        <f>IF(E55="","",H55*I55/L55)</f>
        <v/>
      </c>
      <c r="L55" s="137" t="n"/>
      <c r="M55" s="202" t="n"/>
      <c r="N55" s="236">
        <f>IF(F55="","",IF(E55="","",J55*K55))</f>
        <v/>
      </c>
      <c r="O55" s="237" t="n"/>
      <c r="P55" s="111" t="n"/>
      <c r="Q55" s="62">
        <f>IF(E55="","","10年2班折90%")</f>
        <v/>
      </c>
      <c r="R55" s="234">
        <f>IF(E55="","",P55*0.9/10/$U$8/22*H55*10000/L55)</f>
        <v/>
      </c>
      <c r="S55" s="240" t="n"/>
      <c r="T55" s="36" t="n"/>
      <c r="U55" s="213">
        <f>IF(S55="","",S55*T55*$U$7*H55/((L55+(1-L55)/1.4)))</f>
        <v/>
      </c>
    </row>
    <row r="56" ht="24.95" customHeight="1" s="189">
      <c r="A56" s="190" t="n"/>
      <c r="B56" s="210" t="n"/>
      <c r="C56" s="211" t="n"/>
      <c r="D56" s="109" t="n">
        <v>15</v>
      </c>
      <c r="E56" s="111" t="n"/>
      <c r="F56" s="111" t="n"/>
      <c r="G56" s="231">
        <f>IF(E56="","",12/H56*L56)</f>
        <v/>
      </c>
      <c r="H56" s="232">
        <f>IF(E56="","",F56/3600)</f>
        <v/>
      </c>
      <c r="I56" s="111" t="n"/>
      <c r="J56" s="239" t="n"/>
      <c r="K56" s="234">
        <f>IF(E56="","",H56*I56/L56)</f>
        <v/>
      </c>
      <c r="L56" s="137" t="n"/>
      <c r="M56" s="202" t="n"/>
      <c r="N56" s="236">
        <f>IF(F56="","",IF(E56="","",J56*K56))</f>
        <v/>
      </c>
      <c r="O56" s="237" t="n"/>
      <c r="P56" s="111" t="n"/>
      <c r="Q56" s="62">
        <f>IF(E56="","","10年2班折90%")</f>
        <v/>
      </c>
      <c r="R56" s="234">
        <f>IF(E56="","",P56*0.9/10/$U$8/22*H56*10000/L56)</f>
        <v/>
      </c>
      <c r="S56" s="240" t="n"/>
      <c r="T56" s="36" t="n"/>
      <c r="U56" s="213">
        <f>IF(S56="","",S56*T56*$U$7*H56/((L56+(1-L56)/1.4)))</f>
        <v/>
      </c>
    </row>
    <row r="57" ht="24.95" customHeight="1" s="189">
      <c r="A57" s="190" t="n"/>
      <c r="B57" s="210" t="n"/>
      <c r="C57" s="211" t="n"/>
      <c r="D57" s="109" t="n">
        <v>16</v>
      </c>
      <c r="E57" s="111" t="n"/>
      <c r="F57" s="111" t="n"/>
      <c r="G57" s="231">
        <f>IF(E57="","",12/H57*L57)</f>
        <v/>
      </c>
      <c r="H57" s="232">
        <f>IF(E57="","",F57/3600)</f>
        <v/>
      </c>
      <c r="I57" s="111" t="n"/>
      <c r="J57" s="239" t="n"/>
      <c r="K57" s="234">
        <f>IF(E57="","",H57*I57/L57)</f>
        <v/>
      </c>
      <c r="L57" s="137" t="n"/>
      <c r="M57" s="202" t="n"/>
      <c r="N57" s="236">
        <f>IF(F57="","",IF(E57="","",J57*K57))</f>
        <v/>
      </c>
      <c r="O57" s="237" t="n"/>
      <c r="P57" s="111" t="n"/>
      <c r="Q57" s="62">
        <f>IF(E57="","","10年2班折90%")</f>
        <v/>
      </c>
      <c r="R57" s="234">
        <f>IF(E57="","",P57*0.9/10/$U$8/22*H57*10000/L57)</f>
        <v/>
      </c>
      <c r="S57" s="240" t="n"/>
      <c r="T57" s="36" t="n"/>
      <c r="U57" s="213">
        <f>IF(S57="","",S57*T57*$U$7*H57/((L57+(1-L57)/1.4)))</f>
        <v/>
      </c>
    </row>
    <row r="58" ht="24.95" customHeight="1" s="189">
      <c r="A58" s="190" t="n"/>
      <c r="B58" s="216" t="n"/>
      <c r="C58" s="217" t="n"/>
      <c r="D58" s="79" t="n">
        <v>17</v>
      </c>
      <c r="E58" s="80" t="n"/>
      <c r="F58" s="80" t="n"/>
      <c r="G58" s="80" t="n"/>
      <c r="H58" s="80" t="n"/>
      <c r="I58" s="80" t="n"/>
      <c r="J58" s="80" t="inlineStr">
        <is>
          <t>共工时</t>
        </is>
      </c>
      <c r="K58" s="119" t="n">
        <v>0.01851851851851852</v>
      </c>
      <c r="L58" s="119" t="inlineStr">
        <is>
          <t>人工费合计</t>
        </is>
      </c>
      <c r="M58" s="206" t="n"/>
      <c r="N58" s="241" t="n">
        <v>0.4444444444444444</v>
      </c>
      <c r="O58" s="206" t="n"/>
      <c r="P58" s="81" t="n"/>
      <c r="Q58" s="82" t="inlineStr">
        <is>
          <t>折旧合计</t>
        </is>
      </c>
      <c r="R58" s="242" t="n">
        <v>0.101010101010101</v>
      </c>
      <c r="S58" s="84" t="n"/>
      <c r="T58" s="162" t="inlineStr">
        <is>
          <t>能耗合计</t>
        </is>
      </c>
      <c r="U58" s="243" t="n">
        <v>0.6057692307692307</v>
      </c>
    </row>
    <row r="59" ht="24.95" customHeight="1" s="189">
      <c r="A59" s="190" t="n"/>
      <c r="B59" s="19" t="inlineStr">
        <is>
          <t>六</t>
        </is>
      </c>
      <c r="C59" s="139" t="inlineStr">
        <is>
          <t>直接工资</t>
        </is>
      </c>
      <c r="D59" s="237" t="n"/>
      <c r="E59" s="244" t="n">
        <v>0.4444444444444444</v>
      </c>
      <c r="F59" s="141" t="inlineStr">
        <is>
          <t>"计算依据：=N58  or U6*K58</t>
        </is>
      </c>
      <c r="G59" s="245" t="n"/>
      <c r="H59" s="245" t="n"/>
      <c r="I59" s="245" t="n"/>
      <c r="J59" s="245" t="n"/>
      <c r="K59" s="245" t="n"/>
      <c r="L59" s="245" t="n"/>
      <c r="M59" s="245" t="n"/>
      <c r="N59" s="245" t="n"/>
      <c r="O59" s="245" t="n"/>
      <c r="P59" s="196" t="n"/>
      <c r="Q59" s="143" t="inlineStr">
        <is>
          <t>其它费用</t>
        </is>
      </c>
      <c r="R59" s="246" t="n"/>
      <c r="S59" s="246" t="n"/>
      <c r="T59" s="246" t="n"/>
      <c r="U59" s="247" t="n"/>
    </row>
    <row r="60" ht="24.95" customHeight="1" s="189">
      <c r="A60" s="190" t="n"/>
      <c r="B60" s="109" t="inlineStr">
        <is>
          <t>七</t>
        </is>
      </c>
      <c r="C60" s="110" t="inlineStr">
        <is>
          <t>废品费用</t>
        </is>
      </c>
      <c r="D60" s="201" t="n"/>
      <c r="E60" s="248" t="n">
        <v>2.124618075524475</v>
      </c>
      <c r="F60" s="147" t="inlineStr">
        <is>
          <t>计算依据：=(K27+K40+U40+R58+U58+E59+U27)*O8</t>
        </is>
      </c>
      <c r="G60" s="249" t="n"/>
      <c r="H60" s="249" t="n"/>
      <c r="I60" s="249" t="n"/>
      <c r="J60" s="249" t="n"/>
      <c r="K60" s="249" t="n"/>
      <c r="L60" s="249" t="n"/>
      <c r="M60" s="249" t="n"/>
      <c r="N60" s="249" t="n"/>
      <c r="O60" s="249" t="n"/>
      <c r="P60" s="201" t="n"/>
      <c r="Q60" s="149" t="inlineStr">
        <is>
          <t>废料处理收益</t>
        </is>
      </c>
      <c r="R60" s="250" t="n"/>
      <c r="S60" s="251" t="n"/>
      <c r="T60" s="252" t="n"/>
      <c r="U60" s="253" t="n"/>
    </row>
    <row r="61" ht="24.95" customHeight="1" s="189">
      <c r="A61" s="190" t="n"/>
      <c r="B61" s="109" t="inlineStr">
        <is>
          <t>八</t>
        </is>
      </c>
      <c r="C61" s="110" t="inlineStr">
        <is>
          <t>管理费用</t>
        </is>
      </c>
      <c r="D61" s="201" t="n"/>
      <c r="E61" s="248" t="n">
        <v>5.116182492587413</v>
      </c>
      <c r="F61" s="147" t="inlineStr">
        <is>
          <t>计算依据：=(原材料+外购外协)*0.03+(模具分摊费用+检测分摊费用+折旧+能耗+工资+废品)*0.05</t>
        </is>
      </c>
      <c r="G61" s="249" t="n"/>
      <c r="H61" s="249" t="n"/>
      <c r="I61" s="249" t="n"/>
      <c r="J61" s="249" t="n"/>
      <c r="K61" s="249" t="n"/>
      <c r="L61" s="249" t="n"/>
      <c r="M61" s="249" t="n"/>
      <c r="N61" s="249" t="n"/>
      <c r="O61" s="249" t="n"/>
      <c r="P61" s="201" t="n"/>
      <c r="Q61" s="153" t="inlineStr">
        <is>
          <t>模具总费万元</t>
        </is>
      </c>
      <c r="R61" s="249" t="n"/>
      <c r="S61" s="113" t="n"/>
      <c r="T61" s="203" t="n"/>
      <c r="U61" s="254" t="n"/>
    </row>
    <row r="62" ht="24.95" customHeight="1" s="189">
      <c r="A62" s="190" t="n"/>
      <c r="B62" s="109" t="inlineStr">
        <is>
          <t>九</t>
        </is>
      </c>
      <c r="C62" s="110" t="inlineStr">
        <is>
          <t>运输费用</t>
        </is>
      </c>
      <c r="D62" s="201" t="n"/>
      <c r="E62" s="255" t="n">
        <v>0.5</v>
      </c>
      <c r="F62" s="147" t="inlineStr">
        <is>
          <t>计算依据：=按国内公路运输距离、零担、拼货、整车，最终分摊到每个零件费用</t>
        </is>
      </c>
      <c r="G62" s="249" t="n"/>
      <c r="H62" s="249" t="n"/>
      <c r="I62" s="249" t="n"/>
      <c r="J62" s="249" t="n"/>
      <c r="K62" s="249" t="n"/>
      <c r="L62" s="249" t="n"/>
      <c r="M62" s="249" t="n"/>
      <c r="N62" s="249" t="n"/>
      <c r="O62" s="249" t="n"/>
      <c r="P62" s="201" t="n"/>
      <c r="Q62" s="153" t="inlineStr">
        <is>
          <t>实验总费万元</t>
        </is>
      </c>
      <c r="R62" s="249" t="n"/>
      <c r="S62" s="113" t="n"/>
      <c r="T62" s="203" t="n"/>
      <c r="U62" s="254" t="n"/>
    </row>
    <row r="63" ht="24.95" customHeight="1" s="189">
      <c r="A63" s="190" t="n"/>
      <c r="B63" s="109" t="inlineStr">
        <is>
          <t>十</t>
        </is>
      </c>
      <c r="C63" s="110" t="inlineStr">
        <is>
          <t>包装费用</t>
        </is>
      </c>
      <c r="D63" s="201" t="n"/>
      <c r="E63" s="256" t="n">
        <v>0.2</v>
      </c>
      <c r="F63" s="147" t="inlineStr">
        <is>
          <t>计算依据：=按照甲方包装规范要求，分摊到每个零件的包装成本</t>
        </is>
      </c>
      <c r="G63" s="249" t="n"/>
      <c r="H63" s="249" t="n"/>
      <c r="I63" s="249" t="n"/>
      <c r="J63" s="249" t="n"/>
      <c r="K63" s="249" t="n"/>
      <c r="L63" s="249" t="n"/>
      <c r="M63" s="249" t="n"/>
      <c r="N63" s="249" t="n"/>
      <c r="O63" s="249" t="n"/>
      <c r="P63" s="201" t="n"/>
      <c r="Q63" s="156" t="n"/>
      <c r="R63" s="257" t="n"/>
      <c r="S63" s="258" t="n"/>
      <c r="T63" s="259" t="n"/>
      <c r="U63" s="260" t="n"/>
    </row>
    <row r="64" ht="24.95" customHeight="1" s="189">
      <c r="A64" s="190" t="n"/>
      <c r="B64" s="109" t="inlineStr">
        <is>
          <t>十一</t>
        </is>
      </c>
      <c r="C64" s="110" t="inlineStr">
        <is>
          <t>成本价</t>
        </is>
      </c>
      <c r="D64" s="201" t="n"/>
      <c r="E64" s="261" t="n">
        <v>114.1717043443357</v>
      </c>
      <c r="F64" s="147" t="inlineStr">
        <is>
          <t>计算依据：=K27+U27+K40+R58+U58+E59+E60+E61+E62+E63+U40-S60各项的总和</t>
        </is>
      </c>
      <c r="G64" s="249" t="n"/>
      <c r="H64" s="249" t="n"/>
      <c r="I64" s="249" t="n"/>
      <c r="J64" s="249" t="n"/>
      <c r="K64" s="249" t="n"/>
      <c r="L64" s="249" t="n"/>
      <c r="M64" s="249" t="n"/>
      <c r="N64" s="249" t="n"/>
      <c r="O64" s="249" t="n"/>
      <c r="P64" s="201" t="n"/>
      <c r="Q64" s="161" t="inlineStr">
        <is>
          <t>⚠️材料价42元/kg(估)｜水口+10%(估)｜模具18万(待询价)｜周期50s(估)｜400T设备价40万/90KW(待价目表)</t>
        </is>
      </c>
      <c r="R64" s="221" t="n"/>
      <c r="S64" s="221" t="n"/>
      <c r="T64" s="221" t="n"/>
      <c r="U64" s="222" t="n"/>
    </row>
    <row r="65" ht="24.95" customHeight="1" s="189">
      <c r="A65" s="190" t="n"/>
      <c r="B65" s="109" t="inlineStr">
        <is>
          <t>十二</t>
        </is>
      </c>
      <c r="C65" s="110" t="inlineStr">
        <is>
          <t>利润率</t>
        </is>
      </c>
      <c r="D65" s="201" t="n"/>
      <c r="E65" s="92" t="n">
        <v>0.05</v>
      </c>
      <c r="F65" s="147" t="inlineStr">
        <is>
          <t>计算依据：=根据公司要求可选择任意%比</t>
        </is>
      </c>
      <c r="G65" s="249" t="n"/>
      <c r="H65" s="249" t="n"/>
      <c r="I65" s="249" t="n"/>
      <c r="J65" s="249" t="n"/>
      <c r="K65" s="249" t="n"/>
      <c r="L65" s="249" t="n"/>
      <c r="M65" s="249" t="n"/>
      <c r="N65" s="249" t="n"/>
      <c r="O65" s="249" t="n"/>
      <c r="P65" s="201" t="n"/>
      <c r="Q65" s="188" t="n"/>
      <c r="R65" s="262" t="n"/>
      <c r="S65" s="262" t="n"/>
      <c r="T65" s="262" t="n"/>
      <c r="U65" s="263" t="n"/>
    </row>
    <row r="66" ht="24.95" customHeight="1" s="189">
      <c r="A66" s="190" t="n"/>
      <c r="B66" s="109" t="inlineStr">
        <is>
          <t>十三</t>
        </is>
      </c>
      <c r="C66" s="110" t="inlineStr">
        <is>
          <t>利润</t>
        </is>
      </c>
      <c r="D66" s="201" t="n"/>
      <c r="E66" s="248" t="n">
        <v>5.708585217216783</v>
      </c>
      <c r="F66" s="147" t="inlineStr">
        <is>
          <t>计算依据：=E64*E65</t>
        </is>
      </c>
      <c r="G66" s="249" t="n"/>
      <c r="H66" s="249" t="n"/>
      <c r="I66" s="249" t="n"/>
      <c r="J66" s="249" t="n"/>
      <c r="K66" s="249" t="n"/>
      <c r="L66" s="249" t="n"/>
      <c r="M66" s="249" t="n"/>
      <c r="N66" s="249" t="n"/>
      <c r="O66" s="249" t="n"/>
      <c r="P66" s="201" t="n"/>
      <c r="Q66" s="262" t="n"/>
      <c r="R66" s="262" t="n"/>
      <c r="S66" s="262" t="n"/>
      <c r="T66" s="262" t="n"/>
      <c r="U66" s="263" t="n"/>
    </row>
    <row r="67" ht="24.95" customHeight="1" s="189">
      <c r="A67" s="190" t="n"/>
      <c r="B67" s="109" t="inlineStr">
        <is>
          <t>十四</t>
        </is>
      </c>
      <c r="C67" s="110" t="inlineStr">
        <is>
          <t>未税报价</t>
        </is>
      </c>
      <c r="D67" s="201" t="n"/>
      <c r="E67" s="248" t="n">
        <v>119.8802895615524</v>
      </c>
      <c r="F67" s="147" t="inlineStr">
        <is>
          <t>计算依据：=E64+E66</t>
        </is>
      </c>
      <c r="G67" s="249" t="n"/>
      <c r="H67" s="249" t="n"/>
      <c r="I67" s="249" t="n"/>
      <c r="J67" s="249" t="n"/>
      <c r="K67" s="249" t="n"/>
      <c r="L67" s="249" t="n"/>
      <c r="M67" s="249" t="n"/>
      <c r="N67" s="249" t="n"/>
      <c r="O67" s="249" t="n"/>
      <c r="P67" s="201" t="n"/>
      <c r="Q67" s="262" t="n"/>
      <c r="R67" s="262" t="n"/>
      <c r="S67" s="262" t="n"/>
      <c r="T67" s="262" t="n"/>
      <c r="U67" s="263" t="n"/>
    </row>
    <row r="68" ht="24.95" customHeight="1" s="189">
      <c r="A68" s="190" t="n"/>
      <c r="B68" s="109" t="inlineStr">
        <is>
          <t>十五</t>
        </is>
      </c>
      <c r="C68" s="110" t="inlineStr">
        <is>
          <t>增值税13%</t>
        </is>
      </c>
      <c r="D68" s="201" t="n"/>
      <c r="E68" s="248" t="n">
        <v>15.58443764300182</v>
      </c>
      <c r="F68" s="147" t="inlineStr">
        <is>
          <t>计算依据：税率13%，费用=E67*0.13</t>
        </is>
      </c>
      <c r="G68" s="249" t="n"/>
      <c r="H68" s="249" t="n"/>
      <c r="I68" s="249" t="n"/>
      <c r="J68" s="249" t="n"/>
      <c r="K68" s="249" t="n"/>
      <c r="L68" s="249" t="n"/>
      <c r="M68" s="249" t="n"/>
      <c r="N68" s="249" t="n"/>
      <c r="O68" s="249" t="n"/>
      <c r="P68" s="201" t="n"/>
      <c r="Q68" s="262" t="n"/>
      <c r="R68" s="262" t="n"/>
      <c r="S68" s="262" t="n"/>
      <c r="T68" s="262" t="n"/>
      <c r="U68" s="263" t="n"/>
    </row>
    <row r="69" ht="24.95" customHeight="1" s="189">
      <c r="A69" s="190" t="n"/>
      <c r="B69" s="79" t="inlineStr">
        <is>
          <t>十六</t>
        </is>
      </c>
      <c r="C69" s="162" t="inlineStr">
        <is>
          <t>含税总价</t>
        </is>
      </c>
      <c r="D69" s="264" t="n"/>
      <c r="E69" s="265" t="n">
        <v>135.4647272045543</v>
      </c>
      <c r="F69" s="164" t="inlineStr">
        <is>
          <t>计算依据：=E67+E68各项的总和</t>
        </is>
      </c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64" t="n"/>
      <c r="Q69" s="266" t="n"/>
      <c r="R69" s="266" t="n"/>
      <c r="S69" s="266" t="n"/>
      <c r="T69" s="266" t="n"/>
      <c r="U69" s="267" t="n"/>
    </row>
  </sheetData>
  <sheetProtection selectLockedCells="0" selectUnlockedCells="0" sheet="1" objects="1" insertRows="1" insertHyperlinks="1" autoFilter="1" scenarios="0" formatColumns="1" deleteColumns="1" insertColumns="1" pivotTables="1" deleteRows="1" formatCells="1" formatRows="1" sort="1"/>
  <mergeCells count="119">
    <mergeCell ref="O7:P7"/>
    <mergeCell ref="L28:L40"/>
    <mergeCell ref="C6:D6"/>
    <mergeCell ref="C62:D62"/>
    <mergeCell ref="O6:P6"/>
    <mergeCell ref="F68:P68"/>
    <mergeCell ref="Q62:R62"/>
    <mergeCell ref="L53:M53"/>
    <mergeCell ref="C64:D64"/>
    <mergeCell ref="N53:O53"/>
    <mergeCell ref="E8:F8"/>
    <mergeCell ref="C63:D63"/>
    <mergeCell ref="N46:O46"/>
    <mergeCell ref="F59:P59"/>
    <mergeCell ref="B4:B8"/>
    <mergeCell ref="R6:S6"/>
    <mergeCell ref="Q63:R63"/>
    <mergeCell ref="L45:M45"/>
    <mergeCell ref="N48:O48"/>
    <mergeCell ref="S63:U63"/>
    <mergeCell ref="C28:C40"/>
    <mergeCell ref="M8:N8"/>
    <mergeCell ref="O8:P8"/>
    <mergeCell ref="C67:D67"/>
    <mergeCell ref="F60:P60"/>
    <mergeCell ref="C69:D69"/>
    <mergeCell ref="R8:S8"/>
    <mergeCell ref="M9:M27"/>
    <mergeCell ref="C5:D5"/>
    <mergeCell ref="N50:O50"/>
    <mergeCell ref="E5:F5"/>
    <mergeCell ref="F63:P63"/>
    <mergeCell ref="L57:M57"/>
    <mergeCell ref="N51:O51"/>
    <mergeCell ref="C4:D4"/>
    <mergeCell ref="E4:F4"/>
    <mergeCell ref="H8:K8"/>
    <mergeCell ref="L42:M42"/>
    <mergeCell ref="N42:O42"/>
    <mergeCell ref="N52:O52"/>
    <mergeCell ref="M7:N7"/>
    <mergeCell ref="N44:O44"/>
    <mergeCell ref="C60:D60"/>
    <mergeCell ref="F62:P62"/>
    <mergeCell ref="Q59:U59"/>
    <mergeCell ref="L44:M44"/>
    <mergeCell ref="C8:D8"/>
    <mergeCell ref="F61:P61"/>
    <mergeCell ref="L46:M46"/>
    <mergeCell ref="C66:D66"/>
    <mergeCell ref="C41:C58"/>
    <mergeCell ref="N55:O55"/>
    <mergeCell ref="L48:M48"/>
    <mergeCell ref="F64:P64"/>
    <mergeCell ref="C68:D68"/>
    <mergeCell ref="N54:O54"/>
    <mergeCell ref="N41:O41"/>
    <mergeCell ref="M5:N5"/>
    <mergeCell ref="L47:M47"/>
    <mergeCell ref="H40:I40"/>
    <mergeCell ref="B3:U3"/>
    <mergeCell ref="H5:K5"/>
    <mergeCell ref="N56:O56"/>
    <mergeCell ref="L43:M43"/>
    <mergeCell ref="N43:O43"/>
    <mergeCell ref="R7:S7"/>
    <mergeCell ref="O5:P5"/>
    <mergeCell ref="C65:D65"/>
    <mergeCell ref="N58:O58"/>
    <mergeCell ref="B2:U2"/>
    <mergeCell ref="B28:B40"/>
    <mergeCell ref="O4:P4"/>
    <mergeCell ref="C59:D59"/>
    <mergeCell ref="B41:B58"/>
    <mergeCell ref="A1:A69"/>
    <mergeCell ref="E6:F6"/>
    <mergeCell ref="F66:P66"/>
    <mergeCell ref="L58:M58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F65:P65"/>
    <mergeCell ref="S27:T27"/>
    <mergeCell ref="R4:S4"/>
    <mergeCell ref="Q64:U64"/>
    <mergeCell ref="M28:M40"/>
    <mergeCell ref="L55:M55"/>
    <mergeCell ref="Q60:R60"/>
    <mergeCell ref="H4:K4"/>
    <mergeCell ref="C9:C27"/>
    <mergeCell ref="L51:M51"/>
    <mergeCell ref="M6:N6"/>
    <mergeCell ref="L54:M54"/>
    <mergeCell ref="H6:K6"/>
    <mergeCell ref="S60:U60"/>
    <mergeCell ref="D28:K28"/>
    <mergeCell ref="N57:O57"/>
    <mergeCell ref="L41:M41"/>
    <mergeCell ref="N28:U28"/>
    <mergeCell ref="H27:I27"/>
    <mergeCell ref="Q65:U69"/>
    <mergeCell ref="L56:M56"/>
    <mergeCell ref="F67:P67"/>
    <mergeCell ref="L49:M49"/>
    <mergeCell ref="N49:O49"/>
    <mergeCell ref="H7:K7"/>
    <mergeCell ref="S61:U61"/>
    <mergeCell ref="M4:N4"/>
  </mergeCells>
  <pageMargins left="0.75" right="0.75" top="1" bottom="1" header="0.5" footer="0.5"/>
  <pageSetup orientation="portrait" paperSize="9" scale="4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69"/>
  <sheetViews>
    <sheetView showGridLines="0" view="pageBreakPreview" topLeftCell="A52" zoomScaleNormal="85" workbookViewId="0">
      <selection activeCell="J14" sqref="J14"/>
    </sheetView>
  </sheetViews>
  <sheetFormatPr baseColWidth="8" defaultColWidth="9" defaultRowHeight="11.25"/>
  <cols>
    <col width="3.625" customWidth="1" style="166" min="1" max="1"/>
    <col width="4.875" customWidth="1" style="166" min="2" max="2"/>
    <col width="5.875" customWidth="1" style="166" min="3" max="3"/>
    <col width="5.625" customWidth="1" style="166" min="4" max="4"/>
    <col width="16.25" customWidth="1" style="166" min="5" max="6"/>
    <col width="11.375" customWidth="1" style="166" min="7" max="7"/>
    <col width="8.875" customWidth="1" style="166" min="8" max="8"/>
    <col width="9.125" customWidth="1" style="166" min="9" max="9"/>
    <col width="12.75" customWidth="1" style="166" min="10" max="10"/>
    <col width="8.75" customWidth="1" style="166" min="11" max="11"/>
    <col width="5.125" customWidth="1" style="166" min="12" max="12"/>
    <col width="5.875" customWidth="1" style="166" min="13" max="13"/>
    <col width="4.75" customWidth="1" style="166" min="14" max="14"/>
    <col width="14.5" customWidth="1" style="166" min="15" max="15"/>
    <col width="12.625" customWidth="1" style="166" min="16" max="16"/>
    <col width="11" customWidth="1" style="166" min="17" max="18"/>
    <col width="11.125" customWidth="1" style="166" min="19" max="19"/>
    <col width="13.5" customWidth="1" style="166" min="20" max="20"/>
    <col width="11.375" customWidth="1" style="166" min="21" max="21"/>
    <col width="9" customWidth="1" style="166" min="22" max="16384"/>
  </cols>
  <sheetData>
    <row r="1">
      <c r="A1" s="166" t="n"/>
    </row>
    <row r="2" ht="39.95" customHeight="1" s="189">
      <c r="A2" s="190" t="n"/>
      <c r="B2" s="191" t="inlineStr">
        <is>
          <t>上海金榕汽车零部件股份有限公司</t>
        </is>
      </c>
      <c r="C2" s="192" t="n"/>
      <c r="D2" s="192" t="n"/>
      <c r="E2" s="192" t="n"/>
      <c r="F2" s="192" t="n"/>
      <c r="G2" s="192" t="n"/>
      <c r="H2" s="192" t="n"/>
      <c r="I2" s="192" t="n"/>
      <c r="J2" s="192" t="n"/>
      <c r="K2" s="192" t="n"/>
      <c r="L2" s="192" t="n"/>
      <c r="M2" s="192" t="n"/>
      <c r="N2" s="192" t="n"/>
      <c r="O2" s="192" t="n"/>
      <c r="P2" s="192" t="n"/>
      <c r="Q2" s="192" t="n"/>
      <c r="R2" s="192" t="n"/>
      <c r="S2" s="192" t="n"/>
      <c r="T2" s="192" t="n"/>
      <c r="U2" s="193" t="n"/>
    </row>
    <row r="3" ht="30.95" customHeight="1" s="189">
      <c r="A3" s="190" t="n"/>
      <c r="B3" s="194" t="inlineStr">
        <is>
          <t>供应商产品报价表</t>
        </is>
      </c>
      <c r="C3" s="190" t="n"/>
      <c r="D3" s="190" t="n"/>
      <c r="E3" s="190" t="n"/>
      <c r="F3" s="190" t="n"/>
      <c r="G3" s="190" t="n"/>
      <c r="H3" s="190" t="n"/>
      <c r="I3" s="190" t="n"/>
      <c r="J3" s="190" t="n"/>
      <c r="K3" s="190" t="n"/>
      <c r="L3" s="190" t="n"/>
      <c r="M3" s="190" t="n"/>
      <c r="N3" s="190" t="n"/>
      <c r="O3" s="190" t="n"/>
      <c r="P3" s="190" t="n"/>
      <c r="Q3" s="190" t="n"/>
      <c r="R3" s="190" t="n"/>
      <c r="S3" s="190" t="n"/>
      <c r="T3" s="190" t="n"/>
      <c r="U3" s="195" t="n"/>
    </row>
    <row r="4" ht="27.95" customHeight="1" s="189">
      <c r="A4" s="190" t="n"/>
      <c r="B4" s="167" t="inlineStr">
        <is>
          <t>供应商商务信息</t>
        </is>
      </c>
      <c r="C4" s="101" t="inlineStr">
        <is>
          <t>供应商名称</t>
        </is>
      </c>
      <c r="D4" s="196" t="n"/>
      <c r="E4" s="103" t="inlineStr">
        <is>
          <t>杭州深远工贸有限公司</t>
        </is>
      </c>
      <c r="F4" s="197" t="n"/>
      <c r="G4" s="3" t="inlineStr">
        <is>
          <t>年销售额
（万元）</t>
        </is>
      </c>
      <c r="H4" s="103" t="n">
        <v>3000</v>
      </c>
      <c r="I4" s="198" t="n"/>
      <c r="J4" s="198" t="n"/>
      <c r="K4" s="197" t="n"/>
      <c r="L4" s="167" t="inlineStr">
        <is>
          <t>报价产品商务信息</t>
        </is>
      </c>
      <c r="M4" s="101" t="inlineStr">
        <is>
          <t>零件名称</t>
        </is>
      </c>
      <c r="N4" s="196" t="n"/>
      <c r="O4" s="106" t="inlineStr">
        <is>
          <t>AP COVER</t>
        </is>
      </c>
      <c r="P4" s="197" t="n"/>
      <c r="Q4" s="3" t="inlineStr">
        <is>
          <t>报价日期</t>
        </is>
      </c>
      <c r="R4" s="199" t="n">
        <v>46192</v>
      </c>
      <c r="S4" s="197" t="n"/>
      <c r="T4" s="102" t="inlineStr">
        <is>
          <t>成品重量KG</t>
        </is>
      </c>
      <c r="U4" s="105" t="n">
        <v>0.161</v>
      </c>
    </row>
    <row r="5" ht="27.95" customHeight="1" s="189">
      <c r="A5" s="190" t="n"/>
      <c r="B5" s="200" t="n"/>
      <c r="C5" s="109" t="inlineStr">
        <is>
          <t>公司法人</t>
        </is>
      </c>
      <c r="D5" s="201" t="n"/>
      <c r="E5" s="111" t="inlineStr">
        <is>
          <t>许燊</t>
        </is>
      </c>
      <c r="F5" s="202" t="n"/>
      <c r="G5" s="8" t="inlineStr">
        <is>
          <t>年纳税额
（万元）</t>
        </is>
      </c>
      <c r="H5" s="111" t="n">
        <v>120</v>
      </c>
      <c r="I5" s="203" t="n"/>
      <c r="J5" s="203" t="n"/>
      <c r="K5" s="202" t="n"/>
      <c r="L5" s="200" t="n"/>
      <c r="M5" s="109" t="inlineStr">
        <is>
          <t>零件号</t>
        </is>
      </c>
      <c r="N5" s="201" t="n"/>
      <c r="O5" s="114" t="inlineStr">
        <is>
          <t>SP601-APCOVER</t>
        </is>
      </c>
      <c r="P5" s="202" t="n"/>
      <c r="Q5" s="110" t="inlineStr">
        <is>
          <t>OTS时间</t>
        </is>
      </c>
      <c r="R5" s="204" t="inlineStr">
        <is>
          <t>必填项</t>
        </is>
      </c>
      <c r="S5" s="202" t="n"/>
      <c r="T5" s="110" t="inlineStr">
        <is>
          <t>毛坯重量KG</t>
        </is>
      </c>
      <c r="U5" s="113" t="n">
        <v>0.17388</v>
      </c>
    </row>
    <row r="6" ht="27.95" customHeight="1" s="189">
      <c r="A6" s="190" t="n"/>
      <c r="B6" s="200" t="n"/>
      <c r="C6" s="109" t="inlineStr">
        <is>
          <t>企业规模</t>
        </is>
      </c>
      <c r="D6" s="201" t="n"/>
      <c r="E6" s="111" t="inlineStr">
        <is>
          <t>80人</t>
        </is>
      </c>
      <c r="F6" s="202" t="n"/>
      <c r="G6" s="8" t="inlineStr">
        <is>
          <t>注册资本
（万元）</t>
        </is>
      </c>
      <c r="H6" s="111" t="n">
        <v>50</v>
      </c>
      <c r="I6" s="203" t="n"/>
      <c r="J6" s="203" t="n"/>
      <c r="K6" s="202" t="n"/>
      <c r="L6" s="200" t="n"/>
      <c r="M6" s="117" t="inlineStr">
        <is>
          <t>总采购量
（万件）</t>
        </is>
      </c>
      <c r="N6" s="201" t="n"/>
      <c r="O6" s="115" t="n">
        <v>0.2</v>
      </c>
      <c r="P6" s="202" t="n"/>
      <c r="Q6" s="110" t="inlineStr">
        <is>
          <t>OTS时间</t>
        </is>
      </c>
      <c r="R6" s="204" t="inlineStr">
        <is>
          <t>必填项</t>
        </is>
      </c>
      <c r="S6" s="202" t="n"/>
      <c r="T6" s="8" t="inlineStr">
        <is>
          <t xml:space="preserve">工价（元/h)
一键修正
</t>
        </is>
      </c>
      <c r="U6" s="11" t="n"/>
    </row>
    <row r="7" ht="27.95" customHeight="1" s="189">
      <c r="A7" s="190" t="n"/>
      <c r="B7" s="200" t="n"/>
      <c r="C7" s="109" t="inlineStr">
        <is>
          <t>业务联系人</t>
        </is>
      </c>
      <c r="D7" s="201" t="n"/>
      <c r="E7" s="111" t="inlineStr">
        <is>
          <t>陈思远</t>
        </is>
      </c>
      <c r="F7" s="202" t="n"/>
      <c r="G7" s="110" t="inlineStr">
        <is>
          <t>经营地址</t>
        </is>
      </c>
      <c r="H7" s="111" t="inlineStr">
        <is>
          <t>浙江省杭州市萧山区宁围街道宁安路</t>
        </is>
      </c>
      <c r="I7" s="203" t="n"/>
      <c r="J7" s="203" t="n"/>
      <c r="K7" s="202" t="n"/>
      <c r="L7" s="200" t="n"/>
      <c r="M7" s="109" t="inlineStr">
        <is>
          <t>采购几年</t>
        </is>
      </c>
      <c r="N7" s="201" t="n"/>
      <c r="O7" s="115" t="n"/>
      <c r="P7" s="202" t="n"/>
      <c r="Q7" s="110" t="inlineStr">
        <is>
          <t>PPAP时间</t>
        </is>
      </c>
      <c r="R7" s="204" t="inlineStr">
        <is>
          <t>必填项</t>
        </is>
      </c>
      <c r="S7" s="202" t="n"/>
      <c r="T7" s="8" t="inlineStr">
        <is>
          <t>能耗单价
￥/Kwh</t>
        </is>
      </c>
      <c r="U7" s="113" t="n">
        <v>1</v>
      </c>
    </row>
    <row r="8" ht="27.95" customHeight="1" s="189">
      <c r="A8" s="190" t="n"/>
      <c r="B8" s="205" t="n"/>
      <c r="C8" s="118" t="inlineStr">
        <is>
          <t>联系电话</t>
        </is>
      </c>
      <c r="D8" s="206" t="n"/>
      <c r="E8" s="120" t="n">
        <v>13735526664</v>
      </c>
      <c r="F8" s="207" t="n"/>
      <c r="G8" s="119" t="inlineStr">
        <is>
          <t>主营业务</t>
        </is>
      </c>
      <c r="H8" s="120" t="inlineStr">
        <is>
          <t>塑料制品制造销售</t>
        </is>
      </c>
      <c r="I8" s="208" t="n"/>
      <c r="J8" s="208" t="n"/>
      <c r="K8" s="207" t="n"/>
      <c r="L8" s="205" t="n"/>
      <c r="M8" s="123" t="inlineStr">
        <is>
          <t>综合
废品率</t>
        </is>
      </c>
      <c r="N8" s="206" t="n"/>
      <c r="O8" s="125" t="n">
        <v>0.02</v>
      </c>
      <c r="P8" s="207" t="n"/>
      <c r="Q8" s="119" t="inlineStr">
        <is>
          <t>SOP时间</t>
        </is>
      </c>
      <c r="R8" s="209" t="inlineStr">
        <is>
          <t>必填项</t>
        </is>
      </c>
      <c r="S8" s="207" t="n"/>
      <c r="T8" s="15" t="inlineStr">
        <is>
          <t>年生产天数</t>
        </is>
      </c>
      <c r="U8" s="122" t="n">
        <v>300</v>
      </c>
    </row>
    <row r="9" ht="24.95" customHeight="1" s="189">
      <c r="A9" s="190" t="n"/>
      <c r="B9" s="170" t="inlineStr">
        <is>
          <t>一</t>
        </is>
      </c>
      <c r="C9" s="176" t="inlineStr">
        <is>
          <t>主要材料费用</t>
        </is>
      </c>
      <c r="D9" s="16" t="inlineStr">
        <is>
          <t>序号</t>
        </is>
      </c>
      <c r="E9" s="17" t="inlineStr">
        <is>
          <t>材料名称</t>
        </is>
      </c>
      <c r="F9" s="17" t="inlineStr">
        <is>
          <t>规格型号</t>
        </is>
      </c>
      <c r="G9" s="17" t="inlineStr">
        <is>
          <t>单位</t>
        </is>
      </c>
      <c r="H9" s="17" t="inlineStr">
        <is>
          <t>净用量</t>
        </is>
      </c>
      <c r="I9" s="17" t="inlineStr">
        <is>
          <t>耗用率%</t>
        </is>
      </c>
      <c r="J9" s="17" t="inlineStr">
        <is>
          <t>单价</t>
        </is>
      </c>
      <c r="K9" s="18" t="inlineStr">
        <is>
          <t>材料费用</t>
        </is>
      </c>
      <c r="L9" s="182" t="inlineStr">
        <is>
          <t>二</t>
        </is>
      </c>
      <c r="M9" s="176" t="inlineStr">
        <is>
          <t>外协外购费用</t>
        </is>
      </c>
      <c r="N9" s="16" t="inlineStr">
        <is>
          <t>序号</t>
        </is>
      </c>
      <c r="O9" s="17" t="inlineStr">
        <is>
          <t>材料名称</t>
        </is>
      </c>
      <c r="P9" s="17" t="inlineStr">
        <is>
          <t>规格型号</t>
        </is>
      </c>
      <c r="Q9" s="17" t="inlineStr">
        <is>
          <t>单位</t>
        </is>
      </c>
      <c r="R9" s="17" t="inlineStr">
        <is>
          <t>净用量</t>
        </is>
      </c>
      <c r="S9" s="17" t="inlineStr">
        <is>
          <t>耗用率%</t>
        </is>
      </c>
      <c r="T9" s="17" t="inlineStr">
        <is>
          <t>单价</t>
        </is>
      </c>
      <c r="U9" s="18" t="inlineStr">
        <is>
          <t>外协费用</t>
        </is>
      </c>
    </row>
    <row r="10" ht="24.95" customHeight="1" s="189">
      <c r="A10" s="190" t="n"/>
      <c r="B10" s="210" t="n"/>
      <c r="C10" s="211" t="n"/>
      <c r="D10" s="19" t="n">
        <v>1</v>
      </c>
      <c r="E10" s="20" t="inlineStr">
        <is>
          <t>PA66+CF10</t>
        </is>
      </c>
      <c r="F10" s="21" t="inlineStr">
        <is>
          <t>SP601-CG20 BK006 / KINGFA</t>
        </is>
      </c>
      <c r="G10" s="22" t="n"/>
      <c r="H10" s="22" t="n">
        <v>0.17388</v>
      </c>
      <c r="I10" s="23" t="n">
        <v>0.02</v>
      </c>
      <c r="J10" s="22" t="n">
        <v>42</v>
      </c>
      <c r="K10" s="212" t="n">
        <v>7.4490192</v>
      </c>
      <c r="L10" s="210" t="n"/>
      <c r="M10" s="211" t="n"/>
      <c r="N10" s="19" t="n">
        <v>1</v>
      </c>
      <c r="O10" s="25" t="n"/>
      <c r="P10" s="26" t="n"/>
      <c r="Q10" s="22" t="n"/>
      <c r="R10" s="22" t="n"/>
      <c r="S10" s="94" t="n"/>
      <c r="T10" s="22" t="n"/>
      <c r="U10" s="213">
        <f>IF(T10="","",T10*R10*(1+S10))</f>
        <v/>
      </c>
    </row>
    <row r="11" ht="24.95" customHeight="1" s="189">
      <c r="A11" s="190" t="n"/>
      <c r="B11" s="210" t="n"/>
      <c r="C11" s="211" t="n"/>
      <c r="D11" s="109" t="n">
        <v>2</v>
      </c>
      <c r="E11" s="29" t="n"/>
      <c r="F11" s="29" t="n"/>
      <c r="G11" s="30" t="n"/>
      <c r="H11" s="30" t="n"/>
      <c r="I11" s="36" t="n"/>
      <c r="J11" s="30" t="n"/>
      <c r="K11" s="214">
        <f>IF(J11="","",J11*H11*(1+I11))</f>
        <v/>
      </c>
      <c r="L11" s="210" t="n"/>
      <c r="M11" s="211" t="n"/>
      <c r="N11" s="109" t="n">
        <v>2</v>
      </c>
      <c r="O11" s="33" t="n"/>
      <c r="P11" s="29" t="n"/>
      <c r="Q11" s="30" t="n"/>
      <c r="R11" s="30" t="n"/>
      <c r="S11" s="137" t="n"/>
      <c r="T11" s="30" t="n"/>
      <c r="U11" s="215">
        <f>IF(T11="","",T11*R11*(1+S11))</f>
        <v/>
      </c>
    </row>
    <row r="12" ht="24.95" customHeight="1" s="189">
      <c r="A12" s="190" t="n"/>
      <c r="B12" s="210" t="n"/>
      <c r="C12" s="211" t="n"/>
      <c r="D12" s="109" t="n">
        <v>3</v>
      </c>
      <c r="E12" s="29" t="n"/>
      <c r="F12" s="29" t="n"/>
      <c r="G12" s="30" t="n"/>
      <c r="H12" s="30" t="n"/>
      <c r="I12" s="36" t="n"/>
      <c r="J12" s="30" t="n"/>
      <c r="K12" s="214">
        <f>IF(J12="","",J12*H12*(1+I12))</f>
        <v/>
      </c>
      <c r="L12" s="210" t="n"/>
      <c r="M12" s="211" t="n"/>
      <c r="N12" s="109" t="n">
        <v>3</v>
      </c>
      <c r="O12" s="33" t="n"/>
      <c r="P12" s="29" t="n"/>
      <c r="Q12" s="30" t="n"/>
      <c r="R12" s="30" t="n"/>
      <c r="S12" s="137" t="n"/>
      <c r="T12" s="30" t="n"/>
      <c r="U12" s="215">
        <f>IF(T12="","",T12*R12*(1+S12))</f>
        <v/>
      </c>
    </row>
    <row r="13" ht="24.95" customHeight="1" s="189">
      <c r="A13" s="190" t="n"/>
      <c r="B13" s="210" t="n"/>
      <c r="C13" s="211" t="n"/>
      <c r="D13" s="109" t="n">
        <v>4</v>
      </c>
      <c r="E13" s="29" t="n"/>
      <c r="F13" s="29" t="n"/>
      <c r="G13" s="30" t="n"/>
      <c r="I13" s="36" t="n"/>
      <c r="J13" s="115" t="n"/>
      <c r="K13" s="214">
        <f>IF(J13="","",J13*G13*(1+I13))</f>
        <v/>
      </c>
      <c r="L13" s="210" t="n"/>
      <c r="M13" s="211" t="n"/>
      <c r="N13" s="109" t="n">
        <v>4</v>
      </c>
      <c r="O13" s="33" t="n"/>
      <c r="P13" s="29" t="n"/>
      <c r="Q13" s="30" t="n"/>
      <c r="R13" s="30" t="n"/>
      <c r="S13" s="137" t="n"/>
      <c r="T13" s="30" t="n"/>
      <c r="U13" s="215">
        <f>IF(T13="","",T13*R13*(1+S13))</f>
        <v/>
      </c>
    </row>
    <row r="14" ht="24.95" customHeight="1" s="189">
      <c r="A14" s="190" t="n"/>
      <c r="B14" s="210" t="n"/>
      <c r="C14" s="211" t="n"/>
      <c r="D14" s="109" t="n">
        <v>5</v>
      </c>
      <c r="E14" s="29" t="n"/>
      <c r="F14" s="29" t="n"/>
      <c r="G14" s="30" t="n"/>
      <c r="H14" s="115" t="n"/>
      <c r="I14" s="30" t="n"/>
      <c r="J14" s="36" t="n"/>
      <c r="K14" s="214">
        <f>IF(J14="","",J14*H14*(1+I14))</f>
        <v/>
      </c>
      <c r="L14" s="210" t="n"/>
      <c r="M14" s="211" t="n"/>
      <c r="N14" s="109" t="n">
        <v>5</v>
      </c>
      <c r="O14" s="33" t="n"/>
      <c r="P14" s="29" t="n"/>
      <c r="Q14" s="30" t="n"/>
      <c r="R14" s="30" t="n"/>
      <c r="S14" s="137" t="n"/>
      <c r="T14" s="30" t="n"/>
      <c r="U14" s="215">
        <f>IF(T14="","",T14*R14*(1+S14))</f>
        <v/>
      </c>
    </row>
    <row r="15" ht="24.95" customHeight="1" s="189">
      <c r="A15" s="190" t="n"/>
      <c r="B15" s="210" t="n"/>
      <c r="C15" s="211" t="n"/>
      <c r="D15" s="109" t="n">
        <v>6</v>
      </c>
      <c r="E15" s="29" t="n"/>
      <c r="F15" s="29" t="n"/>
      <c r="G15" s="30" t="n"/>
      <c r="H15" s="115" t="n"/>
      <c r="I15" s="30" t="n"/>
      <c r="J15" s="36" t="n"/>
      <c r="K15" s="214">
        <f>IF(J15="","",J15*H15*(1+I15))</f>
        <v/>
      </c>
      <c r="L15" s="210" t="n"/>
      <c r="M15" s="211" t="n"/>
      <c r="N15" s="109" t="n">
        <v>6</v>
      </c>
      <c r="O15" s="33" t="n"/>
      <c r="P15" s="29" t="n"/>
      <c r="Q15" s="30" t="n"/>
      <c r="R15" s="30" t="n"/>
      <c r="S15" s="137" t="n"/>
      <c r="T15" s="30" t="n"/>
      <c r="U15" s="215">
        <f>IF(T15="","",T15*R15*(1+S15))</f>
        <v/>
      </c>
    </row>
    <row r="16" ht="24.95" customHeight="1" s="189">
      <c r="A16" s="190" t="n"/>
      <c r="B16" s="210" t="n"/>
      <c r="C16" s="211" t="n"/>
      <c r="D16" s="109" t="n">
        <v>7</v>
      </c>
      <c r="E16" s="29" t="n"/>
      <c r="F16" s="29" t="n"/>
      <c r="G16" s="30" t="n"/>
      <c r="H16" s="115" t="n"/>
      <c r="I16" s="30" t="n"/>
      <c r="J16" s="36" t="n"/>
      <c r="K16" s="214">
        <f>IF(J16="","",J16*H16*(1+I16))</f>
        <v/>
      </c>
      <c r="L16" s="210" t="n"/>
      <c r="M16" s="211" t="n"/>
      <c r="N16" s="109" t="n">
        <v>7</v>
      </c>
      <c r="O16" s="33" t="n"/>
      <c r="P16" s="29" t="n"/>
      <c r="Q16" s="30" t="n"/>
      <c r="R16" s="30" t="n"/>
      <c r="S16" s="137" t="n"/>
      <c r="T16" s="30" t="n"/>
      <c r="U16" s="215">
        <f>IF(T16="","",T16*R16*(1+S16))</f>
        <v/>
      </c>
    </row>
    <row r="17" ht="24.95" customHeight="1" s="189">
      <c r="A17" s="190" t="n"/>
      <c r="B17" s="210" t="n"/>
      <c r="C17" s="211" t="n"/>
      <c r="D17" s="109" t="n">
        <v>8</v>
      </c>
      <c r="E17" s="29" t="n"/>
      <c r="F17" s="29" t="n"/>
      <c r="G17" s="30" t="n"/>
      <c r="H17" s="115" t="n"/>
      <c r="I17" s="30" t="n"/>
      <c r="J17" s="36" t="n"/>
      <c r="K17" s="214">
        <f>IF(J17="","",J17*H17*(1+I17))</f>
        <v/>
      </c>
      <c r="L17" s="210" t="n"/>
      <c r="M17" s="211" t="n"/>
      <c r="N17" s="109" t="n">
        <v>8</v>
      </c>
      <c r="O17" s="33" t="n"/>
      <c r="P17" s="29" t="n"/>
      <c r="Q17" s="30" t="n"/>
      <c r="R17" s="30" t="n"/>
      <c r="S17" s="137" t="n"/>
      <c r="T17" s="30" t="n"/>
      <c r="U17" s="215">
        <f>IF(T17="","",T17*R17*(1+S17))</f>
        <v/>
      </c>
    </row>
    <row r="18" ht="24.95" customHeight="1" s="189">
      <c r="A18" s="190" t="n"/>
      <c r="B18" s="210" t="n"/>
      <c r="C18" s="211" t="n"/>
      <c r="D18" s="109" t="n">
        <v>9</v>
      </c>
      <c r="E18" s="29" t="n"/>
      <c r="F18" s="29" t="n"/>
      <c r="G18" s="30" t="n"/>
      <c r="H18" s="30" t="n"/>
      <c r="I18" s="30" t="n"/>
      <c r="J18" s="36" t="n"/>
      <c r="K18" s="214">
        <f>IF(J18="","",J18*H18*(1+I18))</f>
        <v/>
      </c>
      <c r="L18" s="210" t="n"/>
      <c r="M18" s="211" t="n"/>
      <c r="N18" s="109" t="n">
        <v>9</v>
      </c>
      <c r="O18" s="33" t="n"/>
      <c r="P18" s="29" t="n"/>
      <c r="Q18" s="30" t="n"/>
      <c r="R18" s="30" t="n"/>
      <c r="S18" s="137" t="n"/>
      <c r="T18" s="30" t="n"/>
      <c r="U18" s="215">
        <f>IF(T18="","",T18*R18*(1+S18))</f>
        <v/>
      </c>
    </row>
    <row r="19" ht="24.95" customHeight="1" s="189">
      <c r="A19" s="190" t="n"/>
      <c r="B19" s="210" t="n"/>
      <c r="C19" s="211" t="n"/>
      <c r="D19" s="109" t="n">
        <v>10</v>
      </c>
      <c r="E19" s="29" t="n"/>
      <c r="F19" s="29" t="n"/>
      <c r="G19" s="30" t="n"/>
      <c r="H19" s="30" t="n"/>
      <c r="I19" s="30" t="n"/>
      <c r="J19" s="36" t="n"/>
      <c r="K19" s="214">
        <f>IF(J19="","",J19*H19*(1+I19))</f>
        <v/>
      </c>
      <c r="L19" s="210" t="n"/>
      <c r="M19" s="211" t="n"/>
      <c r="N19" s="109" t="n">
        <v>10</v>
      </c>
      <c r="O19" s="33" t="n"/>
      <c r="P19" s="29" t="n"/>
      <c r="Q19" s="30" t="n"/>
      <c r="R19" s="30" t="n"/>
      <c r="S19" s="137" t="n"/>
      <c r="T19" s="30" t="n"/>
      <c r="U19" s="215">
        <f>IF(T19="","",T19*R19*(1+S19))</f>
        <v/>
      </c>
    </row>
    <row r="20" ht="24.95" customHeight="1" s="189">
      <c r="A20" s="190" t="n"/>
      <c r="B20" s="210" t="n"/>
      <c r="C20" s="211" t="n"/>
      <c r="D20" s="109" t="n">
        <v>11</v>
      </c>
      <c r="E20" s="29" t="n"/>
      <c r="F20" s="29" t="n"/>
      <c r="G20" s="30" t="n"/>
      <c r="H20" s="30" t="n"/>
      <c r="I20" s="30" t="n"/>
      <c r="J20" s="36" t="n"/>
      <c r="K20" s="214">
        <f>IF(J20="","",J20*H20*(1+I20))</f>
        <v/>
      </c>
      <c r="L20" s="210" t="n"/>
      <c r="M20" s="211" t="n"/>
      <c r="N20" s="109" t="n">
        <v>11</v>
      </c>
      <c r="O20" s="33" t="n"/>
      <c r="P20" s="38" t="n"/>
      <c r="Q20" s="39" t="n"/>
      <c r="R20" s="30" t="n"/>
      <c r="S20" s="137" t="n"/>
      <c r="T20" s="30" t="n"/>
      <c r="U20" s="215">
        <f>IF(T20="","",T20*R20*(1+S20))</f>
        <v/>
      </c>
    </row>
    <row r="21" ht="24.95" customHeight="1" s="189">
      <c r="A21" s="190" t="n"/>
      <c r="B21" s="210" t="n"/>
      <c r="C21" s="211" t="n"/>
      <c r="D21" s="109" t="n">
        <v>12</v>
      </c>
      <c r="E21" s="40" t="n"/>
      <c r="F21" s="40" t="n"/>
      <c r="G21" s="111" t="n"/>
      <c r="H21" s="30" t="n"/>
      <c r="I21" s="30" t="n"/>
      <c r="J21" s="36" t="n"/>
      <c r="K21" s="214">
        <f>IF(J21="","",J21*H21*(1+I21))</f>
        <v/>
      </c>
      <c r="L21" s="210" t="n"/>
      <c r="M21" s="211" t="n"/>
      <c r="N21" s="109" t="n">
        <v>12</v>
      </c>
      <c r="O21" s="33" t="n"/>
      <c r="P21" s="38" t="n"/>
      <c r="Q21" s="39" t="n"/>
      <c r="R21" s="30" t="n"/>
      <c r="S21" s="137" t="n"/>
      <c r="T21" s="30" t="n"/>
      <c r="U21" s="215">
        <f>IF(T21="","",T21*R21*(1+S21))</f>
        <v/>
      </c>
    </row>
    <row r="22" ht="24.95" customHeight="1" s="189">
      <c r="A22" s="190" t="n"/>
      <c r="B22" s="210" t="n"/>
      <c r="C22" s="211" t="n"/>
      <c r="D22" s="109" t="n">
        <v>13</v>
      </c>
      <c r="E22" s="40" t="n"/>
      <c r="F22" s="40" t="n"/>
      <c r="G22" s="111" t="n"/>
      <c r="H22" s="30" t="n"/>
      <c r="I22" s="30" t="n"/>
      <c r="J22" s="36" t="n"/>
      <c r="K22" s="214">
        <f>IF(J22="","",J22*H22*(1+I22))</f>
        <v/>
      </c>
      <c r="L22" s="210" t="n"/>
      <c r="M22" s="211" t="n"/>
      <c r="N22" s="109" t="n">
        <v>13</v>
      </c>
      <c r="O22" s="33" t="n"/>
      <c r="P22" s="38" t="n"/>
      <c r="Q22" s="39" t="n"/>
      <c r="R22" s="30" t="n"/>
      <c r="S22" s="137" t="n"/>
      <c r="T22" s="30" t="n"/>
      <c r="U22" s="215">
        <f>IF(T22="","",T22*R22*(1+S22))</f>
        <v/>
      </c>
    </row>
    <row r="23" ht="24.95" customHeight="1" s="189">
      <c r="A23" s="190" t="n"/>
      <c r="B23" s="210" t="n"/>
      <c r="C23" s="211" t="n"/>
      <c r="D23" s="109" t="n">
        <v>14</v>
      </c>
      <c r="E23" s="40" t="n"/>
      <c r="F23" s="40" t="n"/>
      <c r="G23" s="111" t="n"/>
      <c r="H23" s="30" t="n"/>
      <c r="I23" s="30" t="n"/>
      <c r="J23" s="36" t="n"/>
      <c r="K23" s="214">
        <f>IF(J23="","",J23*H23*(1+I23))</f>
        <v/>
      </c>
      <c r="L23" s="210" t="n"/>
      <c r="M23" s="211" t="n"/>
      <c r="N23" s="109" t="n">
        <v>14</v>
      </c>
      <c r="O23" s="33" t="n"/>
      <c r="P23" s="40" t="n"/>
      <c r="Q23" s="111" t="n"/>
      <c r="R23" s="30" t="n"/>
      <c r="S23" s="137" t="n"/>
      <c r="T23" s="30" t="n"/>
      <c r="U23" s="215">
        <f>IF(T23="","",T23*R23*(1+S23))</f>
        <v/>
      </c>
    </row>
    <row r="24" ht="24.95" customHeight="1" s="189">
      <c r="A24" s="190" t="n"/>
      <c r="B24" s="210" t="n"/>
      <c r="C24" s="211" t="n"/>
      <c r="D24" s="109" t="n">
        <v>15</v>
      </c>
      <c r="E24" s="40" t="n"/>
      <c r="F24" s="41" t="n"/>
      <c r="G24" s="42" t="n"/>
      <c r="H24" s="30" t="n"/>
      <c r="I24" s="30" t="n"/>
      <c r="J24" s="36" t="n"/>
      <c r="K24" s="214">
        <f>IF(J24="","",J24*H24*(1+I24))</f>
        <v/>
      </c>
      <c r="L24" s="210" t="n"/>
      <c r="M24" s="211" t="n"/>
      <c r="N24" s="109" t="n">
        <v>15</v>
      </c>
      <c r="O24" s="33" t="n"/>
      <c r="P24" s="40" t="n"/>
      <c r="Q24" s="111" t="n"/>
      <c r="R24" s="30" t="n"/>
      <c r="S24" s="137" t="n"/>
      <c r="T24" s="30" t="n"/>
      <c r="U24" s="215">
        <f>IF(T24="","",T24*R24*(1+S24))</f>
        <v/>
      </c>
    </row>
    <row r="25" ht="24.95" customHeight="1" s="189">
      <c r="A25" s="190" t="n"/>
      <c r="B25" s="210" t="n"/>
      <c r="C25" s="211" t="n"/>
      <c r="D25" s="109" t="n">
        <v>16</v>
      </c>
      <c r="E25" s="40" t="n"/>
      <c r="F25" s="40" t="n"/>
      <c r="G25" s="111" t="n"/>
      <c r="H25" s="30" t="n"/>
      <c r="I25" s="30" t="n"/>
      <c r="J25" s="36" t="n"/>
      <c r="K25" s="214">
        <f>IF(J25="","",J25*H25*(1+I25))</f>
        <v/>
      </c>
      <c r="L25" s="210" t="n"/>
      <c r="M25" s="211" t="n"/>
      <c r="N25" s="109" t="n">
        <v>16</v>
      </c>
      <c r="O25" s="33" t="n"/>
      <c r="P25" s="40" t="n"/>
      <c r="Q25" s="111" t="n"/>
      <c r="R25" s="30" t="n"/>
      <c r="S25" s="137" t="n"/>
      <c r="T25" s="30" t="n"/>
      <c r="U25" s="215">
        <f>IF(T25="","",T25*R25*(1+S25))</f>
        <v/>
      </c>
    </row>
    <row r="26" ht="24.95" customHeight="1" s="189">
      <c r="A26" s="190" t="n"/>
      <c r="B26" s="210" t="n"/>
      <c r="C26" s="211" t="n"/>
      <c r="D26" s="109" t="n">
        <v>17</v>
      </c>
      <c r="E26" s="40" t="n"/>
      <c r="F26" s="40" t="n"/>
      <c r="G26" s="111" t="n"/>
      <c r="H26" s="30" t="n"/>
      <c r="I26" s="30" t="n"/>
      <c r="J26" s="36" t="n"/>
      <c r="K26" s="214">
        <f>IF(J26="","",J26*H26*(1+I26))</f>
        <v/>
      </c>
      <c r="L26" s="210" t="n"/>
      <c r="M26" s="211" t="n"/>
      <c r="N26" s="109" t="n">
        <v>17</v>
      </c>
      <c r="O26" s="33" t="n"/>
      <c r="P26" s="40" t="n"/>
      <c r="Q26" s="111" t="n"/>
      <c r="R26" s="30" t="n"/>
      <c r="S26" s="137" t="n"/>
      <c r="T26" s="30" t="n"/>
      <c r="U26" s="215">
        <f>IF(T26="","",T26*R26*(1+S26))</f>
        <v/>
      </c>
    </row>
    <row r="27" ht="24.95" customHeight="1" s="189">
      <c r="A27" s="190" t="n"/>
      <c r="B27" s="216" t="n"/>
      <c r="C27" s="217" t="n"/>
      <c r="D27" s="118" t="n"/>
      <c r="E27" s="43" t="n"/>
      <c r="F27" s="43" t="n"/>
      <c r="G27" s="43" t="n"/>
      <c r="H27" s="119" t="inlineStr">
        <is>
          <t>材料费合计</t>
        </is>
      </c>
      <c r="I27" s="206" t="n"/>
      <c r="J27" s="218" t="n"/>
      <c r="K27" s="219" t="n">
        <v>7.4490192</v>
      </c>
      <c r="L27" s="216" t="n"/>
      <c r="M27" s="217" t="n"/>
      <c r="N27" s="118" t="n"/>
      <c r="O27" s="46" t="n"/>
      <c r="P27" s="119" t="n"/>
      <c r="Q27" s="119" t="n"/>
      <c r="R27" s="119" t="n"/>
      <c r="S27" s="119" t="inlineStr">
        <is>
          <t>外协费合计</t>
        </is>
      </c>
      <c r="T27" s="206" t="n"/>
      <c r="U27" s="219">
        <f>SUM(U10:U26)</f>
        <v/>
      </c>
    </row>
    <row r="28" ht="24.95" customHeight="1" s="189">
      <c r="A28" s="190" t="n"/>
      <c r="B28" s="170" t="inlineStr">
        <is>
          <t>三</t>
        </is>
      </c>
      <c r="C28" s="176" t="inlineStr">
        <is>
          <t xml:space="preserve"> 模具费用,刀夹具费用</t>
        </is>
      </c>
      <c r="D28" s="220" t="inlineStr">
        <is>
          <t>模具费用,刀夹具费用分摊</t>
        </is>
      </c>
      <c r="E28" s="221" t="n"/>
      <c r="F28" s="221" t="n"/>
      <c r="G28" s="221" t="n"/>
      <c r="H28" s="221" t="n"/>
      <c r="I28" s="221" t="n"/>
      <c r="J28" s="221" t="n"/>
      <c r="K28" s="222" t="n"/>
      <c r="L28" s="182" t="inlineStr">
        <is>
          <t>四</t>
        </is>
      </c>
      <c r="M28" s="176" t="inlineStr">
        <is>
          <t>实验检测费、开发费、样件费</t>
        </is>
      </c>
      <c r="N28" s="220" t="inlineStr">
        <is>
          <t>批量生产主要检测工序检测单件分摊费</t>
        </is>
      </c>
      <c r="O28" s="221" t="n"/>
      <c r="P28" s="221" t="n"/>
      <c r="Q28" s="221" t="n"/>
      <c r="R28" s="221" t="n"/>
      <c r="S28" s="221" t="n"/>
      <c r="T28" s="221" t="n"/>
      <c r="U28" s="222" t="n"/>
    </row>
    <row r="29" ht="24.95" customHeight="1" s="189">
      <c r="A29" s="190" t="n"/>
      <c r="B29" s="210" t="n"/>
      <c r="C29" s="211" t="n"/>
      <c r="D29" s="47" t="inlineStr">
        <is>
          <t>序号</t>
        </is>
      </c>
      <c r="E29" s="144" t="inlineStr">
        <is>
          <t>模具名称</t>
        </is>
      </c>
      <c r="F29" s="49" t="inlineStr">
        <is>
          <t>模具价格
（万元）</t>
        </is>
      </c>
      <c r="G29" s="144" t="inlineStr">
        <is>
          <t>单模件数</t>
        </is>
      </c>
      <c r="H29" s="49" t="inlineStr">
        <is>
          <t>模具寿命（万模）</t>
        </is>
      </c>
      <c r="I29" s="49" t="inlineStr">
        <is>
          <t>分摊数量（万件）</t>
        </is>
      </c>
      <c r="J29" s="49" t="inlineStr">
        <is>
          <t>指定分摊
数量（万件）</t>
        </is>
      </c>
      <c r="K29" s="50" t="inlineStr">
        <is>
          <t>单件分摊
金额</t>
        </is>
      </c>
      <c r="L29" s="210" t="n"/>
      <c r="M29" s="211" t="n"/>
      <c r="N29" s="223" t="inlineStr">
        <is>
          <t>序列</t>
        </is>
      </c>
      <c r="O29" s="144" t="inlineStr">
        <is>
          <t>实验名称</t>
        </is>
      </c>
      <c r="P29" s="49" t="inlineStr">
        <is>
          <t>实验费用
（万元）</t>
        </is>
      </c>
      <c r="Q29" s="144" t="inlineStr">
        <is>
          <t>是否委外</t>
        </is>
      </c>
      <c r="R29" s="49" t="inlineStr">
        <is>
          <t>产品总寿命
万件</t>
        </is>
      </c>
      <c r="S29" s="49" t="inlineStr">
        <is>
          <t>分摊数
万件</t>
        </is>
      </c>
      <c r="T29" s="49" t="inlineStr">
        <is>
          <t>指定分摊
数量（万件）</t>
        </is>
      </c>
      <c r="U29" s="50" t="inlineStr">
        <is>
          <t>单件分摊
（元）</t>
        </is>
      </c>
    </row>
    <row r="30" ht="24.95" customHeight="1" s="189">
      <c r="A30" s="190" t="n"/>
      <c r="B30" s="210" t="n"/>
      <c r="C30" s="211" t="n"/>
      <c r="D30" s="19" t="n">
        <v>1</v>
      </c>
      <c r="E30" s="52" t="inlineStr">
        <is>
          <t>AP COVER模具</t>
        </is>
      </c>
      <c r="F30" s="53" t="n">
        <v>12</v>
      </c>
      <c r="G30" s="53" t="n">
        <v>1</v>
      </c>
      <c r="H30" s="53" t="n">
        <v>10</v>
      </c>
      <c r="I30" s="53" t="n">
        <v>0.2</v>
      </c>
      <c r="J30" s="224" t="n"/>
      <c r="K30" s="225" t="n">
        <v>60</v>
      </c>
      <c r="L30" s="210" t="n"/>
      <c r="M30" s="211" t="n"/>
      <c r="N30" s="19" t="n">
        <v>1</v>
      </c>
      <c r="O30" s="56" t="inlineStr">
        <is>
          <t>实验费用</t>
        </is>
      </c>
      <c r="P30" s="53" t="n">
        <v>0</v>
      </c>
      <c r="Q30" s="57" t="n"/>
      <c r="R30" s="58">
        <f>O6</f>
        <v/>
      </c>
      <c r="S30" s="53" t="n">
        <v>23</v>
      </c>
      <c r="T30" s="57" t="n"/>
      <c r="U30" s="213">
        <f>IF(O30="","",IF(T30="",P30/S30,P30/T30))</f>
        <v/>
      </c>
    </row>
    <row r="31" ht="24.95" customHeight="1" s="189">
      <c r="A31" s="190" t="n"/>
      <c r="B31" s="210" t="n"/>
      <c r="C31" s="211" t="n"/>
      <c r="D31" s="109" t="n">
        <v>2</v>
      </c>
      <c r="E31" s="111" t="n"/>
      <c r="F31" s="111" t="n"/>
      <c r="G31" s="111" t="n"/>
      <c r="H31" s="111" t="n"/>
      <c r="I31" s="111" t="n"/>
      <c r="J31" s="226" t="n"/>
      <c r="K31" s="227">
        <f>IF(E31="","",IF(J31="",F31/I31,F31/J31))</f>
        <v/>
      </c>
      <c r="L31" s="210" t="n"/>
      <c r="M31" s="211" t="n"/>
      <c r="N31" s="109" t="n">
        <v>2</v>
      </c>
      <c r="O31" s="61" t="n"/>
      <c r="P31" s="111" t="n"/>
      <c r="Q31" s="111" t="n"/>
      <c r="R31" s="62">
        <f>IF(O31="","",R30)</f>
        <v/>
      </c>
      <c r="S31" s="111" t="n"/>
      <c r="T31" s="111" t="n"/>
      <c r="U31" s="215">
        <f>IF(O31="","",IF(T31="",P31/S31,P31/T31))</f>
        <v/>
      </c>
    </row>
    <row r="32" ht="24.95" customHeight="1" s="189">
      <c r="A32" s="190" t="n"/>
      <c r="B32" s="210" t="n"/>
      <c r="C32" s="211" t="n"/>
      <c r="D32" s="109" t="n">
        <v>3</v>
      </c>
      <c r="E32" s="111" t="n"/>
      <c r="F32" s="111" t="n"/>
      <c r="G32" s="111" t="n"/>
      <c r="H32" s="111" t="n"/>
      <c r="I32" s="111" t="n"/>
      <c r="J32" s="226" t="n"/>
      <c r="K32" s="227">
        <f>IF(E32="","",IF(J32="",F32/I32,F32/J32))</f>
        <v/>
      </c>
      <c r="L32" s="210" t="n"/>
      <c r="M32" s="211" t="n"/>
      <c r="N32" s="109" t="n">
        <v>3</v>
      </c>
      <c r="O32" s="61" t="n"/>
      <c r="P32" s="111" t="n"/>
      <c r="Q32" s="111" t="n"/>
      <c r="R32" s="62">
        <f>IF(O32="","",R31)</f>
        <v/>
      </c>
      <c r="S32" s="111" t="n"/>
      <c r="T32" s="111" t="n"/>
      <c r="U32" s="215">
        <f>IF(O32="","",IF(T32="",P32/S32,P32/T32))</f>
        <v/>
      </c>
    </row>
    <row r="33" ht="24.95" customHeight="1" s="189">
      <c r="A33" s="190" t="n"/>
      <c r="B33" s="210" t="n"/>
      <c r="C33" s="211" t="n"/>
      <c r="D33" s="109" t="n">
        <v>5</v>
      </c>
      <c r="E33" s="111" t="n"/>
      <c r="F33" s="111" t="n"/>
      <c r="G33" s="111" t="n"/>
      <c r="H33" s="111" t="n"/>
      <c r="I33" s="111" t="n"/>
      <c r="J33" s="226" t="n"/>
      <c r="K33" s="227">
        <f>IF(E33="","",IF(J33="",F33/I33,F33/J33))</f>
        <v/>
      </c>
      <c r="L33" s="210" t="n"/>
      <c r="M33" s="211" t="n"/>
      <c r="N33" s="109" t="n">
        <v>4</v>
      </c>
      <c r="O33" s="61" t="n"/>
      <c r="P33" s="111" t="n"/>
      <c r="Q33" s="111" t="n"/>
      <c r="R33" s="62">
        <f>IF(O33="","",R32)</f>
        <v/>
      </c>
      <c r="S33" s="111" t="n"/>
      <c r="T33" s="111" t="n"/>
      <c r="U33" s="215">
        <f>IF(O33="","",IF(T33="",P33/S33,P33/T33))</f>
        <v/>
      </c>
    </row>
    <row r="34" ht="24.95" customHeight="1" s="189">
      <c r="A34" s="190" t="n"/>
      <c r="B34" s="210" t="n"/>
      <c r="C34" s="211" t="n"/>
      <c r="D34" s="109" t="n">
        <v>6</v>
      </c>
      <c r="E34" s="111" t="n"/>
      <c r="F34" s="111" t="n"/>
      <c r="G34" s="111" t="n"/>
      <c r="H34" s="111" t="n"/>
      <c r="I34" s="111" t="n"/>
      <c r="J34" s="226" t="n"/>
      <c r="K34" s="227">
        <f>IF(E34="","",IF(J34="",F34/I34,F34/J34))</f>
        <v/>
      </c>
      <c r="L34" s="210" t="n"/>
      <c r="M34" s="211" t="n"/>
      <c r="N34" s="109" t="n">
        <v>5</v>
      </c>
      <c r="O34" s="61" t="n"/>
      <c r="P34" s="111" t="n"/>
      <c r="Q34" s="111" t="n"/>
      <c r="R34" s="62">
        <f>IF(O34="","",R33)</f>
        <v/>
      </c>
      <c r="S34" s="111" t="n"/>
      <c r="T34" s="111" t="n"/>
      <c r="U34" s="215">
        <f>IF(O34="","",IF(T34="",P34/S34,P34/T34))</f>
        <v/>
      </c>
    </row>
    <row r="35" ht="24.95" customHeight="1" s="189">
      <c r="A35" s="190" t="n"/>
      <c r="B35" s="210" t="n"/>
      <c r="C35" s="211" t="n"/>
      <c r="D35" s="109" t="n">
        <v>7</v>
      </c>
      <c r="E35" s="111" t="n"/>
      <c r="F35" s="111" t="n"/>
      <c r="G35" s="111" t="n"/>
      <c r="H35" s="111" t="n"/>
      <c r="I35" s="111" t="n"/>
      <c r="J35" s="226" t="n"/>
      <c r="K35" s="227">
        <f>IF(E35="","",IF(J35="",F35/I35,F35/J35))</f>
        <v/>
      </c>
      <c r="L35" s="210" t="n"/>
      <c r="M35" s="211" t="n"/>
      <c r="N35" s="109" t="n">
        <v>6</v>
      </c>
      <c r="O35" s="61" t="n"/>
      <c r="P35" s="111" t="n"/>
      <c r="Q35" s="111" t="n"/>
      <c r="R35" s="62">
        <f>IF(O35="","",R34)</f>
        <v/>
      </c>
      <c r="S35" s="111" t="n"/>
      <c r="T35" s="111" t="n"/>
      <c r="U35" s="215">
        <f>IF(O35="","",IF(T35="",P35/S35,P35/T35))</f>
        <v/>
      </c>
    </row>
    <row r="36" ht="24.95" customHeight="1" s="189">
      <c r="A36" s="190" t="n"/>
      <c r="B36" s="210" t="n"/>
      <c r="C36" s="211" t="n"/>
      <c r="D36" s="109" t="n">
        <v>8</v>
      </c>
      <c r="E36" s="111" t="n"/>
      <c r="F36" s="111" t="n"/>
      <c r="G36" s="111" t="n"/>
      <c r="H36" s="111" t="n"/>
      <c r="I36" s="111" t="n"/>
      <c r="J36" s="226" t="n"/>
      <c r="K36" s="227">
        <f>IF(E36="","",IF(J36="",F36/I36,F36/J36))</f>
        <v/>
      </c>
      <c r="L36" s="210" t="n"/>
      <c r="M36" s="211" t="n"/>
      <c r="N36" s="109" t="n">
        <v>7</v>
      </c>
      <c r="O36" s="61" t="n"/>
      <c r="P36" s="111" t="n"/>
      <c r="Q36" s="111" t="n"/>
      <c r="R36" s="62">
        <f>IF(O36="","",R35)</f>
        <v/>
      </c>
      <c r="S36" s="111" t="n"/>
      <c r="T36" s="111" t="n"/>
      <c r="U36" s="215">
        <f>IF(O36="","",IF(T36="",P36/S36,P36/T36))</f>
        <v/>
      </c>
    </row>
    <row r="37" ht="24.95" customHeight="1" s="189">
      <c r="A37" s="190" t="n"/>
      <c r="B37" s="210" t="n"/>
      <c r="C37" s="211" t="n"/>
      <c r="D37" s="109" t="n">
        <v>9</v>
      </c>
      <c r="E37" s="111" t="n"/>
      <c r="F37" s="111" t="n"/>
      <c r="G37" s="111" t="n"/>
      <c r="H37" s="111" t="n"/>
      <c r="I37" s="111" t="n"/>
      <c r="J37" s="226" t="n"/>
      <c r="K37" s="227">
        <f>IF(E37="","",IF(J37="",F37/I37,F37/J37))</f>
        <v/>
      </c>
      <c r="L37" s="210" t="n"/>
      <c r="M37" s="211" t="n"/>
      <c r="N37" s="109" t="n">
        <v>8</v>
      </c>
      <c r="O37" s="61" t="n"/>
      <c r="P37" s="111" t="n"/>
      <c r="Q37" s="111" t="n"/>
      <c r="R37" s="62">
        <f>IF(O37="","",R36)</f>
        <v/>
      </c>
      <c r="S37" s="111" t="n"/>
      <c r="T37" s="111" t="n"/>
      <c r="U37" s="215">
        <f>IF(O37="","",IF(T37="",P37/S37,P37/T37))</f>
        <v/>
      </c>
    </row>
    <row r="38" ht="24.95" customHeight="1" s="189">
      <c r="A38" s="190" t="n"/>
      <c r="B38" s="210" t="n"/>
      <c r="C38" s="211" t="n"/>
      <c r="D38" s="109" t="n">
        <v>10</v>
      </c>
      <c r="E38" s="111" t="n"/>
      <c r="F38" s="111" t="n"/>
      <c r="G38" s="111" t="n"/>
      <c r="H38" s="111" t="n"/>
      <c r="I38" s="111" t="n"/>
      <c r="J38" s="226" t="n"/>
      <c r="K38" s="227">
        <f>IF(E38="","",IF(J38="",F38/I38,F38/J38))</f>
        <v/>
      </c>
      <c r="L38" s="210" t="n"/>
      <c r="M38" s="211" t="n"/>
      <c r="N38" s="109" t="n">
        <v>9</v>
      </c>
      <c r="O38" s="61" t="n"/>
      <c r="P38" s="111" t="n"/>
      <c r="Q38" s="111" t="n"/>
      <c r="R38" s="62">
        <f>IF(O38="","",R37)</f>
        <v/>
      </c>
      <c r="S38" s="111" t="n"/>
      <c r="T38" s="111" t="n"/>
      <c r="U38" s="215">
        <f>IF(O38="","",IF(T38="",P38/S38,P38/T38))</f>
        <v/>
      </c>
    </row>
    <row r="39" ht="24.95" customHeight="1" s="189">
      <c r="A39" s="190" t="n"/>
      <c r="B39" s="210" t="n"/>
      <c r="C39" s="211" t="n"/>
      <c r="D39" s="109" t="n">
        <v>11</v>
      </c>
      <c r="E39" s="111" t="n"/>
      <c r="F39" s="111" t="n"/>
      <c r="G39" s="111" t="n"/>
      <c r="H39" s="111" t="n"/>
      <c r="I39" s="111" t="n"/>
      <c r="J39" s="226" t="n"/>
      <c r="K39" s="227">
        <f>IF(E39="","",IF(J39="",F39/I39,F39/J39))</f>
        <v/>
      </c>
      <c r="L39" s="210" t="n"/>
      <c r="M39" s="211" t="n"/>
      <c r="N39" s="109" t="n">
        <v>10</v>
      </c>
      <c r="O39" s="61" t="n"/>
      <c r="P39" s="111" t="n"/>
      <c r="Q39" s="111" t="n"/>
      <c r="R39" s="62">
        <f>IF(O39="","",R38)</f>
        <v/>
      </c>
      <c r="S39" s="111" t="n"/>
      <c r="T39" s="111" t="n"/>
      <c r="U39" s="215">
        <f>IF(O39="","",IF(T39="",P39/S39,P39/T39))</f>
        <v/>
      </c>
    </row>
    <row r="40" ht="24.95" customHeight="1" s="189">
      <c r="A40" s="190" t="n"/>
      <c r="B40" s="216" t="n"/>
      <c r="C40" s="217" t="n"/>
      <c r="D40" s="118" t="n"/>
      <c r="E40" s="119" t="inlineStr">
        <is>
          <t>模具费用</t>
        </is>
      </c>
      <c r="F40" s="43">
        <f>SUM(F30:F39)</f>
        <v/>
      </c>
      <c r="G40" s="43" t="n"/>
      <c r="H40" s="119" t="inlineStr">
        <is>
          <t>分摊合计</t>
        </is>
      </c>
      <c r="I40" s="206" t="n"/>
      <c r="J40" s="63" t="n"/>
      <c r="K40" s="228" t="n">
        <v>60</v>
      </c>
      <c r="L40" s="216" t="n"/>
      <c r="M40" s="217" t="n"/>
      <c r="N40" s="65" t="n"/>
      <c r="O40" s="119" t="inlineStr">
        <is>
          <t>实验费用汇总</t>
        </is>
      </c>
      <c r="P40" s="43">
        <f>SUM(P30:P39)</f>
        <v/>
      </c>
      <c r="Q40" s="66" t="n"/>
      <c r="R40" s="43" t="n"/>
      <c r="S40" s="43" t="n"/>
      <c r="T40" s="43" t="n"/>
      <c r="U40" s="219">
        <f>SUM(U30:U39)</f>
        <v/>
      </c>
    </row>
    <row r="41" ht="33.95" customHeight="1" s="189">
      <c r="A41" s="190" t="n"/>
      <c r="B41" s="173" t="inlineStr">
        <is>
          <t>五</t>
        </is>
      </c>
      <c r="C41" s="176" t="inlineStr">
        <is>
          <t>加工工序人、机、设备耗能与折旧</t>
        </is>
      </c>
      <c r="D41" s="67" t="inlineStr">
        <is>
          <t>工序</t>
        </is>
      </c>
      <c r="E41" s="132" t="inlineStr">
        <is>
          <t>设备名称</t>
        </is>
      </c>
      <c r="F41" s="69" t="inlineStr">
        <is>
          <t>加工时间 
S/Pcs</t>
        </is>
      </c>
      <c r="G41" s="69" t="inlineStr">
        <is>
          <t>班产量 
件/班</t>
        </is>
      </c>
      <c r="H41" s="69" t="inlineStr">
        <is>
          <t xml:space="preserve">单件台时
H/Pcs </t>
        </is>
      </c>
      <c r="I41" s="132" t="inlineStr">
        <is>
          <t>操作人数</t>
        </is>
      </c>
      <c r="J41" s="69" t="inlineStr">
        <is>
          <t>工时单价
元/H</t>
        </is>
      </c>
      <c r="K41" s="132" t="inlineStr">
        <is>
          <t>加工工时</t>
        </is>
      </c>
      <c r="L41" s="130" t="inlineStr">
        <is>
          <t>生产稼动率
75%-85%</t>
        </is>
      </c>
      <c r="M41" s="229" t="n"/>
      <c r="N41" s="132" t="inlineStr">
        <is>
          <t>人力费用</t>
        </is>
      </c>
      <c r="O41" s="229" t="n"/>
      <c r="P41" s="69" t="inlineStr">
        <is>
          <t>设备费用
（万元）</t>
        </is>
      </c>
      <c r="Q41" s="230" t="inlineStr">
        <is>
          <t>折旧方式</t>
        </is>
      </c>
      <c r="R41" s="132" t="inlineStr">
        <is>
          <t>折旧费用</t>
        </is>
      </c>
      <c r="S41" s="69" t="inlineStr">
        <is>
          <t>设备功率
Kwh</t>
        </is>
      </c>
      <c r="T41" s="69" t="inlineStr">
        <is>
          <t>能耗利用率
35%-70%</t>
        </is>
      </c>
      <c r="U41" s="71" t="inlineStr">
        <is>
          <t>耗能费用</t>
        </is>
      </c>
    </row>
    <row r="42" ht="24.95" customHeight="1" s="189">
      <c r="A42" s="190" t="n"/>
      <c r="B42" s="210" t="n"/>
      <c r="C42" s="211" t="n"/>
      <c r="D42" s="19" t="n">
        <v>1</v>
      </c>
      <c r="E42" s="53" t="inlineStr">
        <is>
          <t>350T</t>
        </is>
      </c>
      <c r="F42" s="53" t="n">
        <v>30</v>
      </c>
      <c r="G42" s="231" t="n">
        <v>1380</v>
      </c>
      <c r="H42" s="232" t="n">
        <v>0.008333333333333333</v>
      </c>
      <c r="I42" s="53" t="n">
        <v>1</v>
      </c>
      <c r="J42" s="233" t="n">
        <v>24</v>
      </c>
      <c r="K42" s="234" t="n">
        <v>0.01111111111111111</v>
      </c>
      <c r="L42" s="134" t="n">
        <v>0.75</v>
      </c>
      <c r="M42" s="235" t="n"/>
      <c r="N42" s="236" t="n">
        <v>0.2666666666666667</v>
      </c>
      <c r="O42" s="237" t="n"/>
      <c r="P42" s="53" t="n">
        <v>35</v>
      </c>
      <c r="Q42" s="58" t="inlineStr">
        <is>
          <t>10年2班折90%</t>
        </is>
      </c>
      <c r="R42" s="234" t="n">
        <v>0.05303030303030303</v>
      </c>
      <c r="S42" s="238" t="n">
        <v>75</v>
      </c>
      <c r="T42" s="23" t="n">
        <v>0.45</v>
      </c>
      <c r="U42" s="213" t="n">
        <v>0.3028846153846154</v>
      </c>
    </row>
    <row r="43" ht="24.95" customHeight="1" s="189">
      <c r="A43" s="190" t="n"/>
      <c r="B43" s="210" t="n"/>
      <c r="C43" s="211" t="n"/>
      <c r="D43" s="109" t="n">
        <v>2</v>
      </c>
      <c r="E43" s="111" t="n"/>
      <c r="F43" s="53" t="n"/>
      <c r="G43" s="231">
        <f>IF(E43="","",12/H43*L43)</f>
        <v/>
      </c>
      <c r="H43" s="232">
        <f>IF(E43="","",F43/3600)</f>
        <v/>
      </c>
      <c r="I43" s="111" t="n"/>
      <c r="J43" s="239" t="n"/>
      <c r="K43" s="234">
        <f>IF(E43="","",H43*I43/L43)</f>
        <v/>
      </c>
      <c r="L43" s="137" t="n"/>
      <c r="M43" s="202" t="n"/>
      <c r="N43" s="236">
        <f>IF(F43="","",IF(E43="","",J43*K43))</f>
        <v/>
      </c>
      <c r="O43" s="237" t="n"/>
      <c r="P43" s="111" t="n"/>
      <c r="Q43" s="62">
        <f>IF(E43="","","10年2班折90%")</f>
        <v/>
      </c>
      <c r="R43" s="234">
        <f>IF(E43="","",P43*0.9/10/$U$8/22*H43*10000/L43)</f>
        <v/>
      </c>
      <c r="S43" s="240" t="n"/>
      <c r="T43" s="36" t="n"/>
      <c r="U43" s="213">
        <f>IF(S43="","",S43*T43*$U$7*H43/((L43+(1-L43)/1.4)))</f>
        <v/>
      </c>
    </row>
    <row r="44" ht="24.95" customHeight="1" s="189">
      <c r="A44" s="190" t="n"/>
      <c r="B44" s="210" t="n"/>
      <c r="C44" s="211" t="n"/>
      <c r="D44" s="109" t="n">
        <v>3</v>
      </c>
      <c r="E44" s="111" t="n"/>
      <c r="F44" s="111" t="n"/>
      <c r="G44" s="231">
        <f>IF(E44="","",12/H44*L44)</f>
        <v/>
      </c>
      <c r="H44" s="232">
        <f>IF(E44="","",F44/3600)</f>
        <v/>
      </c>
      <c r="I44" s="111" t="n"/>
      <c r="J44" s="239" t="n"/>
      <c r="K44" s="234">
        <f>IF(E44="","",H44*I44/L44)</f>
        <v/>
      </c>
      <c r="L44" s="137" t="n"/>
      <c r="M44" s="202" t="n"/>
      <c r="N44" s="236">
        <f>IF(F44="","",IF(E44="","",J44*K44))</f>
        <v/>
      </c>
      <c r="O44" s="237" t="n"/>
      <c r="P44" s="111" t="n"/>
      <c r="Q44" s="62">
        <f>IF(E44="","","10年2班折90%")</f>
        <v/>
      </c>
      <c r="R44" s="234">
        <f>IF(E44="","",P44*0.9/10/$U$8/22*H44*10000/L44)</f>
        <v/>
      </c>
      <c r="S44" s="240" t="n"/>
      <c r="T44" s="36" t="n"/>
      <c r="U44" s="213">
        <f>IF(S44="","",S44*T44*$U$7*H44/((L44+(1-L44)/1.4)))</f>
        <v/>
      </c>
    </row>
    <row r="45" ht="24.95" customHeight="1" s="189">
      <c r="A45" s="190" t="n"/>
      <c r="B45" s="210" t="n"/>
      <c r="C45" s="211" t="n"/>
      <c r="D45" s="109" t="n">
        <v>4</v>
      </c>
      <c r="E45" s="111" t="n"/>
      <c r="F45" s="111" t="n"/>
      <c r="G45" s="231">
        <f>IF(E45="","",12/H45*L45)</f>
        <v/>
      </c>
      <c r="H45" s="232">
        <f>IF(E45="","",F45/3600)</f>
        <v/>
      </c>
      <c r="I45" s="111" t="n"/>
      <c r="J45" s="239" t="n"/>
      <c r="K45" s="234">
        <f>IF(E45="","",H45*I45/L45)</f>
        <v/>
      </c>
      <c r="L45" s="137" t="n"/>
      <c r="M45" s="202" t="n"/>
      <c r="N45" s="236">
        <f>IF(F45="","",IF(E45="","",J45*K45))</f>
        <v/>
      </c>
      <c r="O45" s="237" t="n"/>
      <c r="P45" s="111" t="n"/>
      <c r="Q45" s="62">
        <f>IF(E45="","","10年2班折90%")</f>
        <v/>
      </c>
      <c r="R45" s="234">
        <f>IF(E45="","",P45*0.9/10/$U$8/22*H45*10000/L45)</f>
        <v/>
      </c>
      <c r="S45" s="240" t="n"/>
      <c r="T45" s="36" t="n"/>
      <c r="U45" s="213">
        <f>IF(S45="","",S45*T45*$U$7*H45/((L45+(1-L45)/1.4)))</f>
        <v/>
      </c>
    </row>
    <row r="46" ht="24.95" customHeight="1" s="189">
      <c r="A46" s="190" t="n"/>
      <c r="B46" s="210" t="n"/>
      <c r="C46" s="211" t="n"/>
      <c r="D46" s="109" t="n">
        <v>5</v>
      </c>
      <c r="E46" s="111" t="n"/>
      <c r="F46" s="111" t="n"/>
      <c r="G46" s="231">
        <f>IF(E46="","",12/H46*L46)</f>
        <v/>
      </c>
      <c r="H46" s="232">
        <f>IF(E46="","",F46/3600)</f>
        <v/>
      </c>
      <c r="I46" s="111" t="n"/>
      <c r="J46" s="239" t="n"/>
      <c r="K46" s="234">
        <f>IF(E46="","",H46*I46/L46)</f>
        <v/>
      </c>
      <c r="L46" s="137" t="n"/>
      <c r="M46" s="202" t="n"/>
      <c r="N46" s="236">
        <f>IF(F46="","",IF(E46="","",J46*K46))</f>
        <v/>
      </c>
      <c r="O46" s="237" t="n"/>
      <c r="P46" s="111" t="n"/>
      <c r="Q46" s="62">
        <f>IF(E46="","","10年2班折90%")</f>
        <v/>
      </c>
      <c r="R46" s="234">
        <f>IF(E46="","",P46*0.9/10/$U$8/22*H46*10000/L46)</f>
        <v/>
      </c>
      <c r="S46" s="240" t="n"/>
      <c r="T46" s="36" t="n"/>
      <c r="U46" s="213">
        <f>IF(S46="","",S46*T46*$U$7*H46/((L46+(1-L46)/1.4)))</f>
        <v/>
      </c>
    </row>
    <row r="47" ht="24.95" customHeight="1" s="189">
      <c r="A47" s="190" t="n"/>
      <c r="B47" s="210" t="n"/>
      <c r="C47" s="211" t="n"/>
      <c r="D47" s="109" t="n">
        <v>6</v>
      </c>
      <c r="E47" s="111" t="n"/>
      <c r="F47" s="111" t="n"/>
      <c r="G47" s="231">
        <f>IF(E47="","",12/H47*L47)</f>
        <v/>
      </c>
      <c r="H47" s="232">
        <f>IF(E47="","",F47/3600)</f>
        <v/>
      </c>
      <c r="I47" s="111" t="n"/>
      <c r="J47" s="239" t="n"/>
      <c r="K47" s="234">
        <f>IF(E47="","",H47*I47/L47)</f>
        <v/>
      </c>
      <c r="L47" s="137" t="n"/>
      <c r="M47" s="202" t="n"/>
      <c r="N47" s="236">
        <f>IF(F47="","",IF(E47="","",J47*K47))</f>
        <v/>
      </c>
      <c r="O47" s="237" t="n"/>
      <c r="P47" s="111" t="n"/>
      <c r="Q47" s="62">
        <f>IF(E47="","","10年2班折90%")</f>
        <v/>
      </c>
      <c r="R47" s="234">
        <f>IF(E47="","",P47*0.9/10/$U$8/22*H47*10000/L47)</f>
        <v/>
      </c>
      <c r="S47" s="240" t="n"/>
      <c r="T47" s="36" t="n"/>
      <c r="U47" s="213">
        <f>IF(S47="","",S47*T47*$U$7*H47/((L47+(1-L47)/1.4)))</f>
        <v/>
      </c>
    </row>
    <row r="48" ht="24.95" customHeight="1" s="189">
      <c r="A48" s="190" t="n"/>
      <c r="B48" s="210" t="n"/>
      <c r="C48" s="211" t="n"/>
      <c r="D48" s="109" t="n">
        <v>7</v>
      </c>
      <c r="E48" s="111" t="n"/>
      <c r="F48" s="111" t="n"/>
      <c r="G48" s="231">
        <f>IF(E48="","",12/H48*L48)</f>
        <v/>
      </c>
      <c r="H48" s="232">
        <f>IF(E48="","",F48/3600)</f>
        <v/>
      </c>
      <c r="I48" s="111" t="n"/>
      <c r="J48" s="239" t="n"/>
      <c r="K48" s="234">
        <f>IF(E48="","",H48*I48/L48)</f>
        <v/>
      </c>
      <c r="L48" s="137" t="n"/>
      <c r="M48" s="202" t="n"/>
      <c r="N48" s="236">
        <f>IF(F48="","",IF(E48="","",J48*K48))</f>
        <v/>
      </c>
      <c r="O48" s="237" t="n"/>
      <c r="P48" s="111" t="n"/>
      <c r="Q48" s="62">
        <f>IF(E48="","","10年2班折90%")</f>
        <v/>
      </c>
      <c r="R48" s="234">
        <f>IF(E48="","",P48*0.9/10/$U$8/22*H48*10000/L48)</f>
        <v/>
      </c>
      <c r="S48" s="240" t="n"/>
      <c r="T48" s="36" t="n"/>
      <c r="U48" s="213">
        <f>IF(S48="","",S48*T48*$U$7*H48/((L48+(1-L48)/1.4)))</f>
        <v/>
      </c>
    </row>
    <row r="49" ht="24.95" customHeight="1" s="189">
      <c r="A49" s="190" t="n"/>
      <c r="B49" s="210" t="n"/>
      <c r="C49" s="211" t="n"/>
      <c r="D49" s="109" t="n">
        <v>8</v>
      </c>
      <c r="E49" s="111" t="n"/>
      <c r="F49" s="111" t="n"/>
      <c r="G49" s="231">
        <f>IF(E49="","",12/H49*L49)</f>
        <v/>
      </c>
      <c r="H49" s="232">
        <f>IF(E49="","",F49/3600)</f>
        <v/>
      </c>
      <c r="I49" s="111" t="n"/>
      <c r="J49" s="239" t="n"/>
      <c r="K49" s="234">
        <f>IF(E49="","",H49*I49/L49)</f>
        <v/>
      </c>
      <c r="L49" s="137" t="n"/>
      <c r="M49" s="202" t="n"/>
      <c r="N49" s="236">
        <f>IF(F49="","",IF(E49="","",J49*K49))</f>
        <v/>
      </c>
      <c r="O49" s="237" t="n"/>
      <c r="P49" s="111" t="n"/>
      <c r="Q49" s="62">
        <f>IF(E49="","","10年2班折90%")</f>
        <v/>
      </c>
      <c r="R49" s="234">
        <f>IF(E49="","",P49*0.9/10/$U$8/22*H49*10000/L49)</f>
        <v/>
      </c>
      <c r="S49" s="240" t="n"/>
      <c r="T49" s="36" t="n"/>
      <c r="U49" s="213">
        <f>IF(S49="","",S49*T49*$U$7*H49/((L49+(1-L49)/1.4)))</f>
        <v/>
      </c>
    </row>
    <row r="50" ht="24.95" customHeight="1" s="189">
      <c r="A50" s="190" t="n"/>
      <c r="B50" s="210" t="n"/>
      <c r="C50" s="211" t="n"/>
      <c r="D50" s="109" t="n">
        <v>9</v>
      </c>
      <c r="E50" s="111" t="n"/>
      <c r="F50" s="111" t="n"/>
      <c r="G50" s="231">
        <f>IF(E50="","",12/H50*L50)</f>
        <v/>
      </c>
      <c r="H50" s="232">
        <f>IF(E50="","",F50/3600)</f>
        <v/>
      </c>
      <c r="I50" s="111" t="n"/>
      <c r="J50" s="239" t="n"/>
      <c r="K50" s="234">
        <f>IF(E50="","",H50*I50/L50)</f>
        <v/>
      </c>
      <c r="L50" s="137" t="n"/>
      <c r="M50" s="202" t="n"/>
      <c r="N50" s="236">
        <f>IF(F50="","",IF(E50="","",J50*K50))</f>
        <v/>
      </c>
      <c r="O50" s="237" t="n"/>
      <c r="P50" s="111" t="n"/>
      <c r="Q50" s="62">
        <f>IF(E50="","","10年2班折90%")</f>
        <v/>
      </c>
      <c r="R50" s="234">
        <f>IF(E50="","",P50*0.9/10/$U$8/22*H50*10000/L50)</f>
        <v/>
      </c>
      <c r="S50" s="240" t="n"/>
      <c r="T50" s="36" t="n"/>
      <c r="U50" s="213">
        <f>IF(S50="","",S50*T50*$U$7*H50/((L50+(1-L50)/1.4)))</f>
        <v/>
      </c>
    </row>
    <row r="51" ht="24.95" customHeight="1" s="189">
      <c r="A51" s="190" t="n"/>
      <c r="B51" s="210" t="n"/>
      <c r="C51" s="211" t="n"/>
      <c r="D51" s="109" t="n">
        <v>10</v>
      </c>
      <c r="E51" s="111" t="n"/>
      <c r="F51" s="111" t="n"/>
      <c r="G51" s="231">
        <f>IF(E51="","",12/H51*L51)</f>
        <v/>
      </c>
      <c r="H51" s="232">
        <f>IF(E51="","",F51/3600)</f>
        <v/>
      </c>
      <c r="I51" s="111" t="n"/>
      <c r="J51" s="239" t="n"/>
      <c r="K51" s="234">
        <f>IF(E51="","",H51*I51/L51)</f>
        <v/>
      </c>
      <c r="L51" s="137" t="n"/>
      <c r="M51" s="202" t="n"/>
      <c r="N51" s="236">
        <f>IF(F51="","",IF(E51="","",J51*K51))</f>
        <v/>
      </c>
      <c r="O51" s="237" t="n"/>
      <c r="P51" s="111" t="n"/>
      <c r="Q51" s="62">
        <f>IF(E51="","","10年2班折90%")</f>
        <v/>
      </c>
      <c r="R51" s="234">
        <f>IF(E51="","",P51*0.9/10/$U$8/22*H51*10000/L51)</f>
        <v/>
      </c>
      <c r="S51" s="240" t="n"/>
      <c r="T51" s="36" t="n"/>
      <c r="U51" s="213">
        <f>IF(S51="","",S51*T51*$U$7*H51/((L51+(1-L51)/1.4)))</f>
        <v/>
      </c>
    </row>
    <row r="52" ht="24.95" customHeight="1" s="189">
      <c r="A52" s="190" t="n"/>
      <c r="B52" s="210" t="n"/>
      <c r="C52" s="211" t="n"/>
      <c r="D52" s="109" t="n">
        <v>11</v>
      </c>
      <c r="E52" s="111" t="n"/>
      <c r="F52" s="111" t="n"/>
      <c r="G52" s="231">
        <f>IF(E52="","",12/H52*L52)</f>
        <v/>
      </c>
      <c r="H52" s="232">
        <f>IF(E52="","",F52/3600)</f>
        <v/>
      </c>
      <c r="I52" s="111" t="n"/>
      <c r="J52" s="239" t="n"/>
      <c r="K52" s="234">
        <f>IF(E52="","",H52*I52/L52)</f>
        <v/>
      </c>
      <c r="L52" s="137" t="n"/>
      <c r="M52" s="202" t="n"/>
      <c r="N52" s="236">
        <f>IF(F52="","",IF(E52="","",J52*K52))</f>
        <v/>
      </c>
      <c r="O52" s="237" t="n"/>
      <c r="P52" s="111" t="n"/>
      <c r="Q52" s="62">
        <f>IF(E52="","","10年2班折90%")</f>
        <v/>
      </c>
      <c r="R52" s="234">
        <f>IF(E52="","",P52*0.9/10/$U$8/22*H52*10000/L52)</f>
        <v/>
      </c>
      <c r="S52" s="240" t="n"/>
      <c r="T52" s="36" t="n"/>
      <c r="U52" s="213">
        <f>IF(S52="","",S52*T52*$U$7*H52/((L52+(1-L52)/1.4)))</f>
        <v/>
      </c>
    </row>
    <row r="53" ht="24.95" customHeight="1" s="189">
      <c r="A53" s="190" t="n"/>
      <c r="B53" s="210" t="n"/>
      <c r="C53" s="211" t="n"/>
      <c r="D53" s="109" t="n">
        <v>12</v>
      </c>
      <c r="E53" s="111" t="n"/>
      <c r="F53" s="111" t="n"/>
      <c r="G53" s="231">
        <f>IF(E53="","",12/H53*L53)</f>
        <v/>
      </c>
      <c r="H53" s="232">
        <f>IF(E53="","",F53/3600)</f>
        <v/>
      </c>
      <c r="I53" s="111" t="n"/>
      <c r="J53" s="239" t="n"/>
      <c r="K53" s="234">
        <f>IF(E53="","",H53*I53/L53)</f>
        <v/>
      </c>
      <c r="L53" s="137" t="n"/>
      <c r="M53" s="202" t="n"/>
      <c r="N53" s="236">
        <f>IF(F53="","",IF(E53="","",J53*K53))</f>
        <v/>
      </c>
      <c r="O53" s="237" t="n"/>
      <c r="P53" s="111" t="n"/>
      <c r="Q53" s="62">
        <f>IF(E53="","","10年2班折90%")</f>
        <v/>
      </c>
      <c r="R53" s="234">
        <f>IF(E53="","",P53*0.9/10/$U$8/22*H53*10000/L53)</f>
        <v/>
      </c>
      <c r="S53" s="240" t="n"/>
      <c r="T53" s="36" t="n"/>
      <c r="U53" s="213">
        <f>IF(S53="","",S53*T53*$U$7*H53/((L53+(1-L53)/1.4)))</f>
        <v/>
      </c>
    </row>
    <row r="54" ht="24.95" customHeight="1" s="189">
      <c r="A54" s="190" t="n"/>
      <c r="B54" s="210" t="n"/>
      <c r="C54" s="211" t="n"/>
      <c r="D54" s="109" t="n">
        <v>13</v>
      </c>
      <c r="E54" s="111" t="n"/>
      <c r="F54" s="111" t="n"/>
      <c r="G54" s="231">
        <f>IF(E54="","",12/H54*L54)</f>
        <v/>
      </c>
      <c r="H54" s="232">
        <f>IF(E54="","",F54/3600)</f>
        <v/>
      </c>
      <c r="I54" s="111" t="n"/>
      <c r="J54" s="239" t="n"/>
      <c r="K54" s="234">
        <f>IF(E54="","",H54*I54/L54)</f>
        <v/>
      </c>
      <c r="L54" s="137" t="n"/>
      <c r="M54" s="202" t="n"/>
      <c r="N54" s="236">
        <f>IF(F54="","",IF(E54="","",J54*K54))</f>
        <v/>
      </c>
      <c r="O54" s="237" t="n"/>
      <c r="P54" s="111" t="n"/>
      <c r="Q54" s="62">
        <f>IF(E54="","","10年2班折90%")</f>
        <v/>
      </c>
      <c r="R54" s="234">
        <f>IF(E54="","",P54*0.9/10/$U$8/22*H54*10000/L54)</f>
        <v/>
      </c>
      <c r="S54" s="240" t="n"/>
      <c r="T54" s="36" t="n"/>
      <c r="U54" s="213">
        <f>IF(S54="","",S54*T54*$U$7*H54/((L54+(1-L54)/1.4)))</f>
        <v/>
      </c>
    </row>
    <row r="55" ht="24.95" customHeight="1" s="189">
      <c r="A55" s="190" t="n"/>
      <c r="B55" s="210" t="n"/>
      <c r="C55" s="211" t="n"/>
      <c r="D55" s="109" t="n">
        <v>14</v>
      </c>
      <c r="E55" s="111" t="n"/>
      <c r="F55" s="111" t="n"/>
      <c r="G55" s="231">
        <f>IF(E55="","",12/H55*L55)</f>
        <v/>
      </c>
      <c r="H55" s="232">
        <f>IF(E55="","",F55/3600)</f>
        <v/>
      </c>
      <c r="I55" s="111" t="n"/>
      <c r="J55" s="239" t="n"/>
      <c r="K55" s="234">
        <f>IF(E55="","",H55*I55/L55)</f>
        <v/>
      </c>
      <c r="L55" s="137" t="n"/>
      <c r="M55" s="202" t="n"/>
      <c r="N55" s="236">
        <f>IF(F55="","",IF(E55="","",J55*K55))</f>
        <v/>
      </c>
      <c r="O55" s="237" t="n"/>
      <c r="P55" s="111" t="n"/>
      <c r="Q55" s="62">
        <f>IF(E55="","","10年2班折90%")</f>
        <v/>
      </c>
      <c r="R55" s="234">
        <f>IF(E55="","",P55*0.9/10/$U$8/22*H55*10000/L55)</f>
        <v/>
      </c>
      <c r="S55" s="240" t="n"/>
      <c r="T55" s="36" t="n"/>
      <c r="U55" s="213">
        <f>IF(S55="","",S55*T55*$U$7*H55/((L55+(1-L55)/1.4)))</f>
        <v/>
      </c>
    </row>
    <row r="56" ht="24.95" customHeight="1" s="189">
      <c r="A56" s="190" t="n"/>
      <c r="B56" s="210" t="n"/>
      <c r="C56" s="211" t="n"/>
      <c r="D56" s="109" t="n">
        <v>15</v>
      </c>
      <c r="E56" s="111" t="n"/>
      <c r="F56" s="111" t="n"/>
      <c r="G56" s="231">
        <f>IF(E56="","",12/H56*L56)</f>
        <v/>
      </c>
      <c r="H56" s="232">
        <f>IF(E56="","",F56/3600)</f>
        <v/>
      </c>
      <c r="I56" s="111" t="n"/>
      <c r="J56" s="239" t="n"/>
      <c r="K56" s="234">
        <f>IF(E56="","",H56*I56/L56)</f>
        <v/>
      </c>
      <c r="L56" s="137" t="n"/>
      <c r="M56" s="202" t="n"/>
      <c r="N56" s="236">
        <f>IF(F56="","",IF(E56="","",J56*K56))</f>
        <v/>
      </c>
      <c r="O56" s="237" t="n"/>
      <c r="P56" s="111" t="n"/>
      <c r="Q56" s="62">
        <f>IF(E56="","","10年2班折90%")</f>
        <v/>
      </c>
      <c r="R56" s="234">
        <f>IF(E56="","",P56*0.9/10/$U$8/22*H56*10000/L56)</f>
        <v/>
      </c>
      <c r="S56" s="240" t="n"/>
      <c r="T56" s="36" t="n"/>
      <c r="U56" s="213">
        <f>IF(S56="","",S56*T56*$U$7*H56/((L56+(1-L56)/1.4)))</f>
        <v/>
      </c>
    </row>
    <row r="57" ht="24.95" customHeight="1" s="189">
      <c r="A57" s="190" t="n"/>
      <c r="B57" s="210" t="n"/>
      <c r="C57" s="211" t="n"/>
      <c r="D57" s="109" t="n">
        <v>16</v>
      </c>
      <c r="E57" s="111" t="n"/>
      <c r="F57" s="111" t="n"/>
      <c r="G57" s="231">
        <f>IF(E57="","",12/H57*L57)</f>
        <v/>
      </c>
      <c r="H57" s="232">
        <f>IF(E57="","",F57/3600)</f>
        <v/>
      </c>
      <c r="I57" s="111" t="n"/>
      <c r="J57" s="239" t="n"/>
      <c r="K57" s="234">
        <f>IF(E57="","",H57*I57/L57)</f>
        <v/>
      </c>
      <c r="L57" s="137" t="n"/>
      <c r="M57" s="202" t="n"/>
      <c r="N57" s="236">
        <f>IF(F57="","",IF(E57="","",J57*K57))</f>
        <v/>
      </c>
      <c r="O57" s="237" t="n"/>
      <c r="P57" s="111" t="n"/>
      <c r="Q57" s="62">
        <f>IF(E57="","","10年2班折90%")</f>
        <v/>
      </c>
      <c r="R57" s="234">
        <f>IF(E57="","",P57*0.9/10/$U$8/22*H57*10000/L57)</f>
        <v/>
      </c>
      <c r="S57" s="240" t="n"/>
      <c r="T57" s="36" t="n"/>
      <c r="U57" s="213">
        <f>IF(S57="","",S57*T57*$U$7*H57/((L57+(1-L57)/1.4)))</f>
        <v/>
      </c>
    </row>
    <row r="58" ht="24.95" customHeight="1" s="189">
      <c r="A58" s="190" t="n"/>
      <c r="B58" s="216" t="n"/>
      <c r="C58" s="217" t="n"/>
      <c r="D58" s="79" t="n">
        <v>17</v>
      </c>
      <c r="E58" s="80" t="n"/>
      <c r="F58" s="80" t="n"/>
      <c r="G58" s="80" t="n"/>
      <c r="H58" s="80" t="n"/>
      <c r="I58" s="80" t="n"/>
      <c r="J58" s="80" t="inlineStr">
        <is>
          <t>共工时</t>
        </is>
      </c>
      <c r="K58" s="119" t="n">
        <v>0.01111111111111111</v>
      </c>
      <c r="L58" s="119" t="inlineStr">
        <is>
          <t>人工费合计</t>
        </is>
      </c>
      <c r="M58" s="206" t="n"/>
      <c r="N58" s="241" t="n">
        <v>0.2666666666666667</v>
      </c>
      <c r="O58" s="206" t="n"/>
      <c r="P58" s="81" t="n"/>
      <c r="Q58" s="82" t="inlineStr">
        <is>
          <t>折旧合计</t>
        </is>
      </c>
      <c r="R58" s="242" t="n">
        <v>0.05303030303030303</v>
      </c>
      <c r="S58" s="84" t="n"/>
      <c r="T58" s="162" t="inlineStr">
        <is>
          <t>能耗合计</t>
        </is>
      </c>
      <c r="U58" s="243" t="n">
        <v>0.3028846153846154</v>
      </c>
    </row>
    <row r="59" ht="24.95" customHeight="1" s="189">
      <c r="A59" s="190" t="n"/>
      <c r="B59" s="19" t="inlineStr">
        <is>
          <t>六</t>
        </is>
      </c>
      <c r="C59" s="139" t="inlineStr">
        <is>
          <t>直接工资</t>
        </is>
      </c>
      <c r="D59" s="237" t="n"/>
      <c r="E59" s="244" t="n">
        <v>0.2666666666666667</v>
      </c>
      <c r="F59" s="141" t="inlineStr">
        <is>
          <t>"计算依据：=N58  or U6*K58</t>
        </is>
      </c>
      <c r="G59" s="245" t="n"/>
      <c r="H59" s="245" t="n"/>
      <c r="I59" s="245" t="n"/>
      <c r="J59" s="245" t="n"/>
      <c r="K59" s="245" t="n"/>
      <c r="L59" s="245" t="n"/>
      <c r="M59" s="245" t="n"/>
      <c r="N59" s="245" t="n"/>
      <c r="O59" s="245" t="n"/>
      <c r="P59" s="196" t="n"/>
      <c r="Q59" s="143" t="inlineStr">
        <is>
          <t>其它费用</t>
        </is>
      </c>
      <c r="R59" s="246" t="n"/>
      <c r="S59" s="246" t="n"/>
      <c r="T59" s="246" t="n"/>
      <c r="U59" s="247" t="n"/>
    </row>
    <row r="60" ht="24.95" customHeight="1" s="189">
      <c r="A60" s="190" t="n"/>
      <c r="B60" s="109" t="inlineStr">
        <is>
          <t>七</t>
        </is>
      </c>
      <c r="C60" s="110" t="inlineStr">
        <is>
          <t>废品费用</t>
        </is>
      </c>
      <c r="D60" s="201" t="n"/>
      <c r="E60" s="248" t="n">
        <v>1.361432015701632</v>
      </c>
      <c r="F60" s="147" t="inlineStr">
        <is>
          <t>计算依据：=(K27+K40+U40+R58+U58+E59+U27)*O8</t>
        </is>
      </c>
      <c r="G60" s="249" t="n"/>
      <c r="H60" s="249" t="n"/>
      <c r="I60" s="249" t="n"/>
      <c r="J60" s="249" t="n"/>
      <c r="K60" s="249" t="n"/>
      <c r="L60" s="249" t="n"/>
      <c r="M60" s="249" t="n"/>
      <c r="N60" s="249" t="n"/>
      <c r="O60" s="249" t="n"/>
      <c r="P60" s="201" t="n"/>
      <c r="Q60" s="149" t="inlineStr">
        <is>
          <t>废料处理收益</t>
        </is>
      </c>
      <c r="R60" s="250" t="n"/>
      <c r="S60" s="251" t="n"/>
      <c r="T60" s="252" t="n"/>
      <c r="U60" s="253" t="n"/>
    </row>
    <row r="61" ht="24.95" customHeight="1" s="189">
      <c r="A61" s="190" t="n"/>
      <c r="B61" s="109" t="inlineStr">
        <is>
          <t>八</t>
        </is>
      </c>
      <c r="C61" s="110" t="inlineStr">
        <is>
          <t>管理费用</t>
        </is>
      </c>
      <c r="D61" s="201" t="n"/>
      <c r="E61" s="248" t="n">
        <v>3.322671256039161</v>
      </c>
      <c r="F61" s="147" t="inlineStr">
        <is>
          <t>计算依据：=(原材料+外购外协)*0.03+(模具分摊费用+检测分摊费用+折旧+能耗+工资+废品)*0.05</t>
        </is>
      </c>
      <c r="G61" s="249" t="n"/>
      <c r="H61" s="249" t="n"/>
      <c r="I61" s="249" t="n"/>
      <c r="J61" s="249" t="n"/>
      <c r="K61" s="249" t="n"/>
      <c r="L61" s="249" t="n"/>
      <c r="M61" s="249" t="n"/>
      <c r="N61" s="249" t="n"/>
      <c r="O61" s="249" t="n"/>
      <c r="P61" s="201" t="n"/>
      <c r="Q61" s="153" t="inlineStr">
        <is>
          <t>模具总费万元</t>
        </is>
      </c>
      <c r="R61" s="249" t="n"/>
      <c r="S61" s="113" t="n"/>
      <c r="T61" s="203" t="n"/>
      <c r="U61" s="254" t="n"/>
    </row>
    <row r="62" ht="24.95" customHeight="1" s="189">
      <c r="A62" s="190" t="n"/>
      <c r="B62" s="109" t="inlineStr">
        <is>
          <t>九</t>
        </is>
      </c>
      <c r="C62" s="110" t="inlineStr">
        <is>
          <t>运输费用</t>
        </is>
      </c>
      <c r="D62" s="201" t="n"/>
      <c r="E62" s="255" t="n">
        <v>0.5</v>
      </c>
      <c r="F62" s="147" t="inlineStr">
        <is>
          <t>计算依据：=按国内公路运输距离、零担、拼货、整车，最终分摊到每个零件费用</t>
        </is>
      </c>
      <c r="G62" s="249" t="n"/>
      <c r="H62" s="249" t="n"/>
      <c r="I62" s="249" t="n"/>
      <c r="J62" s="249" t="n"/>
      <c r="K62" s="249" t="n"/>
      <c r="L62" s="249" t="n"/>
      <c r="M62" s="249" t="n"/>
      <c r="N62" s="249" t="n"/>
      <c r="O62" s="249" t="n"/>
      <c r="P62" s="201" t="n"/>
      <c r="Q62" s="153" t="inlineStr">
        <is>
          <t>实验总费万元</t>
        </is>
      </c>
      <c r="R62" s="249" t="n"/>
      <c r="S62" s="113" t="n"/>
      <c r="T62" s="203" t="n"/>
      <c r="U62" s="254" t="n"/>
    </row>
    <row r="63" ht="24.95" customHeight="1" s="189">
      <c r="A63" s="190" t="n"/>
      <c r="B63" s="109" t="inlineStr">
        <is>
          <t>十</t>
        </is>
      </c>
      <c r="C63" s="110" t="inlineStr">
        <is>
          <t>包装费用</t>
        </is>
      </c>
      <c r="D63" s="201" t="n"/>
      <c r="E63" s="256" t="n">
        <v>0.2</v>
      </c>
      <c r="F63" s="147" t="inlineStr">
        <is>
          <t>计算依据：=按照甲方包装规范要求，分摊到每个零件的包装成本</t>
        </is>
      </c>
      <c r="G63" s="249" t="n"/>
      <c r="H63" s="249" t="n"/>
      <c r="I63" s="249" t="n"/>
      <c r="J63" s="249" t="n"/>
      <c r="K63" s="249" t="n"/>
      <c r="L63" s="249" t="n"/>
      <c r="M63" s="249" t="n"/>
      <c r="N63" s="249" t="n"/>
      <c r="O63" s="249" t="n"/>
      <c r="P63" s="201" t="n"/>
      <c r="Q63" s="156" t="n"/>
      <c r="R63" s="257" t="n"/>
      <c r="S63" s="258" t="n"/>
      <c r="T63" s="259" t="n"/>
      <c r="U63" s="260" t="n"/>
    </row>
    <row r="64" ht="24.95" customHeight="1" s="189">
      <c r="A64" s="190" t="n"/>
      <c r="B64" s="109" t="inlineStr">
        <is>
          <t>十一</t>
        </is>
      </c>
      <c r="C64" s="110" t="inlineStr">
        <is>
          <t>成本价</t>
        </is>
      </c>
      <c r="D64" s="201" t="n"/>
      <c r="E64" s="261" t="n">
        <v>73.45570405682237</v>
      </c>
      <c r="F64" s="147" t="inlineStr">
        <is>
          <t>计算依据：=K27+U27+K40+R58+U58+E59+E60+E61+E62+E63+U40-S60各项的总和</t>
        </is>
      </c>
      <c r="G64" s="249" t="n"/>
      <c r="H64" s="249" t="n"/>
      <c r="I64" s="249" t="n"/>
      <c r="J64" s="249" t="n"/>
      <c r="K64" s="249" t="n"/>
      <c r="L64" s="249" t="n"/>
      <c r="M64" s="249" t="n"/>
      <c r="N64" s="249" t="n"/>
      <c r="O64" s="249" t="n"/>
      <c r="P64" s="201" t="n"/>
      <c r="Q64" s="161" t="inlineStr">
        <is>
          <t>⚠️材料价42元/kg(估)｜水口+8%(估)｜模具12万(待询价)｜周期30s(估)｜350T设备价35万/75KW(待价目表)</t>
        </is>
      </c>
      <c r="R64" s="221" t="n"/>
      <c r="S64" s="221" t="n"/>
      <c r="T64" s="221" t="n"/>
      <c r="U64" s="222" t="n"/>
    </row>
    <row r="65" ht="24.95" customHeight="1" s="189">
      <c r="A65" s="190" t="n"/>
      <c r="B65" s="109" t="inlineStr">
        <is>
          <t>十二</t>
        </is>
      </c>
      <c r="C65" s="110" t="inlineStr">
        <is>
          <t>利润率</t>
        </is>
      </c>
      <c r="D65" s="201" t="n"/>
      <c r="E65" s="92" t="n">
        <v>0.05</v>
      </c>
      <c r="F65" s="147" t="inlineStr">
        <is>
          <t>计算依据：=根据公司要求可选择任意%比</t>
        </is>
      </c>
      <c r="G65" s="249" t="n"/>
      <c r="H65" s="249" t="n"/>
      <c r="I65" s="249" t="n"/>
      <c r="J65" s="249" t="n"/>
      <c r="K65" s="249" t="n"/>
      <c r="L65" s="249" t="n"/>
      <c r="M65" s="249" t="n"/>
      <c r="N65" s="249" t="n"/>
      <c r="O65" s="249" t="n"/>
      <c r="P65" s="201" t="n"/>
      <c r="Q65" s="188" t="n"/>
      <c r="R65" s="262" t="n"/>
      <c r="S65" s="262" t="n"/>
      <c r="T65" s="262" t="n"/>
      <c r="U65" s="263" t="n"/>
    </row>
    <row r="66" ht="24.95" customHeight="1" s="189">
      <c r="A66" s="190" t="n"/>
      <c r="B66" s="109" t="inlineStr">
        <is>
          <t>十三</t>
        </is>
      </c>
      <c r="C66" s="110" t="inlineStr">
        <is>
          <t>利润</t>
        </is>
      </c>
      <c r="D66" s="201" t="n"/>
      <c r="E66" s="248" t="n">
        <v>3.672785202841119</v>
      </c>
      <c r="F66" s="147" t="inlineStr">
        <is>
          <t>计算依据：=E64*E65</t>
        </is>
      </c>
      <c r="G66" s="249" t="n"/>
      <c r="H66" s="249" t="n"/>
      <c r="I66" s="249" t="n"/>
      <c r="J66" s="249" t="n"/>
      <c r="K66" s="249" t="n"/>
      <c r="L66" s="249" t="n"/>
      <c r="M66" s="249" t="n"/>
      <c r="N66" s="249" t="n"/>
      <c r="O66" s="249" t="n"/>
      <c r="P66" s="201" t="n"/>
      <c r="Q66" s="262" t="n"/>
      <c r="R66" s="262" t="n"/>
      <c r="S66" s="262" t="n"/>
      <c r="T66" s="262" t="n"/>
      <c r="U66" s="263" t="n"/>
    </row>
    <row r="67" ht="24.95" customHeight="1" s="189">
      <c r="A67" s="190" t="n"/>
      <c r="B67" s="109" t="inlineStr">
        <is>
          <t>十四</t>
        </is>
      </c>
      <c r="C67" s="110" t="inlineStr">
        <is>
          <t>未税报价</t>
        </is>
      </c>
      <c r="D67" s="201" t="n"/>
      <c r="E67" s="248" t="n">
        <v>77.12848925966348</v>
      </c>
      <c r="F67" s="147" t="inlineStr">
        <is>
          <t>计算依据：=E64+E66</t>
        </is>
      </c>
      <c r="G67" s="249" t="n"/>
      <c r="H67" s="249" t="n"/>
      <c r="I67" s="249" t="n"/>
      <c r="J67" s="249" t="n"/>
      <c r="K67" s="249" t="n"/>
      <c r="L67" s="249" t="n"/>
      <c r="M67" s="249" t="n"/>
      <c r="N67" s="249" t="n"/>
      <c r="O67" s="249" t="n"/>
      <c r="P67" s="201" t="n"/>
      <c r="Q67" s="262" t="n"/>
      <c r="R67" s="262" t="n"/>
      <c r="S67" s="262" t="n"/>
      <c r="T67" s="262" t="n"/>
      <c r="U67" s="263" t="n"/>
    </row>
    <row r="68" ht="24.95" customHeight="1" s="189">
      <c r="A68" s="190" t="n"/>
      <c r="B68" s="109" t="inlineStr">
        <is>
          <t>十五</t>
        </is>
      </c>
      <c r="C68" s="110" t="inlineStr">
        <is>
          <t>增值税13%</t>
        </is>
      </c>
      <c r="D68" s="201" t="n"/>
      <c r="E68" s="248" t="n">
        <v>10.02670360375625</v>
      </c>
      <c r="F68" s="147" t="inlineStr">
        <is>
          <t>计算依据：税率13%，费用=E67*0.13</t>
        </is>
      </c>
      <c r="G68" s="249" t="n"/>
      <c r="H68" s="249" t="n"/>
      <c r="I68" s="249" t="n"/>
      <c r="J68" s="249" t="n"/>
      <c r="K68" s="249" t="n"/>
      <c r="L68" s="249" t="n"/>
      <c r="M68" s="249" t="n"/>
      <c r="N68" s="249" t="n"/>
      <c r="O68" s="249" t="n"/>
      <c r="P68" s="201" t="n"/>
      <c r="Q68" s="262" t="n"/>
      <c r="R68" s="262" t="n"/>
      <c r="S68" s="262" t="n"/>
      <c r="T68" s="262" t="n"/>
      <c r="U68" s="263" t="n"/>
    </row>
    <row r="69" ht="24.95" customHeight="1" s="189">
      <c r="A69" s="190" t="n"/>
      <c r="B69" s="79" t="inlineStr">
        <is>
          <t>十六</t>
        </is>
      </c>
      <c r="C69" s="162" t="inlineStr">
        <is>
          <t>含税总价</t>
        </is>
      </c>
      <c r="D69" s="264" t="n"/>
      <c r="E69" s="265" t="n">
        <v>87.15519286341973</v>
      </c>
      <c r="F69" s="164" t="inlineStr">
        <is>
          <t>计算依据：=E67+E68各项的总和</t>
        </is>
      </c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64" t="n"/>
      <c r="Q69" s="266" t="n"/>
      <c r="R69" s="266" t="n"/>
      <c r="S69" s="266" t="n"/>
      <c r="T69" s="266" t="n"/>
      <c r="U69" s="267" t="n"/>
    </row>
  </sheetData>
  <sheetProtection selectLockedCells="0" selectUnlockedCells="0" sheet="1" objects="1" insertRows="1" insertHyperlinks="1" autoFilter="1" scenarios="0" formatColumns="1" deleteColumns="1" insertColumns="1" pivotTables="1" deleteRows="1" formatCells="1" formatRows="1" sort="1"/>
  <mergeCells count="119">
    <mergeCell ref="O7:P7"/>
    <mergeCell ref="L28:L40"/>
    <mergeCell ref="C6:D6"/>
    <mergeCell ref="C62:D62"/>
    <mergeCell ref="O6:P6"/>
    <mergeCell ref="F68:P68"/>
    <mergeCell ref="Q62:R62"/>
    <mergeCell ref="L53:M53"/>
    <mergeCell ref="C64:D64"/>
    <mergeCell ref="N53:O53"/>
    <mergeCell ref="E8:F8"/>
    <mergeCell ref="C63:D63"/>
    <mergeCell ref="N46:O46"/>
    <mergeCell ref="F59:P59"/>
    <mergeCell ref="B4:B8"/>
    <mergeCell ref="R6:S6"/>
    <mergeCell ref="Q63:R63"/>
    <mergeCell ref="L45:M45"/>
    <mergeCell ref="N48:O48"/>
    <mergeCell ref="S63:U63"/>
    <mergeCell ref="C28:C40"/>
    <mergeCell ref="M8:N8"/>
    <mergeCell ref="O8:P8"/>
    <mergeCell ref="C67:D67"/>
    <mergeCell ref="F60:P60"/>
    <mergeCell ref="C69:D69"/>
    <mergeCell ref="R8:S8"/>
    <mergeCell ref="M9:M27"/>
    <mergeCell ref="C5:D5"/>
    <mergeCell ref="N50:O50"/>
    <mergeCell ref="E5:F5"/>
    <mergeCell ref="F63:P63"/>
    <mergeCell ref="L57:M57"/>
    <mergeCell ref="N51:O51"/>
    <mergeCell ref="C4:D4"/>
    <mergeCell ref="E4:F4"/>
    <mergeCell ref="H8:K8"/>
    <mergeCell ref="L42:M42"/>
    <mergeCell ref="N42:O42"/>
    <mergeCell ref="N52:O52"/>
    <mergeCell ref="M7:N7"/>
    <mergeCell ref="N44:O44"/>
    <mergeCell ref="C60:D60"/>
    <mergeCell ref="F62:P62"/>
    <mergeCell ref="Q59:U59"/>
    <mergeCell ref="L44:M44"/>
    <mergeCell ref="C8:D8"/>
    <mergeCell ref="F61:P61"/>
    <mergeCell ref="L46:M46"/>
    <mergeCell ref="C66:D66"/>
    <mergeCell ref="C41:C58"/>
    <mergeCell ref="N55:O55"/>
    <mergeCell ref="L48:M48"/>
    <mergeCell ref="F64:P64"/>
    <mergeCell ref="C68:D68"/>
    <mergeCell ref="N54:O54"/>
    <mergeCell ref="N41:O41"/>
    <mergeCell ref="M5:N5"/>
    <mergeCell ref="L47:M47"/>
    <mergeCell ref="H40:I40"/>
    <mergeCell ref="B3:U3"/>
    <mergeCell ref="H5:K5"/>
    <mergeCell ref="N56:O56"/>
    <mergeCell ref="L43:M43"/>
    <mergeCell ref="N43:O43"/>
    <mergeCell ref="R7:S7"/>
    <mergeCell ref="O5:P5"/>
    <mergeCell ref="C65:D65"/>
    <mergeCell ref="N58:O58"/>
    <mergeCell ref="B2:U2"/>
    <mergeCell ref="B28:B40"/>
    <mergeCell ref="O4:P4"/>
    <mergeCell ref="C59:D59"/>
    <mergeCell ref="B41:B58"/>
    <mergeCell ref="A1:A69"/>
    <mergeCell ref="E6:F6"/>
    <mergeCell ref="F66:P66"/>
    <mergeCell ref="L58:M58"/>
    <mergeCell ref="L50:M50"/>
    <mergeCell ref="C61:D61"/>
    <mergeCell ref="Q61:R61"/>
    <mergeCell ref="B9:B27"/>
    <mergeCell ref="L52:M52"/>
    <mergeCell ref="C7:D7"/>
    <mergeCell ref="E7:F7"/>
    <mergeCell ref="L9:L27"/>
    <mergeCell ref="S62:U62"/>
    <mergeCell ref="N45:O45"/>
    <mergeCell ref="R5:S5"/>
    <mergeCell ref="F69:P69"/>
    <mergeCell ref="L4:L8"/>
    <mergeCell ref="N47:O47"/>
    <mergeCell ref="F65:P65"/>
    <mergeCell ref="S27:T27"/>
    <mergeCell ref="R4:S4"/>
    <mergeCell ref="Q64:U64"/>
    <mergeCell ref="M28:M40"/>
    <mergeCell ref="L55:M55"/>
    <mergeCell ref="Q60:R60"/>
    <mergeCell ref="H4:K4"/>
    <mergeCell ref="C9:C27"/>
    <mergeCell ref="L51:M51"/>
    <mergeCell ref="M6:N6"/>
    <mergeCell ref="L54:M54"/>
    <mergeCell ref="H6:K6"/>
    <mergeCell ref="S60:U60"/>
    <mergeCell ref="D28:K28"/>
    <mergeCell ref="N57:O57"/>
    <mergeCell ref="L41:M41"/>
    <mergeCell ref="N28:U28"/>
    <mergeCell ref="H27:I27"/>
    <mergeCell ref="Q65:U69"/>
    <mergeCell ref="L56:M56"/>
    <mergeCell ref="F67:P67"/>
    <mergeCell ref="L49:M49"/>
    <mergeCell ref="N49:O49"/>
    <mergeCell ref="H7:K7"/>
    <mergeCell ref="S61:U61"/>
    <mergeCell ref="M4:N4"/>
  </mergeCells>
  <pageMargins left="0.75" right="0.75" top="1" bottom="1" header="0.5" footer="0.5"/>
  <pageSetup orientation="portrait" paperSize="9" scale="4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J27" sqref="J27"/>
    </sheetView>
  </sheetViews>
  <sheetFormatPr baseColWidth="8" defaultColWidth="8.75" defaultRowHeight="13.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75" defaultRowHeight="13.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2025-11-10T15:53:00Z</dcterms:created>
  <dcterms:modified xsi:type="dcterms:W3CDTF">2026-06-19T10:07:35Z</dcterms:modified>
  <cp:lastModifiedBy>Windows 用户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18702106EBE4428581D52A478BD53529_13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</Properties>
</file>