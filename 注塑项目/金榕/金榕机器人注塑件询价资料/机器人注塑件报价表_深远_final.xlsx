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name="CHASSIS" sheetId="1" state="visible" r:id="rId1"/>
    <sheet name="AP COVER" sheetId="2" state="visible" r:id="rId2"/>
    <sheet name="Sheet1" sheetId="3" state="visible" r:id="rId3"/>
    <sheet name="Sheet2" sheetId="4" state="visible" r:id="rId4"/>
  </sheets>
  <definedNames>
    <definedName name="_xlnm.Print_Area" localSheetId="0">'CHASSIS'!$A$1:$U$69</definedName>
    <definedName name="_xlnm.Print_Area" localSheetId="1">'AP COVER'!$A$1:$U$69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18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68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CHASSIS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0.32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SP601-CHASSIS</t>
        </is>
      </c>
      <c r="P5" s="202" t="n"/>
      <c r="Q5" s="110" t="inlineStr">
        <is>
          <t>OTS时间</t>
        </is>
      </c>
      <c r="R5" s="204" t="inlineStr">
        <is>
          <t>286×253×82mm</t>
        </is>
      </c>
      <c r="S5" s="202" t="n"/>
      <c r="T5" s="110" t="inlineStr">
        <is>
          <t>毛坯重量KG</t>
        </is>
      </c>
      <c r="U5" s="113" t="n">
        <v>0.352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PA66+CF20 (SP601-CG20 BK006)</t>
        </is>
      </c>
      <c r="F10" s="21" t="inlineStr">
        <is>
          <t>SP601-CG20 BK006 / KINGFA 金发</t>
        </is>
      </c>
      <c r="G10" s="22" t="n"/>
      <c r="H10" s="22" t="n">
        <v>0.352</v>
      </c>
      <c r="I10" s="23" t="n">
        <v>0.02</v>
      </c>
      <c r="J10" s="22" t="n">
        <v>70</v>
      </c>
      <c r="K10" s="212" t="n">
        <v>25.1328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25.1328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CHASSIS模具(H13硬化钢,单穴)</t>
        </is>
      </c>
      <c r="F30" s="53" t="n">
        <v>25</v>
      </c>
      <c r="G30" s="53" t="n">
        <v>1</v>
      </c>
      <c r="H30" s="53" t="n">
        <v>10</v>
      </c>
      <c r="I30" s="53" t="n">
        <v>0.2</v>
      </c>
      <c r="J30" s="224" t="n"/>
      <c r="K30" s="225" t="n">
        <v>125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125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400T</t>
        </is>
      </c>
      <c r="F42" s="53" t="n">
        <v>45</v>
      </c>
      <c r="G42" s="231" t="n">
        <v>920</v>
      </c>
      <c r="H42" s="232" t="n">
        <v>0.0125</v>
      </c>
      <c r="I42" s="53" t="n">
        <v>1</v>
      </c>
      <c r="J42" s="233" t="n">
        <v>24</v>
      </c>
      <c r="K42" s="234" t="n">
        <v>0.01666666666666667</v>
      </c>
      <c r="L42" s="134" t="n">
        <v>0.75</v>
      </c>
      <c r="M42" s="235" t="n"/>
      <c r="N42" s="236" t="n">
        <v>0.4</v>
      </c>
      <c r="O42" s="237" t="n"/>
      <c r="P42" s="53" t="n">
        <v>40</v>
      </c>
      <c r="Q42" s="58" t="inlineStr">
        <is>
          <t>10年2班折90%</t>
        </is>
      </c>
      <c r="R42" s="234" t="n">
        <v>0.0909090909090909</v>
      </c>
      <c r="S42" s="238" t="n">
        <v>90</v>
      </c>
      <c r="T42" s="23" t="n">
        <v>0.45</v>
      </c>
      <c r="U42" s="213" t="n">
        <v>0.5451923076923076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0.01666666666666667</v>
      </c>
      <c r="L58" s="119" t="inlineStr">
        <is>
          <t>人工费合计</t>
        </is>
      </c>
      <c r="M58" s="206" t="n"/>
      <c r="N58" s="241" t="n">
        <v>0.4</v>
      </c>
      <c r="O58" s="206" t="n"/>
      <c r="P58" s="81" t="n"/>
      <c r="Q58" s="82" t="inlineStr">
        <is>
          <t>折旧合计</t>
        </is>
      </c>
      <c r="R58" s="242" t="n">
        <v>0.0909090909090909</v>
      </c>
      <c r="S58" s="84" t="n"/>
      <c r="T58" s="162" t="inlineStr">
        <is>
          <t>能耗合计</t>
        </is>
      </c>
      <c r="U58" s="243" t="n">
        <v>0.5451923076923076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0.4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3.023378027972028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7.206957971328672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162.0992373979021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产品报价备注说明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8.104961869895105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170.2041992677972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22.12654590481364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192.3307451726108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AP COVER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0.161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SP601-APCOVER</t>
        </is>
      </c>
      <c r="P5" s="202" t="n"/>
      <c r="Q5" s="110" t="inlineStr">
        <is>
          <t>OTS时间</t>
        </is>
      </c>
      <c r="R5" s="204" t="inlineStr">
        <is>
          <t>287×253×17mm</t>
        </is>
      </c>
      <c r="S5" s="202" t="n"/>
      <c r="T5" s="110" t="inlineStr">
        <is>
          <t>毛坯重量KG</t>
        </is>
      </c>
      <c r="U5" s="113" t="n">
        <v>0.17388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PA66+CF20 (SP601-CG20 BK006)</t>
        </is>
      </c>
      <c r="F10" s="21" t="inlineStr">
        <is>
          <t>SP601-CG20 BK006 / KINGFA 金发</t>
        </is>
      </c>
      <c r="G10" s="22" t="n"/>
      <c r="H10" s="22" t="n">
        <v>0.17388</v>
      </c>
      <c r="I10" s="23" t="n">
        <v>0.02</v>
      </c>
      <c r="J10" s="22" t="n">
        <v>70</v>
      </c>
      <c r="K10" s="212" t="n">
        <v>12.415032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12.415032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AP COVER模具(H13硬化钢,单穴)</t>
        </is>
      </c>
      <c r="F30" s="53" t="n">
        <v>15</v>
      </c>
      <c r="G30" s="53" t="n">
        <v>1</v>
      </c>
      <c r="H30" s="53" t="n">
        <v>10</v>
      </c>
      <c r="I30" s="53" t="n">
        <v>0.2</v>
      </c>
      <c r="J30" s="224" t="n"/>
      <c r="K30" s="225" t="n">
        <v>75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75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350T</t>
        </is>
      </c>
      <c r="F42" s="53" t="n">
        <v>28</v>
      </c>
      <c r="G42" s="231" t="n">
        <v>1478</v>
      </c>
      <c r="H42" s="232" t="n">
        <v>0.007777777777777778</v>
      </c>
      <c r="I42" s="53" t="n">
        <v>1</v>
      </c>
      <c r="J42" s="233" t="n">
        <v>24</v>
      </c>
      <c r="K42" s="234" t="n">
        <v>0.01037037037037037</v>
      </c>
      <c r="L42" s="134" t="n">
        <v>0.75</v>
      </c>
      <c r="M42" s="235" t="n"/>
      <c r="N42" s="236" t="n">
        <v>0.2488888888888889</v>
      </c>
      <c r="O42" s="237" t="n"/>
      <c r="P42" s="53" t="n">
        <v>35</v>
      </c>
      <c r="Q42" s="58" t="inlineStr">
        <is>
          <t>10年2班折90%</t>
        </is>
      </c>
      <c r="R42" s="234" t="n">
        <v>0.04949494949494949</v>
      </c>
      <c r="S42" s="238" t="n">
        <v>75</v>
      </c>
      <c r="T42" s="23" t="n">
        <v>0.45</v>
      </c>
      <c r="U42" s="213" t="n">
        <v>0.2826923076923077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0.01037037037037037</v>
      </c>
      <c r="L58" s="119" t="inlineStr">
        <is>
          <t>人工费合计</t>
        </is>
      </c>
      <c r="M58" s="206" t="n"/>
      <c r="N58" s="241" t="n">
        <v>0.2488888888888889</v>
      </c>
      <c r="O58" s="206" t="n"/>
      <c r="P58" s="81" t="n"/>
      <c r="Q58" s="82" t="inlineStr">
        <is>
          <t>折旧合计</t>
        </is>
      </c>
      <c r="R58" s="242" t="n">
        <v>0.04949494949494949</v>
      </c>
      <c r="S58" s="84" t="n"/>
      <c r="T58" s="162" t="inlineStr">
        <is>
          <t>能耗合计</t>
        </is>
      </c>
      <c r="U58" s="243" t="n">
        <v>0.2826923076923077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0.2488888888888889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1.759922162921523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4.239500875449884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94.69553118444755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产品报价备注说明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4.734776559222378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99.43030774366993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12.92594000667709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112.356247750347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27" sqref="J27"/>
    </sheetView>
  </sheetViews>
  <sheetFormatPr baseColWidth="8" defaultColWidth="8.75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75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2025-11-10T15:53:00Z</dcterms:created>
  <dcterms:modified xsi:type="dcterms:W3CDTF">2026-06-19T10:12:00Z</dcterms:modified>
  <cp:lastModifiedBy>Windows 用户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18702106EBE4428581D52A478BD53529_13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