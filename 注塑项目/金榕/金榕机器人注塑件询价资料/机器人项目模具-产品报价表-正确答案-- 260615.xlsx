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"/>
    </mc:Choice>
  </mc:AlternateContent>
  <xr:revisionPtr revIDLastSave="0" documentId="13_ncr:1_{35800C27-EE59-1346-9928-2DDFDAF9E522}" xr6:coauthVersionLast="47" xr6:coauthVersionMax="47" xr10:uidLastSave="{00000000-0000-0000-0000-000000000000}"/>
  <bookViews>
    <workbookView xWindow="0" yWindow="660" windowWidth="20760" windowHeight="9560" tabRatio="724" xr2:uid="{00000000-000D-0000-FFFF-FFFF00000000}"/>
  </bookViews>
  <sheets>
    <sheet name="CHASSIS " sheetId="10" r:id="rId1"/>
    <sheet name="AP COVER" sheetId="11" r:id="rId2"/>
  </sheets>
  <definedNames>
    <definedName name="_xlnm.Print_Area" localSheetId="1">'AP COVER'!$A$1:$U$69</definedName>
    <definedName name="_xlnm.Print_Area" localSheetId="0">'CHASSIS '!$A$1:$U$69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11" l="1"/>
  <c r="E68" i="11"/>
  <c r="E67" i="11"/>
  <c r="E66" i="11"/>
  <c r="E64" i="11"/>
  <c r="E61" i="11"/>
  <c r="E60" i="11"/>
  <c r="E59" i="11"/>
  <c r="U58" i="11"/>
  <c r="R58" i="11"/>
  <c r="N58" i="11"/>
  <c r="K58" i="11"/>
  <c r="U57" i="11"/>
  <c r="R57" i="11"/>
  <c r="Q57" i="11"/>
  <c r="N57" i="11"/>
  <c r="K57" i="11"/>
  <c r="H57" i="11"/>
  <c r="G57" i="11"/>
  <c r="U56" i="11"/>
  <c r="R56" i="11"/>
  <c r="Q56" i="11"/>
  <c r="N56" i="11"/>
  <c r="K56" i="11"/>
  <c r="H56" i="11"/>
  <c r="G56" i="11"/>
  <c r="U55" i="11"/>
  <c r="R55" i="11"/>
  <c r="Q55" i="11"/>
  <c r="N55" i="11"/>
  <c r="K55" i="11"/>
  <c r="H55" i="11"/>
  <c r="G55" i="11"/>
  <c r="U54" i="11"/>
  <c r="R54" i="11"/>
  <c r="Q54" i="11"/>
  <c r="N54" i="11"/>
  <c r="K54" i="11"/>
  <c r="H54" i="11"/>
  <c r="G54" i="11"/>
  <c r="U53" i="11"/>
  <c r="R53" i="11"/>
  <c r="Q53" i="11"/>
  <c r="N53" i="11"/>
  <c r="K53" i="11"/>
  <c r="H53" i="11"/>
  <c r="G53" i="11"/>
  <c r="U52" i="11"/>
  <c r="R52" i="11"/>
  <c r="Q52" i="11"/>
  <c r="N52" i="11"/>
  <c r="K52" i="11"/>
  <c r="H52" i="11"/>
  <c r="G52" i="11"/>
  <c r="U51" i="11"/>
  <c r="R51" i="11"/>
  <c r="Q51" i="11"/>
  <c r="N51" i="11"/>
  <c r="K51" i="11"/>
  <c r="H51" i="11"/>
  <c r="G51" i="11"/>
  <c r="U50" i="11"/>
  <c r="R50" i="11"/>
  <c r="Q50" i="11"/>
  <c r="N50" i="11"/>
  <c r="K50" i="11"/>
  <c r="H50" i="11"/>
  <c r="G50" i="11"/>
  <c r="U49" i="11"/>
  <c r="R49" i="11"/>
  <c r="Q49" i="11"/>
  <c r="N49" i="11"/>
  <c r="K49" i="11"/>
  <c r="H49" i="11"/>
  <c r="G49" i="11"/>
  <c r="U48" i="11"/>
  <c r="R48" i="11"/>
  <c r="Q48" i="11"/>
  <c r="N48" i="11"/>
  <c r="K48" i="11"/>
  <c r="H48" i="11"/>
  <c r="G48" i="11"/>
  <c r="U47" i="11"/>
  <c r="R47" i="11"/>
  <c r="Q47" i="11"/>
  <c r="N47" i="11"/>
  <c r="K47" i="11"/>
  <c r="H47" i="11"/>
  <c r="G47" i="11"/>
  <c r="U46" i="11"/>
  <c r="R46" i="11"/>
  <c r="Q46" i="11"/>
  <c r="N46" i="11"/>
  <c r="K46" i="11"/>
  <c r="H46" i="11"/>
  <c r="G46" i="11"/>
  <c r="U45" i="11"/>
  <c r="R45" i="11"/>
  <c r="Q45" i="11"/>
  <c r="N45" i="11"/>
  <c r="K45" i="11"/>
  <c r="H45" i="11"/>
  <c r="G45" i="11"/>
  <c r="U44" i="11"/>
  <c r="R44" i="11"/>
  <c r="Q44" i="11"/>
  <c r="N44" i="11"/>
  <c r="K44" i="11"/>
  <c r="H44" i="11"/>
  <c r="G44" i="11"/>
  <c r="U43" i="11"/>
  <c r="R43" i="11"/>
  <c r="Q43" i="11"/>
  <c r="N43" i="11"/>
  <c r="K43" i="11"/>
  <c r="H43" i="11"/>
  <c r="G43" i="11"/>
  <c r="U42" i="11"/>
  <c r="R42" i="11"/>
  <c r="Q42" i="11"/>
  <c r="N42" i="11"/>
  <c r="K42" i="11"/>
  <c r="H42" i="11"/>
  <c r="G42" i="11"/>
  <c r="U40" i="11"/>
  <c r="P40" i="11"/>
  <c r="K40" i="11"/>
  <c r="F40" i="11"/>
  <c r="U39" i="11"/>
  <c r="R39" i="11"/>
  <c r="K39" i="11"/>
  <c r="U38" i="11"/>
  <c r="R38" i="11"/>
  <c r="K38" i="11"/>
  <c r="U37" i="11"/>
  <c r="R37" i="11"/>
  <c r="K37" i="11"/>
  <c r="U36" i="11"/>
  <c r="R36" i="11"/>
  <c r="K36" i="11"/>
  <c r="U35" i="11"/>
  <c r="R35" i="11"/>
  <c r="K35" i="11"/>
  <c r="U34" i="11"/>
  <c r="R34" i="11"/>
  <c r="K34" i="11"/>
  <c r="U33" i="11"/>
  <c r="R33" i="11"/>
  <c r="K33" i="11"/>
  <c r="U32" i="11"/>
  <c r="R32" i="11"/>
  <c r="K32" i="11"/>
  <c r="U31" i="11"/>
  <c r="R31" i="11"/>
  <c r="K31" i="11"/>
  <c r="U30" i="11"/>
  <c r="R30" i="11"/>
  <c r="K30" i="11"/>
  <c r="U27" i="11"/>
  <c r="K27" i="11"/>
  <c r="U26" i="11"/>
  <c r="K26" i="11"/>
  <c r="U25" i="11"/>
  <c r="K25" i="11"/>
  <c r="U24" i="11"/>
  <c r="K24" i="11"/>
  <c r="U23" i="11"/>
  <c r="K23" i="11"/>
  <c r="U22" i="11"/>
  <c r="K22" i="11"/>
  <c r="U21" i="11"/>
  <c r="K21" i="11"/>
  <c r="U20" i="11"/>
  <c r="K20" i="11"/>
  <c r="U19" i="11"/>
  <c r="K19" i="11"/>
  <c r="U18" i="11"/>
  <c r="K18" i="11"/>
  <c r="U17" i="11"/>
  <c r="K17" i="11"/>
  <c r="U16" i="11"/>
  <c r="K16" i="11"/>
  <c r="U15" i="11"/>
  <c r="K15" i="11"/>
  <c r="U14" i="11"/>
  <c r="K14" i="11"/>
  <c r="U13" i="11"/>
  <c r="K13" i="11"/>
  <c r="U12" i="11"/>
  <c r="K12" i="11"/>
  <c r="U11" i="11"/>
  <c r="K11" i="11"/>
  <c r="U10" i="11"/>
  <c r="K10" i="11"/>
  <c r="E69" i="10"/>
  <c r="E68" i="10"/>
  <c r="E67" i="10"/>
  <c r="E66" i="10"/>
  <c r="E64" i="10"/>
  <c r="E61" i="10"/>
  <c r="E60" i="10"/>
  <c r="E59" i="10"/>
  <c r="U58" i="10"/>
  <c r="R58" i="10"/>
  <c r="N58" i="10"/>
  <c r="K58" i="10"/>
  <c r="U57" i="10"/>
  <c r="R57" i="10"/>
  <c r="Q57" i="10"/>
  <c r="N57" i="10"/>
  <c r="K57" i="10"/>
  <c r="H57" i="10"/>
  <c r="G57" i="10"/>
  <c r="U56" i="10"/>
  <c r="R56" i="10"/>
  <c r="Q56" i="10"/>
  <c r="N56" i="10"/>
  <c r="K56" i="10"/>
  <c r="H56" i="10"/>
  <c r="G56" i="10"/>
  <c r="U55" i="10"/>
  <c r="R55" i="10"/>
  <c r="Q55" i="10"/>
  <c r="N55" i="10"/>
  <c r="K55" i="10"/>
  <c r="H55" i="10"/>
  <c r="G55" i="10"/>
  <c r="U54" i="10"/>
  <c r="R54" i="10"/>
  <c r="Q54" i="10"/>
  <c r="N54" i="10"/>
  <c r="K54" i="10"/>
  <c r="H54" i="10"/>
  <c r="G54" i="10"/>
  <c r="U53" i="10"/>
  <c r="R53" i="10"/>
  <c r="Q53" i="10"/>
  <c r="N53" i="10"/>
  <c r="K53" i="10"/>
  <c r="H53" i="10"/>
  <c r="G53" i="10"/>
  <c r="U52" i="10"/>
  <c r="R52" i="10"/>
  <c r="Q52" i="10"/>
  <c r="N52" i="10"/>
  <c r="K52" i="10"/>
  <c r="H52" i="10"/>
  <c r="G52" i="10"/>
  <c r="U51" i="10"/>
  <c r="R51" i="10"/>
  <c r="Q51" i="10"/>
  <c r="N51" i="10"/>
  <c r="K51" i="10"/>
  <c r="H51" i="10"/>
  <c r="G51" i="10"/>
  <c r="U50" i="10"/>
  <c r="R50" i="10"/>
  <c r="Q50" i="10"/>
  <c r="N50" i="10"/>
  <c r="K50" i="10"/>
  <c r="H50" i="10"/>
  <c r="G50" i="10"/>
  <c r="U49" i="10"/>
  <c r="R49" i="10"/>
  <c r="Q49" i="10"/>
  <c r="N49" i="10"/>
  <c r="K49" i="10"/>
  <c r="H49" i="10"/>
  <c r="G49" i="10"/>
  <c r="U48" i="10"/>
  <c r="R48" i="10"/>
  <c r="Q48" i="10"/>
  <c r="N48" i="10"/>
  <c r="K48" i="10"/>
  <c r="H48" i="10"/>
  <c r="G48" i="10"/>
  <c r="U47" i="10"/>
  <c r="R47" i="10"/>
  <c r="Q47" i="10"/>
  <c r="N47" i="10"/>
  <c r="K47" i="10"/>
  <c r="H47" i="10"/>
  <c r="G47" i="10"/>
  <c r="U46" i="10"/>
  <c r="R46" i="10"/>
  <c r="Q46" i="10"/>
  <c r="N46" i="10"/>
  <c r="K46" i="10"/>
  <c r="H46" i="10"/>
  <c r="G46" i="10"/>
  <c r="U45" i="10"/>
  <c r="R45" i="10"/>
  <c r="Q45" i="10"/>
  <c r="N45" i="10"/>
  <c r="K45" i="10"/>
  <c r="H45" i="10"/>
  <c r="G45" i="10"/>
  <c r="U44" i="10"/>
  <c r="R44" i="10"/>
  <c r="Q44" i="10"/>
  <c r="N44" i="10"/>
  <c r="K44" i="10"/>
  <c r="H44" i="10"/>
  <c r="G44" i="10"/>
  <c r="U43" i="10"/>
  <c r="R43" i="10"/>
  <c r="Q43" i="10"/>
  <c r="N43" i="10"/>
  <c r="K43" i="10"/>
  <c r="H43" i="10"/>
  <c r="G43" i="10"/>
  <c r="U42" i="10"/>
  <c r="R42" i="10"/>
  <c r="Q42" i="10"/>
  <c r="N42" i="10"/>
  <c r="K42" i="10"/>
  <c r="H42" i="10"/>
  <c r="G42" i="10"/>
  <c r="U40" i="10"/>
  <c r="P40" i="10"/>
  <c r="K40" i="10"/>
  <c r="F40" i="10"/>
  <c r="U39" i="10"/>
  <c r="R39" i="10"/>
  <c r="K39" i="10"/>
  <c r="U38" i="10"/>
  <c r="R38" i="10"/>
  <c r="K38" i="10"/>
  <c r="U37" i="10"/>
  <c r="R37" i="10"/>
  <c r="K37" i="10"/>
  <c r="U36" i="10"/>
  <c r="R36" i="10"/>
  <c r="K36" i="10"/>
  <c r="U35" i="10"/>
  <c r="R35" i="10"/>
  <c r="K35" i="10"/>
  <c r="U34" i="10"/>
  <c r="R34" i="10"/>
  <c r="K34" i="10"/>
  <c r="U33" i="10"/>
  <c r="R33" i="10"/>
  <c r="K33" i="10"/>
  <c r="U32" i="10"/>
  <c r="R32" i="10"/>
  <c r="K32" i="10"/>
  <c r="U31" i="10"/>
  <c r="R31" i="10"/>
  <c r="K31" i="10"/>
  <c r="U30" i="10"/>
  <c r="R30" i="10"/>
  <c r="K30" i="10"/>
  <c r="U27" i="10"/>
  <c r="K27" i="10"/>
  <c r="U26" i="10"/>
  <c r="K26" i="10"/>
  <c r="U25" i="10"/>
  <c r="K25" i="10"/>
  <c r="U24" i="10"/>
  <c r="K24" i="10"/>
  <c r="U23" i="10"/>
  <c r="K23" i="10"/>
  <c r="U22" i="10"/>
  <c r="K22" i="10"/>
  <c r="U21" i="10"/>
  <c r="K21" i="10"/>
  <c r="U20" i="10"/>
  <c r="K20" i="10"/>
  <c r="U19" i="10"/>
  <c r="K19" i="10"/>
  <c r="U18" i="10"/>
  <c r="K18" i="10"/>
  <c r="U17" i="10"/>
  <c r="K17" i="10"/>
  <c r="U16" i="10"/>
  <c r="K16" i="10"/>
  <c r="U15" i="10"/>
  <c r="K15" i="10"/>
  <c r="U14" i="10"/>
  <c r="K14" i="10"/>
  <c r="U13" i="10"/>
  <c r="K13" i="10"/>
  <c r="U12" i="10"/>
  <c r="K12" i="10"/>
  <c r="U11" i="10"/>
  <c r="K11" i="10"/>
  <c r="U10" i="10"/>
  <c r="K10" i="10"/>
</calcChain>
</file>

<file path=xl/sharedStrings.xml><?xml version="1.0" encoding="utf-8"?>
<sst xmlns="http://schemas.openxmlformats.org/spreadsheetml/2006/main" count="304" uniqueCount="146">
  <si>
    <t>上海金榕汽车零部件股份有限公司</t>
  </si>
  <si>
    <t>供应商产品报价表</t>
  </si>
  <si>
    <t>供应商商务信息</t>
  </si>
  <si>
    <t>供应商名称</t>
  </si>
  <si>
    <t>杭州臻诚模具有限公司</t>
  </si>
  <si>
    <t>年销售额
（万元）</t>
  </si>
  <si>
    <t>报价产品商务信息</t>
  </si>
  <si>
    <t>零件名称</t>
  </si>
  <si>
    <t xml:space="preserve">CHASSIS </t>
  </si>
  <si>
    <t>报价日期</t>
  </si>
  <si>
    <t>成品重量KG</t>
  </si>
  <si>
    <t>公司法人</t>
  </si>
  <si>
    <t>胡孝程</t>
  </si>
  <si>
    <t>年纳税额
（万元）</t>
  </si>
  <si>
    <t>零件号</t>
  </si>
  <si>
    <t>06-01 2243988-00</t>
  </si>
  <si>
    <t>OTS时间</t>
  </si>
  <si>
    <t>必填项</t>
  </si>
  <si>
    <t>毛坯重量KG</t>
  </si>
  <si>
    <t>企业规模</t>
  </si>
  <si>
    <t>130人</t>
  </si>
  <si>
    <t>注册资本
（万元）</t>
  </si>
  <si>
    <t>总采购量
（万件）</t>
  </si>
  <si>
    <t xml:space="preserve">工价（元/h)
一键修正
</t>
  </si>
  <si>
    <t>业务联系人</t>
  </si>
  <si>
    <t>胡 总</t>
  </si>
  <si>
    <t>经营地址</t>
  </si>
  <si>
    <t>浙江省杭州市萧山区宁围街道富滨名座2幢1910室</t>
  </si>
  <si>
    <t>采购几年</t>
  </si>
  <si>
    <t>PPAP时间</t>
  </si>
  <si>
    <t>能耗单价
￥/Kwh</t>
  </si>
  <si>
    <t>联系电话</t>
  </si>
  <si>
    <t>主营业务</t>
  </si>
  <si>
    <t>模具制造，模具销售，塑料制品制造，塑料制品销售，电子产品销售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</si>
  <si>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</si>
  <si>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</si>
  <si>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</si>
  <si>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</si>
  <si>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</si>
  <si>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</si>
  <si>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</si>
  <si>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</si>
  <si>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</si>
  <si>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</si>
  <si>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</si>
  <si>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</si>
  <si>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</si>
  <si>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</si>
  <si>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</si>
  <si>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</si>
  <si>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PA66+CF10 / SP601-CG20 BK006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</si>
  <si>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</si>
  <si>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</si>
  <si>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</si>
  <si>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</si>
  <si>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</si>
  <si>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</si>
  <si>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</si>
  <si>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</si>
  <si>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</si>
  <si>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</si>
  <si>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</si>
  <si>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</si>
  <si>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</si>
  <si>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</si>
  <si>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</si>
  <si>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</si>
  <si>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</si>
  <si>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</si>
  <si>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</si>
  <si>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</si>
  <si>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</si>
  <si>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</si>
  <si>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</si>
  <si>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</si>
  <si>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</si>
  <si>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</si>
  <si>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</si>
  <si>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</si>
  <si>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</si>
  <si>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</si>
  <si>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</si>
  <si>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</si>
  <si>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</si>
  <si>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</si>
  <si>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</si>
  <si>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</si>
  <si>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</si>
  <si>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</si>
  <si>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</si>
  <si>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</si>
  <si>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</si>
  <si>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</si>
  <si>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</si>
  <si>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</si>
  <si>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650T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</si>
  <si>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</si>
  <si>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</si>
  <si>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</si>
  <si>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</si>
  <si>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</si>
  <si>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</si>
  <si>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</si>
  <si>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</si>
  <si>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</si>
  <si>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</si>
  <si>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</si>
  <si>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</si>
  <si>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</si>
  <si>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</si>
  <si>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</si>
  <si>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</si>
  <si>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</si>
  <si>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</si>
  <si>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</si>
  <si>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</si>
  <si>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</si>
  <si>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</si>
  <si>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</si>
  <si>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</si>
  <si>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</si>
  <si>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</si>
  <si>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</si>
  <si>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</si>
  <si>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</si>
  <si>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</si>
  <si>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</si>
  <si>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</si>
  <si>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</si>
  <si>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</si>
  <si>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</si>
  <si>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</si>
  <si>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</si>
  <si>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r>
      <rPr>
        <b/>
        <sz val="9"/>
        <rFont val="黑体"/>
        <charset val="134"/>
      </rPr>
      <t>增值税13</t>
    </r>
    <r>
      <rPr>
        <b/>
        <strike/>
        <sz val="9"/>
        <rFont val="黑体"/>
        <charset val="134"/>
      </rPr>
      <t>%</t>
    </r>
  </si>
  <si>
    <t>计算依据：税率13%，费用=E67*0.13</t>
  </si>
  <si>
    <t>十六</t>
  </si>
  <si>
    <t>含税总价</t>
  </si>
  <si>
    <t>计算依据：=E67+E68各项的总和</t>
  </si>
  <si>
    <t>AP COVER</t>
  </si>
  <si>
    <t xml:space="preserve">06-01 2248923-00 </t>
  </si>
  <si>
    <t>杭州深远工贸有限公司</t>
  </si>
  <si>
    <t>许燊</t>
  </si>
  <si>
    <t>80人</t>
  </si>
  <si>
    <t>陈思远</t>
  </si>
  <si>
    <t>浙江省杭州市萧山区宁围街道宁安路</t>
  </si>
  <si>
    <t>塑料制品制造销售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</si>
</sst>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¥&quot;#,##0.00;&quot;¥&quot;\-#,##0.00"/>
    <numFmt numFmtId="169" formatCode="yyyy&quot;年&quot;m&quot;月&quot;d&quot;日&quot;;@"/>
    <numFmt numFmtId="170" formatCode="0.000_ "/>
    <numFmt numFmtId="171" formatCode="0_ "/>
    <numFmt numFmtId="172" formatCode="0.0000_ "/>
    <numFmt numFmtId="173" formatCode="0.0_ "/>
    <numFmt numFmtId="174" formatCode="&quot;¥&quot;#,##0.000;&quot;¥&quot;\-#,##0.000"/>
  </numFmts>
  <fonts count="17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Calibri"/>
      <charset val="134"/>
      <scheme val="minor"/>
    </font>
    <font>
      <b/>
      <strike/>
      <sz val="9"/>
      <name val="黑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6" fillId="4" borderId="15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hidden="1"/>
    </xf>
    <xf numFmtId="0" fontId="8" fillId="2" borderId="21" xfId="0" applyFont="1" applyFill="1" applyBorder="1" applyAlignment="1" applyProtection="1">
      <alignment horizontal="center" vertical="center"/>
      <protection hidden="1"/>
    </xf>
    <xf numFmtId="0" fontId="8" fillId="2" borderId="22" xfId="0" applyFont="1" applyFill="1" applyBorder="1" applyAlignment="1" applyProtection="1">
      <alignment horizontal="center" vertical="center"/>
      <protection hidden="1"/>
    </xf>
    <xf numFmtId="0" fontId="8" fillId="2" borderId="23" xfId="0" applyFont="1" applyFill="1" applyBorder="1" applyAlignment="1" applyProtection="1">
      <alignment horizontal="center" vertical="center"/>
      <protection hidden="1"/>
    </xf>
    <xf numFmtId="0" fontId="5" fillId="2" borderId="24" xfId="0" applyFont="1" applyFill="1" applyBorder="1" applyAlignment="1" applyProtection="1">
      <alignment horizontal="center" vertical="center"/>
      <protection hidden="1"/>
    </xf>
    <xf numFmtId="0" fontId="10" fillId="3" borderId="25" xfId="0" applyFont="1" applyFill="1" applyBorder="1" applyAlignment="1" applyProtection="1">
      <alignment horizontal="left" vertical="center"/>
      <protection locked="0"/>
    </xf>
    <xf numFmtId="0" fontId="10" fillId="3" borderId="25" xfId="0" applyFont="1" applyFill="1" applyBorder="1" applyAlignment="1" applyProtection="1">
      <alignment horizontal="left" vertical="center" wrapText="1"/>
      <protection locked="0"/>
    </xf>
    <xf numFmtId="0" fontId="11" fillId="3" borderId="25" xfId="0" applyFont="1" applyFill="1" applyBorder="1" applyAlignment="1" applyProtection="1">
      <alignment horizontal="center" vertical="center"/>
      <protection locked="0"/>
    </xf>
    <xf numFmtId="9" fontId="6" fillId="3" borderId="25" xfId="1" applyFont="1" applyFill="1" applyBorder="1" applyAlignment="1" applyProtection="1">
      <alignment horizontal="center" vertical="center"/>
      <protection locked="0"/>
    </xf>
    <xf numFmtId="170" fontId="6" fillId="2" borderId="26" xfId="0" applyNumberFormat="1" applyFont="1" applyFill="1" applyBorder="1" applyProtection="1">
      <alignment vertical="center"/>
      <protection hidden="1"/>
    </xf>
    <xf numFmtId="0" fontId="12" fillId="3" borderId="25" xfId="0" applyFont="1" applyFill="1" applyBorder="1" applyAlignment="1" applyProtection="1">
      <alignment horizontal="left" vertical="center"/>
      <protection locked="0"/>
    </xf>
    <xf numFmtId="0" fontId="11" fillId="3" borderId="25" xfId="0" applyFont="1" applyFill="1" applyBorder="1" applyAlignment="1" applyProtection="1">
      <alignment horizontal="left" vertical="center"/>
      <protection locked="0"/>
    </xf>
    <xf numFmtId="0" fontId="1" fillId="3" borderId="25" xfId="1" applyNumberFormat="1" applyFont="1" applyFill="1" applyBorder="1" applyAlignment="1" applyProtection="1">
      <alignment horizontal="center" vertical="center"/>
      <protection locked="0"/>
    </xf>
    <xf numFmtId="170" fontId="6" fillId="2" borderId="26" xfId="0" applyNumberFormat="1" applyFont="1" applyFill="1" applyBorder="1" applyAlignment="1" applyProtection="1">
      <alignment horizontal="center" vertical="center"/>
      <protection hidden="1"/>
    </xf>
    <xf numFmtId="0" fontId="11" fillId="3" borderId="13" xfId="0" applyFont="1" applyFill="1" applyBorder="1" applyAlignment="1" applyProtection="1">
      <alignment horizontal="left" vertical="center"/>
      <protection locked="0"/>
    </xf>
    <xf numFmtId="0" fontId="11" fillId="3" borderId="13" xfId="0" applyFont="1" applyFill="1" applyBorder="1" applyAlignment="1" applyProtection="1">
      <alignment horizontal="center" vertical="center"/>
      <protection locked="0"/>
    </xf>
    <xf numFmtId="9" fontId="6" fillId="3" borderId="13" xfId="1" applyFont="1" applyFill="1" applyBorder="1" applyAlignment="1" applyProtection="1">
      <alignment horizontal="center" vertical="center"/>
      <protection locked="0"/>
    </xf>
    <xf numFmtId="170" fontId="6" fillId="2" borderId="15" xfId="0" applyNumberFormat="1" applyFont="1" applyFill="1" applyBorder="1" applyProtection="1">
      <alignment vertical="center"/>
      <protection hidden="1"/>
    </xf>
    <xf numFmtId="0" fontId="12" fillId="3" borderId="13" xfId="0" applyFont="1" applyFill="1" applyBorder="1" applyAlignment="1" applyProtection="1">
      <alignment horizontal="left" vertical="center"/>
      <protection locked="0"/>
    </xf>
    <xf numFmtId="9" fontId="1" fillId="3" borderId="13" xfId="1" applyFont="1" applyFill="1" applyBorder="1" applyAlignment="1" applyProtection="1">
      <alignment horizontal="center" vertical="center"/>
      <protection locked="0"/>
    </xf>
    <xf numFmtId="170" fontId="6" fillId="2" borderId="15" xfId="0" applyNumberFormat="1" applyFont="1" applyFill="1" applyBorder="1" applyAlignment="1" applyProtection="1">
      <alignment horizontal="center" vertical="center"/>
      <protection hidden="1"/>
    </xf>
    <xf numFmtId="49" fontId="6" fillId="3" borderId="13" xfId="0" applyNumberFormat="1" applyFont="1" applyFill="1" applyBorder="1" applyAlignment="1" applyProtection="1">
      <alignment horizontal="left" vertical="center"/>
      <protection locked="0"/>
    </xf>
    <xf numFmtId="49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 applyProtection="1">
      <alignment horizontal="left" vertical="center"/>
      <protection locked="0"/>
    </xf>
    <xf numFmtId="0" fontId="6" fillId="3" borderId="13" xfId="0" applyFont="1" applyFill="1" applyBorder="1" applyAlignment="1" applyProtection="1">
      <alignment horizontal="left" vertical="center" wrapText="1"/>
      <protection locked="0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170" fontId="6" fillId="2" borderId="18" xfId="0" applyNumberFormat="1" applyFont="1" applyFill="1" applyBorder="1" applyAlignment="1" applyProtection="1">
      <alignment horizontal="right"/>
      <protection hidden="1"/>
    </xf>
    <xf numFmtId="170" fontId="4" fillId="2" borderId="20" xfId="0" applyNumberFormat="1" applyFont="1" applyFill="1" applyBorder="1" applyAlignment="1" applyProtection="1">
      <alignment horizontal="center" vertical="center"/>
      <protection hidden="1"/>
    </xf>
    <xf numFmtId="0" fontId="12" fillId="2" borderId="18" xfId="0" applyFont="1" applyFill="1" applyBorder="1" applyAlignment="1" applyProtection="1">
      <alignment horizontal="left" vertical="center" indent="1"/>
      <protection hidden="1"/>
    </xf>
    <xf numFmtId="0" fontId="5" fillId="2" borderId="30" xfId="0" applyFont="1" applyFill="1" applyBorder="1" applyProtection="1">
      <alignment vertical="center"/>
      <protection hidden="1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5" fillId="2" borderId="31" xfId="0" applyFont="1" applyFill="1" applyBorder="1" applyAlignment="1" applyProtection="1">
      <alignment horizontal="center" vertical="center" wrapText="1"/>
      <protection hidden="1"/>
    </xf>
    <xf numFmtId="0" fontId="5" fillId="2" borderId="32" xfId="0" applyFont="1" applyFill="1" applyBorder="1" applyAlignment="1" applyProtection="1">
      <alignment horizontal="center" vertical="center" wrapText="1"/>
      <protection hidden="1"/>
    </xf>
    <xf numFmtId="170" fontId="5" fillId="2" borderId="30" xfId="0" applyNumberFormat="1" applyFont="1" applyFill="1" applyBorder="1" applyProtection="1">
      <alignment vertical="center"/>
      <protection hidden="1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 applyProtection="1">
      <alignment horizontal="center" vertical="center"/>
      <protection locked="0"/>
    </xf>
    <xf numFmtId="170" fontId="6" fillId="3" borderId="25" xfId="0" applyNumberFormat="1" applyFont="1" applyFill="1" applyBorder="1" applyAlignment="1" applyProtection="1">
      <alignment horizontal="center" vertical="center"/>
      <protection locked="0"/>
    </xf>
    <xf numFmtId="170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25" xfId="0" applyFont="1" applyFill="1" applyBorder="1" applyProtection="1">
      <alignment vertical="center"/>
      <protection locked="0"/>
    </xf>
    <xf numFmtId="0" fontId="1" fillId="3" borderId="25" xfId="0" applyFont="1" applyFill="1" applyBorder="1" applyAlignment="1" applyProtection="1">
      <alignment horizontal="center" vertical="center"/>
      <protection locked="0"/>
    </xf>
    <xf numFmtId="0" fontId="6" fillId="2" borderId="25" xfId="0" applyFont="1" applyFill="1" applyBorder="1" applyAlignment="1" applyProtection="1">
      <alignment horizontal="center" vertical="center"/>
      <protection hidden="1"/>
    </xf>
    <xf numFmtId="170" fontId="6" fillId="3" borderId="13" xfId="0" applyNumberFormat="1" applyFont="1" applyFill="1" applyBorder="1" applyAlignment="1" applyProtection="1">
      <alignment horizontal="center" vertical="center"/>
      <protection locked="0"/>
    </xf>
    <xf numFmtId="170" fontId="6" fillId="2" borderId="14" xfId="0" applyNumberFormat="1" applyFont="1" applyFill="1" applyBorder="1" applyAlignment="1" applyProtection="1">
      <alignment horizontal="center" vertical="center"/>
      <protection hidden="1"/>
    </xf>
    <xf numFmtId="0" fontId="1" fillId="3" borderId="13" xfId="0" applyFont="1" applyFill="1" applyBorder="1" applyProtection="1">
      <alignment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Alignment="1" applyProtection="1">
      <alignment horizontal="right" vertical="center" indent="1"/>
      <protection hidden="1"/>
    </xf>
    <xf numFmtId="170" fontId="4" fillId="2" borderId="19" xfId="0" applyNumberFormat="1" applyFont="1" applyFill="1" applyBorder="1" applyAlignment="1" applyProtection="1">
      <alignment horizontal="center" vertical="center"/>
      <protection hidden="1"/>
    </xf>
    <xf numFmtId="0" fontId="5" fillId="2" borderId="17" xfId="0" applyFont="1" applyFill="1" applyBorder="1" applyAlignment="1" applyProtection="1">
      <alignment vertical="center" textRotation="255" wrapText="1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 wrapText="1"/>
      <protection hidden="1"/>
    </xf>
    <xf numFmtId="171" fontId="5" fillId="2" borderId="22" xfId="0" applyNumberFormat="1" applyFont="1" applyFill="1" applyBorder="1" applyAlignment="1" applyProtection="1">
      <alignment horizontal="center" vertical="center"/>
      <protection hidden="1"/>
    </xf>
    <xf numFmtId="0" fontId="5" fillId="2" borderId="23" xfId="0" applyFont="1" applyFill="1" applyBorder="1" applyAlignment="1" applyProtection="1">
      <alignment horizontal="center" vertical="center" wrapText="1"/>
      <protection hidden="1"/>
    </xf>
    <xf numFmtId="171" fontId="6" fillId="2" borderId="25" xfId="0" applyNumberFormat="1" applyFont="1" applyFill="1" applyBorder="1" applyAlignment="1" applyProtection="1">
      <alignment horizontal="center" vertical="center"/>
      <protection hidden="1"/>
    </xf>
    <xf numFmtId="172" fontId="6" fillId="2" borderId="25" xfId="0" applyNumberFormat="1" applyFont="1" applyFill="1" applyBorder="1" applyAlignment="1" applyProtection="1">
      <alignment horizontal="center" vertical="center"/>
      <protection hidden="1"/>
    </xf>
    <xf numFmtId="173" fontId="6" fillId="3" borderId="25" xfId="0" applyNumberFormat="1" applyFont="1" applyFill="1" applyBorder="1" applyAlignment="1" applyProtection="1">
      <alignment horizontal="center" vertical="center"/>
      <protection locked="0"/>
    </xf>
    <xf numFmtId="170" fontId="6" fillId="2" borderId="25" xfId="0" applyNumberFormat="1" applyFont="1" applyFill="1" applyBorder="1" applyAlignment="1" applyProtection="1">
      <alignment horizontal="center" vertical="center"/>
      <protection hidden="1"/>
    </xf>
    <xf numFmtId="171" fontId="6" fillId="3" borderId="25" xfId="0" applyNumberFormat="1" applyFont="1" applyFill="1" applyBorder="1" applyAlignment="1" applyProtection="1">
      <alignment horizontal="center" vertical="center"/>
      <protection locked="0"/>
    </xf>
    <xf numFmtId="173" fontId="6" fillId="3" borderId="13" xfId="0" applyNumberFormat="1" applyFont="1" applyFill="1" applyBorder="1" applyAlignment="1" applyProtection="1">
      <alignment horizontal="center" vertical="center"/>
      <protection locked="0"/>
    </xf>
    <xf numFmtId="171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34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Protection="1">
      <alignment vertical="center"/>
      <protection hidden="1"/>
    </xf>
    <xf numFmtId="0" fontId="5" fillId="2" borderId="18" xfId="0" applyFont="1" applyFill="1" applyBorder="1" applyProtection="1">
      <alignment vertical="center"/>
      <protection hidden="1"/>
    </xf>
    <xf numFmtId="0" fontId="5" fillId="2" borderId="36" xfId="0" applyFont="1" applyFill="1" applyBorder="1" applyProtection="1">
      <alignment vertical="center"/>
      <protection hidden="1"/>
    </xf>
    <xf numFmtId="164" fontId="5" fillId="2" borderId="36" xfId="0" applyNumberFormat="1" applyFont="1" applyFill="1" applyBorder="1" applyAlignment="1" applyProtection="1">
      <alignment horizontal="center" vertical="center"/>
      <protection hidden="1"/>
    </xf>
    <xf numFmtId="0" fontId="6" fillId="2" borderId="36" xfId="0" applyFont="1" applyFill="1" applyBorder="1" applyAlignment="1" applyProtection="1">
      <alignment horizontal="center" vertical="center"/>
      <protection hidden="1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164" fontId="5" fillId="2" borderId="37" xfId="0" applyNumberFormat="1" applyFont="1" applyFill="1" applyBorder="1" applyAlignment="1" applyProtection="1">
      <alignment horizontal="center" vertical="center"/>
      <protection hidden="1"/>
    </xf>
    <xf numFmtId="164" fontId="6" fillId="2" borderId="6" xfId="0" applyNumberFormat="1" applyFont="1" applyFill="1" applyBorder="1" applyAlignment="1" applyProtection="1">
      <alignment horizontal="center" vertical="center"/>
      <protection hidden="1"/>
    </xf>
    <xf numFmtId="164" fontId="6" fillId="2" borderId="11" xfId="0" applyNumberFormat="1" applyFont="1" applyFill="1" applyBorder="1" applyAlignment="1" applyProtection="1">
      <alignment horizontal="center" vertical="center"/>
      <protection hidden="1"/>
    </xf>
    <xf numFmtId="164" fontId="11" fillId="5" borderId="11" xfId="0" applyNumberFormat="1" applyFont="1" applyFill="1" applyBorder="1" applyAlignment="1" applyProtection="1">
      <alignment horizontal="center" vertical="center"/>
      <protection locked="0"/>
    </xf>
    <xf numFmtId="164" fontId="6" fillId="5" borderId="11" xfId="0" applyNumberFormat="1" applyFont="1" applyFill="1" applyBorder="1" applyAlignment="1" applyProtection="1">
      <alignment horizontal="center" vertical="center"/>
      <protection locked="0"/>
    </xf>
    <xf numFmtId="174" fontId="5" fillId="2" borderId="11" xfId="0" applyNumberFormat="1" applyFont="1" applyFill="1" applyBorder="1" applyAlignment="1" applyProtection="1">
      <alignment horizontal="center" vertical="center"/>
      <protection hidden="1"/>
    </xf>
    <xf numFmtId="9" fontId="6" fillId="5" borderId="11" xfId="1" applyFont="1" applyFill="1" applyBorder="1" applyAlignment="1" applyProtection="1">
      <alignment horizontal="center" vertical="center"/>
      <protection locked="0"/>
    </xf>
    <xf numFmtId="164" fontId="14" fillId="2" borderId="45" xfId="0" applyNumberFormat="1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3" fillId="2" borderId="5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8" xfId="0" applyFont="1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69" fontId="6" fillId="3" borderId="8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169" fontId="6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hidden="1"/>
    </xf>
    <xf numFmtId="0" fontId="5" fillId="2" borderId="17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9" xfId="0" applyFont="1" applyFill="1" applyBorder="1" applyAlignment="1" applyProtection="1">
      <alignment horizontal="center" vertical="center"/>
      <protection locked="0"/>
    </xf>
    <xf numFmtId="0" fontId="6" fillId="3" borderId="20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hidden="1"/>
    </xf>
    <xf numFmtId="9" fontId="1" fillId="3" borderId="18" xfId="1" applyFont="1" applyFill="1" applyBorder="1" applyAlignment="1" applyProtection="1">
      <alignment horizontal="center" vertical="center"/>
      <protection locked="0"/>
    </xf>
    <xf numFmtId="169" fontId="6" fillId="3" borderId="18" xfId="0" applyNumberFormat="1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8" fillId="2" borderId="28" xfId="0" applyFont="1" applyFill="1" applyBorder="1" applyAlignment="1" applyProtection="1">
      <alignment horizontal="center" vertical="center"/>
      <protection hidden="1"/>
    </xf>
    <xf numFmtId="0" fontId="8" fillId="2" borderId="29" xfId="0" applyFont="1" applyFill="1" applyBorder="1" applyAlignment="1" applyProtection="1">
      <alignment horizontal="center" vertical="center"/>
      <protection hidden="1"/>
    </xf>
    <xf numFmtId="0" fontId="13" fillId="2" borderId="22" xfId="0" applyFont="1" applyFill="1" applyBorder="1" applyAlignment="1" applyProtection="1">
      <alignment horizontal="center" vertical="center" wrapText="1"/>
      <protection hidden="1"/>
    </xf>
    <xf numFmtId="0" fontId="13" fillId="2" borderId="22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9" fontId="1" fillId="3" borderId="25" xfId="1" applyFont="1" applyFill="1" applyBorder="1" applyAlignment="1" applyProtection="1">
      <alignment horizontal="center" vertical="center"/>
      <protection locked="0"/>
    </xf>
    <xf numFmtId="170" fontId="1" fillId="2" borderId="25" xfId="0" applyNumberFormat="1" applyFont="1" applyFill="1" applyBorder="1" applyAlignment="1" applyProtection="1">
      <alignment horizontal="center" vertical="center"/>
      <protection hidden="1"/>
    </xf>
    <xf numFmtId="9" fontId="1" fillId="3" borderId="13" xfId="1" applyFont="1" applyFill="1" applyBorder="1" applyAlignment="1" applyProtection="1">
      <alignment horizontal="center" vertical="center"/>
      <protection locked="0"/>
    </xf>
    <xf numFmtId="170" fontId="13" fillId="2" borderId="18" xfId="0" applyNumberFormat="1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6" fillId="2" borderId="8" xfId="0" applyFont="1" applyFill="1" applyBorder="1" applyAlignment="1" applyProtection="1">
      <alignment horizontal="left" vertical="center"/>
      <protection hidden="1"/>
    </xf>
    <xf numFmtId="0" fontId="6" fillId="2" borderId="10" xfId="0" applyFont="1" applyFill="1" applyBorder="1" applyAlignment="1" applyProtection="1">
      <alignment horizontal="left"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5" fillId="2" borderId="32" xfId="0" applyFont="1" applyFill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2" borderId="13" xfId="0" applyFont="1" applyFill="1" applyBorder="1" applyAlignment="1" applyProtection="1">
      <alignment horizontal="left" vertical="center"/>
      <protection hidden="1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5" fillId="2" borderId="39" xfId="0" applyFont="1" applyFill="1" applyBorder="1" applyAlignment="1" applyProtection="1">
      <alignment horizontal="center" vertical="center"/>
      <protection hidden="1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6" fillId="3" borderId="39" xfId="0" applyFont="1" applyFill="1" applyBorder="1" applyAlignment="1" applyProtection="1">
      <alignment horizontal="center" vertical="center"/>
      <protection locked="0"/>
    </xf>
    <xf numFmtId="0" fontId="6" fillId="3" borderId="40" xfId="0" applyFont="1" applyFill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center" vertical="center"/>
      <protection hidden="1"/>
    </xf>
    <xf numFmtId="0" fontId="6" fillId="3" borderId="41" xfId="0" applyFont="1" applyFill="1" applyBorder="1" applyAlignment="1" applyProtection="1">
      <alignment horizontal="center" vertical="center"/>
      <protection locked="0"/>
    </xf>
    <xf numFmtId="0" fontId="6" fillId="3" borderId="42" xfId="0" applyFont="1" applyFill="1" applyBorder="1" applyAlignment="1" applyProtection="1">
      <alignment horizontal="center" vertical="center"/>
      <protection locked="0"/>
    </xf>
    <xf numFmtId="0" fontId="5" fillId="2" borderId="43" xfId="0" applyFont="1" applyFill="1" applyBorder="1" applyAlignment="1" applyProtection="1">
      <alignment horizontal="center" vertical="center"/>
      <protection hidden="1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43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center" vertical="center"/>
      <protection hidden="1"/>
    </xf>
    <xf numFmtId="0" fontId="5" fillId="2" borderId="29" xfId="0" applyFont="1" applyFill="1" applyBorder="1" applyAlignment="1" applyProtection="1">
      <alignment horizontal="center" vertical="center"/>
      <protection hidden="1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5" fillId="2" borderId="37" xfId="0" applyFont="1" applyFill="1" applyBorder="1" applyAlignment="1" applyProtection="1">
      <alignment horizontal="center" vertical="center"/>
      <protection hidden="1"/>
    </xf>
    <xf numFmtId="0" fontId="6" fillId="2" borderId="36" xfId="0" applyFont="1" applyFill="1" applyBorder="1" applyAlignment="1" applyProtection="1">
      <alignment horizontal="left" vertical="center"/>
      <protection hidden="1"/>
    </xf>
    <xf numFmtId="0" fontId="6" fillId="2" borderId="37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4" fillId="2" borderId="11" xfId="0" applyFont="1" applyFill="1" applyBorder="1" applyAlignment="1" applyProtection="1">
      <alignment horizontal="center" vertical="center" textRotation="255" wrapText="1"/>
      <protection hidden="1"/>
    </xf>
    <xf numFmtId="0" fontId="4" fillId="2" borderId="16" xfId="0" applyFont="1" applyFill="1" applyBorder="1" applyAlignment="1" applyProtection="1">
      <alignment horizontal="center" vertical="center" textRotation="255" wrapText="1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34" xfId="0" applyFont="1" applyFill="1" applyBorder="1" applyAlignment="1" applyProtection="1">
      <alignment horizontal="center" vertical="center" wrapText="1"/>
      <protection hidden="1"/>
    </xf>
    <xf numFmtId="0" fontId="4" fillId="2" borderId="9" xfId="0" applyFont="1" applyFill="1" applyBorder="1" applyAlignment="1" applyProtection="1">
      <alignment horizontal="center" vertical="center" textRotation="255" wrapText="1"/>
      <protection hidden="1"/>
    </xf>
    <xf numFmtId="0" fontId="4" fillId="2" borderId="14" xfId="0" applyFont="1" applyFill="1" applyBorder="1" applyAlignment="1" applyProtection="1">
      <alignment horizontal="center" vertical="center" textRotation="255" wrapText="1"/>
      <protection hidden="1"/>
    </xf>
    <xf numFmtId="0" fontId="4" fillId="2" borderId="19" xfId="0" applyFont="1" applyFill="1" applyBorder="1" applyAlignment="1" applyProtection="1">
      <alignment horizontal="center" vertical="center" textRotation="255" wrapText="1"/>
      <protection hidden="1"/>
    </xf>
    <xf numFmtId="0" fontId="4" fillId="2" borderId="14" xfId="0" applyFont="1" applyFill="1" applyBorder="1" applyAlignment="1" applyProtection="1">
      <alignment vertical="center" textRotation="255" wrapText="1"/>
      <protection hidden="1"/>
    </xf>
    <xf numFmtId="0" fontId="4" fillId="2" borderId="19" xfId="0" applyFont="1" applyFill="1" applyBorder="1" applyAlignment="1" applyProtection="1">
      <alignment vertical="center" textRotation="255" wrapText="1"/>
      <protection hidden="1"/>
    </xf>
    <xf numFmtId="0" fontId="4" fillId="2" borderId="35" xfId="0" applyFont="1" applyFill="1" applyBorder="1" applyAlignment="1" applyProtection="1">
      <alignment horizontal="center" vertical="center" textRotation="255" wrapText="1"/>
      <protection hidden="1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9" fillId="2" borderId="17" xfId="0" applyFont="1" applyFill="1" applyBorder="1" applyAlignment="1" applyProtection="1">
      <alignment horizontal="center" vertical="center"/>
      <protection hidden="1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6" fillId="3" borderId="4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9"/>
  <sheetViews>
    <sheetView showGridLines="0" tabSelected="1" view="pageBreakPreview" topLeftCell="A3" zoomScaleNormal="85" workbookViewId="0">
      <selection activeCell="K9" sqref="K9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332031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16384" width="9" style="1"/>
  </cols>
  <sheetData>
    <row r="1" spans="1:21">
      <c r="A1" s="160"/>
    </row>
    <row r="2" spans="1:21" ht="40" customHeight="1">
      <c r="A2" s="160"/>
      <c r="B2" s="92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4"/>
    </row>
    <row r="3" spans="1:21" ht="31" customHeight="1">
      <c r="A3" s="160"/>
      <c r="B3" s="95" t="s">
        <v>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7"/>
    </row>
    <row r="4" spans="1:21" ht="28" customHeight="1">
      <c r="A4" s="160"/>
      <c r="B4" s="161" t="s">
        <v>2</v>
      </c>
      <c r="C4" s="98" t="s">
        <v>3</v>
      </c>
      <c r="D4" s="99"/>
      <c r="E4" s="100" t="s">
        <v>140</v>
      </c>
      <c r="F4" s="100"/>
      <c r="G4" s="3" t="s">
        <v>5</v>
      </c>
      <c r="H4" s="100">
        <v>3000</v>
      </c>
      <c r="I4" s="100"/>
      <c r="J4" s="101"/>
      <c r="K4" s="102"/>
      <c r="L4" s="161" t="s">
        <v>6</v>
      </c>
      <c r="M4" s="98" t="s">
        <v>7</v>
      </c>
      <c r="N4" s="99"/>
      <c r="O4" s="103" t="s">
        <v>8</v>
      </c>
      <c r="P4" s="104"/>
      <c r="Q4" s="3" t="s">
        <v>9</v>
      </c>
      <c r="R4" s="105">
        <v>46188</v>
      </c>
      <c r="S4" s="105"/>
      <c r="T4" s="2" t="s">
        <v>10</v>
      </c>
      <c r="U4" s="4">
        <v>0.32</v>
      </c>
    </row>
    <row r="5" spans="1:21" ht="28" customHeight="1">
      <c r="A5" s="160"/>
      <c r="B5" s="162"/>
      <c r="C5" s="106" t="s">
        <v>11</v>
      </c>
      <c r="D5" s="107"/>
      <c r="E5" s="108" t="s">
        <v>141</v>
      </c>
      <c r="F5" s="108"/>
      <c r="G5" s="8" t="s">
        <v>13</v>
      </c>
      <c r="H5" s="108">
        <v>120</v>
      </c>
      <c r="I5" s="108"/>
      <c r="J5" s="109"/>
      <c r="K5" s="110"/>
      <c r="L5" s="162"/>
      <c r="M5" s="106" t="s">
        <v>14</v>
      </c>
      <c r="N5" s="107"/>
      <c r="O5" s="111" t="s">
        <v>15</v>
      </c>
      <c r="P5" s="112"/>
      <c r="Q5" s="6" t="s">
        <v>16</v>
      </c>
      <c r="R5" s="113" t="s">
        <v>17</v>
      </c>
      <c r="S5" s="113"/>
      <c r="T5" s="6" t="s">
        <v>18</v>
      </c>
      <c r="U5" s="9">
        <v>0.38500000000000001</v>
      </c>
    </row>
    <row r="6" spans="1:21" ht="28" customHeight="1">
      <c r="A6" s="160"/>
      <c r="B6" s="162"/>
      <c r="C6" s="106" t="s">
        <v>19</v>
      </c>
      <c r="D6" s="107"/>
      <c r="E6" s="108" t="s">
        <v>142</v>
      </c>
      <c r="F6" s="108"/>
      <c r="G6" s="8" t="s">
        <v>21</v>
      </c>
      <c r="H6" s="108">
        <v>50</v>
      </c>
      <c r="I6" s="108"/>
      <c r="J6" s="109"/>
      <c r="K6" s="110"/>
      <c r="L6" s="162"/>
      <c r="M6" s="114" t="s">
        <v>22</v>
      </c>
      <c r="N6" s="107"/>
      <c r="O6" s="112">
        <v>0.2</v>
      </c>
      <c r="P6" s="112"/>
      <c r="Q6" s="6" t="s">
        <v>16</v>
      </c>
      <c r="R6" s="113" t="s">
        <v>17</v>
      </c>
      <c r="S6" s="113"/>
      <c r="T6" s="8" t="s">
        <v>23</v>
      </c>
      <c r="U6" s="11"/>
    </row>
    <row r="7" spans="1:21" ht="28" customHeight="1">
      <c r="A7" s="160"/>
      <c r="B7" s="162"/>
      <c r="C7" s="106" t="s">
        <v>24</v>
      </c>
      <c r="D7" s="107"/>
      <c r="E7" s="108" t="s">
        <v>143</v>
      </c>
      <c r="F7" s="108"/>
      <c r="G7" s="6" t="s">
        <v>26</v>
      </c>
      <c r="H7" s="108" t="s">
        <v>144</v>
      </c>
      <c r="I7" s="108"/>
      <c r="J7" s="109"/>
      <c r="K7" s="110"/>
      <c r="L7" s="162"/>
      <c r="M7" s="106" t="s">
        <v>28</v>
      </c>
      <c r="N7" s="107"/>
      <c r="O7" s="112"/>
      <c r="P7" s="112"/>
      <c r="Q7" s="6" t="s">
        <v>29</v>
      </c>
      <c r="R7" s="113" t="s">
        <v>17</v>
      </c>
      <c r="S7" s="113"/>
      <c r="T7" s="8" t="s">
        <v>30</v>
      </c>
      <c r="U7" s="9">
        <v>1</v>
      </c>
    </row>
    <row r="8" spans="1:21" ht="28" customHeight="1">
      <c r="A8" s="160"/>
      <c r="B8" s="163"/>
      <c r="C8" s="115" t="s">
        <v>31</v>
      </c>
      <c r="D8" s="116"/>
      <c r="E8" s="117">
        <v>13735526664</v>
      </c>
      <c r="F8" s="117"/>
      <c r="G8" s="13" t="s">
        <v>32</v>
      </c>
      <c r="H8" s="117" t="s">
        <v>145</v>
      </c>
      <c r="I8" s="117"/>
      <c r="J8" s="118"/>
      <c r="K8" s="119"/>
      <c r="L8" s="163"/>
      <c r="M8" s="120" t="s">
        <v>34</v>
      </c>
      <c r="N8" s="116"/>
      <c r="O8" s="121">
        <v>0.01</v>
      </c>
      <c r="P8" s="121"/>
      <c r="Q8" s="13" t="s">
        <v>35</v>
      </c>
      <c r="R8" s="122" t="s">
        <v>17</v>
      </c>
      <c r="S8" s="122"/>
      <c r="T8" s="15" t="s">
        <v>36</v>
      </c>
      <c r="U8" s="14">
        <v>300</v>
      </c>
    </row>
    <row r="9" spans="1:21" ht="25" customHeight="1">
      <c r="A9" s="160"/>
      <c r="B9" s="164" t="s">
        <v>37</v>
      </c>
      <c r="C9" s="170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76" t="s">
        <v>47</v>
      </c>
      <c r="M9" s="170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60"/>
      <c r="B10" s="165"/>
      <c r="C10" s="171"/>
      <c r="D10" s="19">
        <v>1</v>
      </c>
      <c r="E10" s="20" t="s">
        <v>50</v>
      </c>
      <c r="F10" s="21"/>
      <c r="G10" s="22"/>
      <c r="H10" s="22">
        <v>0.38500000000000001</v>
      </c>
      <c r="I10" s="23">
        <v>0.01</v>
      </c>
      <c r="J10" s="22">
        <v>22</v>
      </c>
      <c r="K10" s="24">
        <f t="shared" ref="K10:K12" si="0">IF(J10="","",J10*H10*(1+I10))</f>
        <v>8.5547000000000004</v>
      </c>
      <c r="L10" s="177"/>
      <c r="M10" s="171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1">IF(T10="","",T10*R10*(1+S10))</f>
        <v/>
      </c>
    </row>
    <row r="11" spans="1:21" ht="25" customHeight="1">
      <c r="A11" s="160"/>
      <c r="B11" s="165"/>
      <c r="C11" s="171"/>
      <c r="D11" s="5">
        <v>2</v>
      </c>
      <c r="E11" s="29"/>
      <c r="F11" s="29"/>
      <c r="G11" s="30"/>
      <c r="H11" s="30"/>
      <c r="I11" s="31"/>
      <c r="J11" s="30"/>
      <c r="K11" s="32" t="str">
        <f t="shared" si="0"/>
        <v/>
      </c>
      <c r="L11" s="177"/>
      <c r="M11" s="171"/>
      <c r="N11" s="5">
        <v>2</v>
      </c>
      <c r="O11" s="33"/>
      <c r="P11" s="29"/>
      <c r="Q11" s="30"/>
      <c r="R11" s="30"/>
      <c r="S11" s="34"/>
      <c r="T11" s="30"/>
      <c r="U11" s="35" t="str">
        <f t="shared" si="1"/>
        <v/>
      </c>
    </row>
    <row r="12" spans="1:21" ht="25" customHeight="1">
      <c r="A12" s="160"/>
      <c r="B12" s="165"/>
      <c r="C12" s="171"/>
      <c r="D12" s="5">
        <v>3</v>
      </c>
      <c r="E12" s="29"/>
      <c r="F12" s="29"/>
      <c r="G12" s="30"/>
      <c r="H12" s="30"/>
      <c r="I12" s="31"/>
      <c r="J12" s="30"/>
      <c r="K12" s="32" t="str">
        <f t="shared" si="0"/>
        <v/>
      </c>
      <c r="L12" s="177"/>
      <c r="M12" s="171"/>
      <c r="N12" s="5">
        <v>3</v>
      </c>
      <c r="O12" s="33"/>
      <c r="P12" s="29"/>
      <c r="Q12" s="30"/>
      <c r="R12" s="30"/>
      <c r="S12" s="34"/>
      <c r="T12" s="30"/>
      <c r="U12" s="35" t="str">
        <f t="shared" si="1"/>
        <v/>
      </c>
    </row>
    <row r="13" spans="1:21" ht="25" customHeight="1">
      <c r="A13" s="160"/>
      <c r="B13" s="165"/>
      <c r="C13" s="171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77"/>
      <c r="M13" s="171"/>
      <c r="N13" s="5">
        <v>4</v>
      </c>
      <c r="O13" s="33"/>
      <c r="P13" s="29"/>
      <c r="Q13" s="30"/>
      <c r="R13" s="30"/>
      <c r="S13" s="34"/>
      <c r="T13" s="30"/>
      <c r="U13" s="35" t="str">
        <f t="shared" si="1"/>
        <v/>
      </c>
    </row>
    <row r="14" spans="1:21" ht="25" customHeight="1">
      <c r="A14" s="160"/>
      <c r="B14" s="165"/>
      <c r="C14" s="171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2">IF(J14="","",J14*H14*(1+I14))</f>
        <v/>
      </c>
      <c r="L14" s="177"/>
      <c r="M14" s="171"/>
      <c r="N14" s="5">
        <v>5</v>
      </c>
      <c r="O14" s="33"/>
      <c r="P14" s="29"/>
      <c r="Q14" s="30"/>
      <c r="R14" s="30"/>
      <c r="S14" s="34"/>
      <c r="T14" s="30"/>
      <c r="U14" s="35" t="str">
        <f t="shared" si="1"/>
        <v/>
      </c>
    </row>
    <row r="15" spans="1:21" ht="25" customHeight="1">
      <c r="A15" s="160"/>
      <c r="B15" s="165"/>
      <c r="C15" s="171"/>
      <c r="D15" s="5">
        <v>6</v>
      </c>
      <c r="E15" s="29"/>
      <c r="F15" s="29"/>
      <c r="G15" s="30"/>
      <c r="H15" s="10"/>
      <c r="I15" s="30"/>
      <c r="J15" s="31"/>
      <c r="K15" s="32" t="str">
        <f t="shared" si="2"/>
        <v/>
      </c>
      <c r="L15" s="177"/>
      <c r="M15" s="171"/>
      <c r="N15" s="5">
        <v>6</v>
      </c>
      <c r="O15" s="33"/>
      <c r="P15" s="29"/>
      <c r="Q15" s="30"/>
      <c r="R15" s="30"/>
      <c r="S15" s="34"/>
      <c r="T15" s="30"/>
      <c r="U15" s="35" t="str">
        <f t="shared" si="1"/>
        <v/>
      </c>
    </row>
    <row r="16" spans="1:21" ht="25" customHeight="1">
      <c r="A16" s="160"/>
      <c r="B16" s="165"/>
      <c r="C16" s="171"/>
      <c r="D16" s="5">
        <v>7</v>
      </c>
      <c r="E16" s="29"/>
      <c r="F16" s="29"/>
      <c r="G16" s="30"/>
      <c r="H16" s="10"/>
      <c r="I16" s="30"/>
      <c r="J16" s="31"/>
      <c r="K16" s="32" t="str">
        <f t="shared" si="2"/>
        <v/>
      </c>
      <c r="L16" s="177"/>
      <c r="M16" s="171"/>
      <c r="N16" s="5">
        <v>7</v>
      </c>
      <c r="O16" s="33"/>
      <c r="P16" s="29"/>
      <c r="Q16" s="30"/>
      <c r="R16" s="30"/>
      <c r="S16" s="34"/>
      <c r="T16" s="30"/>
      <c r="U16" s="35" t="str">
        <f t="shared" si="1"/>
        <v/>
      </c>
    </row>
    <row r="17" spans="1:21" ht="25" customHeight="1">
      <c r="A17" s="160"/>
      <c r="B17" s="165"/>
      <c r="C17" s="171"/>
      <c r="D17" s="5">
        <v>8</v>
      </c>
      <c r="E17" s="29"/>
      <c r="F17" s="29"/>
      <c r="G17" s="30"/>
      <c r="H17" s="10"/>
      <c r="I17" s="30"/>
      <c r="J17" s="31"/>
      <c r="K17" s="32" t="str">
        <f t="shared" si="2"/>
        <v/>
      </c>
      <c r="L17" s="177"/>
      <c r="M17" s="171"/>
      <c r="N17" s="5">
        <v>8</v>
      </c>
      <c r="O17" s="33"/>
      <c r="P17" s="29"/>
      <c r="Q17" s="30"/>
      <c r="R17" s="30"/>
      <c r="S17" s="34"/>
      <c r="T17" s="30"/>
      <c r="U17" s="35" t="str">
        <f t="shared" si="1"/>
        <v/>
      </c>
    </row>
    <row r="18" spans="1:21" ht="25" customHeight="1">
      <c r="A18" s="160"/>
      <c r="B18" s="165"/>
      <c r="C18" s="171"/>
      <c r="D18" s="5">
        <v>9</v>
      </c>
      <c r="E18" s="29"/>
      <c r="F18" s="29"/>
      <c r="G18" s="30"/>
      <c r="H18" s="30"/>
      <c r="I18" s="30"/>
      <c r="J18" s="31"/>
      <c r="K18" s="32" t="str">
        <f t="shared" si="2"/>
        <v/>
      </c>
      <c r="L18" s="177"/>
      <c r="M18" s="171"/>
      <c r="N18" s="5">
        <v>9</v>
      </c>
      <c r="O18" s="33"/>
      <c r="P18" s="29"/>
      <c r="Q18" s="30"/>
      <c r="R18" s="30"/>
      <c r="S18" s="34"/>
      <c r="T18" s="30"/>
      <c r="U18" s="35" t="str">
        <f t="shared" si="1"/>
        <v/>
      </c>
    </row>
    <row r="19" spans="1:21" ht="25" customHeight="1">
      <c r="A19" s="160"/>
      <c r="B19" s="165"/>
      <c r="C19" s="171"/>
      <c r="D19" s="5">
        <v>10</v>
      </c>
      <c r="E19" s="29"/>
      <c r="F19" s="29"/>
      <c r="G19" s="30"/>
      <c r="H19" s="30"/>
      <c r="I19" s="30"/>
      <c r="J19" s="31"/>
      <c r="K19" s="32" t="str">
        <f t="shared" si="2"/>
        <v/>
      </c>
      <c r="L19" s="177"/>
      <c r="M19" s="171"/>
      <c r="N19" s="5">
        <v>10</v>
      </c>
      <c r="O19" s="33"/>
      <c r="P19" s="29"/>
      <c r="Q19" s="30"/>
      <c r="R19" s="30"/>
      <c r="S19" s="34"/>
      <c r="T19" s="30"/>
      <c r="U19" s="35" t="str">
        <f t="shared" si="1"/>
        <v/>
      </c>
    </row>
    <row r="20" spans="1:21" ht="25" customHeight="1">
      <c r="A20" s="160"/>
      <c r="B20" s="165"/>
      <c r="C20" s="171"/>
      <c r="D20" s="5">
        <v>11</v>
      </c>
      <c r="E20" s="29"/>
      <c r="F20" s="29"/>
      <c r="G20" s="30"/>
      <c r="H20" s="30"/>
      <c r="I20" s="30"/>
      <c r="J20" s="31"/>
      <c r="K20" s="32" t="str">
        <f t="shared" si="2"/>
        <v/>
      </c>
      <c r="L20" s="177"/>
      <c r="M20" s="171"/>
      <c r="N20" s="5">
        <v>11</v>
      </c>
      <c r="O20" s="33"/>
      <c r="P20" s="36"/>
      <c r="Q20" s="37"/>
      <c r="R20" s="30"/>
      <c r="S20" s="34"/>
      <c r="T20" s="30"/>
      <c r="U20" s="35" t="str">
        <f t="shared" si="1"/>
        <v/>
      </c>
    </row>
    <row r="21" spans="1:21" ht="25" customHeight="1">
      <c r="A21" s="160"/>
      <c r="B21" s="165"/>
      <c r="C21" s="171"/>
      <c r="D21" s="5">
        <v>12</v>
      </c>
      <c r="E21" s="38"/>
      <c r="F21" s="38"/>
      <c r="G21" s="7"/>
      <c r="H21" s="30"/>
      <c r="I21" s="30"/>
      <c r="J21" s="31"/>
      <c r="K21" s="32" t="str">
        <f t="shared" si="2"/>
        <v/>
      </c>
      <c r="L21" s="177"/>
      <c r="M21" s="171"/>
      <c r="N21" s="5">
        <v>12</v>
      </c>
      <c r="O21" s="33"/>
      <c r="P21" s="36"/>
      <c r="Q21" s="37"/>
      <c r="R21" s="30"/>
      <c r="S21" s="34"/>
      <c r="T21" s="30"/>
      <c r="U21" s="35" t="str">
        <f t="shared" si="1"/>
        <v/>
      </c>
    </row>
    <row r="22" spans="1:21" ht="25" customHeight="1">
      <c r="A22" s="160"/>
      <c r="B22" s="165"/>
      <c r="C22" s="171"/>
      <c r="D22" s="5">
        <v>13</v>
      </c>
      <c r="E22" s="38"/>
      <c r="F22" s="38"/>
      <c r="G22" s="7"/>
      <c r="H22" s="30"/>
      <c r="I22" s="30"/>
      <c r="J22" s="31"/>
      <c r="K22" s="32" t="str">
        <f t="shared" si="2"/>
        <v/>
      </c>
      <c r="L22" s="177"/>
      <c r="M22" s="171"/>
      <c r="N22" s="5">
        <v>13</v>
      </c>
      <c r="O22" s="33"/>
      <c r="P22" s="36"/>
      <c r="Q22" s="37"/>
      <c r="R22" s="30"/>
      <c r="S22" s="34"/>
      <c r="T22" s="30"/>
      <c r="U22" s="35" t="str">
        <f t="shared" si="1"/>
        <v/>
      </c>
    </row>
    <row r="23" spans="1:21" ht="25" customHeight="1">
      <c r="A23" s="160"/>
      <c r="B23" s="165"/>
      <c r="C23" s="171"/>
      <c r="D23" s="5">
        <v>14</v>
      </c>
      <c r="E23" s="38"/>
      <c r="F23" s="38"/>
      <c r="G23" s="7"/>
      <c r="H23" s="30"/>
      <c r="I23" s="30"/>
      <c r="J23" s="31"/>
      <c r="K23" s="32" t="str">
        <f t="shared" si="2"/>
        <v/>
      </c>
      <c r="L23" s="177"/>
      <c r="M23" s="171"/>
      <c r="N23" s="5">
        <v>14</v>
      </c>
      <c r="O23" s="33"/>
      <c r="P23" s="38"/>
      <c r="Q23" s="7"/>
      <c r="R23" s="30"/>
      <c r="S23" s="34"/>
      <c r="T23" s="30"/>
      <c r="U23" s="35" t="str">
        <f t="shared" si="1"/>
        <v/>
      </c>
    </row>
    <row r="24" spans="1:21" ht="25" customHeight="1">
      <c r="A24" s="160"/>
      <c r="B24" s="165"/>
      <c r="C24" s="171"/>
      <c r="D24" s="5">
        <v>15</v>
      </c>
      <c r="E24" s="38"/>
      <c r="F24" s="39"/>
      <c r="G24" s="40"/>
      <c r="H24" s="30"/>
      <c r="I24" s="30"/>
      <c r="J24" s="31"/>
      <c r="K24" s="32" t="str">
        <f t="shared" si="2"/>
        <v/>
      </c>
      <c r="L24" s="177"/>
      <c r="M24" s="171"/>
      <c r="N24" s="5">
        <v>15</v>
      </c>
      <c r="O24" s="33"/>
      <c r="P24" s="38"/>
      <c r="Q24" s="7"/>
      <c r="R24" s="30"/>
      <c r="S24" s="34"/>
      <c r="T24" s="30"/>
      <c r="U24" s="35" t="str">
        <f t="shared" si="1"/>
        <v/>
      </c>
    </row>
    <row r="25" spans="1:21" ht="25" customHeight="1">
      <c r="A25" s="160"/>
      <c r="B25" s="165"/>
      <c r="C25" s="171"/>
      <c r="D25" s="5">
        <v>16</v>
      </c>
      <c r="E25" s="38"/>
      <c r="F25" s="38"/>
      <c r="G25" s="7"/>
      <c r="H25" s="30"/>
      <c r="I25" s="30"/>
      <c r="J25" s="31"/>
      <c r="K25" s="32" t="str">
        <f t="shared" si="2"/>
        <v/>
      </c>
      <c r="L25" s="177"/>
      <c r="M25" s="171"/>
      <c r="N25" s="5">
        <v>16</v>
      </c>
      <c r="O25" s="33"/>
      <c r="P25" s="38"/>
      <c r="Q25" s="7"/>
      <c r="R25" s="30"/>
      <c r="S25" s="34"/>
      <c r="T25" s="30"/>
      <c r="U25" s="35" t="str">
        <f t="shared" si="1"/>
        <v/>
      </c>
    </row>
    <row r="26" spans="1:21" ht="25" customHeight="1">
      <c r="A26" s="160"/>
      <c r="B26" s="165"/>
      <c r="C26" s="171"/>
      <c r="D26" s="5">
        <v>17</v>
      </c>
      <c r="E26" s="38"/>
      <c r="F26" s="38"/>
      <c r="G26" s="7"/>
      <c r="H26" s="30"/>
      <c r="I26" s="30"/>
      <c r="J26" s="31"/>
      <c r="K26" s="32" t="str">
        <f t="shared" si="2"/>
        <v/>
      </c>
      <c r="L26" s="177"/>
      <c r="M26" s="171"/>
      <c r="N26" s="5">
        <v>17</v>
      </c>
      <c r="O26" s="33"/>
      <c r="P26" s="38"/>
      <c r="Q26" s="7"/>
      <c r="R26" s="30"/>
      <c r="S26" s="34"/>
      <c r="T26" s="30"/>
      <c r="U26" s="35" t="str">
        <f t="shared" si="1"/>
        <v/>
      </c>
    </row>
    <row r="27" spans="1:21" ht="25" customHeight="1">
      <c r="A27" s="160"/>
      <c r="B27" s="166"/>
      <c r="C27" s="172"/>
      <c r="D27" s="12"/>
      <c r="E27" s="41"/>
      <c r="F27" s="41"/>
      <c r="G27" s="41"/>
      <c r="H27" s="116" t="s">
        <v>51</v>
      </c>
      <c r="I27" s="116"/>
      <c r="J27" s="42"/>
      <c r="K27" s="43">
        <f>SUM(K10:K26)</f>
        <v>8.5547000000000004</v>
      </c>
      <c r="L27" s="178"/>
      <c r="M27" s="172"/>
      <c r="N27" s="12"/>
      <c r="O27" s="44"/>
      <c r="P27" s="13"/>
      <c r="Q27" s="13"/>
      <c r="R27" s="13"/>
      <c r="S27" s="116" t="s">
        <v>52</v>
      </c>
      <c r="T27" s="116"/>
      <c r="U27" s="43">
        <f>SUM(U10:U26)</f>
        <v>0</v>
      </c>
    </row>
    <row r="28" spans="1:21" ht="25" customHeight="1">
      <c r="A28" s="160"/>
      <c r="B28" s="164" t="s">
        <v>53</v>
      </c>
      <c r="C28" s="170" t="s">
        <v>54</v>
      </c>
      <c r="D28" s="123" t="s">
        <v>55</v>
      </c>
      <c r="E28" s="124"/>
      <c r="F28" s="124"/>
      <c r="G28" s="124"/>
      <c r="H28" s="124"/>
      <c r="I28" s="124"/>
      <c r="J28" s="124"/>
      <c r="K28" s="125"/>
      <c r="L28" s="176" t="s">
        <v>56</v>
      </c>
      <c r="M28" s="170" t="s">
        <v>57</v>
      </c>
      <c r="N28" s="123" t="s">
        <v>58</v>
      </c>
      <c r="O28" s="124"/>
      <c r="P28" s="124"/>
      <c r="Q28" s="124"/>
      <c r="R28" s="124"/>
      <c r="S28" s="124"/>
      <c r="T28" s="124"/>
      <c r="U28" s="125"/>
    </row>
    <row r="29" spans="1:21" ht="25" customHeight="1">
      <c r="A29" s="160"/>
      <c r="B29" s="165"/>
      <c r="C29" s="173"/>
      <c r="D29" s="45" t="s">
        <v>39</v>
      </c>
      <c r="E29" s="46" t="s">
        <v>59</v>
      </c>
      <c r="F29" s="47" t="s">
        <v>60</v>
      </c>
      <c r="G29" s="46" t="s">
        <v>61</v>
      </c>
      <c r="H29" s="47" t="s">
        <v>62</v>
      </c>
      <c r="I29" s="47" t="s">
        <v>63</v>
      </c>
      <c r="J29" s="47" t="s">
        <v>64</v>
      </c>
      <c r="K29" s="48" t="s">
        <v>65</v>
      </c>
      <c r="L29" s="177"/>
      <c r="M29" s="173"/>
      <c r="N29" s="49" t="s">
        <v>66</v>
      </c>
      <c r="O29" s="46" t="s">
        <v>67</v>
      </c>
      <c r="P29" s="47" t="s">
        <v>68</v>
      </c>
      <c r="Q29" s="46" t="s">
        <v>69</v>
      </c>
      <c r="R29" s="47" t="s">
        <v>70</v>
      </c>
      <c r="S29" s="47" t="s">
        <v>71</v>
      </c>
      <c r="T29" s="47" t="s">
        <v>64</v>
      </c>
      <c r="U29" s="48" t="s">
        <v>72</v>
      </c>
    </row>
    <row r="30" spans="1:21" ht="25" customHeight="1">
      <c r="A30" s="160"/>
      <c r="B30" s="165"/>
      <c r="C30" s="173"/>
      <c r="D30" s="19">
        <v>1</v>
      </c>
      <c r="E30" s="50" t="s">
        <v>8</v>
      </c>
      <c r="F30" s="51">
        <v>12</v>
      </c>
      <c r="G30" s="51">
        <v>1</v>
      </c>
      <c r="H30" s="51">
        <v>10</v>
      </c>
      <c r="I30" s="51">
        <v>0.2</v>
      </c>
      <c r="J30" s="52"/>
      <c r="K30" s="53">
        <f t="shared" ref="K30:K39" si="3">IF(E30="","",IF(J30="",F30/I30,F30/J30))</f>
        <v>60</v>
      </c>
      <c r="L30" s="177"/>
      <c r="M30" s="173"/>
      <c r="N30" s="19">
        <v>1</v>
      </c>
      <c r="O30" s="54" t="s">
        <v>73</v>
      </c>
      <c r="P30" s="51">
        <v>0</v>
      </c>
      <c r="Q30" s="55"/>
      <c r="R30" s="56">
        <f>O6</f>
        <v>0.2</v>
      </c>
      <c r="S30" s="51">
        <v>23</v>
      </c>
      <c r="T30" s="55"/>
      <c r="U30" s="28">
        <f t="shared" ref="U30:U39" si="4">IF(O30="","",IF(T30="",P30/S30,P30/T30))</f>
        <v>0</v>
      </c>
    </row>
    <row r="31" spans="1:21" ht="25" customHeight="1">
      <c r="A31" s="160"/>
      <c r="B31" s="165"/>
      <c r="C31" s="173"/>
      <c r="D31" s="5">
        <v>2</v>
      </c>
      <c r="E31" s="7"/>
      <c r="F31" s="7"/>
      <c r="G31" s="7"/>
      <c r="H31" s="7"/>
      <c r="I31" s="7"/>
      <c r="J31" s="57"/>
      <c r="K31" s="58" t="str">
        <f t="shared" si="3"/>
        <v/>
      </c>
      <c r="L31" s="177"/>
      <c r="M31" s="173"/>
      <c r="N31" s="5">
        <v>2</v>
      </c>
      <c r="O31" s="59"/>
      <c r="P31" s="7"/>
      <c r="Q31" s="7"/>
      <c r="R31" s="60" t="str">
        <f t="shared" ref="R31:R39" si="5">IF(O31="","",R30)</f>
        <v/>
      </c>
      <c r="S31" s="7"/>
      <c r="T31" s="7"/>
      <c r="U31" s="35" t="str">
        <f t="shared" si="4"/>
        <v/>
      </c>
    </row>
    <row r="32" spans="1:21" ht="25" customHeight="1">
      <c r="A32" s="160"/>
      <c r="B32" s="165"/>
      <c r="C32" s="173"/>
      <c r="D32" s="5">
        <v>3</v>
      </c>
      <c r="E32" s="7"/>
      <c r="F32" s="7"/>
      <c r="G32" s="7"/>
      <c r="H32" s="7"/>
      <c r="I32" s="7"/>
      <c r="J32" s="57"/>
      <c r="K32" s="58" t="str">
        <f t="shared" si="3"/>
        <v/>
      </c>
      <c r="L32" s="177"/>
      <c r="M32" s="173"/>
      <c r="N32" s="5">
        <v>3</v>
      </c>
      <c r="O32" s="59"/>
      <c r="P32" s="7"/>
      <c r="Q32" s="7"/>
      <c r="R32" s="60" t="str">
        <f t="shared" si="5"/>
        <v/>
      </c>
      <c r="S32" s="7"/>
      <c r="T32" s="7"/>
      <c r="U32" s="35" t="str">
        <f t="shared" si="4"/>
        <v/>
      </c>
    </row>
    <row r="33" spans="1:21" ht="25" customHeight="1">
      <c r="A33" s="160"/>
      <c r="B33" s="165"/>
      <c r="C33" s="173"/>
      <c r="D33" s="5">
        <v>5</v>
      </c>
      <c r="E33" s="7"/>
      <c r="F33" s="7"/>
      <c r="G33" s="7"/>
      <c r="H33" s="7"/>
      <c r="I33" s="7"/>
      <c r="J33" s="57"/>
      <c r="K33" s="58" t="str">
        <f t="shared" si="3"/>
        <v/>
      </c>
      <c r="L33" s="177"/>
      <c r="M33" s="173"/>
      <c r="N33" s="5">
        <v>4</v>
      </c>
      <c r="O33" s="59"/>
      <c r="P33" s="7"/>
      <c r="Q33" s="7"/>
      <c r="R33" s="60" t="str">
        <f t="shared" si="5"/>
        <v/>
      </c>
      <c r="S33" s="7"/>
      <c r="T33" s="7"/>
      <c r="U33" s="35" t="str">
        <f t="shared" si="4"/>
        <v/>
      </c>
    </row>
    <row r="34" spans="1:21" ht="25" customHeight="1">
      <c r="A34" s="160"/>
      <c r="B34" s="165"/>
      <c r="C34" s="173"/>
      <c r="D34" s="5">
        <v>6</v>
      </c>
      <c r="E34" s="7"/>
      <c r="F34" s="7"/>
      <c r="G34" s="7"/>
      <c r="H34" s="7"/>
      <c r="I34" s="7"/>
      <c r="J34" s="57"/>
      <c r="K34" s="58" t="str">
        <f t="shared" si="3"/>
        <v/>
      </c>
      <c r="L34" s="177"/>
      <c r="M34" s="173"/>
      <c r="N34" s="5">
        <v>5</v>
      </c>
      <c r="O34" s="59"/>
      <c r="P34" s="7"/>
      <c r="Q34" s="7"/>
      <c r="R34" s="60" t="str">
        <f t="shared" si="5"/>
        <v/>
      </c>
      <c r="S34" s="7"/>
      <c r="T34" s="7"/>
      <c r="U34" s="35" t="str">
        <f t="shared" si="4"/>
        <v/>
      </c>
    </row>
    <row r="35" spans="1:21" ht="25" customHeight="1">
      <c r="A35" s="160"/>
      <c r="B35" s="165"/>
      <c r="C35" s="173"/>
      <c r="D35" s="5">
        <v>7</v>
      </c>
      <c r="E35" s="7"/>
      <c r="F35" s="7"/>
      <c r="G35" s="7"/>
      <c r="H35" s="7"/>
      <c r="I35" s="7"/>
      <c r="J35" s="57"/>
      <c r="K35" s="58" t="str">
        <f t="shared" si="3"/>
        <v/>
      </c>
      <c r="L35" s="177"/>
      <c r="M35" s="173"/>
      <c r="N35" s="5">
        <v>6</v>
      </c>
      <c r="O35" s="59"/>
      <c r="P35" s="7"/>
      <c r="Q35" s="7"/>
      <c r="R35" s="60" t="str">
        <f t="shared" si="5"/>
        <v/>
      </c>
      <c r="S35" s="7"/>
      <c r="T35" s="7"/>
      <c r="U35" s="35" t="str">
        <f t="shared" si="4"/>
        <v/>
      </c>
    </row>
    <row r="36" spans="1:21" ht="25" customHeight="1">
      <c r="A36" s="160"/>
      <c r="B36" s="165"/>
      <c r="C36" s="173"/>
      <c r="D36" s="5">
        <v>8</v>
      </c>
      <c r="E36" s="7"/>
      <c r="F36" s="7"/>
      <c r="G36" s="7"/>
      <c r="H36" s="7"/>
      <c r="I36" s="7"/>
      <c r="J36" s="57"/>
      <c r="K36" s="58" t="str">
        <f t="shared" si="3"/>
        <v/>
      </c>
      <c r="L36" s="177"/>
      <c r="M36" s="173"/>
      <c r="N36" s="5">
        <v>7</v>
      </c>
      <c r="O36" s="59"/>
      <c r="P36" s="7"/>
      <c r="Q36" s="7"/>
      <c r="R36" s="60" t="str">
        <f t="shared" si="5"/>
        <v/>
      </c>
      <c r="S36" s="7"/>
      <c r="T36" s="7"/>
      <c r="U36" s="35" t="str">
        <f t="shared" si="4"/>
        <v/>
      </c>
    </row>
    <row r="37" spans="1:21" ht="25" customHeight="1">
      <c r="A37" s="160"/>
      <c r="B37" s="165"/>
      <c r="C37" s="173"/>
      <c r="D37" s="5">
        <v>9</v>
      </c>
      <c r="E37" s="7"/>
      <c r="F37" s="7"/>
      <c r="G37" s="7"/>
      <c r="H37" s="7"/>
      <c r="I37" s="7"/>
      <c r="J37" s="57"/>
      <c r="K37" s="58" t="str">
        <f t="shared" si="3"/>
        <v/>
      </c>
      <c r="L37" s="177"/>
      <c r="M37" s="173"/>
      <c r="N37" s="5">
        <v>8</v>
      </c>
      <c r="O37" s="59"/>
      <c r="P37" s="7"/>
      <c r="Q37" s="7"/>
      <c r="R37" s="60" t="str">
        <f t="shared" si="5"/>
        <v/>
      </c>
      <c r="S37" s="7"/>
      <c r="T37" s="7"/>
      <c r="U37" s="35" t="str">
        <f t="shared" si="4"/>
        <v/>
      </c>
    </row>
    <row r="38" spans="1:21" ht="25" customHeight="1">
      <c r="A38" s="160"/>
      <c r="B38" s="165"/>
      <c r="C38" s="173"/>
      <c r="D38" s="5">
        <v>10</v>
      </c>
      <c r="E38" s="7"/>
      <c r="F38" s="7"/>
      <c r="G38" s="7"/>
      <c r="H38" s="7"/>
      <c r="I38" s="7"/>
      <c r="J38" s="57"/>
      <c r="K38" s="58" t="str">
        <f t="shared" si="3"/>
        <v/>
      </c>
      <c r="L38" s="177"/>
      <c r="M38" s="173"/>
      <c r="N38" s="5">
        <v>9</v>
      </c>
      <c r="O38" s="59"/>
      <c r="P38" s="7"/>
      <c r="Q38" s="7"/>
      <c r="R38" s="60" t="str">
        <f t="shared" si="5"/>
        <v/>
      </c>
      <c r="S38" s="7"/>
      <c r="T38" s="7"/>
      <c r="U38" s="35" t="str">
        <f t="shared" si="4"/>
        <v/>
      </c>
    </row>
    <row r="39" spans="1:21" ht="25" customHeight="1">
      <c r="A39" s="160"/>
      <c r="B39" s="165"/>
      <c r="C39" s="173"/>
      <c r="D39" s="5">
        <v>11</v>
      </c>
      <c r="E39" s="7"/>
      <c r="F39" s="7"/>
      <c r="G39" s="7"/>
      <c r="H39" s="7"/>
      <c r="I39" s="7"/>
      <c r="J39" s="57"/>
      <c r="K39" s="58" t="str">
        <f t="shared" si="3"/>
        <v/>
      </c>
      <c r="L39" s="177"/>
      <c r="M39" s="173"/>
      <c r="N39" s="5">
        <v>10</v>
      </c>
      <c r="O39" s="59"/>
      <c r="P39" s="7"/>
      <c r="Q39" s="7"/>
      <c r="R39" s="60" t="str">
        <f t="shared" si="5"/>
        <v/>
      </c>
      <c r="S39" s="7"/>
      <c r="T39" s="7"/>
      <c r="U39" s="35" t="str">
        <f t="shared" si="4"/>
        <v/>
      </c>
    </row>
    <row r="40" spans="1:21" ht="25" customHeight="1">
      <c r="A40" s="160"/>
      <c r="B40" s="166"/>
      <c r="C40" s="174"/>
      <c r="D40" s="12"/>
      <c r="E40" s="13" t="s">
        <v>74</v>
      </c>
      <c r="F40" s="41">
        <f>SUM(F30:F39)</f>
        <v>12</v>
      </c>
      <c r="G40" s="41"/>
      <c r="H40" s="116" t="s">
        <v>75</v>
      </c>
      <c r="I40" s="116"/>
      <c r="J40" s="61"/>
      <c r="K40" s="62">
        <f>SUM(K30:K39)</f>
        <v>60</v>
      </c>
      <c r="L40" s="178"/>
      <c r="M40" s="174"/>
      <c r="N40" s="63"/>
      <c r="O40" s="13" t="s">
        <v>76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60"/>
      <c r="B41" s="167" t="s">
        <v>77</v>
      </c>
      <c r="C41" s="170" t="s">
        <v>78</v>
      </c>
      <c r="D41" s="65" t="s">
        <v>79</v>
      </c>
      <c r="E41" s="66" t="s">
        <v>80</v>
      </c>
      <c r="F41" s="67" t="s">
        <v>81</v>
      </c>
      <c r="G41" s="67" t="s">
        <v>82</v>
      </c>
      <c r="H41" s="67" t="s">
        <v>83</v>
      </c>
      <c r="I41" s="66" t="s">
        <v>84</v>
      </c>
      <c r="J41" s="67" t="s">
        <v>85</v>
      </c>
      <c r="K41" s="66" t="s">
        <v>86</v>
      </c>
      <c r="L41" s="126" t="s">
        <v>87</v>
      </c>
      <c r="M41" s="127"/>
      <c r="N41" s="128" t="s">
        <v>88</v>
      </c>
      <c r="O41" s="128"/>
      <c r="P41" s="67" t="s">
        <v>89</v>
      </c>
      <c r="Q41" s="68" t="s">
        <v>90</v>
      </c>
      <c r="R41" s="66" t="s">
        <v>91</v>
      </c>
      <c r="S41" s="67" t="s">
        <v>92</v>
      </c>
      <c r="T41" s="67" t="s">
        <v>93</v>
      </c>
      <c r="U41" s="69" t="s">
        <v>94</v>
      </c>
    </row>
    <row r="42" spans="1:21" ht="25" customHeight="1">
      <c r="A42" s="160"/>
      <c r="B42" s="168"/>
      <c r="C42" s="171"/>
      <c r="D42" s="19">
        <v>1</v>
      </c>
      <c r="E42" s="51" t="s">
        <v>95</v>
      </c>
      <c r="F42" s="51">
        <v>35</v>
      </c>
      <c r="G42" s="70">
        <f t="shared" ref="G42:G57" si="6">IF(E42="","",12/H42*L42)</f>
        <v>925.71428571428601</v>
      </c>
      <c r="H42" s="71">
        <f t="shared" ref="H42:H57" si="7">IF(E42="","",F42/3600)</f>
        <v>9.7222222222222206E-3</v>
      </c>
      <c r="I42" s="51">
        <v>2</v>
      </c>
      <c r="J42" s="72">
        <v>24</v>
      </c>
      <c r="K42" s="73">
        <f t="shared" ref="K42:K57" si="8">IF(E42="","",H42*I42/L42)</f>
        <v>2.5925925925925901E-2</v>
      </c>
      <c r="L42" s="129">
        <v>0.75</v>
      </c>
      <c r="M42" s="129"/>
      <c r="N42" s="130">
        <f t="shared" ref="N42:N57" si="9">IF(F42="","",IF(E42="","",J42*K42))</f>
        <v>0.62222222222222201</v>
      </c>
      <c r="O42" s="130"/>
      <c r="P42" s="51">
        <v>90</v>
      </c>
      <c r="Q42" s="56" t="str">
        <f t="shared" ref="Q42:Q57" si="10">IF(E42="","","10年2班折90%")</f>
        <v>10年2班折90%</v>
      </c>
      <c r="R42" s="73">
        <f t="shared" ref="R42:R57" si="11">IF(E42="","",P42*0.9/10/$U$8/22*H42*10000/L42)</f>
        <v>0.15909090909090901</v>
      </c>
      <c r="S42" s="74">
        <v>60</v>
      </c>
      <c r="T42" s="23">
        <v>0.45</v>
      </c>
      <c r="U42" s="28">
        <f t="shared" ref="U42:U57" si="12">IF(S42="","",S42*T42*$U$7*H42/((L42+(1-L42)/1.4)))</f>
        <v>0.28269230769230802</v>
      </c>
    </row>
    <row r="43" spans="1:21" ht="25" customHeight="1">
      <c r="A43" s="160"/>
      <c r="B43" s="168"/>
      <c r="C43" s="171"/>
      <c r="D43" s="5">
        <v>2</v>
      </c>
      <c r="E43" s="7"/>
      <c r="F43" s="51"/>
      <c r="G43" s="70" t="str">
        <f t="shared" si="6"/>
        <v/>
      </c>
      <c r="H43" s="71" t="str">
        <f t="shared" si="7"/>
        <v/>
      </c>
      <c r="I43" s="7"/>
      <c r="J43" s="75"/>
      <c r="K43" s="73" t="str">
        <f t="shared" si="8"/>
        <v/>
      </c>
      <c r="L43" s="131"/>
      <c r="M43" s="131"/>
      <c r="N43" s="130" t="str">
        <f t="shared" si="9"/>
        <v/>
      </c>
      <c r="O43" s="130"/>
      <c r="P43" s="7"/>
      <c r="Q43" s="60" t="str">
        <f t="shared" si="10"/>
        <v/>
      </c>
      <c r="R43" s="73" t="str">
        <f t="shared" si="11"/>
        <v/>
      </c>
      <c r="S43" s="76"/>
      <c r="T43" s="31"/>
      <c r="U43" s="28" t="str">
        <f t="shared" si="12"/>
        <v/>
      </c>
    </row>
    <row r="44" spans="1:21" ht="25" customHeight="1">
      <c r="A44" s="160"/>
      <c r="B44" s="168"/>
      <c r="C44" s="171"/>
      <c r="D44" s="5">
        <v>3</v>
      </c>
      <c r="E44" s="7"/>
      <c r="F44" s="7"/>
      <c r="G44" s="70" t="str">
        <f t="shared" si="6"/>
        <v/>
      </c>
      <c r="H44" s="71" t="str">
        <f t="shared" si="7"/>
        <v/>
      </c>
      <c r="I44" s="7"/>
      <c r="J44" s="75"/>
      <c r="K44" s="73" t="str">
        <f t="shared" si="8"/>
        <v/>
      </c>
      <c r="L44" s="131"/>
      <c r="M44" s="131"/>
      <c r="N44" s="130" t="str">
        <f t="shared" si="9"/>
        <v/>
      </c>
      <c r="O44" s="130"/>
      <c r="P44" s="7"/>
      <c r="Q44" s="60" t="str">
        <f t="shared" si="10"/>
        <v/>
      </c>
      <c r="R44" s="73" t="str">
        <f t="shared" si="11"/>
        <v/>
      </c>
      <c r="S44" s="76"/>
      <c r="T44" s="31"/>
      <c r="U44" s="28" t="str">
        <f t="shared" si="12"/>
        <v/>
      </c>
    </row>
    <row r="45" spans="1:21" ht="25" customHeight="1">
      <c r="A45" s="160"/>
      <c r="B45" s="168"/>
      <c r="C45" s="171"/>
      <c r="D45" s="5">
        <v>4</v>
      </c>
      <c r="E45" s="7"/>
      <c r="F45" s="7"/>
      <c r="G45" s="70" t="str">
        <f t="shared" si="6"/>
        <v/>
      </c>
      <c r="H45" s="71" t="str">
        <f t="shared" si="7"/>
        <v/>
      </c>
      <c r="I45" s="7"/>
      <c r="J45" s="75"/>
      <c r="K45" s="73" t="str">
        <f t="shared" si="8"/>
        <v/>
      </c>
      <c r="L45" s="131"/>
      <c r="M45" s="131"/>
      <c r="N45" s="130" t="str">
        <f t="shared" si="9"/>
        <v/>
      </c>
      <c r="O45" s="130"/>
      <c r="P45" s="7"/>
      <c r="Q45" s="60" t="str">
        <f t="shared" si="10"/>
        <v/>
      </c>
      <c r="R45" s="73" t="str">
        <f t="shared" si="11"/>
        <v/>
      </c>
      <c r="S45" s="76"/>
      <c r="T45" s="31"/>
      <c r="U45" s="28" t="str">
        <f t="shared" si="12"/>
        <v/>
      </c>
    </row>
    <row r="46" spans="1:21" ht="25" customHeight="1">
      <c r="A46" s="160"/>
      <c r="B46" s="168"/>
      <c r="C46" s="171"/>
      <c r="D46" s="5">
        <v>5</v>
      </c>
      <c r="E46" s="7"/>
      <c r="F46" s="7"/>
      <c r="G46" s="70" t="str">
        <f t="shared" si="6"/>
        <v/>
      </c>
      <c r="H46" s="71" t="str">
        <f t="shared" si="7"/>
        <v/>
      </c>
      <c r="I46" s="7"/>
      <c r="J46" s="75"/>
      <c r="K46" s="73" t="str">
        <f t="shared" si="8"/>
        <v/>
      </c>
      <c r="L46" s="131"/>
      <c r="M46" s="131"/>
      <c r="N46" s="130" t="str">
        <f t="shared" si="9"/>
        <v/>
      </c>
      <c r="O46" s="130"/>
      <c r="P46" s="7"/>
      <c r="Q46" s="60" t="str">
        <f t="shared" si="10"/>
        <v/>
      </c>
      <c r="R46" s="73" t="str">
        <f t="shared" si="11"/>
        <v/>
      </c>
      <c r="S46" s="76"/>
      <c r="T46" s="31"/>
      <c r="U46" s="28" t="str">
        <f t="shared" si="12"/>
        <v/>
      </c>
    </row>
    <row r="47" spans="1:21" ht="25" customHeight="1">
      <c r="A47" s="160"/>
      <c r="B47" s="168"/>
      <c r="C47" s="171"/>
      <c r="D47" s="5">
        <v>6</v>
      </c>
      <c r="E47" s="7"/>
      <c r="F47" s="7"/>
      <c r="G47" s="70" t="str">
        <f t="shared" si="6"/>
        <v/>
      </c>
      <c r="H47" s="71" t="str">
        <f t="shared" si="7"/>
        <v/>
      </c>
      <c r="I47" s="7"/>
      <c r="J47" s="75"/>
      <c r="K47" s="73" t="str">
        <f t="shared" si="8"/>
        <v/>
      </c>
      <c r="L47" s="131"/>
      <c r="M47" s="131"/>
      <c r="N47" s="130" t="str">
        <f t="shared" si="9"/>
        <v/>
      </c>
      <c r="O47" s="130"/>
      <c r="P47" s="7"/>
      <c r="Q47" s="60" t="str">
        <f t="shared" si="10"/>
        <v/>
      </c>
      <c r="R47" s="73" t="str">
        <f t="shared" si="11"/>
        <v/>
      </c>
      <c r="S47" s="76"/>
      <c r="T47" s="31"/>
      <c r="U47" s="28" t="str">
        <f t="shared" si="12"/>
        <v/>
      </c>
    </row>
    <row r="48" spans="1:21" ht="25" customHeight="1">
      <c r="A48" s="160"/>
      <c r="B48" s="168"/>
      <c r="C48" s="171"/>
      <c r="D48" s="5">
        <v>7</v>
      </c>
      <c r="E48" s="7"/>
      <c r="F48" s="7"/>
      <c r="G48" s="70" t="str">
        <f t="shared" si="6"/>
        <v/>
      </c>
      <c r="H48" s="71" t="str">
        <f t="shared" si="7"/>
        <v/>
      </c>
      <c r="I48" s="7"/>
      <c r="J48" s="75"/>
      <c r="K48" s="73" t="str">
        <f t="shared" si="8"/>
        <v/>
      </c>
      <c r="L48" s="131"/>
      <c r="M48" s="131"/>
      <c r="N48" s="130" t="str">
        <f t="shared" si="9"/>
        <v/>
      </c>
      <c r="O48" s="130"/>
      <c r="P48" s="7"/>
      <c r="Q48" s="60" t="str">
        <f t="shared" si="10"/>
        <v/>
      </c>
      <c r="R48" s="73" t="str">
        <f t="shared" si="11"/>
        <v/>
      </c>
      <c r="S48" s="76"/>
      <c r="T48" s="31"/>
      <c r="U48" s="28" t="str">
        <f t="shared" si="12"/>
        <v/>
      </c>
    </row>
    <row r="49" spans="1:21" ht="25" customHeight="1">
      <c r="A49" s="160"/>
      <c r="B49" s="168"/>
      <c r="C49" s="171"/>
      <c r="D49" s="5">
        <v>8</v>
      </c>
      <c r="E49" s="7"/>
      <c r="F49" s="7"/>
      <c r="G49" s="70" t="str">
        <f t="shared" si="6"/>
        <v/>
      </c>
      <c r="H49" s="71" t="str">
        <f t="shared" si="7"/>
        <v/>
      </c>
      <c r="I49" s="7"/>
      <c r="J49" s="75"/>
      <c r="K49" s="73" t="str">
        <f t="shared" si="8"/>
        <v/>
      </c>
      <c r="L49" s="131"/>
      <c r="M49" s="131"/>
      <c r="N49" s="130" t="str">
        <f t="shared" si="9"/>
        <v/>
      </c>
      <c r="O49" s="130"/>
      <c r="P49" s="7"/>
      <c r="Q49" s="60" t="str">
        <f t="shared" si="10"/>
        <v/>
      </c>
      <c r="R49" s="73" t="str">
        <f t="shared" si="11"/>
        <v/>
      </c>
      <c r="S49" s="76"/>
      <c r="T49" s="31"/>
      <c r="U49" s="28" t="str">
        <f t="shared" si="12"/>
        <v/>
      </c>
    </row>
    <row r="50" spans="1:21" ht="25" customHeight="1">
      <c r="A50" s="160"/>
      <c r="B50" s="168"/>
      <c r="C50" s="171"/>
      <c r="D50" s="5">
        <v>9</v>
      </c>
      <c r="E50" s="7"/>
      <c r="F50" s="7"/>
      <c r="G50" s="70" t="str">
        <f t="shared" si="6"/>
        <v/>
      </c>
      <c r="H50" s="71" t="str">
        <f t="shared" si="7"/>
        <v/>
      </c>
      <c r="I50" s="7"/>
      <c r="J50" s="75"/>
      <c r="K50" s="73" t="str">
        <f t="shared" si="8"/>
        <v/>
      </c>
      <c r="L50" s="131"/>
      <c r="M50" s="131"/>
      <c r="N50" s="130" t="str">
        <f t="shared" si="9"/>
        <v/>
      </c>
      <c r="O50" s="130"/>
      <c r="P50" s="7"/>
      <c r="Q50" s="60" t="str">
        <f t="shared" si="10"/>
        <v/>
      </c>
      <c r="R50" s="73" t="str">
        <f t="shared" si="11"/>
        <v/>
      </c>
      <c r="S50" s="76"/>
      <c r="T50" s="31"/>
      <c r="U50" s="28" t="str">
        <f t="shared" si="12"/>
        <v/>
      </c>
    </row>
    <row r="51" spans="1:21" ht="25" customHeight="1">
      <c r="A51" s="160"/>
      <c r="B51" s="168"/>
      <c r="C51" s="171"/>
      <c r="D51" s="5">
        <v>10</v>
      </c>
      <c r="E51" s="7"/>
      <c r="F51" s="7"/>
      <c r="G51" s="70" t="str">
        <f t="shared" si="6"/>
        <v/>
      </c>
      <c r="H51" s="71" t="str">
        <f t="shared" si="7"/>
        <v/>
      </c>
      <c r="I51" s="7"/>
      <c r="J51" s="75"/>
      <c r="K51" s="73" t="str">
        <f t="shared" si="8"/>
        <v/>
      </c>
      <c r="L51" s="131"/>
      <c r="M51" s="131"/>
      <c r="N51" s="130" t="str">
        <f t="shared" si="9"/>
        <v/>
      </c>
      <c r="O51" s="130"/>
      <c r="P51" s="7"/>
      <c r="Q51" s="60" t="str">
        <f t="shared" si="10"/>
        <v/>
      </c>
      <c r="R51" s="73" t="str">
        <f t="shared" si="11"/>
        <v/>
      </c>
      <c r="S51" s="76"/>
      <c r="T51" s="31"/>
      <c r="U51" s="28" t="str">
        <f t="shared" si="12"/>
        <v/>
      </c>
    </row>
    <row r="52" spans="1:21" ht="25" customHeight="1">
      <c r="A52" s="160"/>
      <c r="B52" s="168"/>
      <c r="C52" s="171"/>
      <c r="D52" s="5">
        <v>11</v>
      </c>
      <c r="E52" s="7"/>
      <c r="F52" s="7"/>
      <c r="G52" s="70" t="str">
        <f t="shared" si="6"/>
        <v/>
      </c>
      <c r="H52" s="71" t="str">
        <f t="shared" si="7"/>
        <v/>
      </c>
      <c r="I52" s="7"/>
      <c r="J52" s="75"/>
      <c r="K52" s="73" t="str">
        <f t="shared" si="8"/>
        <v/>
      </c>
      <c r="L52" s="131"/>
      <c r="M52" s="131"/>
      <c r="N52" s="130" t="str">
        <f t="shared" si="9"/>
        <v/>
      </c>
      <c r="O52" s="130"/>
      <c r="P52" s="7"/>
      <c r="Q52" s="60" t="str">
        <f t="shared" si="10"/>
        <v/>
      </c>
      <c r="R52" s="73" t="str">
        <f t="shared" si="11"/>
        <v/>
      </c>
      <c r="S52" s="76"/>
      <c r="T52" s="31"/>
      <c r="U52" s="28" t="str">
        <f t="shared" si="12"/>
        <v/>
      </c>
    </row>
    <row r="53" spans="1:21" ht="25" customHeight="1">
      <c r="A53" s="160"/>
      <c r="B53" s="168"/>
      <c r="C53" s="171"/>
      <c r="D53" s="5">
        <v>12</v>
      </c>
      <c r="E53" s="7"/>
      <c r="F53" s="7"/>
      <c r="G53" s="70" t="str">
        <f t="shared" si="6"/>
        <v/>
      </c>
      <c r="H53" s="71" t="str">
        <f t="shared" si="7"/>
        <v/>
      </c>
      <c r="I53" s="7"/>
      <c r="J53" s="75"/>
      <c r="K53" s="73" t="str">
        <f t="shared" si="8"/>
        <v/>
      </c>
      <c r="L53" s="131"/>
      <c r="M53" s="131"/>
      <c r="N53" s="130" t="str">
        <f t="shared" si="9"/>
        <v/>
      </c>
      <c r="O53" s="130"/>
      <c r="P53" s="7"/>
      <c r="Q53" s="60" t="str">
        <f t="shared" si="10"/>
        <v/>
      </c>
      <c r="R53" s="73" t="str">
        <f t="shared" si="11"/>
        <v/>
      </c>
      <c r="S53" s="76"/>
      <c r="T53" s="31"/>
      <c r="U53" s="28" t="str">
        <f t="shared" si="12"/>
        <v/>
      </c>
    </row>
    <row r="54" spans="1:21" ht="25" customHeight="1">
      <c r="A54" s="160"/>
      <c r="B54" s="168"/>
      <c r="C54" s="171"/>
      <c r="D54" s="5">
        <v>13</v>
      </c>
      <c r="E54" s="7"/>
      <c r="F54" s="7"/>
      <c r="G54" s="70" t="str">
        <f t="shared" si="6"/>
        <v/>
      </c>
      <c r="H54" s="71" t="str">
        <f t="shared" si="7"/>
        <v/>
      </c>
      <c r="I54" s="7"/>
      <c r="J54" s="75"/>
      <c r="K54" s="73" t="str">
        <f t="shared" si="8"/>
        <v/>
      </c>
      <c r="L54" s="131"/>
      <c r="M54" s="131"/>
      <c r="N54" s="130" t="str">
        <f t="shared" si="9"/>
        <v/>
      </c>
      <c r="O54" s="130"/>
      <c r="P54" s="7"/>
      <c r="Q54" s="60" t="str">
        <f t="shared" si="10"/>
        <v/>
      </c>
      <c r="R54" s="73" t="str">
        <f t="shared" si="11"/>
        <v/>
      </c>
      <c r="S54" s="76"/>
      <c r="T54" s="31"/>
      <c r="U54" s="28" t="str">
        <f t="shared" si="12"/>
        <v/>
      </c>
    </row>
    <row r="55" spans="1:21" ht="25" customHeight="1">
      <c r="A55" s="160"/>
      <c r="B55" s="168"/>
      <c r="C55" s="171"/>
      <c r="D55" s="5">
        <v>14</v>
      </c>
      <c r="E55" s="7"/>
      <c r="F55" s="7"/>
      <c r="G55" s="70" t="str">
        <f t="shared" si="6"/>
        <v/>
      </c>
      <c r="H55" s="71" t="str">
        <f t="shared" si="7"/>
        <v/>
      </c>
      <c r="I55" s="7"/>
      <c r="J55" s="75"/>
      <c r="K55" s="73" t="str">
        <f t="shared" si="8"/>
        <v/>
      </c>
      <c r="L55" s="131"/>
      <c r="M55" s="131"/>
      <c r="N55" s="130" t="str">
        <f t="shared" si="9"/>
        <v/>
      </c>
      <c r="O55" s="130"/>
      <c r="P55" s="7"/>
      <c r="Q55" s="60" t="str">
        <f t="shared" si="10"/>
        <v/>
      </c>
      <c r="R55" s="73" t="str">
        <f t="shared" si="11"/>
        <v/>
      </c>
      <c r="S55" s="76"/>
      <c r="T55" s="31"/>
      <c r="U55" s="28" t="str">
        <f t="shared" si="12"/>
        <v/>
      </c>
    </row>
    <row r="56" spans="1:21" ht="25" customHeight="1">
      <c r="A56" s="160"/>
      <c r="B56" s="168"/>
      <c r="C56" s="171"/>
      <c r="D56" s="5">
        <v>15</v>
      </c>
      <c r="E56" s="7"/>
      <c r="F56" s="7"/>
      <c r="G56" s="70" t="str">
        <f t="shared" si="6"/>
        <v/>
      </c>
      <c r="H56" s="71" t="str">
        <f t="shared" si="7"/>
        <v/>
      </c>
      <c r="I56" s="7"/>
      <c r="J56" s="75"/>
      <c r="K56" s="73" t="str">
        <f t="shared" si="8"/>
        <v/>
      </c>
      <c r="L56" s="131"/>
      <c r="M56" s="131"/>
      <c r="N56" s="130" t="str">
        <f t="shared" si="9"/>
        <v/>
      </c>
      <c r="O56" s="130"/>
      <c r="P56" s="7"/>
      <c r="Q56" s="60" t="str">
        <f t="shared" si="10"/>
        <v/>
      </c>
      <c r="R56" s="73" t="str">
        <f t="shared" si="11"/>
        <v/>
      </c>
      <c r="S56" s="76"/>
      <c r="T56" s="31"/>
      <c r="U56" s="28" t="str">
        <f t="shared" si="12"/>
        <v/>
      </c>
    </row>
    <row r="57" spans="1:21" ht="25" customHeight="1">
      <c r="A57" s="160"/>
      <c r="B57" s="168"/>
      <c r="C57" s="171"/>
      <c r="D57" s="5">
        <v>16</v>
      </c>
      <c r="E57" s="7"/>
      <c r="F57" s="7"/>
      <c r="G57" s="70" t="str">
        <f t="shared" si="6"/>
        <v/>
      </c>
      <c r="H57" s="71" t="str">
        <f t="shared" si="7"/>
        <v/>
      </c>
      <c r="I57" s="7"/>
      <c r="J57" s="75"/>
      <c r="K57" s="73" t="str">
        <f t="shared" si="8"/>
        <v/>
      </c>
      <c r="L57" s="131"/>
      <c r="M57" s="131"/>
      <c r="N57" s="130" t="str">
        <f t="shared" si="9"/>
        <v/>
      </c>
      <c r="O57" s="130"/>
      <c r="P57" s="7"/>
      <c r="Q57" s="60" t="str">
        <f t="shared" si="10"/>
        <v/>
      </c>
      <c r="R57" s="73" t="str">
        <f t="shared" si="11"/>
        <v/>
      </c>
      <c r="S57" s="76"/>
      <c r="T57" s="31"/>
      <c r="U57" s="28" t="str">
        <f t="shared" si="12"/>
        <v/>
      </c>
    </row>
    <row r="58" spans="1:21" ht="25" customHeight="1">
      <c r="A58" s="160"/>
      <c r="B58" s="169"/>
      <c r="C58" s="175"/>
      <c r="D58" s="77">
        <v>17</v>
      </c>
      <c r="E58" s="78"/>
      <c r="F58" s="78"/>
      <c r="G58" s="78"/>
      <c r="H58" s="78"/>
      <c r="I58" s="78"/>
      <c r="J58" s="78" t="s">
        <v>96</v>
      </c>
      <c r="K58" s="13">
        <f>SUM(K42:K57)</f>
        <v>2.5925925925925901E-2</v>
      </c>
      <c r="L58" s="116" t="s">
        <v>97</v>
      </c>
      <c r="M58" s="116"/>
      <c r="N58" s="132">
        <f>SUM(N42:O57)</f>
        <v>0.62222222222222201</v>
      </c>
      <c r="O58" s="132"/>
      <c r="P58" s="79"/>
      <c r="Q58" s="80" t="s">
        <v>98</v>
      </c>
      <c r="R58" s="81">
        <f>SUM(R42:R57)</f>
        <v>0.15909090909090901</v>
      </c>
      <c r="S58" s="82"/>
      <c r="T58" s="83" t="s">
        <v>99</v>
      </c>
      <c r="U58" s="84">
        <f>SUM(U42:U57)</f>
        <v>0.28269230769230802</v>
      </c>
    </row>
    <row r="59" spans="1:21" ht="25" customHeight="1">
      <c r="A59" s="160"/>
      <c r="B59" s="19" t="s">
        <v>100</v>
      </c>
      <c r="C59" s="133" t="s">
        <v>101</v>
      </c>
      <c r="D59" s="134"/>
      <c r="E59" s="85">
        <f>IF(U6="",N58,U6*K58)</f>
        <v>0.62222222222222201</v>
      </c>
      <c r="F59" s="135" t="s">
        <v>102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36"/>
      <c r="Q59" s="137" t="s">
        <v>103</v>
      </c>
      <c r="R59" s="137"/>
      <c r="S59" s="138"/>
      <c r="T59" s="138"/>
      <c r="U59" s="139"/>
    </row>
    <row r="60" spans="1:21" ht="25" customHeight="1">
      <c r="A60" s="160"/>
      <c r="B60" s="5" t="s">
        <v>104</v>
      </c>
      <c r="C60" s="107" t="s">
        <v>105</v>
      </c>
      <c r="D60" s="140"/>
      <c r="E60" s="86">
        <f>(K27+K40+U40+R58+U58+E59+U27)*O8</f>
        <v>0.69618705439005402</v>
      </c>
      <c r="F60" s="141" t="s">
        <v>106</v>
      </c>
      <c r="G60" s="141"/>
      <c r="H60" s="141"/>
      <c r="I60" s="141"/>
      <c r="J60" s="141"/>
      <c r="K60" s="141"/>
      <c r="L60" s="141"/>
      <c r="M60" s="141"/>
      <c r="N60" s="141"/>
      <c r="O60" s="141"/>
      <c r="P60" s="142"/>
      <c r="Q60" s="143" t="s">
        <v>107</v>
      </c>
      <c r="R60" s="143"/>
      <c r="S60" s="144"/>
      <c r="T60" s="145"/>
      <c r="U60" s="146"/>
    </row>
    <row r="61" spans="1:21" ht="25" customHeight="1">
      <c r="A61" s="160"/>
      <c r="B61" s="5" t="s">
        <v>108</v>
      </c>
      <c r="C61" s="107" t="s">
        <v>109</v>
      </c>
      <c r="D61" s="140"/>
      <c r="E61" s="86">
        <f>(K27+U27)*0.03+(K40+U40+R58+U58+E59+E60)*0.05</f>
        <v>3.3446506246697698</v>
      </c>
      <c r="F61" s="141" t="s">
        <v>110</v>
      </c>
      <c r="G61" s="141"/>
      <c r="H61" s="141"/>
      <c r="I61" s="141"/>
      <c r="J61" s="141"/>
      <c r="K61" s="141"/>
      <c r="L61" s="141"/>
      <c r="M61" s="141"/>
      <c r="N61" s="141"/>
      <c r="O61" s="141"/>
      <c r="P61" s="142"/>
      <c r="Q61" s="147" t="s">
        <v>111</v>
      </c>
      <c r="R61" s="147"/>
      <c r="S61" s="109"/>
      <c r="T61" s="148"/>
      <c r="U61" s="149"/>
    </row>
    <row r="62" spans="1:21" ht="25" customHeight="1">
      <c r="A62" s="160"/>
      <c r="B62" s="5" t="s">
        <v>112</v>
      </c>
      <c r="C62" s="107" t="s">
        <v>113</v>
      </c>
      <c r="D62" s="140"/>
      <c r="E62" s="87">
        <v>1</v>
      </c>
      <c r="F62" s="141" t="s">
        <v>114</v>
      </c>
      <c r="G62" s="141"/>
      <c r="H62" s="141"/>
      <c r="I62" s="141"/>
      <c r="J62" s="141"/>
      <c r="K62" s="141"/>
      <c r="L62" s="141"/>
      <c r="M62" s="141"/>
      <c r="N62" s="141"/>
      <c r="O62" s="141"/>
      <c r="P62" s="142"/>
      <c r="Q62" s="147" t="s">
        <v>115</v>
      </c>
      <c r="R62" s="147"/>
      <c r="S62" s="109"/>
      <c r="T62" s="148"/>
      <c r="U62" s="149"/>
    </row>
    <row r="63" spans="1:21" ht="25" customHeight="1">
      <c r="A63" s="160"/>
      <c r="B63" s="5" t="s">
        <v>116</v>
      </c>
      <c r="C63" s="107" t="s">
        <v>117</v>
      </c>
      <c r="D63" s="140"/>
      <c r="E63" s="88">
        <v>1</v>
      </c>
      <c r="F63" s="141" t="s">
        <v>118</v>
      </c>
      <c r="G63" s="141"/>
      <c r="H63" s="141"/>
      <c r="I63" s="141"/>
      <c r="J63" s="141"/>
      <c r="K63" s="141"/>
      <c r="L63" s="141"/>
      <c r="M63" s="141"/>
      <c r="N63" s="141"/>
      <c r="O63" s="141"/>
      <c r="P63" s="142"/>
      <c r="Q63" s="150"/>
      <c r="R63" s="150"/>
      <c r="S63" s="151"/>
      <c r="T63" s="152"/>
      <c r="U63" s="153"/>
    </row>
    <row r="64" spans="1:21" ht="25" customHeight="1">
      <c r="A64" s="160"/>
      <c r="B64" s="5" t="s">
        <v>119</v>
      </c>
      <c r="C64" s="107" t="s">
        <v>120</v>
      </c>
      <c r="D64" s="140"/>
      <c r="E64" s="89">
        <f>K27+U27+K40+R58+U58+E59+E60+E61+E62+E63+U40-S60</f>
        <v>75.659543118065201</v>
      </c>
      <c r="F64" s="141" t="s">
        <v>121</v>
      </c>
      <c r="G64" s="141"/>
      <c r="H64" s="141"/>
      <c r="I64" s="141"/>
      <c r="J64" s="141"/>
      <c r="K64" s="141"/>
      <c r="L64" s="141"/>
      <c r="M64" s="141"/>
      <c r="N64" s="141"/>
      <c r="O64" s="141"/>
      <c r="P64" s="142"/>
      <c r="Q64" s="154" t="s">
        <v>122</v>
      </c>
      <c r="R64" s="154"/>
      <c r="S64" s="154"/>
      <c r="T64" s="154"/>
      <c r="U64" s="155"/>
    </row>
    <row r="65" spans="1:21" ht="25" customHeight="1">
      <c r="A65" s="160"/>
      <c r="B65" s="5" t="s">
        <v>123</v>
      </c>
      <c r="C65" s="107" t="s">
        <v>124</v>
      </c>
      <c r="D65" s="140"/>
      <c r="E65" s="90">
        <v>0.05</v>
      </c>
      <c r="F65" s="141" t="s">
        <v>125</v>
      </c>
      <c r="G65" s="141"/>
      <c r="H65" s="141"/>
      <c r="I65" s="141"/>
      <c r="J65" s="141"/>
      <c r="K65" s="141"/>
      <c r="L65" s="141"/>
      <c r="M65" s="141"/>
      <c r="N65" s="141"/>
      <c r="O65" s="141"/>
      <c r="P65" s="142"/>
      <c r="Q65" s="179"/>
      <c r="R65" s="179"/>
      <c r="S65" s="179"/>
      <c r="T65" s="179"/>
      <c r="U65" s="180"/>
    </row>
    <row r="66" spans="1:21" ht="25" customHeight="1">
      <c r="A66" s="160"/>
      <c r="B66" s="5" t="s">
        <v>126</v>
      </c>
      <c r="C66" s="107" t="s">
        <v>127</v>
      </c>
      <c r="D66" s="140"/>
      <c r="E66" s="86">
        <f>E64*E65</f>
        <v>3.7829771559032599</v>
      </c>
      <c r="F66" s="141" t="s">
        <v>128</v>
      </c>
      <c r="G66" s="141"/>
      <c r="H66" s="141"/>
      <c r="I66" s="141"/>
      <c r="J66" s="141"/>
      <c r="K66" s="141"/>
      <c r="L66" s="141"/>
      <c r="M66" s="141"/>
      <c r="N66" s="141"/>
      <c r="O66" s="141"/>
      <c r="P66" s="142"/>
      <c r="Q66" s="179"/>
      <c r="R66" s="179"/>
      <c r="S66" s="179"/>
      <c r="T66" s="179"/>
      <c r="U66" s="180"/>
    </row>
    <row r="67" spans="1:21" ht="25" customHeight="1">
      <c r="A67" s="160"/>
      <c r="B67" s="5" t="s">
        <v>129</v>
      </c>
      <c r="C67" s="107" t="s">
        <v>130</v>
      </c>
      <c r="D67" s="140"/>
      <c r="E67" s="86">
        <f>E64+E66</f>
        <v>79.442520273968498</v>
      </c>
      <c r="F67" s="141" t="s">
        <v>131</v>
      </c>
      <c r="G67" s="141"/>
      <c r="H67" s="141"/>
      <c r="I67" s="141"/>
      <c r="J67" s="141"/>
      <c r="K67" s="141"/>
      <c r="L67" s="141"/>
      <c r="M67" s="141"/>
      <c r="N67" s="141"/>
      <c r="O67" s="141"/>
      <c r="P67" s="142"/>
      <c r="Q67" s="179"/>
      <c r="R67" s="179"/>
      <c r="S67" s="179"/>
      <c r="T67" s="179"/>
      <c r="U67" s="180"/>
    </row>
    <row r="68" spans="1:21" ht="25" customHeight="1">
      <c r="A68" s="160"/>
      <c r="B68" s="5" t="s">
        <v>132</v>
      </c>
      <c r="C68" s="107" t="s">
        <v>133</v>
      </c>
      <c r="D68" s="140"/>
      <c r="E68" s="86">
        <f>E67*0.13</f>
        <v>10.327527635615899</v>
      </c>
      <c r="F68" s="141" t="s">
        <v>134</v>
      </c>
      <c r="G68" s="141"/>
      <c r="H68" s="141"/>
      <c r="I68" s="141"/>
      <c r="J68" s="141"/>
      <c r="K68" s="141"/>
      <c r="L68" s="141"/>
      <c r="M68" s="141"/>
      <c r="N68" s="141"/>
      <c r="O68" s="141"/>
      <c r="P68" s="142"/>
      <c r="Q68" s="179"/>
      <c r="R68" s="179"/>
      <c r="S68" s="179"/>
      <c r="T68" s="179"/>
      <c r="U68" s="180"/>
    </row>
    <row r="69" spans="1:21" ht="25" customHeight="1">
      <c r="A69" s="160"/>
      <c r="B69" s="77" t="s">
        <v>135</v>
      </c>
      <c r="C69" s="156" t="s">
        <v>136</v>
      </c>
      <c r="D69" s="157"/>
      <c r="E69" s="91">
        <f>E67+E68</f>
        <v>89.770047909584406</v>
      </c>
      <c r="F69" s="158" t="s">
        <v>137</v>
      </c>
      <c r="G69" s="158"/>
      <c r="H69" s="158"/>
      <c r="I69" s="158"/>
      <c r="J69" s="158"/>
      <c r="K69" s="158"/>
      <c r="L69" s="158"/>
      <c r="M69" s="158"/>
      <c r="N69" s="158"/>
      <c r="O69" s="158"/>
      <c r="P69" s="159"/>
      <c r="Q69" s="181"/>
      <c r="R69" s="181"/>
      <c r="S69" s="181"/>
      <c r="T69" s="181"/>
      <c r="U69" s="182"/>
    </row>
  </sheetData>
  <sheetProtection algorithmName="SHA-512" hashValue="4y0XSNgF5K3xKU/uBrK/VDSli4F5qBkJdkYFOAOPv16Mo8Jq7xFdYJwIAumY9Qj9+5K1sAAYadT+WmvJ2gbs5w==" saltValue="n07tc34QEFUMnv0JkhW4tQ==" spinCount="100000" sheet="1" objects="1"/>
  <mergeCells count="119">
    <mergeCell ref="Q65:U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M28:M40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M9:M27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</mergeCells>
  <pageMargins left="0.75" right="0.75" top="1" bottom="1" header="0.5" footer="0.5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"/>
  <sheetViews>
    <sheetView showGridLines="0" view="pageBreakPreview" topLeftCell="A55" zoomScaleNormal="85" workbookViewId="0">
      <selection activeCell="E67" sqref="E67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332031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16384" width="9" style="1"/>
  </cols>
  <sheetData>
    <row r="1" spans="1:21">
      <c r="A1" s="160"/>
    </row>
    <row r="2" spans="1:21" ht="40" customHeight="1">
      <c r="A2" s="160"/>
      <c r="B2" s="92" t="s">
        <v>0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4"/>
    </row>
    <row r="3" spans="1:21" ht="31" customHeight="1">
      <c r="A3" s="160"/>
      <c r="B3" s="95" t="s">
        <v>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7"/>
    </row>
    <row r="4" spans="1:21" ht="28" customHeight="1">
      <c r="A4" s="160"/>
      <c r="B4" s="161" t="s">
        <v>2</v>
      </c>
      <c r="C4" s="98" t="s">
        <v>3</v>
      </c>
      <c r="D4" s="99"/>
      <c r="E4" s="100" t="s">
        <v>4</v>
      </c>
      <c r="F4" s="100"/>
      <c r="G4" s="3" t="s">
        <v>5</v>
      </c>
      <c r="H4" s="100">
        <v>1500</v>
      </c>
      <c r="I4" s="100"/>
      <c r="J4" s="101"/>
      <c r="K4" s="102"/>
      <c r="L4" s="161" t="s">
        <v>6</v>
      </c>
      <c r="M4" s="98" t="s">
        <v>7</v>
      </c>
      <c r="N4" s="99"/>
      <c r="O4" s="103" t="s">
        <v>138</v>
      </c>
      <c r="P4" s="104"/>
      <c r="Q4" s="3" t="s">
        <v>9</v>
      </c>
      <c r="R4" s="105">
        <v>46188</v>
      </c>
      <c r="S4" s="105"/>
      <c r="T4" s="2" t="s">
        <v>10</v>
      </c>
      <c r="U4" s="4">
        <v>0.16</v>
      </c>
    </row>
    <row r="5" spans="1:21" ht="28" customHeight="1">
      <c r="A5" s="160"/>
      <c r="B5" s="162"/>
      <c r="C5" s="106" t="s">
        <v>11</v>
      </c>
      <c r="D5" s="107"/>
      <c r="E5" s="108" t="s">
        <v>12</v>
      </c>
      <c r="F5" s="108"/>
      <c r="G5" s="8" t="s">
        <v>13</v>
      </c>
      <c r="H5" s="108">
        <v>150</v>
      </c>
      <c r="I5" s="108"/>
      <c r="J5" s="109"/>
      <c r="K5" s="110"/>
      <c r="L5" s="162"/>
      <c r="M5" s="106" t="s">
        <v>14</v>
      </c>
      <c r="N5" s="107"/>
      <c r="O5" s="111" t="s">
        <v>139</v>
      </c>
      <c r="P5" s="112"/>
      <c r="Q5" s="6" t="s">
        <v>16</v>
      </c>
      <c r="R5" s="113" t="s">
        <v>17</v>
      </c>
      <c r="S5" s="113"/>
      <c r="T5" s="6" t="s">
        <v>18</v>
      </c>
      <c r="U5" s="9">
        <v>0.22500000000000001</v>
      </c>
    </row>
    <row r="6" spans="1:21" ht="28" customHeight="1">
      <c r="A6" s="160"/>
      <c r="B6" s="162"/>
      <c r="C6" s="106" t="s">
        <v>19</v>
      </c>
      <c r="D6" s="107"/>
      <c r="E6" s="108" t="s">
        <v>20</v>
      </c>
      <c r="F6" s="108"/>
      <c r="G6" s="8" t="s">
        <v>21</v>
      </c>
      <c r="H6" s="108">
        <v>100</v>
      </c>
      <c r="I6" s="108"/>
      <c r="J6" s="109"/>
      <c r="K6" s="110"/>
      <c r="L6" s="162"/>
      <c r="M6" s="114" t="s">
        <v>22</v>
      </c>
      <c r="N6" s="107"/>
      <c r="O6" s="112">
        <v>0.2</v>
      </c>
      <c r="P6" s="112"/>
      <c r="Q6" s="6" t="s">
        <v>16</v>
      </c>
      <c r="R6" s="113" t="s">
        <v>17</v>
      </c>
      <c r="S6" s="113"/>
      <c r="T6" s="8" t="s">
        <v>23</v>
      </c>
      <c r="U6" s="11"/>
    </row>
    <row r="7" spans="1:21" ht="28" customHeight="1">
      <c r="A7" s="160"/>
      <c r="B7" s="162"/>
      <c r="C7" s="106" t="s">
        <v>24</v>
      </c>
      <c r="D7" s="107"/>
      <c r="E7" s="108" t="s">
        <v>25</v>
      </c>
      <c r="F7" s="108"/>
      <c r="G7" s="6" t="s">
        <v>26</v>
      </c>
      <c r="H7" s="108" t="s">
        <v>27</v>
      </c>
      <c r="I7" s="108"/>
      <c r="J7" s="109"/>
      <c r="K7" s="110"/>
      <c r="L7" s="162"/>
      <c r="M7" s="106" t="s">
        <v>28</v>
      </c>
      <c r="N7" s="107"/>
      <c r="O7" s="112"/>
      <c r="P7" s="112"/>
      <c r="Q7" s="6" t="s">
        <v>29</v>
      </c>
      <c r="R7" s="113" t="s">
        <v>17</v>
      </c>
      <c r="S7" s="113"/>
      <c r="T7" s="8" t="s">
        <v>30</v>
      </c>
      <c r="U7" s="9">
        <v>1</v>
      </c>
    </row>
    <row r="8" spans="1:21" ht="28" customHeight="1">
      <c r="A8" s="160"/>
      <c r="B8" s="163"/>
      <c r="C8" s="115" t="s">
        <v>31</v>
      </c>
      <c r="D8" s="116"/>
      <c r="E8" s="117">
        <v>13968329293</v>
      </c>
      <c r="F8" s="117"/>
      <c r="G8" s="13" t="s">
        <v>32</v>
      </c>
      <c r="H8" s="117" t="s">
        <v>33</v>
      </c>
      <c r="I8" s="117"/>
      <c r="J8" s="118"/>
      <c r="K8" s="119"/>
      <c r="L8" s="163"/>
      <c r="M8" s="120" t="s">
        <v>34</v>
      </c>
      <c r="N8" s="116"/>
      <c r="O8" s="121">
        <v>0.01</v>
      </c>
      <c r="P8" s="121"/>
      <c r="Q8" s="13" t="s">
        <v>35</v>
      </c>
      <c r="R8" s="122" t="s">
        <v>17</v>
      </c>
      <c r="S8" s="122"/>
      <c r="T8" s="15" t="s">
        <v>36</v>
      </c>
      <c r="U8" s="14">
        <v>300</v>
      </c>
    </row>
    <row r="9" spans="1:21" ht="25" customHeight="1">
      <c r="A9" s="160"/>
      <c r="B9" s="164" t="s">
        <v>37</v>
      </c>
      <c r="C9" s="170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176" t="s">
        <v>47</v>
      </c>
      <c r="M9" s="170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60"/>
      <c r="B10" s="165"/>
      <c r="C10" s="171"/>
      <c r="D10" s="19">
        <v>1</v>
      </c>
      <c r="E10" s="20" t="s">
        <v>50</v>
      </c>
      <c r="F10" s="21"/>
      <c r="G10" s="22"/>
      <c r="H10" s="22">
        <v>0.22500000000000001</v>
      </c>
      <c r="I10" s="23">
        <v>0.01</v>
      </c>
      <c r="J10" s="22">
        <v>22</v>
      </c>
      <c r="K10" s="24">
        <f t="shared" ref="K10:K12" si="0">IF(J10="","",J10*H10*(1+I10))</f>
        <v>4.9995000000000003</v>
      </c>
      <c r="L10" s="177"/>
      <c r="M10" s="171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1">IF(T10="","",T10*R10*(1+S10))</f>
        <v/>
      </c>
    </row>
    <row r="11" spans="1:21" ht="25" customHeight="1">
      <c r="A11" s="160"/>
      <c r="B11" s="165"/>
      <c r="C11" s="171"/>
      <c r="D11" s="5">
        <v>2</v>
      </c>
      <c r="E11" s="29"/>
      <c r="F11" s="29"/>
      <c r="G11" s="30"/>
      <c r="H11" s="30"/>
      <c r="I11" s="31"/>
      <c r="J11" s="30"/>
      <c r="K11" s="32" t="str">
        <f t="shared" si="0"/>
        <v/>
      </c>
      <c r="L11" s="177"/>
      <c r="M11" s="171"/>
      <c r="N11" s="5">
        <v>2</v>
      </c>
      <c r="O11" s="33"/>
      <c r="P11" s="29"/>
      <c r="Q11" s="30"/>
      <c r="R11" s="30"/>
      <c r="S11" s="34"/>
      <c r="T11" s="30"/>
      <c r="U11" s="35" t="str">
        <f t="shared" si="1"/>
        <v/>
      </c>
    </row>
    <row r="12" spans="1:21" ht="25" customHeight="1">
      <c r="A12" s="160"/>
      <c r="B12" s="165"/>
      <c r="C12" s="171"/>
      <c r="D12" s="5">
        <v>3</v>
      </c>
      <c r="E12" s="29"/>
      <c r="F12" s="29"/>
      <c r="G12" s="30"/>
      <c r="H12" s="30"/>
      <c r="I12" s="31"/>
      <c r="J12" s="30"/>
      <c r="K12" s="32" t="str">
        <f t="shared" si="0"/>
        <v/>
      </c>
      <c r="L12" s="177"/>
      <c r="M12" s="171"/>
      <c r="N12" s="5">
        <v>3</v>
      </c>
      <c r="O12" s="33"/>
      <c r="P12" s="29"/>
      <c r="Q12" s="30"/>
      <c r="R12" s="30"/>
      <c r="S12" s="34"/>
      <c r="T12" s="30"/>
      <c r="U12" s="35" t="str">
        <f t="shared" si="1"/>
        <v/>
      </c>
    </row>
    <row r="13" spans="1:21" ht="25" customHeight="1">
      <c r="A13" s="160"/>
      <c r="B13" s="165"/>
      <c r="C13" s="171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177"/>
      <c r="M13" s="171"/>
      <c r="N13" s="5">
        <v>4</v>
      </c>
      <c r="O13" s="33"/>
      <c r="P13" s="29"/>
      <c r="Q13" s="30"/>
      <c r="R13" s="30"/>
      <c r="S13" s="34"/>
      <c r="T13" s="30"/>
      <c r="U13" s="35" t="str">
        <f t="shared" si="1"/>
        <v/>
      </c>
    </row>
    <row r="14" spans="1:21" ht="25" customHeight="1">
      <c r="A14" s="160"/>
      <c r="B14" s="165"/>
      <c r="C14" s="171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2">IF(J14="","",J14*H14*(1+I14))</f>
        <v/>
      </c>
      <c r="L14" s="177"/>
      <c r="M14" s="171"/>
      <c r="N14" s="5">
        <v>5</v>
      </c>
      <c r="O14" s="33"/>
      <c r="P14" s="29"/>
      <c r="Q14" s="30"/>
      <c r="R14" s="30"/>
      <c r="S14" s="34"/>
      <c r="T14" s="30"/>
      <c r="U14" s="35" t="str">
        <f t="shared" si="1"/>
        <v/>
      </c>
    </row>
    <row r="15" spans="1:21" ht="25" customHeight="1">
      <c r="A15" s="160"/>
      <c r="B15" s="165"/>
      <c r="C15" s="171"/>
      <c r="D15" s="5">
        <v>6</v>
      </c>
      <c r="E15" s="29"/>
      <c r="F15" s="29"/>
      <c r="G15" s="30"/>
      <c r="H15" s="10"/>
      <c r="I15" s="30"/>
      <c r="J15" s="31"/>
      <c r="K15" s="32" t="str">
        <f t="shared" si="2"/>
        <v/>
      </c>
      <c r="L15" s="177"/>
      <c r="M15" s="171"/>
      <c r="N15" s="5">
        <v>6</v>
      </c>
      <c r="O15" s="33"/>
      <c r="P15" s="29"/>
      <c r="Q15" s="30"/>
      <c r="R15" s="30"/>
      <c r="S15" s="34"/>
      <c r="T15" s="30"/>
      <c r="U15" s="35" t="str">
        <f t="shared" si="1"/>
        <v/>
      </c>
    </row>
    <row r="16" spans="1:21" ht="25" customHeight="1">
      <c r="A16" s="160"/>
      <c r="B16" s="165"/>
      <c r="C16" s="171"/>
      <c r="D16" s="5">
        <v>7</v>
      </c>
      <c r="E16" s="29"/>
      <c r="F16" s="29"/>
      <c r="G16" s="30"/>
      <c r="H16" s="10"/>
      <c r="I16" s="30"/>
      <c r="J16" s="31"/>
      <c r="K16" s="32" t="str">
        <f t="shared" si="2"/>
        <v/>
      </c>
      <c r="L16" s="177"/>
      <c r="M16" s="171"/>
      <c r="N16" s="5">
        <v>7</v>
      </c>
      <c r="O16" s="33"/>
      <c r="P16" s="29"/>
      <c r="Q16" s="30"/>
      <c r="R16" s="30"/>
      <c r="S16" s="34"/>
      <c r="T16" s="30"/>
      <c r="U16" s="35" t="str">
        <f t="shared" si="1"/>
        <v/>
      </c>
    </row>
    <row r="17" spans="1:21" ht="25" customHeight="1">
      <c r="A17" s="160"/>
      <c r="B17" s="165"/>
      <c r="C17" s="171"/>
      <c r="D17" s="5">
        <v>8</v>
      </c>
      <c r="E17" s="29"/>
      <c r="F17" s="29"/>
      <c r="G17" s="30"/>
      <c r="H17" s="10"/>
      <c r="I17" s="30"/>
      <c r="J17" s="31"/>
      <c r="K17" s="32" t="str">
        <f t="shared" si="2"/>
        <v/>
      </c>
      <c r="L17" s="177"/>
      <c r="M17" s="171"/>
      <c r="N17" s="5">
        <v>8</v>
      </c>
      <c r="O17" s="33"/>
      <c r="P17" s="29"/>
      <c r="Q17" s="30"/>
      <c r="R17" s="30"/>
      <c r="S17" s="34"/>
      <c r="T17" s="30"/>
      <c r="U17" s="35" t="str">
        <f t="shared" si="1"/>
        <v/>
      </c>
    </row>
    <row r="18" spans="1:21" ht="25" customHeight="1">
      <c r="A18" s="160"/>
      <c r="B18" s="165"/>
      <c r="C18" s="171"/>
      <c r="D18" s="5">
        <v>9</v>
      </c>
      <c r="E18" s="29"/>
      <c r="F18" s="29"/>
      <c r="G18" s="30"/>
      <c r="H18" s="30"/>
      <c r="I18" s="30"/>
      <c r="J18" s="31"/>
      <c r="K18" s="32" t="str">
        <f t="shared" si="2"/>
        <v/>
      </c>
      <c r="L18" s="177"/>
      <c r="M18" s="171"/>
      <c r="N18" s="5">
        <v>9</v>
      </c>
      <c r="O18" s="33"/>
      <c r="P18" s="29"/>
      <c r="Q18" s="30"/>
      <c r="R18" s="30"/>
      <c r="S18" s="34"/>
      <c r="T18" s="30"/>
      <c r="U18" s="35" t="str">
        <f t="shared" si="1"/>
        <v/>
      </c>
    </row>
    <row r="19" spans="1:21" ht="25" customHeight="1">
      <c r="A19" s="160"/>
      <c r="B19" s="165"/>
      <c r="C19" s="171"/>
      <c r="D19" s="5">
        <v>10</v>
      </c>
      <c r="E19" s="29"/>
      <c r="F19" s="29"/>
      <c r="G19" s="30"/>
      <c r="H19" s="30"/>
      <c r="I19" s="30"/>
      <c r="J19" s="31"/>
      <c r="K19" s="32" t="str">
        <f t="shared" si="2"/>
        <v/>
      </c>
      <c r="L19" s="177"/>
      <c r="M19" s="171"/>
      <c r="N19" s="5">
        <v>10</v>
      </c>
      <c r="O19" s="33"/>
      <c r="P19" s="29"/>
      <c r="Q19" s="30"/>
      <c r="R19" s="30"/>
      <c r="S19" s="34"/>
      <c r="T19" s="30"/>
      <c r="U19" s="35" t="str">
        <f t="shared" si="1"/>
        <v/>
      </c>
    </row>
    <row r="20" spans="1:21" ht="25" customHeight="1">
      <c r="A20" s="160"/>
      <c r="B20" s="165"/>
      <c r="C20" s="171"/>
      <c r="D20" s="5">
        <v>11</v>
      </c>
      <c r="E20" s="29"/>
      <c r="F20" s="29"/>
      <c r="G20" s="30"/>
      <c r="H20" s="30"/>
      <c r="I20" s="30"/>
      <c r="J20" s="31"/>
      <c r="K20" s="32" t="str">
        <f t="shared" si="2"/>
        <v/>
      </c>
      <c r="L20" s="177"/>
      <c r="M20" s="171"/>
      <c r="N20" s="5">
        <v>11</v>
      </c>
      <c r="O20" s="33"/>
      <c r="P20" s="36"/>
      <c r="Q20" s="37"/>
      <c r="R20" s="30"/>
      <c r="S20" s="34"/>
      <c r="T20" s="30"/>
      <c r="U20" s="35" t="str">
        <f t="shared" si="1"/>
        <v/>
      </c>
    </row>
    <row r="21" spans="1:21" ht="25" customHeight="1">
      <c r="A21" s="160"/>
      <c r="B21" s="165"/>
      <c r="C21" s="171"/>
      <c r="D21" s="5">
        <v>12</v>
      </c>
      <c r="E21" s="38"/>
      <c r="F21" s="38"/>
      <c r="G21" s="7"/>
      <c r="H21" s="30"/>
      <c r="I21" s="30"/>
      <c r="J21" s="31"/>
      <c r="K21" s="32" t="str">
        <f t="shared" si="2"/>
        <v/>
      </c>
      <c r="L21" s="177"/>
      <c r="M21" s="171"/>
      <c r="N21" s="5">
        <v>12</v>
      </c>
      <c r="O21" s="33"/>
      <c r="P21" s="36"/>
      <c r="Q21" s="37"/>
      <c r="R21" s="30"/>
      <c r="S21" s="34"/>
      <c r="T21" s="30"/>
      <c r="U21" s="35" t="str">
        <f t="shared" si="1"/>
        <v/>
      </c>
    </row>
    <row r="22" spans="1:21" ht="25" customHeight="1">
      <c r="A22" s="160"/>
      <c r="B22" s="165"/>
      <c r="C22" s="171"/>
      <c r="D22" s="5">
        <v>13</v>
      </c>
      <c r="E22" s="38"/>
      <c r="F22" s="38"/>
      <c r="G22" s="7"/>
      <c r="H22" s="30"/>
      <c r="I22" s="30"/>
      <c r="J22" s="31"/>
      <c r="K22" s="32" t="str">
        <f t="shared" si="2"/>
        <v/>
      </c>
      <c r="L22" s="177"/>
      <c r="M22" s="171"/>
      <c r="N22" s="5">
        <v>13</v>
      </c>
      <c r="O22" s="33"/>
      <c r="P22" s="36"/>
      <c r="Q22" s="37"/>
      <c r="R22" s="30"/>
      <c r="S22" s="34"/>
      <c r="T22" s="30"/>
      <c r="U22" s="35" t="str">
        <f t="shared" si="1"/>
        <v/>
      </c>
    </row>
    <row r="23" spans="1:21" ht="25" customHeight="1">
      <c r="A23" s="160"/>
      <c r="B23" s="165"/>
      <c r="C23" s="171"/>
      <c r="D23" s="5">
        <v>14</v>
      </c>
      <c r="E23" s="38"/>
      <c r="F23" s="38"/>
      <c r="G23" s="7"/>
      <c r="H23" s="30"/>
      <c r="I23" s="30"/>
      <c r="J23" s="31"/>
      <c r="K23" s="32" t="str">
        <f t="shared" si="2"/>
        <v/>
      </c>
      <c r="L23" s="177"/>
      <c r="M23" s="171"/>
      <c r="N23" s="5">
        <v>14</v>
      </c>
      <c r="O23" s="33"/>
      <c r="P23" s="38"/>
      <c r="Q23" s="7"/>
      <c r="R23" s="30"/>
      <c r="S23" s="34"/>
      <c r="T23" s="30"/>
      <c r="U23" s="35" t="str">
        <f t="shared" si="1"/>
        <v/>
      </c>
    </row>
    <row r="24" spans="1:21" ht="25" customHeight="1">
      <c r="A24" s="160"/>
      <c r="B24" s="165"/>
      <c r="C24" s="171"/>
      <c r="D24" s="5">
        <v>15</v>
      </c>
      <c r="E24" s="38"/>
      <c r="F24" s="39"/>
      <c r="G24" s="40"/>
      <c r="H24" s="30"/>
      <c r="I24" s="30"/>
      <c r="J24" s="31"/>
      <c r="K24" s="32" t="str">
        <f t="shared" si="2"/>
        <v/>
      </c>
      <c r="L24" s="177"/>
      <c r="M24" s="171"/>
      <c r="N24" s="5">
        <v>15</v>
      </c>
      <c r="O24" s="33"/>
      <c r="P24" s="38"/>
      <c r="Q24" s="7"/>
      <c r="R24" s="30"/>
      <c r="S24" s="34"/>
      <c r="T24" s="30"/>
      <c r="U24" s="35" t="str">
        <f t="shared" si="1"/>
        <v/>
      </c>
    </row>
    <row r="25" spans="1:21" ht="25" customHeight="1">
      <c r="A25" s="160"/>
      <c r="B25" s="165"/>
      <c r="C25" s="171"/>
      <c r="D25" s="5">
        <v>16</v>
      </c>
      <c r="E25" s="38"/>
      <c r="F25" s="38"/>
      <c r="G25" s="7"/>
      <c r="H25" s="30"/>
      <c r="I25" s="30"/>
      <c r="J25" s="31"/>
      <c r="K25" s="32" t="str">
        <f t="shared" si="2"/>
        <v/>
      </c>
      <c r="L25" s="177"/>
      <c r="M25" s="171"/>
      <c r="N25" s="5">
        <v>16</v>
      </c>
      <c r="O25" s="33"/>
      <c r="P25" s="38"/>
      <c r="Q25" s="7"/>
      <c r="R25" s="30"/>
      <c r="S25" s="34"/>
      <c r="T25" s="30"/>
      <c r="U25" s="35" t="str">
        <f t="shared" si="1"/>
        <v/>
      </c>
    </row>
    <row r="26" spans="1:21" ht="25" customHeight="1">
      <c r="A26" s="160"/>
      <c r="B26" s="165"/>
      <c r="C26" s="171"/>
      <c r="D26" s="5">
        <v>17</v>
      </c>
      <c r="E26" s="38"/>
      <c r="F26" s="38"/>
      <c r="G26" s="7"/>
      <c r="H26" s="30"/>
      <c r="I26" s="30"/>
      <c r="J26" s="31"/>
      <c r="K26" s="32" t="str">
        <f t="shared" si="2"/>
        <v/>
      </c>
      <c r="L26" s="177"/>
      <c r="M26" s="171"/>
      <c r="N26" s="5">
        <v>17</v>
      </c>
      <c r="O26" s="33"/>
      <c r="P26" s="38"/>
      <c r="Q26" s="7"/>
      <c r="R26" s="30"/>
      <c r="S26" s="34"/>
      <c r="T26" s="30"/>
      <c r="U26" s="35" t="str">
        <f t="shared" si="1"/>
        <v/>
      </c>
    </row>
    <row r="27" spans="1:21" ht="25" customHeight="1">
      <c r="A27" s="160"/>
      <c r="B27" s="166"/>
      <c r="C27" s="172"/>
      <c r="D27" s="12"/>
      <c r="E27" s="41"/>
      <c r="F27" s="41"/>
      <c r="G27" s="41"/>
      <c r="H27" s="116" t="s">
        <v>51</v>
      </c>
      <c r="I27" s="116"/>
      <c r="J27" s="42"/>
      <c r="K27" s="43">
        <f>SUM(K10:K26)</f>
        <v>4.9995000000000003</v>
      </c>
      <c r="L27" s="178"/>
      <c r="M27" s="172"/>
      <c r="N27" s="12"/>
      <c r="O27" s="44"/>
      <c r="P27" s="13"/>
      <c r="Q27" s="13"/>
      <c r="R27" s="13"/>
      <c r="S27" s="116" t="s">
        <v>52</v>
      </c>
      <c r="T27" s="116"/>
      <c r="U27" s="43">
        <f>SUM(U10:U26)</f>
        <v>0</v>
      </c>
    </row>
    <row r="28" spans="1:21" ht="25" customHeight="1">
      <c r="A28" s="160"/>
      <c r="B28" s="164" t="s">
        <v>53</v>
      </c>
      <c r="C28" s="170" t="s">
        <v>54</v>
      </c>
      <c r="D28" s="123" t="s">
        <v>55</v>
      </c>
      <c r="E28" s="124"/>
      <c r="F28" s="124"/>
      <c r="G28" s="124"/>
      <c r="H28" s="124"/>
      <c r="I28" s="124"/>
      <c r="J28" s="124"/>
      <c r="K28" s="125"/>
      <c r="L28" s="176" t="s">
        <v>56</v>
      </c>
      <c r="M28" s="170" t="s">
        <v>57</v>
      </c>
      <c r="N28" s="123" t="s">
        <v>58</v>
      </c>
      <c r="O28" s="124"/>
      <c r="P28" s="124"/>
      <c r="Q28" s="124"/>
      <c r="R28" s="124"/>
      <c r="S28" s="124"/>
      <c r="T28" s="124"/>
      <c r="U28" s="125"/>
    </row>
    <row r="29" spans="1:21" ht="25" customHeight="1">
      <c r="A29" s="160"/>
      <c r="B29" s="165"/>
      <c r="C29" s="173"/>
      <c r="D29" s="45" t="s">
        <v>39</v>
      </c>
      <c r="E29" s="46" t="s">
        <v>59</v>
      </c>
      <c r="F29" s="47" t="s">
        <v>60</v>
      </c>
      <c r="G29" s="46" t="s">
        <v>61</v>
      </c>
      <c r="H29" s="47" t="s">
        <v>62</v>
      </c>
      <c r="I29" s="47" t="s">
        <v>63</v>
      </c>
      <c r="J29" s="47" t="s">
        <v>64</v>
      </c>
      <c r="K29" s="48" t="s">
        <v>65</v>
      </c>
      <c r="L29" s="177"/>
      <c r="M29" s="173"/>
      <c r="N29" s="49" t="s">
        <v>66</v>
      </c>
      <c r="O29" s="46" t="s">
        <v>67</v>
      </c>
      <c r="P29" s="47" t="s">
        <v>68</v>
      </c>
      <c r="Q29" s="46" t="s">
        <v>69</v>
      </c>
      <c r="R29" s="47" t="s">
        <v>70</v>
      </c>
      <c r="S29" s="47" t="s">
        <v>71</v>
      </c>
      <c r="T29" s="47" t="s">
        <v>64</v>
      </c>
      <c r="U29" s="48" t="s">
        <v>72</v>
      </c>
    </row>
    <row r="30" spans="1:21" ht="25" customHeight="1">
      <c r="A30" s="160"/>
      <c r="B30" s="165"/>
      <c r="C30" s="173"/>
      <c r="D30" s="19">
        <v>1</v>
      </c>
      <c r="E30" s="50" t="s">
        <v>8</v>
      </c>
      <c r="F30" s="51">
        <v>12</v>
      </c>
      <c r="G30" s="51">
        <v>1</v>
      </c>
      <c r="H30" s="51">
        <v>10</v>
      </c>
      <c r="I30" s="51">
        <v>0.2</v>
      </c>
      <c r="J30" s="52"/>
      <c r="K30" s="53">
        <f t="shared" ref="K30:K39" si="3">IF(E30="","",IF(J30="",F30/I30,F30/J30))</f>
        <v>60</v>
      </c>
      <c r="L30" s="177"/>
      <c r="M30" s="173"/>
      <c r="N30" s="19">
        <v>1</v>
      </c>
      <c r="O30" s="54" t="s">
        <v>73</v>
      </c>
      <c r="P30" s="51">
        <v>0</v>
      </c>
      <c r="Q30" s="55"/>
      <c r="R30" s="56">
        <f>O6</f>
        <v>0.2</v>
      </c>
      <c r="S30" s="51">
        <v>23</v>
      </c>
      <c r="T30" s="55"/>
      <c r="U30" s="28">
        <f t="shared" ref="U30:U39" si="4">IF(O30="","",IF(T30="",P30/S30,P30/T30))</f>
        <v>0</v>
      </c>
    </row>
    <row r="31" spans="1:21" ht="25" customHeight="1">
      <c r="A31" s="160"/>
      <c r="B31" s="165"/>
      <c r="C31" s="173"/>
      <c r="D31" s="5">
        <v>2</v>
      </c>
      <c r="E31" s="7"/>
      <c r="F31" s="7"/>
      <c r="G31" s="7"/>
      <c r="H31" s="7"/>
      <c r="I31" s="7"/>
      <c r="J31" s="57"/>
      <c r="K31" s="58" t="str">
        <f t="shared" si="3"/>
        <v/>
      </c>
      <c r="L31" s="177"/>
      <c r="M31" s="173"/>
      <c r="N31" s="5">
        <v>2</v>
      </c>
      <c r="O31" s="59"/>
      <c r="P31" s="7"/>
      <c r="Q31" s="7"/>
      <c r="R31" s="60" t="str">
        <f t="shared" ref="R31:R39" si="5">IF(O31="","",R30)</f>
        <v/>
      </c>
      <c r="S31" s="7"/>
      <c r="T31" s="7"/>
      <c r="U31" s="35" t="str">
        <f t="shared" si="4"/>
        <v/>
      </c>
    </row>
    <row r="32" spans="1:21" ht="25" customHeight="1">
      <c r="A32" s="160"/>
      <c r="B32" s="165"/>
      <c r="C32" s="173"/>
      <c r="D32" s="5">
        <v>3</v>
      </c>
      <c r="E32" s="7"/>
      <c r="F32" s="7"/>
      <c r="G32" s="7"/>
      <c r="H32" s="7"/>
      <c r="I32" s="7"/>
      <c r="J32" s="57"/>
      <c r="K32" s="58" t="str">
        <f t="shared" si="3"/>
        <v/>
      </c>
      <c r="L32" s="177"/>
      <c r="M32" s="173"/>
      <c r="N32" s="5">
        <v>3</v>
      </c>
      <c r="O32" s="59"/>
      <c r="P32" s="7"/>
      <c r="Q32" s="7"/>
      <c r="R32" s="60" t="str">
        <f t="shared" si="5"/>
        <v/>
      </c>
      <c r="S32" s="7"/>
      <c r="T32" s="7"/>
      <c r="U32" s="35" t="str">
        <f t="shared" si="4"/>
        <v/>
      </c>
    </row>
    <row r="33" spans="1:21" ht="25" customHeight="1">
      <c r="A33" s="160"/>
      <c r="B33" s="165"/>
      <c r="C33" s="173"/>
      <c r="D33" s="5">
        <v>5</v>
      </c>
      <c r="E33" s="7"/>
      <c r="F33" s="7"/>
      <c r="G33" s="7"/>
      <c r="H33" s="7"/>
      <c r="I33" s="7"/>
      <c r="J33" s="57"/>
      <c r="K33" s="58" t="str">
        <f t="shared" si="3"/>
        <v/>
      </c>
      <c r="L33" s="177"/>
      <c r="M33" s="173"/>
      <c r="N33" s="5">
        <v>4</v>
      </c>
      <c r="O33" s="59"/>
      <c r="P33" s="7"/>
      <c r="Q33" s="7"/>
      <c r="R33" s="60" t="str">
        <f t="shared" si="5"/>
        <v/>
      </c>
      <c r="S33" s="7"/>
      <c r="T33" s="7"/>
      <c r="U33" s="35" t="str">
        <f t="shared" si="4"/>
        <v/>
      </c>
    </row>
    <row r="34" spans="1:21" ht="25" customHeight="1">
      <c r="A34" s="160"/>
      <c r="B34" s="165"/>
      <c r="C34" s="173"/>
      <c r="D34" s="5">
        <v>6</v>
      </c>
      <c r="E34" s="7"/>
      <c r="F34" s="7"/>
      <c r="G34" s="7"/>
      <c r="H34" s="7"/>
      <c r="I34" s="7"/>
      <c r="J34" s="57"/>
      <c r="K34" s="58" t="str">
        <f t="shared" si="3"/>
        <v/>
      </c>
      <c r="L34" s="177"/>
      <c r="M34" s="173"/>
      <c r="N34" s="5">
        <v>5</v>
      </c>
      <c r="O34" s="59"/>
      <c r="P34" s="7"/>
      <c r="Q34" s="7"/>
      <c r="R34" s="60" t="str">
        <f t="shared" si="5"/>
        <v/>
      </c>
      <c r="S34" s="7"/>
      <c r="T34" s="7"/>
      <c r="U34" s="35" t="str">
        <f t="shared" si="4"/>
        <v/>
      </c>
    </row>
    <row r="35" spans="1:21" ht="25" customHeight="1">
      <c r="A35" s="160"/>
      <c r="B35" s="165"/>
      <c r="C35" s="173"/>
      <c r="D35" s="5">
        <v>7</v>
      </c>
      <c r="E35" s="7"/>
      <c r="F35" s="7"/>
      <c r="G35" s="7"/>
      <c r="H35" s="7"/>
      <c r="I35" s="7"/>
      <c r="J35" s="57"/>
      <c r="K35" s="58" t="str">
        <f t="shared" si="3"/>
        <v/>
      </c>
      <c r="L35" s="177"/>
      <c r="M35" s="173"/>
      <c r="N35" s="5">
        <v>6</v>
      </c>
      <c r="O35" s="59"/>
      <c r="P35" s="7"/>
      <c r="Q35" s="7"/>
      <c r="R35" s="60" t="str">
        <f t="shared" si="5"/>
        <v/>
      </c>
      <c r="S35" s="7"/>
      <c r="T35" s="7"/>
      <c r="U35" s="35" t="str">
        <f t="shared" si="4"/>
        <v/>
      </c>
    </row>
    <row r="36" spans="1:21" ht="25" customHeight="1">
      <c r="A36" s="160"/>
      <c r="B36" s="165"/>
      <c r="C36" s="173"/>
      <c r="D36" s="5">
        <v>8</v>
      </c>
      <c r="E36" s="7"/>
      <c r="F36" s="7"/>
      <c r="G36" s="7"/>
      <c r="H36" s="7"/>
      <c r="I36" s="7"/>
      <c r="J36" s="57"/>
      <c r="K36" s="58" t="str">
        <f t="shared" si="3"/>
        <v/>
      </c>
      <c r="L36" s="177"/>
      <c r="M36" s="173"/>
      <c r="N36" s="5">
        <v>7</v>
      </c>
      <c r="O36" s="59"/>
      <c r="P36" s="7"/>
      <c r="Q36" s="7"/>
      <c r="R36" s="60" t="str">
        <f t="shared" si="5"/>
        <v/>
      </c>
      <c r="S36" s="7"/>
      <c r="T36" s="7"/>
      <c r="U36" s="35" t="str">
        <f t="shared" si="4"/>
        <v/>
      </c>
    </row>
    <row r="37" spans="1:21" ht="25" customHeight="1">
      <c r="A37" s="160"/>
      <c r="B37" s="165"/>
      <c r="C37" s="173"/>
      <c r="D37" s="5">
        <v>9</v>
      </c>
      <c r="E37" s="7"/>
      <c r="F37" s="7"/>
      <c r="G37" s="7"/>
      <c r="H37" s="7"/>
      <c r="I37" s="7"/>
      <c r="J37" s="57"/>
      <c r="K37" s="58" t="str">
        <f t="shared" si="3"/>
        <v/>
      </c>
      <c r="L37" s="177"/>
      <c r="M37" s="173"/>
      <c r="N37" s="5">
        <v>8</v>
      </c>
      <c r="O37" s="59"/>
      <c r="P37" s="7"/>
      <c r="Q37" s="7"/>
      <c r="R37" s="60" t="str">
        <f t="shared" si="5"/>
        <v/>
      </c>
      <c r="S37" s="7"/>
      <c r="T37" s="7"/>
      <c r="U37" s="35" t="str">
        <f t="shared" si="4"/>
        <v/>
      </c>
    </row>
    <row r="38" spans="1:21" ht="25" customHeight="1">
      <c r="A38" s="160"/>
      <c r="B38" s="165"/>
      <c r="C38" s="173"/>
      <c r="D38" s="5">
        <v>10</v>
      </c>
      <c r="E38" s="7"/>
      <c r="F38" s="7"/>
      <c r="G38" s="7"/>
      <c r="H38" s="7"/>
      <c r="I38" s="7"/>
      <c r="J38" s="57"/>
      <c r="K38" s="58" t="str">
        <f t="shared" si="3"/>
        <v/>
      </c>
      <c r="L38" s="177"/>
      <c r="M38" s="173"/>
      <c r="N38" s="5">
        <v>9</v>
      </c>
      <c r="O38" s="59"/>
      <c r="P38" s="7"/>
      <c r="Q38" s="7"/>
      <c r="R38" s="60" t="str">
        <f t="shared" si="5"/>
        <v/>
      </c>
      <c r="S38" s="7"/>
      <c r="T38" s="7"/>
      <c r="U38" s="35" t="str">
        <f t="shared" si="4"/>
        <v/>
      </c>
    </row>
    <row r="39" spans="1:21" ht="25" customHeight="1">
      <c r="A39" s="160"/>
      <c r="B39" s="165"/>
      <c r="C39" s="173"/>
      <c r="D39" s="5">
        <v>11</v>
      </c>
      <c r="E39" s="7"/>
      <c r="F39" s="7"/>
      <c r="G39" s="7"/>
      <c r="H39" s="7"/>
      <c r="I39" s="7"/>
      <c r="J39" s="57"/>
      <c r="K39" s="58" t="str">
        <f t="shared" si="3"/>
        <v/>
      </c>
      <c r="L39" s="177"/>
      <c r="M39" s="173"/>
      <c r="N39" s="5">
        <v>10</v>
      </c>
      <c r="O39" s="59"/>
      <c r="P39" s="7"/>
      <c r="Q39" s="7"/>
      <c r="R39" s="60" t="str">
        <f t="shared" si="5"/>
        <v/>
      </c>
      <c r="S39" s="7"/>
      <c r="T39" s="7"/>
      <c r="U39" s="35" t="str">
        <f t="shared" si="4"/>
        <v/>
      </c>
    </row>
    <row r="40" spans="1:21" ht="25" customHeight="1">
      <c r="A40" s="160"/>
      <c r="B40" s="166"/>
      <c r="C40" s="174"/>
      <c r="D40" s="12"/>
      <c r="E40" s="13" t="s">
        <v>74</v>
      </c>
      <c r="F40" s="41">
        <f>SUM(F30:F39)</f>
        <v>12</v>
      </c>
      <c r="G40" s="41"/>
      <c r="H40" s="116" t="s">
        <v>75</v>
      </c>
      <c r="I40" s="116"/>
      <c r="J40" s="61"/>
      <c r="K40" s="62">
        <f>SUM(K30:K39)</f>
        <v>60</v>
      </c>
      <c r="L40" s="178"/>
      <c r="M40" s="174"/>
      <c r="N40" s="63"/>
      <c r="O40" s="13" t="s">
        <v>76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60"/>
      <c r="B41" s="167" t="s">
        <v>77</v>
      </c>
      <c r="C41" s="170" t="s">
        <v>78</v>
      </c>
      <c r="D41" s="65" t="s">
        <v>79</v>
      </c>
      <c r="E41" s="66" t="s">
        <v>80</v>
      </c>
      <c r="F41" s="67" t="s">
        <v>81</v>
      </c>
      <c r="G41" s="67" t="s">
        <v>82</v>
      </c>
      <c r="H41" s="67" t="s">
        <v>83</v>
      </c>
      <c r="I41" s="66" t="s">
        <v>84</v>
      </c>
      <c r="J41" s="67" t="s">
        <v>85</v>
      </c>
      <c r="K41" s="66" t="s">
        <v>86</v>
      </c>
      <c r="L41" s="126" t="s">
        <v>87</v>
      </c>
      <c r="M41" s="127"/>
      <c r="N41" s="128" t="s">
        <v>88</v>
      </c>
      <c r="O41" s="128"/>
      <c r="P41" s="67" t="s">
        <v>89</v>
      </c>
      <c r="Q41" s="68" t="s">
        <v>90</v>
      </c>
      <c r="R41" s="66" t="s">
        <v>91</v>
      </c>
      <c r="S41" s="67" t="s">
        <v>92</v>
      </c>
      <c r="T41" s="67" t="s">
        <v>93</v>
      </c>
      <c r="U41" s="69" t="s">
        <v>94</v>
      </c>
    </row>
    <row r="42" spans="1:21" ht="25" customHeight="1">
      <c r="A42" s="160"/>
      <c r="B42" s="168"/>
      <c r="C42" s="171"/>
      <c r="D42" s="19">
        <v>1</v>
      </c>
      <c r="E42" s="51" t="s">
        <v>95</v>
      </c>
      <c r="F42" s="51">
        <v>35</v>
      </c>
      <c r="G42" s="70">
        <f t="shared" ref="G42:G57" si="6">IF(E42="","",12/H42*L42)</f>
        <v>925.71428571428601</v>
      </c>
      <c r="H42" s="71">
        <f t="shared" ref="H42:H57" si="7">IF(E42="","",F42/3600)</f>
        <v>9.7222222222222206E-3</v>
      </c>
      <c r="I42" s="51">
        <v>2</v>
      </c>
      <c r="J42" s="72">
        <v>24</v>
      </c>
      <c r="K42" s="73">
        <f t="shared" ref="K42:K57" si="8">IF(E42="","",H42*I42/L42)</f>
        <v>2.5925925925925901E-2</v>
      </c>
      <c r="L42" s="129">
        <v>0.75</v>
      </c>
      <c r="M42" s="129"/>
      <c r="N42" s="130">
        <f t="shared" ref="N42:N57" si="9">IF(F42="","",IF(E42="","",J42*K42))</f>
        <v>0.62222222222222201</v>
      </c>
      <c r="O42" s="130"/>
      <c r="P42" s="51">
        <v>90</v>
      </c>
      <c r="Q42" s="56" t="str">
        <f t="shared" ref="Q42:Q57" si="10">IF(E42="","","10年2班折90%")</f>
        <v>10年2班折90%</v>
      </c>
      <c r="R42" s="73">
        <f t="shared" ref="R42:R57" si="11">IF(E42="","",P42*0.9/10/$U$8/22*H42*10000/L42)</f>
        <v>0.15909090909090901</v>
      </c>
      <c r="S42" s="74">
        <v>60</v>
      </c>
      <c r="T42" s="23">
        <v>0.45</v>
      </c>
      <c r="U42" s="28">
        <f t="shared" ref="U42:U57" si="12">IF(S42="","",S42*T42*$U$7*H42/((L42+(1-L42)/1.4)))</f>
        <v>0.28269230769230802</v>
      </c>
    </row>
    <row r="43" spans="1:21" ht="25" customHeight="1">
      <c r="A43" s="160"/>
      <c r="B43" s="168"/>
      <c r="C43" s="171"/>
      <c r="D43" s="5">
        <v>2</v>
      </c>
      <c r="E43" s="7"/>
      <c r="F43" s="51"/>
      <c r="G43" s="70" t="str">
        <f t="shared" si="6"/>
        <v/>
      </c>
      <c r="H43" s="71" t="str">
        <f t="shared" si="7"/>
        <v/>
      </c>
      <c r="I43" s="7"/>
      <c r="J43" s="75"/>
      <c r="K43" s="73" t="str">
        <f t="shared" si="8"/>
        <v/>
      </c>
      <c r="L43" s="131"/>
      <c r="M43" s="131"/>
      <c r="N43" s="130" t="str">
        <f t="shared" si="9"/>
        <v/>
      </c>
      <c r="O43" s="130"/>
      <c r="P43" s="7"/>
      <c r="Q43" s="60" t="str">
        <f t="shared" si="10"/>
        <v/>
      </c>
      <c r="R43" s="73" t="str">
        <f t="shared" si="11"/>
        <v/>
      </c>
      <c r="S43" s="76"/>
      <c r="T43" s="31"/>
      <c r="U43" s="28" t="str">
        <f t="shared" si="12"/>
        <v/>
      </c>
    </row>
    <row r="44" spans="1:21" ht="25" customHeight="1">
      <c r="A44" s="160"/>
      <c r="B44" s="168"/>
      <c r="C44" s="171"/>
      <c r="D44" s="5">
        <v>3</v>
      </c>
      <c r="E44" s="7"/>
      <c r="F44" s="7"/>
      <c r="G44" s="70" t="str">
        <f t="shared" si="6"/>
        <v/>
      </c>
      <c r="H44" s="71" t="str">
        <f t="shared" si="7"/>
        <v/>
      </c>
      <c r="I44" s="7"/>
      <c r="J44" s="75"/>
      <c r="K44" s="73" t="str">
        <f t="shared" si="8"/>
        <v/>
      </c>
      <c r="L44" s="131"/>
      <c r="M44" s="131"/>
      <c r="N44" s="130" t="str">
        <f t="shared" si="9"/>
        <v/>
      </c>
      <c r="O44" s="130"/>
      <c r="P44" s="7"/>
      <c r="Q44" s="60" t="str">
        <f t="shared" si="10"/>
        <v/>
      </c>
      <c r="R44" s="73" t="str">
        <f t="shared" si="11"/>
        <v/>
      </c>
      <c r="S44" s="76"/>
      <c r="T44" s="31"/>
      <c r="U44" s="28" t="str">
        <f t="shared" si="12"/>
        <v/>
      </c>
    </row>
    <row r="45" spans="1:21" ht="25" customHeight="1">
      <c r="A45" s="160"/>
      <c r="B45" s="168"/>
      <c r="C45" s="171"/>
      <c r="D45" s="5">
        <v>4</v>
      </c>
      <c r="E45" s="7"/>
      <c r="F45" s="7"/>
      <c r="G45" s="70" t="str">
        <f t="shared" si="6"/>
        <v/>
      </c>
      <c r="H45" s="71" t="str">
        <f t="shared" si="7"/>
        <v/>
      </c>
      <c r="I45" s="7"/>
      <c r="J45" s="75"/>
      <c r="K45" s="73" t="str">
        <f t="shared" si="8"/>
        <v/>
      </c>
      <c r="L45" s="131"/>
      <c r="M45" s="131"/>
      <c r="N45" s="130" t="str">
        <f t="shared" si="9"/>
        <v/>
      </c>
      <c r="O45" s="130"/>
      <c r="P45" s="7"/>
      <c r="Q45" s="60" t="str">
        <f t="shared" si="10"/>
        <v/>
      </c>
      <c r="R45" s="73" t="str">
        <f t="shared" si="11"/>
        <v/>
      </c>
      <c r="S45" s="76"/>
      <c r="T45" s="31"/>
      <c r="U45" s="28" t="str">
        <f t="shared" si="12"/>
        <v/>
      </c>
    </row>
    <row r="46" spans="1:21" ht="25" customHeight="1">
      <c r="A46" s="160"/>
      <c r="B46" s="168"/>
      <c r="C46" s="171"/>
      <c r="D46" s="5">
        <v>5</v>
      </c>
      <c r="E46" s="7"/>
      <c r="F46" s="7"/>
      <c r="G46" s="70" t="str">
        <f t="shared" si="6"/>
        <v/>
      </c>
      <c r="H46" s="71" t="str">
        <f t="shared" si="7"/>
        <v/>
      </c>
      <c r="I46" s="7"/>
      <c r="J46" s="75"/>
      <c r="K46" s="73" t="str">
        <f t="shared" si="8"/>
        <v/>
      </c>
      <c r="L46" s="131"/>
      <c r="M46" s="131"/>
      <c r="N46" s="130" t="str">
        <f t="shared" si="9"/>
        <v/>
      </c>
      <c r="O46" s="130"/>
      <c r="P46" s="7"/>
      <c r="Q46" s="60" t="str">
        <f t="shared" si="10"/>
        <v/>
      </c>
      <c r="R46" s="73" t="str">
        <f t="shared" si="11"/>
        <v/>
      </c>
      <c r="S46" s="76"/>
      <c r="T46" s="31"/>
      <c r="U46" s="28" t="str">
        <f t="shared" si="12"/>
        <v/>
      </c>
    </row>
    <row r="47" spans="1:21" ht="25" customHeight="1">
      <c r="A47" s="160"/>
      <c r="B47" s="168"/>
      <c r="C47" s="171"/>
      <c r="D47" s="5">
        <v>6</v>
      </c>
      <c r="E47" s="7"/>
      <c r="F47" s="7"/>
      <c r="G47" s="70" t="str">
        <f t="shared" si="6"/>
        <v/>
      </c>
      <c r="H47" s="71" t="str">
        <f t="shared" si="7"/>
        <v/>
      </c>
      <c r="I47" s="7"/>
      <c r="J47" s="75"/>
      <c r="K47" s="73" t="str">
        <f t="shared" si="8"/>
        <v/>
      </c>
      <c r="L47" s="131"/>
      <c r="M47" s="131"/>
      <c r="N47" s="130" t="str">
        <f t="shared" si="9"/>
        <v/>
      </c>
      <c r="O47" s="130"/>
      <c r="P47" s="7"/>
      <c r="Q47" s="60" t="str">
        <f t="shared" si="10"/>
        <v/>
      </c>
      <c r="R47" s="73" t="str">
        <f t="shared" si="11"/>
        <v/>
      </c>
      <c r="S47" s="76"/>
      <c r="T47" s="31"/>
      <c r="U47" s="28" t="str">
        <f t="shared" si="12"/>
        <v/>
      </c>
    </row>
    <row r="48" spans="1:21" ht="25" customHeight="1">
      <c r="A48" s="160"/>
      <c r="B48" s="168"/>
      <c r="C48" s="171"/>
      <c r="D48" s="5">
        <v>7</v>
      </c>
      <c r="E48" s="7"/>
      <c r="F48" s="7"/>
      <c r="G48" s="70" t="str">
        <f t="shared" si="6"/>
        <v/>
      </c>
      <c r="H48" s="71" t="str">
        <f t="shared" si="7"/>
        <v/>
      </c>
      <c r="I48" s="7"/>
      <c r="J48" s="75"/>
      <c r="K48" s="73" t="str">
        <f t="shared" si="8"/>
        <v/>
      </c>
      <c r="L48" s="131"/>
      <c r="M48" s="131"/>
      <c r="N48" s="130" t="str">
        <f t="shared" si="9"/>
        <v/>
      </c>
      <c r="O48" s="130"/>
      <c r="P48" s="7"/>
      <c r="Q48" s="60" t="str">
        <f t="shared" si="10"/>
        <v/>
      </c>
      <c r="R48" s="73" t="str">
        <f t="shared" si="11"/>
        <v/>
      </c>
      <c r="S48" s="76"/>
      <c r="T48" s="31"/>
      <c r="U48" s="28" t="str">
        <f t="shared" si="12"/>
        <v/>
      </c>
    </row>
    <row r="49" spans="1:21" ht="25" customHeight="1">
      <c r="A49" s="160"/>
      <c r="B49" s="168"/>
      <c r="C49" s="171"/>
      <c r="D49" s="5">
        <v>8</v>
      </c>
      <c r="E49" s="7"/>
      <c r="F49" s="7"/>
      <c r="G49" s="70" t="str">
        <f t="shared" si="6"/>
        <v/>
      </c>
      <c r="H49" s="71" t="str">
        <f t="shared" si="7"/>
        <v/>
      </c>
      <c r="I49" s="7"/>
      <c r="J49" s="75"/>
      <c r="K49" s="73" t="str">
        <f t="shared" si="8"/>
        <v/>
      </c>
      <c r="L49" s="131"/>
      <c r="M49" s="131"/>
      <c r="N49" s="130" t="str">
        <f t="shared" si="9"/>
        <v/>
      </c>
      <c r="O49" s="130"/>
      <c r="P49" s="7"/>
      <c r="Q49" s="60" t="str">
        <f t="shared" si="10"/>
        <v/>
      </c>
      <c r="R49" s="73" t="str">
        <f t="shared" si="11"/>
        <v/>
      </c>
      <c r="S49" s="76"/>
      <c r="T49" s="31"/>
      <c r="U49" s="28" t="str">
        <f t="shared" si="12"/>
        <v/>
      </c>
    </row>
    <row r="50" spans="1:21" ht="25" customHeight="1">
      <c r="A50" s="160"/>
      <c r="B50" s="168"/>
      <c r="C50" s="171"/>
      <c r="D50" s="5">
        <v>9</v>
      </c>
      <c r="E50" s="7"/>
      <c r="F50" s="7"/>
      <c r="G50" s="70" t="str">
        <f t="shared" si="6"/>
        <v/>
      </c>
      <c r="H50" s="71" t="str">
        <f t="shared" si="7"/>
        <v/>
      </c>
      <c r="I50" s="7"/>
      <c r="J50" s="75"/>
      <c r="K50" s="73" t="str">
        <f t="shared" si="8"/>
        <v/>
      </c>
      <c r="L50" s="131"/>
      <c r="M50" s="131"/>
      <c r="N50" s="130" t="str">
        <f t="shared" si="9"/>
        <v/>
      </c>
      <c r="O50" s="130"/>
      <c r="P50" s="7"/>
      <c r="Q50" s="60" t="str">
        <f t="shared" si="10"/>
        <v/>
      </c>
      <c r="R50" s="73" t="str">
        <f t="shared" si="11"/>
        <v/>
      </c>
      <c r="S50" s="76"/>
      <c r="T50" s="31"/>
      <c r="U50" s="28" t="str">
        <f t="shared" si="12"/>
        <v/>
      </c>
    </row>
    <row r="51" spans="1:21" ht="25" customHeight="1">
      <c r="A51" s="160"/>
      <c r="B51" s="168"/>
      <c r="C51" s="171"/>
      <c r="D51" s="5">
        <v>10</v>
      </c>
      <c r="E51" s="7"/>
      <c r="F51" s="7"/>
      <c r="G51" s="70" t="str">
        <f t="shared" si="6"/>
        <v/>
      </c>
      <c r="H51" s="71" t="str">
        <f t="shared" si="7"/>
        <v/>
      </c>
      <c r="I51" s="7"/>
      <c r="J51" s="75"/>
      <c r="K51" s="73" t="str">
        <f t="shared" si="8"/>
        <v/>
      </c>
      <c r="L51" s="131"/>
      <c r="M51" s="131"/>
      <c r="N51" s="130" t="str">
        <f t="shared" si="9"/>
        <v/>
      </c>
      <c r="O51" s="130"/>
      <c r="P51" s="7"/>
      <c r="Q51" s="60" t="str">
        <f t="shared" si="10"/>
        <v/>
      </c>
      <c r="R51" s="73" t="str">
        <f t="shared" si="11"/>
        <v/>
      </c>
      <c r="S51" s="76"/>
      <c r="T51" s="31"/>
      <c r="U51" s="28" t="str">
        <f t="shared" si="12"/>
        <v/>
      </c>
    </row>
    <row r="52" spans="1:21" ht="25" customHeight="1">
      <c r="A52" s="160"/>
      <c r="B52" s="168"/>
      <c r="C52" s="171"/>
      <c r="D52" s="5">
        <v>11</v>
      </c>
      <c r="E52" s="7"/>
      <c r="F52" s="7"/>
      <c r="G52" s="70" t="str">
        <f t="shared" si="6"/>
        <v/>
      </c>
      <c r="H52" s="71" t="str">
        <f t="shared" si="7"/>
        <v/>
      </c>
      <c r="I52" s="7"/>
      <c r="J52" s="75"/>
      <c r="K52" s="73" t="str">
        <f t="shared" si="8"/>
        <v/>
      </c>
      <c r="L52" s="131"/>
      <c r="M52" s="131"/>
      <c r="N52" s="130" t="str">
        <f t="shared" si="9"/>
        <v/>
      </c>
      <c r="O52" s="130"/>
      <c r="P52" s="7"/>
      <c r="Q52" s="60" t="str">
        <f t="shared" si="10"/>
        <v/>
      </c>
      <c r="R52" s="73" t="str">
        <f t="shared" si="11"/>
        <v/>
      </c>
      <c r="S52" s="76"/>
      <c r="T52" s="31"/>
      <c r="U52" s="28" t="str">
        <f t="shared" si="12"/>
        <v/>
      </c>
    </row>
    <row r="53" spans="1:21" ht="25" customHeight="1">
      <c r="A53" s="160"/>
      <c r="B53" s="168"/>
      <c r="C53" s="171"/>
      <c r="D53" s="5">
        <v>12</v>
      </c>
      <c r="E53" s="7"/>
      <c r="F53" s="7"/>
      <c r="G53" s="70" t="str">
        <f t="shared" si="6"/>
        <v/>
      </c>
      <c r="H53" s="71" t="str">
        <f t="shared" si="7"/>
        <v/>
      </c>
      <c r="I53" s="7"/>
      <c r="J53" s="75"/>
      <c r="K53" s="73" t="str">
        <f t="shared" si="8"/>
        <v/>
      </c>
      <c r="L53" s="131"/>
      <c r="M53" s="131"/>
      <c r="N53" s="130" t="str">
        <f t="shared" si="9"/>
        <v/>
      </c>
      <c r="O53" s="130"/>
      <c r="P53" s="7"/>
      <c r="Q53" s="60" t="str">
        <f t="shared" si="10"/>
        <v/>
      </c>
      <c r="R53" s="73" t="str">
        <f t="shared" si="11"/>
        <v/>
      </c>
      <c r="S53" s="76"/>
      <c r="T53" s="31"/>
      <c r="U53" s="28" t="str">
        <f t="shared" si="12"/>
        <v/>
      </c>
    </row>
    <row r="54" spans="1:21" ht="25" customHeight="1">
      <c r="A54" s="160"/>
      <c r="B54" s="168"/>
      <c r="C54" s="171"/>
      <c r="D54" s="5">
        <v>13</v>
      </c>
      <c r="E54" s="7"/>
      <c r="F54" s="7"/>
      <c r="G54" s="70" t="str">
        <f t="shared" si="6"/>
        <v/>
      </c>
      <c r="H54" s="71" t="str">
        <f t="shared" si="7"/>
        <v/>
      </c>
      <c r="I54" s="7"/>
      <c r="J54" s="75"/>
      <c r="K54" s="73" t="str">
        <f t="shared" si="8"/>
        <v/>
      </c>
      <c r="L54" s="131"/>
      <c r="M54" s="131"/>
      <c r="N54" s="130" t="str">
        <f t="shared" si="9"/>
        <v/>
      </c>
      <c r="O54" s="130"/>
      <c r="P54" s="7"/>
      <c r="Q54" s="60" t="str">
        <f t="shared" si="10"/>
        <v/>
      </c>
      <c r="R54" s="73" t="str">
        <f t="shared" si="11"/>
        <v/>
      </c>
      <c r="S54" s="76"/>
      <c r="T54" s="31"/>
      <c r="U54" s="28" t="str">
        <f t="shared" si="12"/>
        <v/>
      </c>
    </row>
    <row r="55" spans="1:21" ht="25" customHeight="1">
      <c r="A55" s="160"/>
      <c r="B55" s="168"/>
      <c r="C55" s="171"/>
      <c r="D55" s="5">
        <v>14</v>
      </c>
      <c r="E55" s="7"/>
      <c r="F55" s="7"/>
      <c r="G55" s="70" t="str">
        <f t="shared" si="6"/>
        <v/>
      </c>
      <c r="H55" s="71" t="str">
        <f t="shared" si="7"/>
        <v/>
      </c>
      <c r="I55" s="7"/>
      <c r="J55" s="75"/>
      <c r="K55" s="73" t="str">
        <f t="shared" si="8"/>
        <v/>
      </c>
      <c r="L55" s="131"/>
      <c r="M55" s="131"/>
      <c r="N55" s="130" t="str">
        <f t="shared" si="9"/>
        <v/>
      </c>
      <c r="O55" s="130"/>
      <c r="P55" s="7"/>
      <c r="Q55" s="60" t="str">
        <f t="shared" si="10"/>
        <v/>
      </c>
      <c r="R55" s="73" t="str">
        <f t="shared" si="11"/>
        <v/>
      </c>
      <c r="S55" s="76"/>
      <c r="T55" s="31"/>
      <c r="U55" s="28" t="str">
        <f t="shared" si="12"/>
        <v/>
      </c>
    </row>
    <row r="56" spans="1:21" ht="25" customHeight="1">
      <c r="A56" s="160"/>
      <c r="B56" s="168"/>
      <c r="C56" s="171"/>
      <c r="D56" s="5">
        <v>15</v>
      </c>
      <c r="E56" s="7"/>
      <c r="F56" s="7"/>
      <c r="G56" s="70" t="str">
        <f t="shared" si="6"/>
        <v/>
      </c>
      <c r="H56" s="71" t="str">
        <f t="shared" si="7"/>
        <v/>
      </c>
      <c r="I56" s="7"/>
      <c r="J56" s="75"/>
      <c r="K56" s="73" t="str">
        <f t="shared" si="8"/>
        <v/>
      </c>
      <c r="L56" s="131"/>
      <c r="M56" s="131"/>
      <c r="N56" s="130" t="str">
        <f t="shared" si="9"/>
        <v/>
      </c>
      <c r="O56" s="130"/>
      <c r="P56" s="7"/>
      <c r="Q56" s="60" t="str">
        <f t="shared" si="10"/>
        <v/>
      </c>
      <c r="R56" s="73" t="str">
        <f t="shared" si="11"/>
        <v/>
      </c>
      <c r="S56" s="76"/>
      <c r="T56" s="31"/>
      <c r="U56" s="28" t="str">
        <f t="shared" si="12"/>
        <v/>
      </c>
    </row>
    <row r="57" spans="1:21" ht="25" customHeight="1">
      <c r="A57" s="160"/>
      <c r="B57" s="168"/>
      <c r="C57" s="171"/>
      <c r="D57" s="5">
        <v>16</v>
      </c>
      <c r="E57" s="7"/>
      <c r="F57" s="7"/>
      <c r="G57" s="70" t="str">
        <f t="shared" si="6"/>
        <v/>
      </c>
      <c r="H57" s="71" t="str">
        <f t="shared" si="7"/>
        <v/>
      </c>
      <c r="I57" s="7"/>
      <c r="J57" s="75"/>
      <c r="K57" s="73" t="str">
        <f t="shared" si="8"/>
        <v/>
      </c>
      <c r="L57" s="131"/>
      <c r="M57" s="131"/>
      <c r="N57" s="130" t="str">
        <f t="shared" si="9"/>
        <v/>
      </c>
      <c r="O57" s="130"/>
      <c r="P57" s="7"/>
      <c r="Q57" s="60" t="str">
        <f t="shared" si="10"/>
        <v/>
      </c>
      <c r="R57" s="73" t="str">
        <f t="shared" si="11"/>
        <v/>
      </c>
      <c r="S57" s="76"/>
      <c r="T57" s="31"/>
      <c r="U57" s="28" t="str">
        <f t="shared" si="12"/>
        <v/>
      </c>
    </row>
    <row r="58" spans="1:21" ht="25" customHeight="1">
      <c r="A58" s="160"/>
      <c r="B58" s="169"/>
      <c r="C58" s="175"/>
      <c r="D58" s="77">
        <v>17</v>
      </c>
      <c r="E58" s="78"/>
      <c r="F58" s="78"/>
      <c r="G58" s="78"/>
      <c r="H58" s="78"/>
      <c r="I58" s="78"/>
      <c r="J58" s="78" t="s">
        <v>96</v>
      </c>
      <c r="K58" s="13">
        <f>SUM(K42:K57)</f>
        <v>2.5925925925925901E-2</v>
      </c>
      <c r="L58" s="116" t="s">
        <v>97</v>
      </c>
      <c r="M58" s="116"/>
      <c r="N58" s="132">
        <f>SUM(N42:O57)</f>
        <v>0.62222222222222201</v>
      </c>
      <c r="O58" s="132"/>
      <c r="P58" s="79"/>
      <c r="Q58" s="80" t="s">
        <v>98</v>
      </c>
      <c r="R58" s="81">
        <f>SUM(R42:R57)</f>
        <v>0.15909090909090901</v>
      </c>
      <c r="S58" s="82"/>
      <c r="T58" s="83" t="s">
        <v>99</v>
      </c>
      <c r="U58" s="84">
        <f>SUM(U42:U57)</f>
        <v>0.28269230769230802</v>
      </c>
    </row>
    <row r="59" spans="1:21" ht="25" customHeight="1">
      <c r="A59" s="160"/>
      <c r="B59" s="19" t="s">
        <v>100</v>
      </c>
      <c r="C59" s="133" t="s">
        <v>101</v>
      </c>
      <c r="D59" s="134"/>
      <c r="E59" s="85">
        <f>IF(U6="",N58,U6*K58)</f>
        <v>0.62222222222222201</v>
      </c>
      <c r="F59" s="135" t="s">
        <v>102</v>
      </c>
      <c r="G59" s="135"/>
      <c r="H59" s="135"/>
      <c r="I59" s="135"/>
      <c r="J59" s="135"/>
      <c r="K59" s="135"/>
      <c r="L59" s="135"/>
      <c r="M59" s="135"/>
      <c r="N59" s="135"/>
      <c r="O59" s="135"/>
      <c r="P59" s="136"/>
      <c r="Q59" s="137" t="s">
        <v>103</v>
      </c>
      <c r="R59" s="137"/>
      <c r="S59" s="138"/>
      <c r="T59" s="138"/>
      <c r="U59" s="139"/>
    </row>
    <row r="60" spans="1:21" ht="25" customHeight="1">
      <c r="A60" s="160"/>
      <c r="B60" s="5" t="s">
        <v>104</v>
      </c>
      <c r="C60" s="107" t="s">
        <v>105</v>
      </c>
      <c r="D60" s="140"/>
      <c r="E60" s="86">
        <f>(K27+K40+U40+R58+U58+E59+U27)*O8</f>
        <v>0.66063505439005399</v>
      </c>
      <c r="F60" s="141" t="s">
        <v>106</v>
      </c>
      <c r="G60" s="141"/>
      <c r="H60" s="141"/>
      <c r="I60" s="141"/>
      <c r="J60" s="141"/>
      <c r="K60" s="141"/>
      <c r="L60" s="141"/>
      <c r="M60" s="141"/>
      <c r="N60" s="141"/>
      <c r="O60" s="141"/>
      <c r="P60" s="142"/>
      <c r="Q60" s="143" t="s">
        <v>107</v>
      </c>
      <c r="R60" s="143"/>
      <c r="S60" s="144"/>
      <c r="T60" s="145"/>
      <c r="U60" s="146"/>
    </row>
    <row r="61" spans="1:21" ht="25" customHeight="1">
      <c r="A61" s="160"/>
      <c r="B61" s="5" t="s">
        <v>108</v>
      </c>
      <c r="C61" s="107" t="s">
        <v>109</v>
      </c>
      <c r="D61" s="140"/>
      <c r="E61" s="86">
        <f>(K27+U27)*0.03+(K40+U40+R58+U58+E59+E60)*0.05</f>
        <v>3.2362170246697701</v>
      </c>
      <c r="F61" s="141" t="s">
        <v>110</v>
      </c>
      <c r="G61" s="141"/>
      <c r="H61" s="141"/>
      <c r="I61" s="141"/>
      <c r="J61" s="141"/>
      <c r="K61" s="141"/>
      <c r="L61" s="141"/>
      <c r="M61" s="141"/>
      <c r="N61" s="141"/>
      <c r="O61" s="141"/>
      <c r="P61" s="142"/>
      <c r="Q61" s="147" t="s">
        <v>111</v>
      </c>
      <c r="R61" s="147"/>
      <c r="S61" s="109"/>
      <c r="T61" s="148"/>
      <c r="U61" s="149"/>
    </row>
    <row r="62" spans="1:21" ht="25" customHeight="1">
      <c r="A62" s="160"/>
      <c r="B62" s="5" t="s">
        <v>112</v>
      </c>
      <c r="C62" s="107" t="s">
        <v>113</v>
      </c>
      <c r="D62" s="140"/>
      <c r="E62" s="87">
        <v>0.5</v>
      </c>
      <c r="F62" s="141" t="s">
        <v>114</v>
      </c>
      <c r="G62" s="141"/>
      <c r="H62" s="141"/>
      <c r="I62" s="141"/>
      <c r="J62" s="141"/>
      <c r="K62" s="141"/>
      <c r="L62" s="141"/>
      <c r="M62" s="141"/>
      <c r="N62" s="141"/>
      <c r="O62" s="141"/>
      <c r="P62" s="142"/>
      <c r="Q62" s="147" t="s">
        <v>115</v>
      </c>
      <c r="R62" s="147"/>
      <c r="S62" s="109"/>
      <c r="T62" s="148"/>
      <c r="U62" s="149"/>
    </row>
    <row r="63" spans="1:21" ht="25" customHeight="1">
      <c r="A63" s="160"/>
      <c r="B63" s="5" t="s">
        <v>116</v>
      </c>
      <c r="C63" s="107" t="s">
        <v>117</v>
      </c>
      <c r="D63" s="140"/>
      <c r="E63" s="88">
        <v>0.5</v>
      </c>
      <c r="F63" s="141" t="s">
        <v>118</v>
      </c>
      <c r="G63" s="141"/>
      <c r="H63" s="141"/>
      <c r="I63" s="141"/>
      <c r="J63" s="141"/>
      <c r="K63" s="141"/>
      <c r="L63" s="141"/>
      <c r="M63" s="141"/>
      <c r="N63" s="141"/>
      <c r="O63" s="141"/>
      <c r="P63" s="142"/>
      <c r="Q63" s="150"/>
      <c r="R63" s="150"/>
      <c r="S63" s="151"/>
      <c r="T63" s="152"/>
      <c r="U63" s="153"/>
    </row>
    <row r="64" spans="1:21" ht="25" customHeight="1">
      <c r="A64" s="160"/>
      <c r="B64" s="5" t="s">
        <v>119</v>
      </c>
      <c r="C64" s="107" t="s">
        <v>120</v>
      </c>
      <c r="D64" s="140"/>
      <c r="E64" s="89">
        <f>K27+U27+K40+R58+U58+E59+E60+E61+E62+E63+U40-S60</f>
        <v>70.960357518065294</v>
      </c>
      <c r="F64" s="141" t="s">
        <v>121</v>
      </c>
      <c r="G64" s="141"/>
      <c r="H64" s="141"/>
      <c r="I64" s="141"/>
      <c r="J64" s="141"/>
      <c r="K64" s="141"/>
      <c r="L64" s="141"/>
      <c r="M64" s="141"/>
      <c r="N64" s="141"/>
      <c r="O64" s="141"/>
      <c r="P64" s="142"/>
      <c r="Q64" s="154" t="s">
        <v>122</v>
      </c>
      <c r="R64" s="154"/>
      <c r="S64" s="154"/>
      <c r="T64" s="154"/>
      <c r="U64" s="155"/>
    </row>
    <row r="65" spans="1:21" ht="25" customHeight="1">
      <c r="A65" s="160"/>
      <c r="B65" s="5" t="s">
        <v>123</v>
      </c>
      <c r="C65" s="107" t="s">
        <v>124</v>
      </c>
      <c r="D65" s="140"/>
      <c r="E65" s="90">
        <v>0.05</v>
      </c>
      <c r="F65" s="141" t="s">
        <v>125</v>
      </c>
      <c r="G65" s="141"/>
      <c r="H65" s="141"/>
      <c r="I65" s="141"/>
      <c r="J65" s="141"/>
      <c r="K65" s="141"/>
      <c r="L65" s="141"/>
      <c r="M65" s="141"/>
      <c r="N65" s="141"/>
      <c r="O65" s="141"/>
      <c r="P65" s="142"/>
      <c r="Q65" s="179"/>
      <c r="R65" s="179"/>
      <c r="S65" s="179"/>
      <c r="T65" s="179"/>
      <c r="U65" s="180"/>
    </row>
    <row r="66" spans="1:21" ht="25" customHeight="1">
      <c r="A66" s="160"/>
      <c r="B66" s="5" t="s">
        <v>126</v>
      </c>
      <c r="C66" s="107" t="s">
        <v>127</v>
      </c>
      <c r="D66" s="140"/>
      <c r="E66" s="86">
        <f>E64*E65</f>
        <v>3.5480178759032599</v>
      </c>
      <c r="F66" s="141" t="s">
        <v>128</v>
      </c>
      <c r="G66" s="141"/>
      <c r="H66" s="141"/>
      <c r="I66" s="141"/>
      <c r="J66" s="141"/>
      <c r="K66" s="141"/>
      <c r="L66" s="141"/>
      <c r="M66" s="141"/>
      <c r="N66" s="141"/>
      <c r="O66" s="141"/>
      <c r="P66" s="142"/>
      <c r="Q66" s="179"/>
      <c r="R66" s="179"/>
      <c r="S66" s="179"/>
      <c r="T66" s="179"/>
      <c r="U66" s="180"/>
    </row>
    <row r="67" spans="1:21" ht="25" customHeight="1">
      <c r="A67" s="160"/>
      <c r="B67" s="5" t="s">
        <v>129</v>
      </c>
      <c r="C67" s="107" t="s">
        <v>130</v>
      </c>
      <c r="D67" s="140"/>
      <c r="E67" s="86">
        <f>E64+E66</f>
        <v>74.508375393968507</v>
      </c>
      <c r="F67" s="141" t="s">
        <v>131</v>
      </c>
      <c r="G67" s="141"/>
      <c r="H67" s="141"/>
      <c r="I67" s="141"/>
      <c r="J67" s="141"/>
      <c r="K67" s="141"/>
      <c r="L67" s="141"/>
      <c r="M67" s="141"/>
      <c r="N67" s="141"/>
      <c r="O67" s="141"/>
      <c r="P67" s="142"/>
      <c r="Q67" s="179"/>
      <c r="R67" s="179"/>
      <c r="S67" s="179"/>
      <c r="T67" s="179"/>
      <c r="U67" s="180"/>
    </row>
    <row r="68" spans="1:21" ht="25" customHeight="1">
      <c r="A68" s="160"/>
      <c r="B68" s="5" t="s">
        <v>132</v>
      </c>
      <c r="C68" s="107" t="s">
        <v>133</v>
      </c>
      <c r="D68" s="140"/>
      <c r="E68" s="86">
        <f>E67*0.13</f>
        <v>9.6860888012159094</v>
      </c>
      <c r="F68" s="141" t="s">
        <v>134</v>
      </c>
      <c r="G68" s="141"/>
      <c r="H68" s="141"/>
      <c r="I68" s="141"/>
      <c r="J68" s="141"/>
      <c r="K68" s="141"/>
      <c r="L68" s="141"/>
      <c r="M68" s="141"/>
      <c r="N68" s="141"/>
      <c r="O68" s="141"/>
      <c r="P68" s="142"/>
      <c r="Q68" s="179"/>
      <c r="R68" s="179"/>
      <c r="S68" s="179"/>
      <c r="T68" s="179"/>
      <c r="U68" s="180"/>
    </row>
    <row r="69" spans="1:21" ht="25" customHeight="1">
      <c r="A69" s="160"/>
      <c r="B69" s="77" t="s">
        <v>135</v>
      </c>
      <c r="C69" s="156" t="s">
        <v>136</v>
      </c>
      <c r="D69" s="157"/>
      <c r="E69" s="91">
        <f>E67+E68</f>
        <v>84.194464195184395</v>
      </c>
      <c r="F69" s="158" t="s">
        <v>137</v>
      </c>
      <c r="G69" s="158"/>
      <c r="H69" s="158"/>
      <c r="I69" s="158"/>
      <c r="J69" s="158"/>
      <c r="K69" s="158"/>
      <c r="L69" s="158"/>
      <c r="M69" s="158"/>
      <c r="N69" s="158"/>
      <c r="O69" s="158"/>
      <c r="P69" s="159"/>
      <c r="Q69" s="181"/>
      <c r="R69" s="181"/>
      <c r="S69" s="181"/>
      <c r="T69" s="181"/>
      <c r="U69" s="182"/>
    </row>
  </sheetData>
  <sheetProtection algorithmName="SHA-512" hashValue="4y0XSNgF5K3xKU/uBrK/VDSli4F5qBkJdkYFOAOPv16Mo8Jq7xFdYJwIAumY9Qj9+5K1sAAYadT+WmvJ2gbs5w==" saltValue="n07tc34QEFUMnv0JkhW4tQ==" spinCount="100000" sheet="1" objects="1"/>
  <mergeCells count="119">
    <mergeCell ref="Q65:U69"/>
    <mergeCell ref="A1:A69"/>
    <mergeCell ref="B4:B8"/>
    <mergeCell ref="B9:B27"/>
    <mergeCell ref="B28:B40"/>
    <mergeCell ref="B41:B58"/>
    <mergeCell ref="C9:C27"/>
    <mergeCell ref="C28:C40"/>
    <mergeCell ref="C41:C58"/>
    <mergeCell ref="L4:L8"/>
    <mergeCell ref="L9:L27"/>
    <mergeCell ref="L28:L40"/>
    <mergeCell ref="C65:D65"/>
    <mergeCell ref="F65:P65"/>
    <mergeCell ref="C66:D66"/>
    <mergeCell ref="F66:P66"/>
    <mergeCell ref="C67:D67"/>
    <mergeCell ref="F67:P67"/>
    <mergeCell ref="C68:D68"/>
    <mergeCell ref="F68:P68"/>
    <mergeCell ref="C69:D69"/>
    <mergeCell ref="F69:P69"/>
    <mergeCell ref="C62:D62"/>
    <mergeCell ref="F62:P62"/>
    <mergeCell ref="Q62:R62"/>
    <mergeCell ref="S62:U62"/>
    <mergeCell ref="C63:D63"/>
    <mergeCell ref="F63:P63"/>
    <mergeCell ref="Q63:R63"/>
    <mergeCell ref="S63:U63"/>
    <mergeCell ref="C64:D64"/>
    <mergeCell ref="F64:P64"/>
    <mergeCell ref="Q64:U64"/>
    <mergeCell ref="Q59:U59"/>
    <mergeCell ref="C60:D60"/>
    <mergeCell ref="F60:P60"/>
    <mergeCell ref="Q60:R60"/>
    <mergeCell ref="S60:U60"/>
    <mergeCell ref="C61:D61"/>
    <mergeCell ref="F61:P61"/>
    <mergeCell ref="Q61:R61"/>
    <mergeCell ref="S61:U61"/>
    <mergeCell ref="L55:M55"/>
    <mergeCell ref="N55:O55"/>
    <mergeCell ref="L56:M56"/>
    <mergeCell ref="N56:O56"/>
    <mergeCell ref="L57:M57"/>
    <mergeCell ref="N57:O57"/>
    <mergeCell ref="L58:M58"/>
    <mergeCell ref="N58:O58"/>
    <mergeCell ref="C59:D59"/>
    <mergeCell ref="F59:P59"/>
    <mergeCell ref="L50:M50"/>
    <mergeCell ref="N50:O50"/>
    <mergeCell ref="L51:M51"/>
    <mergeCell ref="N51:O51"/>
    <mergeCell ref="L52:M52"/>
    <mergeCell ref="N52:O52"/>
    <mergeCell ref="L53:M53"/>
    <mergeCell ref="N53:O53"/>
    <mergeCell ref="L54:M54"/>
    <mergeCell ref="N54:O54"/>
    <mergeCell ref="L45:M45"/>
    <mergeCell ref="N45:O45"/>
    <mergeCell ref="L46:M46"/>
    <mergeCell ref="N46:O46"/>
    <mergeCell ref="L47:M47"/>
    <mergeCell ref="N47:O47"/>
    <mergeCell ref="L48:M48"/>
    <mergeCell ref="N48:O48"/>
    <mergeCell ref="L49:M49"/>
    <mergeCell ref="N49:O49"/>
    <mergeCell ref="H40:I40"/>
    <mergeCell ref="L41:M41"/>
    <mergeCell ref="N41:O41"/>
    <mergeCell ref="L42:M42"/>
    <mergeCell ref="N42:O42"/>
    <mergeCell ref="L43:M43"/>
    <mergeCell ref="N43:O43"/>
    <mergeCell ref="L44:M44"/>
    <mergeCell ref="N44:O44"/>
    <mergeCell ref="M28:M40"/>
    <mergeCell ref="C8:D8"/>
    <mergeCell ref="E8:F8"/>
    <mergeCell ref="H8:K8"/>
    <mergeCell ref="M8:N8"/>
    <mergeCell ref="O8:P8"/>
    <mergeCell ref="R8:S8"/>
    <mergeCell ref="H27:I27"/>
    <mergeCell ref="S27:T27"/>
    <mergeCell ref="D28:K28"/>
    <mergeCell ref="N28:U28"/>
    <mergeCell ref="M9:M27"/>
    <mergeCell ref="C6:D6"/>
    <mergeCell ref="E6:F6"/>
    <mergeCell ref="H6:K6"/>
    <mergeCell ref="M6:N6"/>
    <mergeCell ref="O6:P6"/>
    <mergeCell ref="R6:S6"/>
    <mergeCell ref="C7:D7"/>
    <mergeCell ref="E7:F7"/>
    <mergeCell ref="H7:K7"/>
    <mergeCell ref="M7:N7"/>
    <mergeCell ref="O7:P7"/>
    <mergeCell ref="R7:S7"/>
    <mergeCell ref="B2:U2"/>
    <mergeCell ref="B3:U3"/>
    <mergeCell ref="C4:D4"/>
    <mergeCell ref="E4:F4"/>
    <mergeCell ref="H4:K4"/>
    <mergeCell ref="M4:N4"/>
    <mergeCell ref="O4:P4"/>
    <mergeCell ref="R4:S4"/>
    <mergeCell ref="C5:D5"/>
    <mergeCell ref="E5:F5"/>
    <mergeCell ref="H5:K5"/>
    <mergeCell ref="M5:N5"/>
    <mergeCell ref="O5:P5"/>
    <mergeCell ref="R5:S5"/>
  </mergeCells>
  <pageMargins left="0.75" right="0.75" top="1" bottom="1" header="0.5" footer="0.5"/>
  <pageSetup paperSize="9" scale="3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CHASSIS </vt:lpstr>
      <vt:lpstr>AP COVER</vt:lpstr>
      <vt:lpstr>'AP COVER'!Print_Area</vt:lpstr>
      <vt:lpstr>'CHASSIS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2026-06-15T23:45:30Z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02D4C33EEDBD494E9F28B3CAD4515504_13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