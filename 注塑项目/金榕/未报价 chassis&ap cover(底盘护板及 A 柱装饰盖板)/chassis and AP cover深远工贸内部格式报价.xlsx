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未报价 chassis&amp;ap cover(底盘护板及 A 柱装饰盖板)/"/>
    </mc:Choice>
  </mc:AlternateContent>
  <xr:revisionPtr revIDLastSave="0" documentId="13_ncr:1_{F8D1ABA8-8D72-0149-9AAD-B7356D2F7533}" xr6:coauthVersionLast="47" xr6:coauthVersionMax="47" xr10:uidLastSave="{00000000-0000-0000-0000-000000000000}"/>
  <bookViews>
    <workbookView xWindow="1200" yWindow="1480" windowWidth="39440" windowHeight="17320" tabRatio="566" xr2:uid="{00000000-000D-0000-FFFF-FFFF00000000}"/>
  </bookViews>
  <sheets>
    <sheet name="Sheet1" sheetId="1" r:id="rId1"/>
  </sheets>
  <externalReferences>
    <externalReference r:id="rId2"/>
  </externalReferences>
  <definedNames>
    <definedName name="AllProcessMaterial">'[1]Material List'!$A$4:$A$89</definedName>
    <definedName name="dd_GrainType">'[1]Drop-Down Lists'!$C$132:$C$141</definedName>
    <definedName name="UnitConvTable">'[1]Material List'!$H$97:$I$120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4" i="1"/>
  <c r="M4" i="1"/>
  <c r="BA5" i="1"/>
  <c r="AY5" i="1"/>
  <c r="AW5" i="1"/>
  <c r="AU5" i="1"/>
  <c r="AS5" i="1"/>
  <c r="AK5" i="1"/>
  <c r="AA5" i="1"/>
  <c r="Z5" i="1"/>
  <c r="M5" i="1"/>
  <c r="BA4" i="1"/>
  <c r="AY4" i="1"/>
  <c r="AW4" i="1"/>
  <c r="AU4" i="1"/>
  <c r="AS4" i="1"/>
  <c r="AK4" i="1"/>
  <c r="AA4" i="1"/>
  <c r="Z4" i="1"/>
  <c r="S5" i="1" l="1"/>
  <c r="V5" i="1" s="1"/>
  <c r="AC5" i="1" s="1"/>
  <c r="S4" i="1"/>
  <c r="V4" i="1" s="1"/>
  <c r="AC4" i="1" s="1"/>
  <c r="AB4" i="1"/>
  <c r="AD4" i="1" s="1"/>
  <c r="AB5" i="1"/>
  <c r="AD5" i="1" l="1"/>
  <c r="AI5" i="1"/>
  <c r="AI4" i="1"/>
  <c r="AL5" i="1"/>
  <c r="AL4" i="1"/>
  <c r="AH5" i="1" l="1"/>
  <c r="AP5" i="1"/>
  <c r="AT5" i="1" s="1"/>
  <c r="AV5" i="1" s="1"/>
  <c r="AX5" i="1" s="1"/>
  <c r="AF5" i="1"/>
  <c r="AH4" i="1"/>
  <c r="AF4" i="1"/>
  <c r="AP4" i="1"/>
  <c r="AQ5" i="1" l="1"/>
  <c r="AT4" i="1"/>
  <c r="AV4" i="1" s="1"/>
  <c r="AX4" i="1" s="1"/>
  <c r="AQ4" i="1"/>
  <c r="BB5" i="1"/>
  <c r="AZ5" i="1"/>
  <c r="BB4" i="1" l="1"/>
  <c r="AZ4" i="1"/>
</calcChain>
</file>

<file path=xl/sharedStrings.xml><?xml version="1.0" encoding="utf-8"?>
<sst xmlns="http://schemas.openxmlformats.org/spreadsheetml/2006/main" count="73" uniqueCount="68">
  <si>
    <t>GEA新项目报价</t>
  </si>
  <si>
    <t>报价注意点：</t>
  </si>
  <si>
    <t>年降%</t>
  </si>
  <si>
    <t>年降
SOP+1</t>
  </si>
  <si>
    <t>年降
SOP+2</t>
  </si>
  <si>
    <t>年降
SOP+3</t>
  </si>
  <si>
    <t>年降
SOP+4</t>
  </si>
  <si>
    <t>年降
SOP+5</t>
  </si>
  <si>
    <t>NO</t>
  </si>
  <si>
    <t>车型</t>
  </si>
  <si>
    <t>零件号</t>
  </si>
  <si>
    <t>产品名称</t>
  </si>
  <si>
    <t>部品图片</t>
  </si>
  <si>
    <t>产品尺寸</t>
  </si>
  <si>
    <t>模穴数</t>
  </si>
  <si>
    <t>取数</t>
  </si>
  <si>
    <t>员数</t>
  </si>
  <si>
    <t>图纸&amp;BOM要求材料</t>
  </si>
  <si>
    <t>总量纲/W</t>
  </si>
  <si>
    <t>生命周期</t>
  </si>
  <si>
    <t>月批量</t>
  </si>
  <si>
    <t>制品重量（G）</t>
  </si>
  <si>
    <t>料头（G）</t>
  </si>
  <si>
    <t>再生率 （%）</t>
  </si>
  <si>
    <t>步留 （%）</t>
  </si>
  <si>
    <t>段取
(g)</t>
  </si>
  <si>
    <t>使用
重量  (g)</t>
  </si>
  <si>
    <t>材料单价 (RMB)</t>
  </si>
  <si>
    <t>不良损耗</t>
  </si>
  <si>
    <t>部品材料费RMB</t>
  </si>
  <si>
    <t>成形机（T）</t>
  </si>
  <si>
    <t>机台费率/分</t>
  </si>
  <si>
    <t>分钟机台费率
/60/机台效率90%（RMB/S）</t>
  </si>
  <si>
    <t>加工费 (RMB)</t>
  </si>
  <si>
    <t>加工管理费（RMB）</t>
  </si>
  <si>
    <t>利润                      （RMB）</t>
  </si>
  <si>
    <t>模具费</t>
  </si>
  <si>
    <t>模具实验分摊费(52.5万套)</t>
  </si>
  <si>
    <t xml:space="preserve">总计价格
/RMB未税
</t>
  </si>
  <si>
    <t>返利BL:</t>
  </si>
  <si>
    <t>LTA年降%</t>
  </si>
  <si>
    <t>年降期限</t>
  </si>
  <si>
    <t>总计价格
/RMB未税
含LTA/BL</t>
  </si>
  <si>
    <t>原材料占比</t>
  </si>
  <si>
    <t>年降金额</t>
  </si>
  <si>
    <t>模具总费用(RMB)不含税</t>
  </si>
  <si>
    <t>实验费用
(RMB)不含税</t>
  </si>
  <si>
    <t>检具</t>
  </si>
  <si>
    <t>工装</t>
  </si>
  <si>
    <t>检具+工装费用 (RMB)
不含税</t>
  </si>
  <si>
    <t>分摊数</t>
  </si>
  <si>
    <t>分摊年限</t>
  </si>
  <si>
    <t>分摊费/RMB</t>
  </si>
  <si>
    <t>月产值</t>
  </si>
  <si>
    <t>总产值</t>
  </si>
  <si>
    <t>2243988-00</t>
  </si>
  <si>
    <t>CHASSIS</t>
  </si>
  <si>
    <t>380T</t>
  </si>
  <si>
    <t>2248923-00</t>
  </si>
  <si>
    <t>AP COVER</t>
  </si>
  <si>
    <t>250T</t>
  </si>
  <si>
    <t>286X253X82mm</t>
  </si>
  <si>
    <t>287X253X17mm</t>
  </si>
  <si>
    <t>深远加工时间 (S)</t>
  </si>
  <si>
    <t>运输  (RMB)
8%</t>
  </si>
  <si>
    <t>包装（RMB）
12%</t>
  </si>
  <si>
    <t>材料管理费用
材料管理费</t>
  </si>
  <si>
    <t>1、运输费按照300公里距离计算
2、包装按照周转箱计算。
3、料头重量按照0%回收比例计算（实际可回收），非外观件可针阀直接点在产品上。
4、产品克重统一根据数据体积*密度1.2计算。
5、原材料价格参考锦湖日丽，普利特类似材料价格
6、报价不含年降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</si>
</sst>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6" formatCode="&quot;¥&quot;#,##0_);[Red]\(&quot;¥&quot;#,##0\)"/>
    <numFmt numFmtId="8" formatCode="&quot;¥&quot;#,##0.00_);[Red]\(&quot;¥&quot;#,##0.00\)"/>
    <numFmt numFmtId="43" formatCode="_(* #,##0.00_);_(* \(#,##0.00\);_(* &quot;-&quot;??_);_(@_)"/>
    <numFmt numFmtId="164" formatCode="0.00_ "/>
    <numFmt numFmtId="165" formatCode="0.0000_ "/>
    <numFmt numFmtId="166" formatCode="0.00_);[Red]\(0.00\)"/>
    <numFmt numFmtId="167" formatCode="_ * #,##0.0000_ ;_ * \-#,##0.0000_ ;_ * &quot;-&quot;??.00_ ;_ @_ "/>
    <numFmt numFmtId="168" formatCode="#,##0_ "/>
    <numFmt numFmtId="169" formatCode="#,##0.00_ "/>
    <numFmt numFmtId="170" formatCode="#,##0.000_ "/>
    <numFmt numFmtId="171" formatCode="#,##0.0000_);[Red]\(#,##0.0000\)"/>
    <numFmt numFmtId="172" formatCode="0.0%"/>
    <numFmt numFmtId="173" formatCode="#,##0.000_);[Red]\(#,##0.000\)"/>
    <numFmt numFmtId="174" formatCode="_ * #,##0.0000_ ;_ * \-#,##0.0000_ ;_ * &quot;-&quot;??.0000_ ;_ @_ "/>
    <numFmt numFmtId="175" formatCode="_ * #,##0_ ;_ * \-#,##0_ ;_ * &quot;-&quot;??_ ;_ @_ "/>
    <numFmt numFmtId="176" formatCode="_ * #,##0.00_ ;_ * \-#,##0.00_ ;_ * &quot;-&quot;??_ ;_ @_ "/>
    <numFmt numFmtId="177" formatCode="_-* #,##0.00\ [$€-1]_-;\-* #,##0.00\ [$€-1]_-;_-* &quot;-&quot;??\ [$€-1]_-"/>
  </numFmts>
  <fonts count="20">
    <font>
      <sz val="11"/>
      <color indexed="8"/>
      <name val="宋体"/>
      <charset val="134"/>
    </font>
    <font>
      <sz val="18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8"/>
      <name val="微软雅黑"/>
      <family val="2"/>
      <charset val="134"/>
    </font>
    <font>
      <b/>
      <sz val="18"/>
      <name val="微软雅黑"/>
      <family val="2"/>
      <charset val="134"/>
    </font>
    <font>
      <b/>
      <sz val="18"/>
      <color rgb="FFC00000"/>
      <name val="微软雅黑"/>
      <family val="2"/>
      <charset val="134"/>
    </font>
    <font>
      <b/>
      <sz val="14"/>
      <color rgb="FFC00000"/>
      <name val="微软雅黑"/>
      <family val="2"/>
      <charset val="134"/>
    </font>
    <font>
      <sz val="18"/>
      <color rgb="FF0070C0"/>
      <name val="微软雅黑"/>
      <family val="2"/>
      <charset val="134"/>
    </font>
    <font>
      <b/>
      <sz val="1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indexed="8"/>
      <name val="Calibri"/>
      <family val="2"/>
    </font>
    <font>
      <sz val="11"/>
      <color indexed="8"/>
      <name val="微软雅黑"/>
      <family val="2"/>
      <charset val="13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sz val="11"/>
      <name val="ＭＳ Ｐゴシック"/>
      <family val="2"/>
      <charset val="128"/>
    </font>
    <font>
      <sz val="14"/>
      <name val="System"/>
      <charset val="134"/>
    </font>
    <font>
      <sz val="11"/>
      <color indexed="8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>
      <alignment vertical="center"/>
    </xf>
    <xf numFmtId="9" fontId="19" fillId="0" borderId="0">
      <alignment vertical="center"/>
    </xf>
    <xf numFmtId="43" fontId="15" fillId="0" borderId="0"/>
    <xf numFmtId="177" fontId="15" fillId="0" borderId="0"/>
    <xf numFmtId="177" fontId="15" fillId="0" borderId="0"/>
    <xf numFmtId="0" fontId="14" fillId="0" borderId="0">
      <alignment vertical="center"/>
    </xf>
    <xf numFmtId="0" fontId="16" fillId="0" borderId="0">
      <alignment vertical="center"/>
    </xf>
    <xf numFmtId="0" fontId="15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6" fillId="0" borderId="0"/>
  </cellStyleXfs>
  <cellXfs count="77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top" wrapText="1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8" fontId="4" fillId="0" borderId="0" xfId="0" applyNumberFormat="1" applyFont="1" applyAlignment="1" applyProtection="1">
      <alignment horizontal="center" vertical="center"/>
      <protection locked="0"/>
    </xf>
    <xf numFmtId="8" fontId="3" fillId="0" borderId="0" xfId="0" applyNumberFormat="1" applyFont="1" applyProtection="1">
      <alignment vertical="center"/>
      <protection locked="0"/>
    </xf>
    <xf numFmtId="6" fontId="3" fillId="0" borderId="0" xfId="0" applyNumberFormat="1" applyFont="1" applyAlignment="1" applyProtection="1">
      <alignment horizontal="left" vertical="center"/>
      <protection locked="0"/>
    </xf>
    <xf numFmtId="6" fontId="3" fillId="0" borderId="0" xfId="0" applyNumberFormat="1" applyFont="1" applyProtection="1">
      <alignment vertical="center"/>
      <protection locked="0"/>
    </xf>
    <xf numFmtId="0" fontId="4" fillId="0" borderId="0" xfId="8" applyFont="1" applyAlignment="1">
      <alignment horizontal="left" vertical="center"/>
    </xf>
    <xf numFmtId="0" fontId="3" fillId="0" borderId="0" xfId="0" applyFont="1">
      <alignment vertical="center"/>
    </xf>
    <xf numFmtId="0" fontId="7" fillId="2" borderId="0" xfId="0" applyFont="1" applyFill="1" applyAlignment="1">
      <alignment vertical="center" wrapText="1"/>
    </xf>
    <xf numFmtId="164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 applyProtection="1">
      <alignment vertical="center"/>
      <protection locked="0"/>
    </xf>
    <xf numFmtId="8" fontId="3" fillId="0" borderId="0" xfId="0" applyNumberFormat="1" applyFont="1" applyAlignment="1" applyProtection="1">
      <alignment horizontal="center" vertical="center"/>
      <protection locked="0"/>
    </xf>
    <xf numFmtId="8" fontId="3" fillId="0" borderId="0" xfId="0" applyNumberFormat="1" applyFont="1" applyAlignment="1">
      <alignment horizontal="center" vertical="center"/>
    </xf>
    <xf numFmtId="6" fontId="3" fillId="0" borderId="0" xfId="0" applyNumberFormat="1" applyFont="1" applyAlignment="1">
      <alignment horizontal="left" vertical="center"/>
    </xf>
    <xf numFmtId="6" fontId="3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6" applyFont="1" applyFill="1" applyBorder="1" applyAlignment="1">
      <alignment horizontal="center" vertical="center" wrapText="1"/>
    </xf>
    <xf numFmtId="164" fontId="8" fillId="3" borderId="1" xfId="6" applyNumberFormat="1" applyFont="1" applyFill="1" applyBorder="1" applyAlignment="1">
      <alignment horizontal="center" vertical="center" wrapText="1"/>
    </xf>
    <xf numFmtId="8" fontId="8" fillId="3" borderId="1" xfId="6" applyNumberFormat="1" applyFont="1" applyFill="1" applyBorder="1" applyAlignment="1">
      <alignment horizontal="center" vertical="center" wrapText="1"/>
    </xf>
    <xf numFmtId="8" fontId="8" fillId="2" borderId="1" xfId="6" applyNumberFormat="1" applyFont="1" applyFill="1" applyBorder="1" applyAlignment="1">
      <alignment horizontal="center" vertical="center" wrapText="1"/>
    </xf>
    <xf numFmtId="8" fontId="8" fillId="4" borderId="1" xfId="6" applyNumberFormat="1" applyFont="1" applyFill="1" applyBorder="1" applyAlignment="1">
      <alignment horizontal="center" vertical="center" wrapText="1"/>
    </xf>
    <xf numFmtId="8" fontId="9" fillId="0" borderId="0" xfId="0" applyNumberFormat="1" applyFont="1" applyAlignment="1" applyProtection="1">
      <protection locked="0"/>
    </xf>
    <xf numFmtId="9" fontId="10" fillId="3" borderId="1" xfId="1" applyFont="1" applyFill="1" applyBorder="1" applyAlignment="1" applyProtection="1">
      <alignment horizontal="center" vertical="center"/>
      <protection locked="0"/>
    </xf>
    <xf numFmtId="6" fontId="8" fillId="3" borderId="1" xfId="0" applyNumberFormat="1" applyFont="1" applyFill="1" applyBorder="1" applyAlignment="1">
      <alignment horizontal="center" vertical="center" wrapText="1"/>
    </xf>
    <xf numFmtId="8" fontId="8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10" applyFont="1" applyBorder="1" applyAlignment="1">
      <alignment horizontal="left" vertical="center" wrapText="1"/>
    </xf>
    <xf numFmtId="0" fontId="9" fillId="0" borderId="1" xfId="10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10" fontId="9" fillId="0" borderId="1" xfId="7" applyNumberFormat="1" applyFont="1" applyBorder="1" applyAlignment="1" applyProtection="1">
      <alignment horizontal="center" vertical="center" wrapText="1"/>
      <protection locked="0"/>
    </xf>
    <xf numFmtId="10" fontId="9" fillId="0" borderId="1" xfId="7" applyNumberFormat="1" applyFont="1" applyBorder="1" applyAlignment="1">
      <alignment vertical="center" wrapText="1"/>
    </xf>
    <xf numFmtId="166" fontId="10" fillId="0" borderId="1" xfId="6" applyNumberFormat="1" applyFont="1" applyBorder="1" applyAlignment="1">
      <alignment horizontal="center" vertical="center"/>
    </xf>
    <xf numFmtId="9" fontId="9" fillId="2" borderId="1" xfId="1" applyFont="1" applyFill="1" applyBorder="1" applyAlignment="1">
      <alignment horizontal="center" vertical="center"/>
    </xf>
    <xf numFmtId="167" fontId="9" fillId="0" borderId="1" xfId="6" applyNumberFormat="1" applyFont="1" applyBorder="1" applyAlignment="1">
      <alignment horizontal="right" vertical="center"/>
    </xf>
    <xf numFmtId="168" fontId="11" fillId="2" borderId="1" xfId="0" applyNumberFormat="1" applyFont="1" applyFill="1" applyBorder="1" applyAlignment="1">
      <alignment horizontal="right" vertical="center"/>
    </xf>
    <xf numFmtId="168" fontId="9" fillId="2" borderId="1" xfId="0" applyNumberFormat="1" applyFont="1" applyFill="1" applyBorder="1" applyAlignment="1">
      <alignment horizontal="right" vertical="center"/>
    </xf>
    <xf numFmtId="169" fontId="9" fillId="2" borderId="1" xfId="0" applyNumberFormat="1" applyFont="1" applyFill="1" applyBorder="1" applyAlignment="1">
      <alignment horizontal="right" vertical="center"/>
    </xf>
    <xf numFmtId="170" fontId="9" fillId="0" borderId="1" xfId="6" applyNumberFormat="1" applyFont="1" applyBorder="1" applyAlignment="1">
      <alignment horizontal="right" vertical="center"/>
    </xf>
    <xf numFmtId="9" fontId="9" fillId="0" borderId="1" xfId="1" applyFont="1" applyBorder="1" applyAlignment="1">
      <alignment horizontal="right" vertical="center"/>
    </xf>
    <xf numFmtId="170" fontId="9" fillId="2" borderId="1" xfId="6" applyNumberFormat="1" applyFont="1" applyFill="1" applyBorder="1" applyAlignment="1">
      <alignment horizontal="right" vertical="center"/>
    </xf>
    <xf numFmtId="168" fontId="9" fillId="0" borderId="1" xfId="6" applyNumberFormat="1" applyFont="1" applyBorder="1" applyAlignment="1">
      <alignment horizontal="right" vertical="center"/>
    </xf>
    <xf numFmtId="171" fontId="9" fillId="0" borderId="1" xfId="6" applyNumberFormat="1" applyFont="1" applyBorder="1" applyAlignment="1">
      <alignment horizontal="right" vertical="center"/>
    </xf>
    <xf numFmtId="172" fontId="9" fillId="0" borderId="1" xfId="1" applyNumberFormat="1" applyFont="1" applyBorder="1" applyAlignment="1">
      <alignment horizontal="right" vertical="center"/>
    </xf>
    <xf numFmtId="0" fontId="9" fillId="0" borderId="1" xfId="6" applyFont="1" applyBorder="1" applyAlignment="1">
      <alignment horizontal="center" vertical="center"/>
    </xf>
    <xf numFmtId="173" fontId="9" fillId="0" borderId="1" xfId="6" applyNumberFormat="1" applyFont="1" applyBorder="1" applyAlignment="1">
      <alignment horizontal="right" vertical="center"/>
    </xf>
    <xf numFmtId="9" fontId="10" fillId="0" borderId="1" xfId="1" applyFont="1" applyBorder="1" applyAlignment="1">
      <alignment horizontal="right" vertical="center"/>
    </xf>
    <xf numFmtId="9" fontId="9" fillId="0" borderId="1" xfId="1" applyFont="1" applyBorder="1" applyAlignment="1"/>
    <xf numFmtId="174" fontId="9" fillId="0" borderId="1" xfId="9" applyNumberFormat="1" applyFont="1" applyBorder="1" applyAlignment="1">
      <alignment horizontal="center" vertical="center"/>
    </xf>
    <xf numFmtId="9" fontId="13" fillId="0" borderId="1" xfId="1" applyFont="1" applyBorder="1" applyAlignment="1">
      <alignment horizontal="right" vertical="center" wrapText="1"/>
    </xf>
    <xf numFmtId="175" fontId="9" fillId="0" borderId="1" xfId="0" applyNumberFormat="1" applyFont="1" applyBorder="1" applyAlignment="1">
      <alignment horizontal="center" vertical="center"/>
    </xf>
    <xf numFmtId="6" fontId="9" fillId="0" borderId="1" xfId="0" applyNumberFormat="1" applyFont="1" applyBorder="1" applyAlignment="1">
      <alignment horizontal="center" vertical="center"/>
    </xf>
    <xf numFmtId="175" fontId="9" fillId="0" borderId="1" xfId="0" applyNumberFormat="1" applyFont="1" applyBorder="1" applyAlignment="1" applyProtection="1">
      <alignment horizontal="center" vertical="center"/>
      <protection locked="0"/>
    </xf>
    <xf numFmtId="176" fontId="9" fillId="0" borderId="1" xfId="0" applyNumberFormat="1" applyFont="1" applyBorder="1" applyAlignment="1" applyProtection="1">
      <alignment horizontal="center" vertical="center"/>
      <protection locked="0"/>
    </xf>
    <xf numFmtId="175" fontId="9" fillId="0" borderId="1" xfId="9" applyNumberFormat="1" applyFont="1" applyBorder="1" applyAlignment="1">
      <alignment horizontal="center" vertical="center"/>
    </xf>
    <xf numFmtId="0" fontId="0" fillId="0" borderId="0" xfId="0" applyAlignment="1"/>
    <xf numFmtId="2" fontId="13" fillId="0" borderId="1" xfId="0" applyNumberFormat="1" applyFont="1" applyBorder="1" applyAlignment="1" applyProtection="1">
      <alignment horizontal="center" vertical="center" wrapText="1"/>
      <protection locked="0"/>
    </xf>
    <xf numFmtId="0" fontId="9" fillId="2" borderId="1" xfId="9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6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 applyProtection="1">
      <protection locked="0"/>
    </xf>
    <xf numFmtId="8" fontId="4" fillId="3" borderId="1" xfId="6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8" fontId="3" fillId="2" borderId="1" xfId="0" applyNumberFormat="1" applyFont="1" applyFill="1" applyBorder="1" applyAlignment="1">
      <alignment horizontal="center" vertical="center" wrapText="1"/>
    </xf>
  </cellXfs>
  <cellStyles count="13">
    <cellStyle name="Comma 2 10" xfId="2" xr:uid="{00000000-0005-0000-0000-000031000000}"/>
    <cellStyle name="Normal" xfId="0" builtinId="0"/>
    <cellStyle name="Normal 2 2" xfId="3" xr:uid="{00000000-0005-0000-0000-000032000000}"/>
    <cellStyle name="Normal 2 2 2" xfId="12" xr:uid="{00000000-0005-0000-0000-00003B000000}"/>
    <cellStyle name="Normal 2 2 2 2" xfId="10" xr:uid="{00000000-0005-0000-0000-000039000000}"/>
    <cellStyle name="Normal 3" xfId="4" xr:uid="{00000000-0005-0000-0000-000033000000}"/>
    <cellStyle name="Percent" xfId="1" builtinId="5"/>
    <cellStyle name="常规 4 2" xfId="5" xr:uid="{00000000-0005-0000-0000-000034000000}"/>
    <cellStyle name="常规_ (2)" xfId="11" xr:uid="{00000000-0005-0000-0000-00003A000000}"/>
    <cellStyle name="常规_030821XEROX确认" xfId="6" xr:uid="{00000000-0005-0000-0000-000035000000}"/>
    <cellStyle name="常规_IEM外协" xfId="7" xr:uid="{00000000-0005-0000-0000-000036000000}"/>
    <cellStyle name="常规_Sheet1" xfId="8" xr:uid="{00000000-0005-0000-0000-000037000000}"/>
    <cellStyle name="样式 1" xfId="9" xr:uid="{00000000-0005-0000-0000-000038000000}"/>
  </cellStyles>
  <dxfs count="18">
    <dxf>
      <fill>
        <patternFill patternType="solid">
          <bgColor theme="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00000000-0011-0000-FFFF-FFFF01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E&#30424;/&#9313;.&#24310;&#38155;/&#9313;.&#39033;&#30446;&#20449;&#24687;/20230816-W02&#39033;&#30446;(&#20986;&#24120;&#24030;)/&#9312;.&#20135;&#21697;&#25968;&#25454;/BOM%2030015278_LI%20AUTO_W02_&#20391;&#22260;_M_VER%20A_FROM_ZHANGJIANHUI_20230724%20TO&#21451;&#2510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tatus"/>
      <sheetName val="Work Instructions"/>
      <sheetName val="EBOMTemplate"/>
      <sheetName val="ALL_Ver"/>
      <sheetName val="HstyVer_Sheet4_A"/>
      <sheetName val="Rev. History"/>
      <sheetName val="Checklist"/>
      <sheetName val="BOM"/>
      <sheetName val="ImportCBOM"/>
      <sheetName val="PDsheet0"/>
      <sheetName val="Assumptions"/>
      <sheetName val="Visual"/>
      <sheetName val="Part Desc."/>
      <sheetName val="VE Ideas"/>
      <sheetName val="Questions"/>
      <sheetName val="Explaination"/>
      <sheetName val="Self-made Process Flow"/>
      <sheetName val="Tool list(just for new process)"/>
      <sheetName val="Drop-Down Lists"/>
      <sheetName val="Mfg Process List"/>
      <sheetName val="Material List"/>
      <sheetName val=" PPV 2015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"/>
  <sheetViews>
    <sheetView tabSelected="1" topLeftCell="B1" zoomScale="140" zoomScaleNormal="140" workbookViewId="0">
      <selection activeCell="M14" sqref="M14"/>
    </sheetView>
  </sheetViews>
  <sheetFormatPr baseColWidth="10" defaultColWidth="9" defaultRowHeight="14"/>
  <cols>
    <col min="1" max="1" width="6.33203125" style="68" customWidth="1"/>
    <col min="2" max="2" width="7.5" style="68" customWidth="1"/>
    <col min="4" max="4" width="19.33203125" style="68" customWidth="1"/>
    <col min="5" max="5" width="10.6640625" style="68" customWidth="1"/>
    <col min="6" max="6" width="12.1640625" style="68" customWidth="1"/>
    <col min="18" max="18" width="24.33203125" customWidth="1"/>
    <col min="26" max="26" width="11.33203125" style="68" customWidth="1"/>
    <col min="27" max="27" width="8" style="68" customWidth="1"/>
    <col min="32" max="32" width="7.5" style="68" customWidth="1"/>
  </cols>
  <sheetData>
    <row r="1" spans="1:64" s="1" customFormat="1" ht="19" customHeight="1">
      <c r="A1" s="4"/>
      <c r="B1" s="4" t="s">
        <v>0</v>
      </c>
      <c r="C1" s="5"/>
      <c r="D1" s="6" t="s">
        <v>1</v>
      </c>
      <c r="E1" s="72" t="s">
        <v>67</v>
      </c>
      <c r="F1" s="73"/>
      <c r="G1" s="73"/>
      <c r="H1" s="73"/>
      <c r="I1" s="73"/>
      <c r="J1" s="73"/>
      <c r="K1" s="5"/>
      <c r="L1" s="5"/>
      <c r="M1" s="5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8"/>
      <c r="AA1" s="5"/>
      <c r="AB1" s="8"/>
      <c r="AC1" s="5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9"/>
      <c r="AR1" s="9"/>
      <c r="AS1" s="9"/>
      <c r="AT1" s="9"/>
      <c r="AU1" s="9"/>
      <c r="AV1" s="9"/>
      <c r="AW1" s="9"/>
      <c r="AX1" s="9"/>
      <c r="AY1" s="9"/>
      <c r="AZ1" s="8"/>
      <c r="BA1" s="8"/>
      <c r="BB1" s="8"/>
      <c r="BC1" s="10"/>
      <c r="BD1" s="11"/>
      <c r="BE1" s="11"/>
      <c r="BF1" s="11"/>
      <c r="BG1" s="11"/>
      <c r="BH1" s="11"/>
      <c r="BI1" s="11"/>
      <c r="BJ1" s="11"/>
      <c r="BK1" s="9"/>
    </row>
    <row r="2" spans="1:64" s="2" customFormat="1" ht="44" customHeight="1">
      <c r="B2" s="12"/>
      <c r="C2" s="13"/>
      <c r="D2" s="14"/>
      <c r="E2" s="73"/>
      <c r="F2" s="73"/>
      <c r="G2" s="73"/>
      <c r="H2" s="73"/>
      <c r="I2" s="73"/>
      <c r="J2" s="73"/>
      <c r="K2" s="5"/>
      <c r="L2" s="5"/>
      <c r="M2" s="5"/>
      <c r="N2" s="15"/>
      <c r="O2" s="13"/>
      <c r="P2" s="13"/>
      <c r="Q2" s="13"/>
      <c r="R2" s="13"/>
      <c r="S2" s="16"/>
      <c r="T2" s="16"/>
      <c r="U2" s="13"/>
      <c r="V2" s="13"/>
      <c r="W2" s="13"/>
      <c r="X2" s="17"/>
      <c r="Y2" s="17"/>
      <c r="Z2" s="18"/>
      <c r="AA2" s="16"/>
      <c r="AB2" s="19"/>
      <c r="AC2" s="16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76" t="s">
        <v>2</v>
      </c>
      <c r="AO2" s="75"/>
      <c r="AP2" s="19"/>
      <c r="AQ2" s="19"/>
      <c r="AR2" s="9"/>
      <c r="AS2" s="74" t="s">
        <v>3</v>
      </c>
      <c r="AT2" s="75"/>
      <c r="AU2" s="74" t="s">
        <v>4</v>
      </c>
      <c r="AV2" s="75"/>
      <c r="AW2" s="74" t="s">
        <v>5</v>
      </c>
      <c r="AX2" s="75"/>
      <c r="AY2" s="74" t="s">
        <v>6</v>
      </c>
      <c r="AZ2" s="75"/>
      <c r="BA2" s="74" t="s">
        <v>7</v>
      </c>
      <c r="BB2" s="75"/>
      <c r="BC2" s="20"/>
      <c r="BD2" s="21"/>
      <c r="BE2" s="21"/>
      <c r="BF2" s="21"/>
      <c r="BG2" s="21"/>
      <c r="BH2" s="21"/>
      <c r="BI2" s="21"/>
      <c r="BJ2" s="21"/>
      <c r="BK2" s="19"/>
    </row>
    <row r="3" spans="1:64" s="3" customFormat="1" ht="73.25" customHeight="1">
      <c r="A3" s="22" t="s">
        <v>8</v>
      </c>
      <c r="B3" s="22" t="s">
        <v>9</v>
      </c>
      <c r="C3" s="22" t="s">
        <v>10</v>
      </c>
      <c r="D3" s="22" t="s">
        <v>11</v>
      </c>
      <c r="E3" s="22" t="s">
        <v>12</v>
      </c>
      <c r="F3" s="22" t="s">
        <v>13</v>
      </c>
      <c r="G3" s="22" t="s">
        <v>14</v>
      </c>
      <c r="H3" s="23" t="s">
        <v>15</v>
      </c>
      <c r="I3" s="23" t="s">
        <v>16</v>
      </c>
      <c r="J3" s="23" t="s">
        <v>17</v>
      </c>
      <c r="K3" s="23" t="s">
        <v>18</v>
      </c>
      <c r="L3" s="23" t="s">
        <v>19</v>
      </c>
      <c r="M3" s="23" t="s">
        <v>20</v>
      </c>
      <c r="N3" s="24" t="s">
        <v>21</v>
      </c>
      <c r="O3" s="23" t="s">
        <v>22</v>
      </c>
      <c r="P3" s="23" t="s">
        <v>23</v>
      </c>
      <c r="Q3" s="23" t="s">
        <v>24</v>
      </c>
      <c r="R3" s="23" t="s">
        <v>25</v>
      </c>
      <c r="S3" s="23" t="s">
        <v>26</v>
      </c>
      <c r="T3" s="23" t="s">
        <v>27</v>
      </c>
      <c r="U3" s="23" t="s">
        <v>28</v>
      </c>
      <c r="V3" s="23" t="s">
        <v>29</v>
      </c>
      <c r="W3" s="23" t="s">
        <v>30</v>
      </c>
      <c r="X3" s="23" t="s">
        <v>63</v>
      </c>
      <c r="Y3" s="23" t="s">
        <v>31</v>
      </c>
      <c r="Z3" s="25" t="s">
        <v>32</v>
      </c>
      <c r="AA3" s="23" t="s">
        <v>28</v>
      </c>
      <c r="AB3" s="25" t="s">
        <v>33</v>
      </c>
      <c r="AC3" s="23" t="s">
        <v>66</v>
      </c>
      <c r="AD3" s="25" t="s">
        <v>34</v>
      </c>
      <c r="AE3" s="25" t="s">
        <v>64</v>
      </c>
      <c r="AF3" s="25"/>
      <c r="AG3" s="25" t="s">
        <v>65</v>
      </c>
      <c r="AH3" s="25"/>
      <c r="AI3" s="25" t="s">
        <v>35</v>
      </c>
      <c r="AJ3" s="25" t="s">
        <v>36</v>
      </c>
      <c r="AK3" s="25" t="s">
        <v>37</v>
      </c>
      <c r="AL3" s="25" t="s">
        <v>38</v>
      </c>
      <c r="AM3" s="26" t="s">
        <v>39</v>
      </c>
      <c r="AN3" s="26" t="s">
        <v>40</v>
      </c>
      <c r="AO3" s="26" t="s">
        <v>41</v>
      </c>
      <c r="AP3" s="27" t="s">
        <v>42</v>
      </c>
      <c r="AQ3" s="25" t="s">
        <v>43</v>
      </c>
      <c r="AR3" s="28"/>
      <c r="AS3" s="29"/>
      <c r="AT3" s="25" t="s">
        <v>44</v>
      </c>
      <c r="AU3" s="29"/>
      <c r="AV3" s="25" t="s">
        <v>44</v>
      </c>
      <c r="AW3" s="29"/>
      <c r="AX3" s="25" t="s">
        <v>44</v>
      </c>
      <c r="AY3" s="29"/>
      <c r="AZ3" s="25" t="s">
        <v>44</v>
      </c>
      <c r="BA3" s="29"/>
      <c r="BB3" s="25" t="s">
        <v>44</v>
      </c>
      <c r="BC3" s="30" t="s">
        <v>45</v>
      </c>
      <c r="BD3" s="30" t="s">
        <v>46</v>
      </c>
      <c r="BE3" s="30" t="s">
        <v>47</v>
      </c>
      <c r="BF3" s="30" t="s">
        <v>48</v>
      </c>
      <c r="BG3" s="30" t="s">
        <v>49</v>
      </c>
      <c r="BH3" s="30" t="s">
        <v>50</v>
      </c>
      <c r="BI3" s="30" t="s">
        <v>51</v>
      </c>
      <c r="BJ3" s="30" t="s">
        <v>52</v>
      </c>
      <c r="BK3" s="31" t="s">
        <v>53</v>
      </c>
      <c r="BL3" s="32" t="s">
        <v>54</v>
      </c>
    </row>
    <row r="4" spans="1:64" s="3" customFormat="1" ht="66" customHeight="1">
      <c r="A4" s="33">
        <v>1</v>
      </c>
      <c r="B4" s="34"/>
      <c r="C4" s="34" t="s">
        <v>55</v>
      </c>
      <c r="D4" s="35" t="s">
        <v>56</v>
      </c>
      <c r="E4" s="36"/>
      <c r="F4" s="71" t="s">
        <v>61</v>
      </c>
      <c r="G4" s="37"/>
      <c r="H4" s="38">
        <v>1</v>
      </c>
      <c r="I4" s="39"/>
      <c r="J4" s="40"/>
      <c r="K4" s="41">
        <v>0.2</v>
      </c>
      <c r="L4" s="69">
        <v>8.3333333333333329E-2</v>
      </c>
      <c r="M4" s="42">
        <f>ROUND(K4/L4/12*10000,-2)</f>
        <v>2000</v>
      </c>
      <c r="N4" s="41">
        <v>320</v>
      </c>
      <c r="O4" s="39">
        <f>N4*0.05</f>
        <v>16</v>
      </c>
      <c r="P4" s="43">
        <v>0</v>
      </c>
      <c r="Q4" s="44"/>
      <c r="R4" s="70">
        <v>6000</v>
      </c>
      <c r="S4" s="45">
        <f>(N4+O4*(1-P4)/H4)*(1+Q4)+R4/M4</f>
        <v>339</v>
      </c>
      <c r="T4" s="39">
        <v>25</v>
      </c>
      <c r="U4" s="46">
        <v>0.03</v>
      </c>
      <c r="V4" s="47">
        <f>(S4*T4/1000)*(1+U4)</f>
        <v>8.7292500000000004</v>
      </c>
      <c r="W4" s="48" t="s">
        <v>57</v>
      </c>
      <c r="X4" s="49">
        <v>50</v>
      </c>
      <c r="Y4" s="50">
        <v>2.9</v>
      </c>
      <c r="Z4" s="51">
        <f>Y4/60/0.9</f>
        <v>5.3703703703703698E-2</v>
      </c>
      <c r="AA4" s="52">
        <f>U4</f>
        <v>0.03</v>
      </c>
      <c r="AB4" s="51">
        <f>(Z4*X4/H4)*(1+AA4)</f>
        <v>2.7657407407407408</v>
      </c>
      <c r="AC4" s="51">
        <f>V4*0.05</f>
        <v>0.43646250000000003</v>
      </c>
      <c r="AD4" s="51">
        <f>(AB4)*0.08</f>
        <v>0.22125925925925927</v>
      </c>
      <c r="AE4" s="53">
        <v>1.32</v>
      </c>
      <c r="AF4" s="52">
        <f>AE4/$AL4</f>
        <v>7.3707524424953055E-2</v>
      </c>
      <c r="AG4" s="53">
        <v>2.1</v>
      </c>
      <c r="AH4" s="52">
        <f>AG4/$AL4</f>
        <v>0.11726197067606167</v>
      </c>
      <c r="AI4" s="51">
        <f>(AB4+AC4+AD4+AE4+AG4+V4)*15%</f>
        <v>2.335906875</v>
      </c>
      <c r="AJ4" s="54"/>
      <c r="AK4" s="51">
        <f>AJ4/525000</f>
        <v>0</v>
      </c>
      <c r="AL4" s="55">
        <f>SUM($V4+$AB4+$AC4+$AD4+$AE4+$AG4+$AI4+$AK4)</f>
        <v>17.908619375000001</v>
      </c>
      <c r="AM4" s="56"/>
      <c r="AN4" s="52"/>
      <c r="AO4" s="57"/>
      <c r="AP4" s="58">
        <f>PRODUCT($AL4,1/(1-AM4),1/(1-$AS4),1/(1-$AU4),1/(1-$AW4),1/(1-$AY4),1/(1-$BA4))</f>
        <v>17.908619375000001</v>
      </c>
      <c r="AQ4" s="59">
        <f>V4/AP4</f>
        <v>0.48743288453524353</v>
      </c>
      <c r="AR4" s="28"/>
      <c r="AS4" s="60">
        <f>$AS$3</f>
        <v>0</v>
      </c>
      <c r="AT4" s="61">
        <f>AP4*(1-$AM4)</f>
        <v>17.908619375000001</v>
      </c>
      <c r="AU4" s="60">
        <f>$AU$3</f>
        <v>0</v>
      </c>
      <c r="AV4" s="61">
        <f>$AT4*(1-$AU4)</f>
        <v>17.908619375000001</v>
      </c>
      <c r="AW4" s="60">
        <f>$AW$3</f>
        <v>0</v>
      </c>
      <c r="AX4" s="61">
        <f>$AV4*(1-$AW4)</f>
        <v>17.908619375000001</v>
      </c>
      <c r="AY4" s="60">
        <f>$AY$3</f>
        <v>0</v>
      </c>
      <c r="AZ4" s="61">
        <f>$AX4*(1-$AY4)</f>
        <v>17.908619375000001</v>
      </c>
      <c r="BA4" s="60">
        <f>$BA$3</f>
        <v>0</v>
      </c>
      <c r="BB4" s="61">
        <f>$AX4*(1-$AY4)</f>
        <v>17.908619375000001</v>
      </c>
      <c r="BC4" s="62"/>
      <c r="BD4" s="63"/>
      <c r="BE4" s="63"/>
      <c r="BF4" s="64"/>
      <c r="BG4" s="65"/>
      <c r="BH4" s="65"/>
      <c r="BI4" s="65"/>
      <c r="BJ4" s="66"/>
      <c r="BK4" s="67"/>
      <c r="BL4" s="67"/>
    </row>
    <row r="5" spans="1:64" ht="66" customHeight="1">
      <c r="A5" s="33">
        <v>2</v>
      </c>
      <c r="B5" s="34"/>
      <c r="C5" s="34" t="s">
        <v>58</v>
      </c>
      <c r="D5" s="35" t="s">
        <v>59</v>
      </c>
      <c r="E5" s="36"/>
      <c r="F5" s="71" t="s">
        <v>62</v>
      </c>
      <c r="G5" s="37"/>
      <c r="H5" s="38">
        <v>1</v>
      </c>
      <c r="I5" s="39"/>
      <c r="J5" s="40"/>
      <c r="K5" s="41">
        <v>0.2</v>
      </c>
      <c r="L5" s="69">
        <v>8.3333333333333329E-2</v>
      </c>
      <c r="M5" s="42">
        <f>ROUND(K5/L5/12*10000,-2)</f>
        <v>2000</v>
      </c>
      <c r="N5" s="41">
        <v>170</v>
      </c>
      <c r="O5" s="39">
        <f>N5*0.05</f>
        <v>8.5</v>
      </c>
      <c r="P5" s="43">
        <v>0</v>
      </c>
      <c r="Q5" s="44"/>
      <c r="R5" s="70">
        <v>6000</v>
      </c>
      <c r="S5" s="45">
        <f>(N5+O5*(1-P5)/H5)*(1+Q5)+R5/M5</f>
        <v>181.5</v>
      </c>
      <c r="T5" s="39">
        <v>25</v>
      </c>
      <c r="U5" s="46">
        <v>0.03</v>
      </c>
      <c r="V5" s="47">
        <f>(S5*T5/1000)*(1+U5)</f>
        <v>4.6736249999999995</v>
      </c>
      <c r="W5" s="48" t="s">
        <v>60</v>
      </c>
      <c r="X5" s="49">
        <v>45</v>
      </c>
      <c r="Y5" s="50">
        <v>2.2999999999999998</v>
      </c>
      <c r="Z5" s="51">
        <f>Y5/60/0.9</f>
        <v>4.2592592592592592E-2</v>
      </c>
      <c r="AA5" s="52">
        <f>U5</f>
        <v>0.03</v>
      </c>
      <c r="AB5" s="51">
        <f>(Z5*X5/H5)*(1+AA5)</f>
        <v>1.9741666666666666</v>
      </c>
      <c r="AC5" s="51">
        <f>V5*0.05</f>
        <v>0.23368124999999998</v>
      </c>
      <c r="AD5" s="51">
        <f>(AB5)*0.08</f>
        <v>0.15793333333333334</v>
      </c>
      <c r="AE5" s="53">
        <v>0.74</v>
      </c>
      <c r="AF5" s="52">
        <f>AE5/$AL5</f>
        <v>7.1661560124820625E-2</v>
      </c>
      <c r="AG5" s="53">
        <v>1.2</v>
      </c>
      <c r="AH5" s="52">
        <f>AG5/$AL5</f>
        <v>0.11620793533754696</v>
      </c>
      <c r="AI5" s="51">
        <f>(AB5+AC5+AD5+AE5+AG5+V5)*15%</f>
        <v>1.3469109374999999</v>
      </c>
      <c r="AJ5" s="54"/>
      <c r="AK5" s="51">
        <f>AJ5/525000</f>
        <v>0</v>
      </c>
      <c r="AL5" s="55">
        <f>SUM($V5+$AB5+$AC5+$AD5+$AE5+$AG5+$AI5+$AK5)</f>
        <v>10.326317187500001</v>
      </c>
      <c r="AM5" s="56"/>
      <c r="AN5" s="52"/>
      <c r="AO5" s="57"/>
      <c r="AP5" s="58">
        <f>PRODUCT($AL5,1/(1-AM5),1/(1-$AS5),1/(1-$AU5),1/(1-$AW5),1/(1-$AY5),1/(1-$BA5))</f>
        <v>10.326317187500001</v>
      </c>
      <c r="AQ5" s="59">
        <f>V5/AP5</f>
        <v>0.4525935931599524</v>
      </c>
      <c r="AR5" s="28"/>
      <c r="AS5" s="60">
        <f>$AS$3</f>
        <v>0</v>
      </c>
      <c r="AT5" s="61">
        <f>AP5*(1-$AM5)</f>
        <v>10.326317187500001</v>
      </c>
      <c r="AU5" s="60">
        <f>$AU$3</f>
        <v>0</v>
      </c>
      <c r="AV5" s="61">
        <f>$AT5*(1-$AU5)</f>
        <v>10.326317187500001</v>
      </c>
      <c r="AW5" s="60">
        <f>$AW$3</f>
        <v>0</v>
      </c>
      <c r="AX5" s="61">
        <f>$AV5*(1-$AW5)</f>
        <v>10.326317187500001</v>
      </c>
      <c r="AY5" s="60">
        <f>$AY$3</f>
        <v>0</v>
      </c>
      <c r="AZ5" s="61">
        <f>$AX5*(1-$AY5)</f>
        <v>10.326317187500001</v>
      </c>
      <c r="BA5" s="60">
        <f>$BA$3</f>
        <v>0</v>
      </c>
      <c r="BB5" s="61">
        <f>$AX5*(1-$AY5)</f>
        <v>10.326317187500001</v>
      </c>
      <c r="BC5" s="62"/>
      <c r="BD5" s="63"/>
      <c r="BE5" s="63"/>
      <c r="BF5" s="64"/>
      <c r="BG5" s="65"/>
      <c r="BH5" s="65"/>
      <c r="BI5" s="65"/>
      <c r="BJ5" s="66"/>
      <c r="BK5" s="67"/>
      <c r="BL5" s="67"/>
    </row>
  </sheetData>
  <mergeCells count="7">
    <mergeCell ref="E1:J2"/>
    <mergeCell ref="AS2:AT2"/>
    <mergeCell ref="AW2:AX2"/>
    <mergeCell ref="AU2:AV2"/>
    <mergeCell ref="BA2:BB2"/>
    <mergeCell ref="AY2:AZ2"/>
    <mergeCell ref="AN2:AO2"/>
  </mergeCells>
  <conditionalFormatting sqref="AS4:BB4">
    <cfRule type="cellIs" dxfId="0" priority="1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2023-09-05T12:28:00Z</dcterms:created>
  <dcterms:modified xsi:type="dcterms:W3CDTF">2026-06-27T04:50:25Z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B3ACE354EE9B4FFCBE2508B6C178A21A_13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