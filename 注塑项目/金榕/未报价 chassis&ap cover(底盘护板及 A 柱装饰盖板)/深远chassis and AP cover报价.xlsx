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未报价 chassis&amp;ap cover(底盘护板及 A 柱装饰盖板)/"/>
    </mc:Choice>
  </mc:AlternateContent>
  <xr:revisionPtr revIDLastSave="0" documentId="13_ncr:1_{43A6CF4E-F5EF-ED47-94A7-1C0DD96AF78E}" xr6:coauthVersionLast="47" xr6:coauthVersionMax="47" xr10:uidLastSave="{00000000-0000-0000-0000-000000000000}"/>
  <bookViews>
    <workbookView xWindow="3120" yWindow="660" windowWidth="30240" windowHeight="17240" tabRatio="724" xr2:uid="{00000000-000D-0000-FFFF-FFFF00000000}"/>
  </bookViews>
  <sheets>
    <sheet name="CHASSIS" sheetId="1" r:id="rId1"/>
    <sheet name="M5螺帽" sheetId="3" r:id="rId2"/>
    <sheet name="AP COVER" sheetId="2" r:id="rId3"/>
  </sheets>
  <definedNames>
    <definedName name="_xlnm.Print_Area" localSheetId="0">CHASSIS!$A$1:$U$69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H10" i="2"/>
  <c r="H10" i="1"/>
  <c r="U57" i="2"/>
  <c r="R57" i="2"/>
  <c r="Q57" i="2"/>
  <c r="N57" i="2"/>
  <c r="K57" i="2"/>
  <c r="H57" i="2"/>
  <c r="G57" i="2"/>
  <c r="U56" i="2"/>
  <c r="R56" i="2"/>
  <c r="Q56" i="2"/>
  <c r="N56" i="2"/>
  <c r="K56" i="2"/>
  <c r="H56" i="2"/>
  <c r="G56" i="2"/>
  <c r="U55" i="2"/>
  <c r="R55" i="2"/>
  <c r="Q55" i="2"/>
  <c r="N55" i="2"/>
  <c r="K55" i="2"/>
  <c r="H55" i="2"/>
  <c r="G55" i="2"/>
  <c r="U54" i="2"/>
  <c r="R54" i="2"/>
  <c r="Q54" i="2"/>
  <c r="N54" i="2"/>
  <c r="K54" i="2"/>
  <c r="H54" i="2"/>
  <c r="G54" i="2"/>
  <c r="U53" i="2"/>
  <c r="R53" i="2"/>
  <c r="Q53" i="2"/>
  <c r="N53" i="2"/>
  <c r="K53" i="2"/>
  <c r="H53" i="2"/>
  <c r="G53" i="2"/>
  <c r="U52" i="2"/>
  <c r="R52" i="2"/>
  <c r="Q52" i="2"/>
  <c r="N52" i="2"/>
  <c r="K52" i="2"/>
  <c r="H52" i="2"/>
  <c r="G52" i="2"/>
  <c r="U51" i="2"/>
  <c r="R51" i="2"/>
  <c r="Q51" i="2"/>
  <c r="N51" i="2"/>
  <c r="K51" i="2"/>
  <c r="H51" i="2"/>
  <c r="G51" i="2"/>
  <c r="U50" i="2"/>
  <c r="R50" i="2"/>
  <c r="Q50" i="2"/>
  <c r="N50" i="2"/>
  <c r="K50" i="2"/>
  <c r="H50" i="2"/>
  <c r="G50" i="2"/>
  <c r="U49" i="2"/>
  <c r="R49" i="2"/>
  <c r="Q49" i="2"/>
  <c r="N49" i="2"/>
  <c r="K49" i="2"/>
  <c r="H49" i="2"/>
  <c r="G49" i="2"/>
  <c r="U48" i="2"/>
  <c r="R48" i="2"/>
  <c r="Q48" i="2"/>
  <c r="N48" i="2"/>
  <c r="K48" i="2"/>
  <c r="H48" i="2"/>
  <c r="G48" i="2"/>
  <c r="U47" i="2"/>
  <c r="R47" i="2"/>
  <c r="Q47" i="2"/>
  <c r="N47" i="2"/>
  <c r="K47" i="2"/>
  <c r="H47" i="2"/>
  <c r="G47" i="2"/>
  <c r="U46" i="2"/>
  <c r="R46" i="2"/>
  <c r="Q46" i="2"/>
  <c r="N46" i="2"/>
  <c r="K46" i="2"/>
  <c r="H46" i="2"/>
  <c r="G46" i="2"/>
  <c r="U45" i="2"/>
  <c r="R45" i="2"/>
  <c r="Q45" i="2"/>
  <c r="N45" i="2"/>
  <c r="K45" i="2"/>
  <c r="H45" i="2"/>
  <c r="G45" i="2"/>
  <c r="U44" i="2"/>
  <c r="R44" i="2"/>
  <c r="Q44" i="2"/>
  <c r="N44" i="2"/>
  <c r="K44" i="2"/>
  <c r="H44" i="2"/>
  <c r="G44" i="2"/>
  <c r="U43" i="2"/>
  <c r="R43" i="2"/>
  <c r="Q43" i="2"/>
  <c r="N43" i="2"/>
  <c r="K43" i="2"/>
  <c r="H43" i="2"/>
  <c r="G43" i="2"/>
  <c r="H42" i="2"/>
  <c r="G42" i="2" s="1"/>
  <c r="P40" i="2"/>
  <c r="F40" i="2"/>
  <c r="U39" i="2"/>
  <c r="R39" i="2"/>
  <c r="K39" i="2"/>
  <c r="U38" i="2"/>
  <c r="R38" i="2"/>
  <c r="K38" i="2"/>
  <c r="U37" i="2"/>
  <c r="R37" i="2"/>
  <c r="K37" i="2"/>
  <c r="U36" i="2"/>
  <c r="R36" i="2"/>
  <c r="K36" i="2"/>
  <c r="U35" i="2"/>
  <c r="R35" i="2"/>
  <c r="K35" i="2"/>
  <c r="U34" i="2"/>
  <c r="R34" i="2"/>
  <c r="K34" i="2"/>
  <c r="U33" i="2"/>
  <c r="R33" i="2"/>
  <c r="K33" i="2"/>
  <c r="U32" i="2"/>
  <c r="R32" i="2"/>
  <c r="K32" i="2"/>
  <c r="U31" i="2"/>
  <c r="R31" i="2"/>
  <c r="K31" i="2"/>
  <c r="U30" i="2"/>
  <c r="U40" i="2" s="1"/>
  <c r="R30" i="2"/>
  <c r="K40" i="2"/>
  <c r="U26" i="2"/>
  <c r="K26" i="2"/>
  <c r="U25" i="2"/>
  <c r="K25" i="2"/>
  <c r="U24" i="2"/>
  <c r="K24" i="2"/>
  <c r="U23" i="2"/>
  <c r="K23" i="2"/>
  <c r="U22" i="2"/>
  <c r="K22" i="2"/>
  <c r="U21" i="2"/>
  <c r="K21" i="2"/>
  <c r="U20" i="2"/>
  <c r="K20" i="2"/>
  <c r="U19" i="2"/>
  <c r="K19" i="2"/>
  <c r="U18" i="2"/>
  <c r="K18" i="2"/>
  <c r="U17" i="2"/>
  <c r="K17" i="2"/>
  <c r="U16" i="2"/>
  <c r="K16" i="2"/>
  <c r="U15" i="2"/>
  <c r="K15" i="2"/>
  <c r="U14" i="2"/>
  <c r="K14" i="2"/>
  <c r="U13" i="2"/>
  <c r="K13" i="2"/>
  <c r="U12" i="2"/>
  <c r="K12" i="2"/>
  <c r="U11" i="2"/>
  <c r="K11" i="2"/>
  <c r="U10" i="2"/>
  <c r="U27" i="2" s="1"/>
  <c r="K10" i="2"/>
  <c r="K27" i="2" s="1"/>
  <c r="U57" i="1"/>
  <c r="R57" i="1"/>
  <c r="Q57" i="1"/>
  <c r="N57" i="1"/>
  <c r="K57" i="1"/>
  <c r="H57" i="1"/>
  <c r="G57" i="1"/>
  <c r="U56" i="1"/>
  <c r="R56" i="1"/>
  <c r="Q56" i="1"/>
  <c r="N56" i="1"/>
  <c r="K56" i="1"/>
  <c r="H56" i="1"/>
  <c r="G56" i="1"/>
  <c r="U55" i="1"/>
  <c r="R55" i="1"/>
  <c r="Q55" i="1"/>
  <c r="N55" i="1"/>
  <c r="K55" i="1"/>
  <c r="H55" i="1"/>
  <c r="G55" i="1"/>
  <c r="U54" i="1"/>
  <c r="R54" i="1"/>
  <c r="Q54" i="1"/>
  <c r="N54" i="1"/>
  <c r="K54" i="1"/>
  <c r="H54" i="1"/>
  <c r="G54" i="1"/>
  <c r="U53" i="1"/>
  <c r="R53" i="1"/>
  <c r="Q53" i="1"/>
  <c r="N53" i="1"/>
  <c r="K53" i="1"/>
  <c r="H53" i="1"/>
  <c r="G53" i="1"/>
  <c r="U52" i="1"/>
  <c r="R52" i="1"/>
  <c r="Q52" i="1"/>
  <c r="N52" i="1"/>
  <c r="K52" i="1"/>
  <c r="H52" i="1"/>
  <c r="G52" i="1"/>
  <c r="U51" i="1"/>
  <c r="R51" i="1"/>
  <c r="Q51" i="1"/>
  <c r="N51" i="1"/>
  <c r="K51" i="1"/>
  <c r="H51" i="1"/>
  <c r="G51" i="1"/>
  <c r="U50" i="1"/>
  <c r="R50" i="1"/>
  <c r="Q50" i="1"/>
  <c r="N50" i="1"/>
  <c r="K50" i="1"/>
  <c r="H50" i="1"/>
  <c r="G50" i="1"/>
  <c r="U49" i="1"/>
  <c r="R49" i="1"/>
  <c r="Q49" i="1"/>
  <c r="N49" i="1"/>
  <c r="K49" i="1"/>
  <c r="H49" i="1"/>
  <c r="G49" i="1"/>
  <c r="U48" i="1"/>
  <c r="R48" i="1"/>
  <c r="Q48" i="1"/>
  <c r="N48" i="1"/>
  <c r="K48" i="1"/>
  <c r="H48" i="1"/>
  <c r="G48" i="1"/>
  <c r="U47" i="1"/>
  <c r="R47" i="1"/>
  <c r="Q47" i="1"/>
  <c r="N47" i="1"/>
  <c r="K47" i="1"/>
  <c r="H47" i="1"/>
  <c r="G47" i="1"/>
  <c r="U46" i="1"/>
  <c r="R46" i="1"/>
  <c r="Q46" i="1"/>
  <c r="N46" i="1"/>
  <c r="K46" i="1"/>
  <c r="H46" i="1"/>
  <c r="G46" i="1"/>
  <c r="U45" i="1"/>
  <c r="R45" i="1"/>
  <c r="Q45" i="1"/>
  <c r="N45" i="1"/>
  <c r="K45" i="1"/>
  <c r="H45" i="1"/>
  <c r="G45" i="1"/>
  <c r="U44" i="1"/>
  <c r="R44" i="1"/>
  <c r="Q44" i="1"/>
  <c r="N44" i="1"/>
  <c r="K44" i="1"/>
  <c r="H44" i="1"/>
  <c r="G44" i="1"/>
  <c r="U43" i="1"/>
  <c r="R43" i="1"/>
  <c r="Q43" i="1"/>
  <c r="N43" i="1"/>
  <c r="K43" i="1"/>
  <c r="H43" i="1"/>
  <c r="G43" i="1"/>
  <c r="Q42" i="1"/>
  <c r="H42" i="1"/>
  <c r="K42" i="1" s="1"/>
  <c r="U40" i="1"/>
  <c r="P40" i="1"/>
  <c r="F40" i="1"/>
  <c r="U39" i="1"/>
  <c r="R39" i="1"/>
  <c r="K39" i="1"/>
  <c r="U38" i="1"/>
  <c r="R38" i="1"/>
  <c r="K38" i="1"/>
  <c r="U37" i="1"/>
  <c r="R37" i="1"/>
  <c r="K37" i="1"/>
  <c r="U36" i="1"/>
  <c r="R36" i="1"/>
  <c r="K36" i="1"/>
  <c r="U35" i="1"/>
  <c r="R35" i="1"/>
  <c r="K35" i="1"/>
  <c r="U34" i="1"/>
  <c r="R34" i="1"/>
  <c r="K34" i="1"/>
  <c r="U33" i="1"/>
  <c r="R33" i="1"/>
  <c r="K33" i="1"/>
  <c r="U32" i="1"/>
  <c r="R32" i="1"/>
  <c r="K32" i="1"/>
  <c r="U31" i="1"/>
  <c r="R31" i="1"/>
  <c r="K31" i="1"/>
  <c r="U30" i="1"/>
  <c r="R30" i="1"/>
  <c r="K30" i="1"/>
  <c r="K40" i="1" s="1"/>
  <c r="U26" i="1"/>
  <c r="K26" i="1"/>
  <c r="U25" i="1"/>
  <c r="K25" i="1"/>
  <c r="U24" i="1"/>
  <c r="K24" i="1"/>
  <c r="U23" i="1"/>
  <c r="K23" i="1"/>
  <c r="U22" i="1"/>
  <c r="K22" i="1"/>
  <c r="U21" i="1"/>
  <c r="K21" i="1"/>
  <c r="U20" i="1"/>
  <c r="K20" i="1"/>
  <c r="U19" i="1"/>
  <c r="K19" i="1"/>
  <c r="U18" i="1"/>
  <c r="K18" i="1"/>
  <c r="U17" i="1"/>
  <c r="K17" i="1"/>
  <c r="U16" i="1"/>
  <c r="K16" i="1"/>
  <c r="U15" i="1"/>
  <c r="K15" i="1"/>
  <c r="U14" i="1"/>
  <c r="K14" i="1"/>
  <c r="U13" i="1"/>
  <c r="K13" i="1"/>
  <c r="U12" i="1"/>
  <c r="K12" i="1"/>
  <c r="U11" i="1"/>
  <c r="K11" i="1"/>
  <c r="U10" i="1"/>
  <c r="U27" i="1" s="1"/>
  <c r="K10" i="1"/>
  <c r="K27" i="1" s="1"/>
  <c r="K42" i="2" l="1"/>
  <c r="K58" i="2" s="1"/>
  <c r="U42" i="2"/>
  <c r="U58" i="2" s="1"/>
  <c r="G42" i="1"/>
  <c r="N42" i="1"/>
  <c r="N58" i="1" s="1"/>
  <c r="E59" i="1" s="1"/>
  <c r="K58" i="1"/>
  <c r="R42" i="1"/>
  <c r="R58" i="1" s="1"/>
  <c r="R42" i="2"/>
  <c r="R58" i="2" s="1"/>
  <c r="U42" i="1"/>
  <c r="U58" i="1" s="1"/>
  <c r="N42" i="2" l="1"/>
  <c r="N58" i="2" s="1"/>
  <c r="E59" i="2" s="1"/>
  <c r="E60" i="1"/>
  <c r="E61" i="1" s="1"/>
  <c r="E64" i="1" s="1"/>
  <c r="E60" i="2" l="1"/>
  <c r="E61" i="2"/>
  <c r="E64" i="2" s="1"/>
  <c r="E66" i="2" s="1"/>
  <c r="E67" i="2" s="1"/>
  <c r="E66" i="1"/>
  <c r="E67" i="1" s="1"/>
  <c r="E68" i="1" l="1"/>
  <c r="E69" i="1" s="1"/>
  <c r="E68" i="2"/>
  <c r="E69" i="2" s="1"/>
</calcChain>
</file>

<file path=xl/sharedStrings.xml><?xml version="1.0" encoding="utf-8"?>
<sst xmlns="http://schemas.openxmlformats.org/spreadsheetml/2006/main" count="309" uniqueCount="146">
  <si>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</si>
  <si>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</si>
  <si>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</si>
  <si>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</si>
  <si>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</si>
  <si>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</si>
  <si>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</si>
  <si>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零件名称</t>
  </si>
  <si>
    <t>SPOILER-FR LH WH SHIELD (PHEV/HEV)</t>
  </si>
  <si>
    <t>报价日期</t>
  </si>
  <si>
    <t>成品重量KG</t>
  </si>
  <si>
    <t>公司法人</t>
  </si>
  <si>
    <t>许燊</t>
  </si>
  <si>
    <t>年纳税额
（万元）</t>
  </si>
  <si>
    <t>零件号</t>
  </si>
  <si>
    <t>638431477R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</si>
  <si>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</si>
  <si>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</si>
  <si>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</si>
  <si>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</si>
  <si>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</si>
  <si>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</si>
  <si>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</si>
  <si>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</si>
  <si>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</si>
  <si>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</si>
  <si>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</si>
  <si>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</si>
  <si>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</si>
  <si>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</si>
  <si>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</si>
  <si>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</si>
  <si>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</si>
  <si>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</si>
  <si>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</si>
  <si>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</si>
  <si>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</si>
  <si>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</si>
  <si>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</si>
  <si>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</si>
  <si>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</si>
  <si>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</si>
  <si>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</si>
  <si>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</si>
  <si>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</si>
  <si>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</si>
  <si>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</si>
  <si>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</si>
  <si>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</si>
  <si>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</si>
  <si>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</si>
  <si>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</si>
  <si>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</si>
  <si>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</si>
  <si>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</si>
  <si>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</si>
  <si>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</si>
  <si>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</si>
  <si>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</si>
  <si>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</si>
  <si>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</si>
  <si>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</si>
  <si>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</si>
  <si>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</si>
  <si>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</si>
  <si>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</si>
  <si>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</si>
  <si>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</si>
  <si>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</si>
  <si>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</si>
  <si>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</si>
  <si>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</si>
  <si>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</si>
  <si>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</si>
  <si>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</si>
  <si>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</si>
  <si>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</si>
  <si>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</si>
  <si>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</si>
  <si>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</si>
  <si>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</si>
  <si>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</si>
  <si>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</si>
  <si>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</si>
  <si>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</si>
  <si>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</si>
  <si>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</si>
  <si>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</si>
  <si>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</si>
  <si>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</si>
  <si>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</si>
  <si>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</si>
  <si>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</si>
  <si>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</si>
  <si>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360T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</si>
  <si>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</si>
  <si>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</si>
  <si>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</si>
  <si>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</si>
  <si>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</si>
  <si>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</si>
  <si>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</si>
  <si>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</si>
  <si>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</si>
  <si>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</si>
  <si>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</si>
  <si>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</si>
  <si>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</si>
  <si>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</si>
  <si>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</si>
  <si>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</si>
  <si>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</si>
  <si>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</si>
  <si>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</si>
  <si>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</si>
  <si>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</si>
  <si>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</si>
  <si>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</si>
  <si>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</si>
  <si>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</si>
  <si>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</si>
  <si>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</si>
  <si>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</si>
  <si>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</si>
  <si>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</si>
  <si>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</si>
  <si>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</si>
  <si>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</si>
  <si>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</si>
  <si>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</si>
  <si>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</si>
  <si>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</si>
  <si>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</si>
  <si>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</si>
  <si>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</si>
  <si>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</si>
  <si>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SPOILER-FR RH WH SHIELD (PHEV/HEV)</t>
  </si>
  <si>
    <t>638422166R</t>
  </si>
  <si>
    <t>10年2班折90%</t>
  </si>
  <si>
    <t>380T</t>
  </si>
  <si>
    <t>计算依据：=(原材料+外购外协)*0.03+(模具分摊费用+检测分摊费用+折旧+能耗+工资+废品)*0.15</t>
  </si>
  <si>
    <t>管理成本</t>
  </si>
  <si>
    <t>总价</t>
  </si>
  <si>
    <t>M5螺帽总数</t>
  </si>
  <si>
    <t>PA66+CF10 / SP601-CG20 BK006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</si>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</sst>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_ "/>
    <numFmt numFmtId="165" formatCode="0_ "/>
    <numFmt numFmtId="166" formatCode="0.0000_ "/>
    <numFmt numFmtId="167" formatCode="0.0_ "/>
    <numFmt numFmtId="168" formatCode="&quot;¥&quot;#,##0.00;&quot;¥&quot;\-#,##0.00"/>
    <numFmt numFmtId="169" formatCode="&quot;¥&quot;#,##0.000;&quot;¥&quot;\-#,##0.000"/>
    <numFmt numFmtId="170" formatCode="yyyy&quot;年&quot;m&quot;月&quot;d&quot;日&quot;;@"/>
  </numFmts>
  <fonts count="16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>
      <alignment vertical="center"/>
    </xf>
  </cellStyleXfs>
  <cellXfs count="180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left" vertical="center"/>
      <protection locked="0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9" fontId="6" fillId="3" borderId="31" xfId="1" applyFont="1" applyFill="1" applyBorder="1" applyAlignment="1" applyProtection="1">
      <alignment horizontal="center" vertical="center"/>
      <protection locked="0"/>
    </xf>
    <xf numFmtId="164" fontId="6" fillId="2" borderId="32" xfId="0" applyNumberFormat="1" applyFont="1" applyFill="1" applyBorder="1" applyProtection="1">
      <alignment vertical="center"/>
      <protection hidden="1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 applyProtection="1">
      <alignment horizontal="left" vertical="center"/>
      <protection locked="0"/>
    </xf>
    <xf numFmtId="0" fontId="1" fillId="3" borderId="31" xfId="1" applyNumberFormat="1" applyFont="1" applyFill="1" applyBorder="1" applyAlignment="1" applyProtection="1">
      <alignment horizontal="center" vertical="center"/>
      <protection locked="0"/>
    </xf>
    <xf numFmtId="164" fontId="6" fillId="2" borderId="32" xfId="0" applyNumberFormat="1" applyFont="1" applyFill="1" applyBorder="1" applyAlignment="1" applyProtection="1">
      <alignment horizontal="center" vertical="center"/>
      <protection hidden="1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9" fontId="6" fillId="3" borderId="15" xfId="1" applyFont="1" applyFill="1" applyBorder="1" applyAlignment="1" applyProtection="1">
      <alignment horizontal="center" vertical="center"/>
      <protection locked="0"/>
    </xf>
    <xf numFmtId="164" fontId="6" fillId="2" borderId="17" xfId="0" applyNumberFormat="1" applyFont="1" applyFill="1" applyBorder="1" applyProtection="1">
      <alignment vertical="center"/>
      <protection hidden="1"/>
    </xf>
    <xf numFmtId="0" fontId="12" fillId="3" borderId="15" xfId="0" applyFont="1" applyFill="1" applyBorder="1" applyAlignment="1" applyProtection="1">
      <alignment horizontal="left" vertical="center"/>
      <protection locked="0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164" fontId="6" fillId="2" borderId="17" xfId="0" applyNumberFormat="1" applyFont="1" applyFill="1" applyBorder="1" applyAlignment="1" applyProtection="1">
      <alignment horizontal="center" vertical="center"/>
      <protection hidden="1"/>
    </xf>
    <xf numFmtId="49" fontId="6" fillId="3" borderId="15" xfId="0" applyNumberFormat="1" applyFont="1" applyFill="1" applyBorder="1" applyAlignment="1" applyProtection="1">
      <alignment horizontal="left" vertical="center"/>
      <protection locked="0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 wrapText="1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164" fontId="6" fillId="2" borderId="21" xfId="0" applyNumberFormat="1" applyFont="1" applyFill="1" applyBorder="1" applyAlignment="1" applyProtection="1">
      <alignment horizontal="right"/>
      <protection hidden="1"/>
    </xf>
    <xf numFmtId="164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12" fillId="2" borderId="21" xfId="0" applyFont="1" applyFill="1" applyBorder="1" applyAlignment="1" applyProtection="1">
      <alignment horizontal="left" vertical="center" indent="1"/>
      <protection hidden="1"/>
    </xf>
    <xf numFmtId="0" fontId="5" fillId="2" borderId="37" xfId="0" applyFont="1" applyFill="1" applyBorder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39" xfId="0" applyFont="1" applyFill="1" applyBorder="1" applyAlignment="1" applyProtection="1">
      <alignment horizontal="center" vertical="center" wrapText="1"/>
      <protection hidden="1"/>
    </xf>
    <xf numFmtId="164" fontId="5" fillId="2" borderId="37" xfId="0" applyNumberFormat="1" applyFont="1" applyFill="1" applyBorder="1" applyProtection="1">
      <alignment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164" fontId="6" fillId="3" borderId="31" xfId="0" applyNumberFormat="1" applyFont="1" applyFill="1" applyBorder="1" applyAlignment="1" applyProtection="1">
      <alignment horizontal="center" vertical="center"/>
      <protection locked="0"/>
    </xf>
    <xf numFmtId="164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31" xfId="0" applyFont="1" applyFill="1" applyBorder="1" applyProtection="1">
      <alignment vertical="center"/>
      <protection locked="0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hidden="1"/>
    </xf>
    <xf numFmtId="164" fontId="6" fillId="3" borderId="15" xfId="0" applyNumberFormat="1" applyFont="1" applyFill="1" applyBorder="1" applyAlignment="1" applyProtection="1">
      <alignment horizontal="center" vertical="center"/>
      <protection locked="0"/>
    </xf>
    <xf numFmtId="164" fontId="6" fillId="2" borderId="40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Protection="1">
      <alignment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right" vertical="center" indent="1"/>
      <protection hidden="1"/>
    </xf>
    <xf numFmtId="164" fontId="4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 textRotation="255" wrapText="1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 wrapText="1"/>
      <protection hidden="1"/>
    </xf>
    <xf numFmtId="165" fontId="5" fillId="2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 wrapText="1"/>
      <protection hidden="1"/>
    </xf>
    <xf numFmtId="165" fontId="6" fillId="2" borderId="31" xfId="0" applyNumberFormat="1" applyFont="1" applyFill="1" applyBorder="1" applyAlignment="1" applyProtection="1">
      <alignment horizontal="center" vertical="center"/>
      <protection hidden="1"/>
    </xf>
    <xf numFmtId="166" fontId="6" fillId="2" borderId="31" xfId="0" applyNumberFormat="1" applyFont="1" applyFill="1" applyBorder="1" applyAlignment="1" applyProtection="1">
      <alignment horizontal="center" vertical="center"/>
      <protection hidden="1"/>
    </xf>
    <xf numFmtId="167" fontId="6" fillId="3" borderId="31" xfId="0" applyNumberFormat="1" applyFont="1" applyFill="1" applyBorder="1" applyAlignment="1" applyProtection="1">
      <alignment horizontal="center" vertical="center"/>
      <protection locked="0"/>
    </xf>
    <xf numFmtId="164" fontId="6" fillId="2" borderId="31" xfId="0" applyNumberFormat="1" applyFont="1" applyFill="1" applyBorder="1" applyAlignment="1" applyProtection="1">
      <alignment horizontal="center" vertical="center"/>
      <protection hidden="1"/>
    </xf>
    <xf numFmtId="165" fontId="6" fillId="3" borderId="31" xfId="0" applyNumberFormat="1" applyFont="1" applyFill="1" applyBorder="1" applyAlignment="1" applyProtection="1">
      <alignment horizontal="center" vertical="center"/>
      <protection locked="0"/>
    </xf>
    <xf numFmtId="167" fontId="6" fillId="3" borderId="15" xfId="0" applyNumberFormat="1" applyFont="1" applyFill="1" applyBorder="1" applyAlignment="1" applyProtection="1">
      <alignment horizontal="center" vertical="center"/>
      <protection locked="0"/>
    </xf>
    <xf numFmtId="165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Protection="1">
      <alignment vertical="center"/>
      <protection hidden="1"/>
    </xf>
    <xf numFmtId="0" fontId="5" fillId="2" borderId="21" xfId="0" applyFont="1" applyFill="1" applyBorder="1" applyProtection="1">
      <alignment vertical="center"/>
      <protection hidden="1"/>
    </xf>
    <xf numFmtId="0" fontId="5" fillId="2" borderId="45" xfId="0" applyFont="1" applyFill="1" applyBorder="1" applyProtection="1">
      <alignment vertical="center"/>
      <protection hidden="1"/>
    </xf>
    <xf numFmtId="168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168" fontId="5" fillId="2" borderId="46" xfId="0" applyNumberFormat="1" applyFont="1" applyFill="1" applyBorder="1" applyAlignment="1" applyProtection="1">
      <alignment horizontal="center" vertical="center"/>
      <protection hidden="1"/>
    </xf>
    <xf numFmtId="168" fontId="6" fillId="2" borderId="6" xfId="0" applyNumberFormat="1" applyFont="1" applyFill="1" applyBorder="1" applyAlignment="1" applyProtection="1">
      <alignment horizontal="center" vertical="center"/>
      <protection hidden="1"/>
    </xf>
    <xf numFmtId="168" fontId="6" fillId="2" borderId="49" xfId="0" applyNumberFormat="1" applyFont="1" applyFill="1" applyBorder="1" applyAlignment="1" applyProtection="1">
      <alignment horizontal="center" vertical="center"/>
      <protection hidden="1"/>
    </xf>
    <xf numFmtId="168" fontId="11" fillId="5" borderId="49" xfId="0" applyNumberFormat="1" applyFont="1" applyFill="1" applyBorder="1" applyAlignment="1" applyProtection="1">
      <alignment horizontal="center" vertical="center"/>
      <protection locked="0"/>
    </xf>
    <xf numFmtId="168" fontId="6" fillId="5" borderId="49" xfId="0" applyNumberFormat="1" applyFont="1" applyFill="1" applyBorder="1" applyAlignment="1" applyProtection="1">
      <alignment horizontal="center" vertical="center"/>
      <protection locked="0"/>
    </xf>
    <xf numFmtId="169" fontId="5" fillId="2" borderId="49" xfId="0" applyNumberFormat="1" applyFont="1" applyFill="1" applyBorder="1" applyAlignment="1" applyProtection="1">
      <alignment horizontal="center" vertical="center"/>
      <protection hidden="1"/>
    </xf>
    <xf numFmtId="9" fontId="6" fillId="5" borderId="49" xfId="1" applyFont="1" applyFill="1" applyBorder="1" applyAlignment="1" applyProtection="1">
      <alignment horizontal="center" vertical="center"/>
      <protection locked="0"/>
    </xf>
    <xf numFmtId="168" fontId="14" fillId="2" borderId="57" xfId="0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>
      <alignment vertical="center"/>
    </xf>
    <xf numFmtId="9" fontId="0" fillId="0" borderId="0" xfId="0" applyNumberFormat="1">
      <alignment vertical="center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protection hidden="1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protection hidden="1"/>
    </xf>
    <xf numFmtId="0" fontId="0" fillId="0" borderId="14" xfId="0" applyBorder="1" applyAlignment="1" applyProtection="1">
      <protection hidden="1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protection locked="0"/>
    </xf>
    <xf numFmtId="0" fontId="0" fillId="0" borderId="52" xfId="0" applyBorder="1" applyAlignment="1" applyProtection="1">
      <protection locked="0"/>
    </xf>
    <xf numFmtId="164" fontId="1" fillId="2" borderId="31" xfId="0" applyNumberFormat="1" applyFont="1" applyFill="1" applyBorder="1" applyAlignment="1" applyProtection="1">
      <alignment horizontal="center" vertical="center"/>
      <protection hidden="1"/>
    </xf>
    <xf numFmtId="17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2" borderId="45" xfId="0" applyFont="1" applyFill="1" applyBorder="1" applyAlignment="1" applyProtection="1">
      <alignment horizontal="left" vertical="center"/>
      <protection hidden="1"/>
    </xf>
    <xf numFmtId="0" fontId="0" fillId="0" borderId="53" xfId="0" applyBorder="1" applyAlignment="1" applyProtection="1">
      <protection hidden="1"/>
    </xf>
    <xf numFmtId="0" fontId="0" fillId="0" borderId="56" xfId="0" applyBorder="1" applyAlignment="1" applyProtection="1"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0" fillId="0" borderId="12" xfId="0" applyBorder="1" applyAlignment="1" applyProtection="1">
      <protection hidden="1"/>
    </xf>
    <xf numFmtId="0" fontId="0" fillId="0" borderId="18" xfId="0" applyBorder="1" applyAlignment="1" applyProtection="1"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protection hidden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164" fontId="13" fillId="2" borderId="21" xfId="0" applyNumberFormat="1" applyFont="1" applyFill="1" applyBorder="1" applyAlignment="1" applyProtection="1">
      <alignment horizontal="center" vertical="center"/>
      <protection hidden="1"/>
    </xf>
    <xf numFmtId="170" fontId="6" fillId="3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0" fontId="4" fillId="2" borderId="24" xfId="0" applyFont="1" applyFill="1" applyBorder="1" applyAlignment="1" applyProtection="1">
      <alignment horizontal="center" vertical="center" textRotation="255" wrapText="1"/>
      <protection hidden="1"/>
    </xf>
    <xf numFmtId="0" fontId="0" fillId="0" borderId="29" xfId="0" applyBorder="1" applyAlignment="1" applyProtection="1">
      <protection hidden="1"/>
    </xf>
    <xf numFmtId="0" fontId="0" fillId="0" borderId="33" xfId="0" applyBorder="1" applyAlignment="1" applyProtection="1"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5" fillId="2" borderId="50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170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protection locked="0"/>
    </xf>
    <xf numFmtId="9" fontId="1" fillId="3" borderId="31" xfId="1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protection hidden="1"/>
    </xf>
    <xf numFmtId="0" fontId="5" fillId="2" borderId="53" xfId="0" applyFont="1" applyFill="1" applyBorder="1" applyAlignment="1" applyProtection="1">
      <alignment horizontal="center" vertical="center"/>
      <protection hidden="1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hidden="1"/>
    </xf>
    <xf numFmtId="9" fontId="1" fillId="3" borderId="21" xfId="1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13" fillId="2" borderId="26" xfId="0" applyFont="1" applyFill="1" applyBorder="1" applyAlignment="1" applyProtection="1">
      <alignment horizontal="center" vertical="center" wrapText="1"/>
      <protection hidden="1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48" xfId="0" applyBorder="1" applyAlignment="1" applyProtection="1">
      <protection locked="0"/>
    </xf>
    <xf numFmtId="0" fontId="0" fillId="0" borderId="55" xfId="0" applyBorder="1" applyAlignment="1" applyProtection="1">
      <protection locked="0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0"/>
  <sheetViews>
    <sheetView showGridLines="0" tabSelected="1" view="pageBreakPreview" topLeftCell="B1" zoomScale="110" zoomScaleNormal="85" zoomScaleSheetLayoutView="110" workbookViewId="0">
      <selection activeCell="E13" sqref="E13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3" width="9" style="1" customWidth="1"/>
    <col min="24" max="16384" width="9" style="1"/>
  </cols>
  <sheetData>
    <row r="1" spans="1:21" ht="12" customHeight="1">
      <c r="A1" s="109"/>
    </row>
    <row r="2" spans="1:21" ht="40" customHeight="1">
      <c r="A2" s="110"/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</row>
    <row r="3" spans="1:21" ht="31" customHeight="1">
      <c r="A3" s="110"/>
      <c r="B3" s="132" t="s">
        <v>1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33"/>
    </row>
    <row r="4" spans="1:21" ht="28" customHeight="1">
      <c r="A4" s="110"/>
      <c r="B4" s="129" t="s">
        <v>2</v>
      </c>
      <c r="C4" s="94" t="s">
        <v>3</v>
      </c>
      <c r="D4" s="95"/>
      <c r="E4" s="143" t="s">
        <v>4</v>
      </c>
      <c r="F4" s="103"/>
      <c r="G4" s="2" t="s">
        <v>5</v>
      </c>
      <c r="H4" s="143">
        <v>3000</v>
      </c>
      <c r="I4" s="144"/>
      <c r="J4" s="144"/>
      <c r="K4" s="103"/>
      <c r="L4" s="129" t="s">
        <v>6</v>
      </c>
      <c r="M4" s="94" t="s">
        <v>7</v>
      </c>
      <c r="N4" s="95"/>
      <c r="O4" s="102" t="s">
        <v>8</v>
      </c>
      <c r="P4" s="103"/>
      <c r="Q4" s="2" t="s">
        <v>9</v>
      </c>
      <c r="R4" s="136">
        <v>46192</v>
      </c>
      <c r="S4" s="103"/>
      <c r="T4" s="3" t="s">
        <v>10</v>
      </c>
      <c r="U4" s="4">
        <v>7.7499999999999999E-2</v>
      </c>
    </row>
    <row r="5" spans="1:21" ht="28" customHeight="1">
      <c r="A5" s="110"/>
      <c r="B5" s="130"/>
      <c r="C5" s="119" t="s">
        <v>11</v>
      </c>
      <c r="D5" s="115"/>
      <c r="E5" s="107" t="s">
        <v>12</v>
      </c>
      <c r="F5" s="108"/>
      <c r="G5" s="7" t="s">
        <v>13</v>
      </c>
      <c r="H5" s="107">
        <v>120</v>
      </c>
      <c r="I5" s="122"/>
      <c r="J5" s="122"/>
      <c r="K5" s="108"/>
      <c r="L5" s="130"/>
      <c r="M5" s="119" t="s">
        <v>14</v>
      </c>
      <c r="N5" s="115"/>
      <c r="O5" s="134" t="s">
        <v>15</v>
      </c>
      <c r="P5" s="108"/>
      <c r="Q5" s="8" t="s">
        <v>16</v>
      </c>
      <c r="R5" s="125" t="s">
        <v>17</v>
      </c>
      <c r="S5" s="108"/>
      <c r="T5" s="8" t="s">
        <v>18</v>
      </c>
      <c r="U5" s="9">
        <v>8.9200000000000002E-2</v>
      </c>
    </row>
    <row r="6" spans="1:21" ht="28" customHeight="1">
      <c r="A6" s="110"/>
      <c r="B6" s="130"/>
      <c r="C6" s="119" t="s">
        <v>19</v>
      </c>
      <c r="D6" s="115"/>
      <c r="E6" s="107" t="s">
        <v>20</v>
      </c>
      <c r="F6" s="108"/>
      <c r="G6" s="7" t="s">
        <v>21</v>
      </c>
      <c r="H6" s="107">
        <v>50</v>
      </c>
      <c r="I6" s="122"/>
      <c r="J6" s="122"/>
      <c r="K6" s="108"/>
      <c r="L6" s="130"/>
      <c r="M6" s="147" t="s">
        <v>22</v>
      </c>
      <c r="N6" s="115"/>
      <c r="O6" s="174">
        <v>61.217799999999997</v>
      </c>
      <c r="P6" s="108"/>
      <c r="Q6" s="8" t="s">
        <v>16</v>
      </c>
      <c r="R6" s="125" t="s">
        <v>17</v>
      </c>
      <c r="S6" s="108"/>
      <c r="T6" s="7" t="s">
        <v>23</v>
      </c>
      <c r="U6" s="11"/>
    </row>
    <row r="7" spans="1:21" ht="28" customHeight="1">
      <c r="A7" s="110"/>
      <c r="B7" s="130"/>
      <c r="C7" s="119" t="s">
        <v>24</v>
      </c>
      <c r="D7" s="115"/>
      <c r="E7" s="107" t="s">
        <v>25</v>
      </c>
      <c r="F7" s="108"/>
      <c r="G7" s="8" t="s">
        <v>26</v>
      </c>
      <c r="H7" s="107" t="s">
        <v>27</v>
      </c>
      <c r="I7" s="122"/>
      <c r="J7" s="122"/>
      <c r="K7" s="108"/>
      <c r="L7" s="130"/>
      <c r="M7" s="119" t="s">
        <v>28</v>
      </c>
      <c r="N7" s="115"/>
      <c r="O7" s="174"/>
      <c r="P7" s="108"/>
      <c r="Q7" s="8" t="s">
        <v>29</v>
      </c>
      <c r="R7" s="125" t="s">
        <v>17</v>
      </c>
      <c r="S7" s="108"/>
      <c r="T7" s="7" t="s">
        <v>30</v>
      </c>
      <c r="U7" s="9">
        <v>1</v>
      </c>
    </row>
    <row r="8" spans="1:21" ht="28" customHeight="1">
      <c r="A8" s="110"/>
      <c r="B8" s="131"/>
      <c r="C8" s="162" t="s">
        <v>31</v>
      </c>
      <c r="D8" s="112"/>
      <c r="E8" s="155">
        <v>13735526664</v>
      </c>
      <c r="F8" s="154"/>
      <c r="G8" s="13" t="s">
        <v>32</v>
      </c>
      <c r="H8" s="155" t="s">
        <v>33</v>
      </c>
      <c r="I8" s="156"/>
      <c r="J8" s="156"/>
      <c r="K8" s="154"/>
      <c r="L8" s="131"/>
      <c r="M8" s="169" t="s">
        <v>34</v>
      </c>
      <c r="N8" s="112"/>
      <c r="O8" s="170">
        <v>0.02</v>
      </c>
      <c r="P8" s="154"/>
      <c r="Q8" s="13" t="s">
        <v>35</v>
      </c>
      <c r="R8" s="153" t="s">
        <v>17</v>
      </c>
      <c r="S8" s="154"/>
      <c r="T8" s="14" t="s">
        <v>36</v>
      </c>
      <c r="U8" s="15">
        <v>300</v>
      </c>
    </row>
    <row r="9" spans="1:21" ht="25" customHeight="1">
      <c r="A9" s="110"/>
      <c r="B9" s="99" t="s">
        <v>37</v>
      </c>
      <c r="C9" s="140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20" t="s">
        <v>47</v>
      </c>
      <c r="M9" s="140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10"/>
      <c r="B10" s="100"/>
      <c r="C10" s="141"/>
      <c r="D10" s="19">
        <v>1</v>
      </c>
      <c r="E10" s="20" t="s">
        <v>145</v>
      </c>
      <c r="F10" s="21" t="s">
        <v>144</v>
      </c>
      <c r="G10" s="22"/>
      <c r="H10" s="22">
        <f>0.3425*1.15+25/2000</f>
        <v>0.40637499999999999</v>
      </c>
      <c r="I10" s="23">
        <v>0.01</v>
      </c>
      <c r="J10" s="22">
        <v>25</v>
      </c>
      <c r="K10" s="24">
        <f>IF(J10="","",J10*H10*(1+I10))</f>
        <v>10.260968749999998</v>
      </c>
      <c r="L10" s="100"/>
      <c r="M10" s="141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10"/>
      <c r="B11" s="100"/>
      <c r="C11" s="141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00"/>
      <c r="M11" s="141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10"/>
      <c r="B12" s="100"/>
      <c r="C12" s="141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00"/>
      <c r="M12" s="141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10"/>
      <c r="B13" s="100"/>
      <c r="C13" s="141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00"/>
      <c r="M13" s="141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10"/>
      <c r="B14" s="100"/>
      <c r="C14" s="141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00"/>
      <c r="M14" s="141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10"/>
      <c r="B15" s="100"/>
      <c r="C15" s="141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00"/>
      <c r="M15" s="141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10"/>
      <c r="B16" s="100"/>
      <c r="C16" s="141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00"/>
      <c r="M16" s="141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10"/>
      <c r="B17" s="100"/>
      <c r="C17" s="141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00"/>
      <c r="M17" s="141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10"/>
      <c r="B18" s="100"/>
      <c r="C18" s="141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00"/>
      <c r="M18" s="141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10"/>
      <c r="B19" s="100"/>
      <c r="C19" s="141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00"/>
      <c r="M19" s="141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10"/>
      <c r="B20" s="100"/>
      <c r="C20" s="141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00"/>
      <c r="M20" s="141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10"/>
      <c r="B21" s="100"/>
      <c r="C21" s="141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00"/>
      <c r="M21" s="141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10"/>
      <c r="B22" s="100"/>
      <c r="C22" s="141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00"/>
      <c r="M22" s="141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10"/>
      <c r="B23" s="100"/>
      <c r="C23" s="141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00"/>
      <c r="M23" s="141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10"/>
      <c r="B24" s="100"/>
      <c r="C24" s="141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00"/>
      <c r="M24" s="141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10"/>
      <c r="B25" s="100"/>
      <c r="C25" s="141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00"/>
      <c r="M25" s="141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10"/>
      <c r="B26" s="100"/>
      <c r="C26" s="141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00"/>
      <c r="M26" s="141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10"/>
      <c r="B27" s="101"/>
      <c r="C27" s="142"/>
      <c r="D27" s="12"/>
      <c r="E27" s="41"/>
      <c r="F27" s="41"/>
      <c r="G27" s="41"/>
      <c r="H27" s="111" t="s">
        <v>50</v>
      </c>
      <c r="I27" s="112"/>
      <c r="J27" s="42"/>
      <c r="K27" s="43">
        <f>SUM(K10:K26)</f>
        <v>10.260968749999998</v>
      </c>
      <c r="L27" s="101"/>
      <c r="M27" s="142"/>
      <c r="N27" s="12"/>
      <c r="O27" s="44"/>
      <c r="P27" s="13"/>
      <c r="Q27" s="13"/>
      <c r="R27" s="13"/>
      <c r="S27" s="111" t="s">
        <v>51</v>
      </c>
      <c r="T27" s="112"/>
      <c r="U27" s="43">
        <f>SUM(U10:U26)</f>
        <v>0</v>
      </c>
    </row>
    <row r="28" spans="1:21" ht="25" customHeight="1">
      <c r="A28" s="110"/>
      <c r="B28" s="99" t="s">
        <v>52</v>
      </c>
      <c r="C28" s="140" t="s">
        <v>53</v>
      </c>
      <c r="D28" s="151" t="s">
        <v>54</v>
      </c>
      <c r="E28" s="138"/>
      <c r="F28" s="138"/>
      <c r="G28" s="138"/>
      <c r="H28" s="138"/>
      <c r="I28" s="138"/>
      <c r="J28" s="138"/>
      <c r="K28" s="139"/>
      <c r="L28" s="120" t="s">
        <v>55</v>
      </c>
      <c r="M28" s="140" t="s">
        <v>56</v>
      </c>
      <c r="N28" s="151" t="s">
        <v>57</v>
      </c>
      <c r="O28" s="138"/>
      <c r="P28" s="138"/>
      <c r="Q28" s="138"/>
      <c r="R28" s="138"/>
      <c r="S28" s="138"/>
      <c r="T28" s="138"/>
      <c r="U28" s="139"/>
    </row>
    <row r="29" spans="1:21" ht="25" customHeight="1">
      <c r="A29" s="110"/>
      <c r="B29" s="100"/>
      <c r="C29" s="141"/>
      <c r="D29" s="45" t="s">
        <v>39</v>
      </c>
      <c r="E29" s="46" t="s">
        <v>58</v>
      </c>
      <c r="F29" s="47" t="s">
        <v>59</v>
      </c>
      <c r="G29" s="46" t="s">
        <v>60</v>
      </c>
      <c r="H29" s="47" t="s">
        <v>61</v>
      </c>
      <c r="I29" s="47" t="s">
        <v>62</v>
      </c>
      <c r="J29" s="47" t="s">
        <v>63</v>
      </c>
      <c r="K29" s="48" t="s">
        <v>64</v>
      </c>
      <c r="L29" s="100"/>
      <c r="M29" s="141"/>
      <c r="N29" s="49" t="s">
        <v>65</v>
      </c>
      <c r="O29" s="46" t="s">
        <v>66</v>
      </c>
      <c r="P29" s="47" t="s">
        <v>67</v>
      </c>
      <c r="Q29" s="46" t="s">
        <v>68</v>
      </c>
      <c r="R29" s="47" t="s">
        <v>69</v>
      </c>
      <c r="S29" s="47" t="s">
        <v>70</v>
      </c>
      <c r="T29" s="47" t="s">
        <v>63</v>
      </c>
      <c r="U29" s="48" t="s">
        <v>71</v>
      </c>
    </row>
    <row r="30" spans="1:21" ht="25" customHeight="1">
      <c r="A30" s="110"/>
      <c r="B30" s="100"/>
      <c r="C30" s="141"/>
      <c r="D30" s="19">
        <v>1</v>
      </c>
      <c r="E30" s="50"/>
      <c r="F30" s="51"/>
      <c r="G30" s="51"/>
      <c r="H30" s="51"/>
      <c r="I30" s="51"/>
      <c r="J30" s="52"/>
      <c r="K30" s="53" t="str">
        <f t="shared" ref="K30:K39" si="2">IF(E30="","",IF(J30="",F30/I30,F30/J30))</f>
        <v/>
      </c>
      <c r="L30" s="100"/>
      <c r="M30" s="141"/>
      <c r="N30" s="19">
        <v>1</v>
      </c>
      <c r="O30" s="54" t="s">
        <v>72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10"/>
      <c r="B31" s="100"/>
      <c r="C31" s="141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100"/>
      <c r="M31" s="141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10"/>
      <c r="B32" s="100"/>
      <c r="C32" s="141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100"/>
      <c r="M32" s="141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10"/>
      <c r="B33" s="100"/>
      <c r="C33" s="141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100"/>
      <c r="M33" s="141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10"/>
      <c r="B34" s="100"/>
      <c r="C34" s="141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100"/>
      <c r="M34" s="141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10"/>
      <c r="B35" s="100"/>
      <c r="C35" s="141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100"/>
      <c r="M35" s="141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10"/>
      <c r="B36" s="100"/>
      <c r="C36" s="141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100"/>
      <c r="M36" s="141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10"/>
      <c r="B37" s="100"/>
      <c r="C37" s="141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100"/>
      <c r="M37" s="141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10"/>
      <c r="B38" s="100"/>
      <c r="C38" s="141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100"/>
      <c r="M38" s="141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10"/>
      <c r="B39" s="100"/>
      <c r="C39" s="141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100"/>
      <c r="M39" s="141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10"/>
      <c r="B40" s="101"/>
      <c r="C40" s="142"/>
      <c r="D40" s="12"/>
      <c r="E40" s="13" t="s">
        <v>73</v>
      </c>
      <c r="F40" s="41">
        <f>SUM(F30:F39)</f>
        <v>0</v>
      </c>
      <c r="G40" s="41"/>
      <c r="H40" s="111" t="s">
        <v>74</v>
      </c>
      <c r="I40" s="112"/>
      <c r="J40" s="61"/>
      <c r="K40" s="62">
        <f>SUM(K30:K39)</f>
        <v>0</v>
      </c>
      <c r="L40" s="101"/>
      <c r="M40" s="142"/>
      <c r="N40" s="63"/>
      <c r="O40" s="13" t="s">
        <v>75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10"/>
      <c r="B41" s="106" t="s">
        <v>76</v>
      </c>
      <c r="C41" s="140" t="s">
        <v>77</v>
      </c>
      <c r="D41" s="65" t="s">
        <v>78</v>
      </c>
      <c r="E41" s="66" t="s">
        <v>79</v>
      </c>
      <c r="F41" s="67" t="s">
        <v>80</v>
      </c>
      <c r="G41" s="67" t="s">
        <v>81</v>
      </c>
      <c r="H41" s="67" t="s">
        <v>82</v>
      </c>
      <c r="I41" s="66" t="s">
        <v>83</v>
      </c>
      <c r="J41" s="67" t="s">
        <v>84</v>
      </c>
      <c r="K41" s="66" t="s">
        <v>85</v>
      </c>
      <c r="L41" s="173" t="s">
        <v>86</v>
      </c>
      <c r="M41" s="172"/>
      <c r="N41" s="171" t="s">
        <v>87</v>
      </c>
      <c r="O41" s="172"/>
      <c r="P41" s="67" t="s">
        <v>88</v>
      </c>
      <c r="Q41" s="68" t="s">
        <v>89</v>
      </c>
      <c r="R41" s="66" t="s">
        <v>90</v>
      </c>
      <c r="S41" s="67" t="s">
        <v>91</v>
      </c>
      <c r="T41" s="67" t="s">
        <v>92</v>
      </c>
      <c r="U41" s="69" t="s">
        <v>93</v>
      </c>
    </row>
    <row r="42" spans="1:21" ht="25" customHeight="1">
      <c r="A42" s="110"/>
      <c r="B42" s="100"/>
      <c r="C42" s="141"/>
      <c r="D42" s="19">
        <v>1</v>
      </c>
      <c r="E42" s="51" t="s">
        <v>139</v>
      </c>
      <c r="F42" s="51">
        <v>60</v>
      </c>
      <c r="G42" s="70">
        <f t="shared" ref="G42:G57" si="5">IF(E42="","",12/H42*L42)</f>
        <v>540</v>
      </c>
      <c r="H42" s="71">
        <f t="shared" ref="H42:H57" si="6">IF(E42="","",F42/3600)</f>
        <v>1.6666666666666666E-2</v>
      </c>
      <c r="I42" s="51">
        <v>5.75</v>
      </c>
      <c r="J42" s="72">
        <v>24</v>
      </c>
      <c r="K42" s="73">
        <f t="shared" ref="K42:K57" si="7">IF(E42="","",H42*I42/L42)</f>
        <v>0.12777777777777777</v>
      </c>
      <c r="L42" s="157">
        <v>0.75</v>
      </c>
      <c r="M42" s="158"/>
      <c r="N42" s="124">
        <f t="shared" ref="N42:N57" si="8">IF(F42="","",IF(E42="","",J42*K42))</f>
        <v>3.0666666666666664</v>
      </c>
      <c r="O42" s="105"/>
      <c r="P42" s="51">
        <v>70</v>
      </c>
      <c r="Q42" s="56" t="str">
        <f t="shared" ref="Q42:Q57" si="9">IF(E42="","","10年2班折90%")</f>
        <v>10年2班折90%</v>
      </c>
      <c r="R42" s="73">
        <f t="shared" ref="R42:R57" si="10">IF(E42="","",P42*0.9/10/$U$8/22*H42*10000/L42)</f>
        <v>0.21212121212121207</v>
      </c>
      <c r="S42" s="74">
        <v>90</v>
      </c>
      <c r="T42" s="23">
        <v>0.5</v>
      </c>
      <c r="U42" s="28">
        <f t="shared" ref="U42:U57" si="11">IF(S42="","",S42*T42*$U$7*H42/((L42+(1-L42)/1.4)))</f>
        <v>0.80769230769230771</v>
      </c>
    </row>
    <row r="43" spans="1:21" ht="25" customHeight="1">
      <c r="A43" s="110"/>
      <c r="B43" s="100"/>
      <c r="C43" s="141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16"/>
      <c r="M43" s="108"/>
      <c r="N43" s="124" t="str">
        <f t="shared" si="8"/>
        <v/>
      </c>
      <c r="O43" s="105"/>
      <c r="P43" s="6"/>
      <c r="Q43" s="60" t="str">
        <f t="shared" si="9"/>
        <v/>
      </c>
      <c r="R43" s="73" t="str">
        <f t="shared" si="10"/>
        <v/>
      </c>
      <c r="S43" s="76"/>
      <c r="T43" s="31"/>
      <c r="U43" s="28" t="str">
        <f t="shared" si="11"/>
        <v/>
      </c>
    </row>
    <row r="44" spans="1:21" ht="25" customHeight="1">
      <c r="A44" s="110"/>
      <c r="B44" s="100"/>
      <c r="C44" s="141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16"/>
      <c r="M44" s="108"/>
      <c r="N44" s="124" t="str">
        <f t="shared" si="8"/>
        <v/>
      </c>
      <c r="O44" s="105"/>
      <c r="P44" s="6"/>
      <c r="Q44" s="60" t="str">
        <f t="shared" si="9"/>
        <v/>
      </c>
      <c r="R44" s="73" t="str">
        <f t="shared" si="10"/>
        <v/>
      </c>
      <c r="S44" s="76"/>
      <c r="T44" s="31"/>
      <c r="U44" s="28" t="str">
        <f t="shared" si="11"/>
        <v/>
      </c>
    </row>
    <row r="45" spans="1:21" ht="25" customHeight="1">
      <c r="A45" s="110"/>
      <c r="B45" s="100"/>
      <c r="C45" s="141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16"/>
      <c r="M45" s="108"/>
      <c r="N45" s="124" t="str">
        <f t="shared" si="8"/>
        <v/>
      </c>
      <c r="O45" s="105"/>
      <c r="P45" s="6"/>
      <c r="Q45" s="60" t="str">
        <f t="shared" si="9"/>
        <v/>
      </c>
      <c r="R45" s="73" t="str">
        <f t="shared" si="10"/>
        <v/>
      </c>
      <c r="S45" s="76"/>
      <c r="T45" s="31"/>
      <c r="U45" s="28" t="str">
        <f t="shared" si="11"/>
        <v/>
      </c>
    </row>
    <row r="46" spans="1:21" ht="25" customHeight="1">
      <c r="A46" s="110"/>
      <c r="B46" s="100"/>
      <c r="C46" s="141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16"/>
      <c r="M46" s="108"/>
      <c r="N46" s="124" t="str">
        <f t="shared" si="8"/>
        <v/>
      </c>
      <c r="O46" s="105"/>
      <c r="P46" s="6"/>
      <c r="Q46" s="60" t="str">
        <f t="shared" si="9"/>
        <v/>
      </c>
      <c r="R46" s="73" t="str">
        <f t="shared" si="10"/>
        <v/>
      </c>
      <c r="S46" s="76"/>
      <c r="T46" s="31"/>
      <c r="U46" s="28" t="str">
        <f t="shared" si="11"/>
        <v/>
      </c>
    </row>
    <row r="47" spans="1:21" ht="25" customHeight="1">
      <c r="A47" s="110"/>
      <c r="B47" s="100"/>
      <c r="C47" s="141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16"/>
      <c r="M47" s="108"/>
      <c r="N47" s="124" t="str">
        <f t="shared" si="8"/>
        <v/>
      </c>
      <c r="O47" s="105"/>
      <c r="P47" s="6"/>
      <c r="Q47" s="60" t="str">
        <f t="shared" si="9"/>
        <v/>
      </c>
      <c r="R47" s="73" t="str">
        <f t="shared" si="10"/>
        <v/>
      </c>
      <c r="S47" s="76"/>
      <c r="T47" s="31"/>
      <c r="U47" s="28" t="str">
        <f t="shared" si="11"/>
        <v/>
      </c>
    </row>
    <row r="48" spans="1:21" ht="25" customHeight="1">
      <c r="A48" s="110"/>
      <c r="B48" s="100"/>
      <c r="C48" s="141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16"/>
      <c r="M48" s="108"/>
      <c r="N48" s="124" t="str">
        <f t="shared" si="8"/>
        <v/>
      </c>
      <c r="O48" s="105"/>
      <c r="P48" s="6"/>
      <c r="Q48" s="60" t="str">
        <f t="shared" si="9"/>
        <v/>
      </c>
      <c r="R48" s="73" t="str">
        <f t="shared" si="10"/>
        <v/>
      </c>
      <c r="S48" s="76"/>
      <c r="T48" s="31"/>
      <c r="U48" s="28" t="str">
        <f t="shared" si="11"/>
        <v/>
      </c>
    </row>
    <row r="49" spans="1:21" ht="25" customHeight="1">
      <c r="A49" s="110"/>
      <c r="B49" s="100"/>
      <c r="C49" s="141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16"/>
      <c r="M49" s="108"/>
      <c r="N49" s="124" t="str">
        <f t="shared" si="8"/>
        <v/>
      </c>
      <c r="O49" s="105"/>
      <c r="P49" s="6"/>
      <c r="Q49" s="60" t="str">
        <f t="shared" si="9"/>
        <v/>
      </c>
      <c r="R49" s="73" t="str">
        <f t="shared" si="10"/>
        <v/>
      </c>
      <c r="S49" s="76"/>
      <c r="T49" s="31"/>
      <c r="U49" s="28" t="str">
        <f t="shared" si="11"/>
        <v/>
      </c>
    </row>
    <row r="50" spans="1:21" ht="25" customHeight="1">
      <c r="A50" s="110"/>
      <c r="B50" s="100"/>
      <c r="C50" s="141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16"/>
      <c r="M50" s="108"/>
      <c r="N50" s="124" t="str">
        <f t="shared" si="8"/>
        <v/>
      </c>
      <c r="O50" s="105"/>
      <c r="P50" s="6"/>
      <c r="Q50" s="60" t="str">
        <f t="shared" si="9"/>
        <v/>
      </c>
      <c r="R50" s="73" t="str">
        <f t="shared" si="10"/>
        <v/>
      </c>
      <c r="S50" s="76"/>
      <c r="T50" s="31"/>
      <c r="U50" s="28" t="str">
        <f t="shared" si="11"/>
        <v/>
      </c>
    </row>
    <row r="51" spans="1:21" ht="25" customHeight="1">
      <c r="A51" s="110"/>
      <c r="B51" s="100"/>
      <c r="C51" s="141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16"/>
      <c r="M51" s="108"/>
      <c r="N51" s="124" t="str">
        <f t="shared" si="8"/>
        <v/>
      </c>
      <c r="O51" s="105"/>
      <c r="P51" s="6"/>
      <c r="Q51" s="60" t="str">
        <f t="shared" si="9"/>
        <v/>
      </c>
      <c r="R51" s="73" t="str">
        <f t="shared" si="10"/>
        <v/>
      </c>
      <c r="S51" s="76"/>
      <c r="T51" s="31"/>
      <c r="U51" s="28" t="str">
        <f t="shared" si="11"/>
        <v/>
      </c>
    </row>
    <row r="52" spans="1:21" ht="25" customHeight="1">
      <c r="A52" s="110"/>
      <c r="B52" s="100"/>
      <c r="C52" s="141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16"/>
      <c r="M52" s="108"/>
      <c r="N52" s="124" t="str">
        <f t="shared" si="8"/>
        <v/>
      </c>
      <c r="O52" s="105"/>
      <c r="P52" s="6"/>
      <c r="Q52" s="60" t="str">
        <f t="shared" si="9"/>
        <v/>
      </c>
      <c r="R52" s="73" t="str">
        <f t="shared" si="10"/>
        <v/>
      </c>
      <c r="S52" s="76"/>
      <c r="T52" s="31"/>
      <c r="U52" s="28" t="str">
        <f t="shared" si="11"/>
        <v/>
      </c>
    </row>
    <row r="53" spans="1:21" ht="25" customHeight="1">
      <c r="A53" s="110"/>
      <c r="B53" s="100"/>
      <c r="C53" s="141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16"/>
      <c r="M53" s="108"/>
      <c r="N53" s="124" t="str">
        <f t="shared" si="8"/>
        <v/>
      </c>
      <c r="O53" s="105"/>
      <c r="P53" s="6"/>
      <c r="Q53" s="60" t="str">
        <f t="shared" si="9"/>
        <v/>
      </c>
      <c r="R53" s="73" t="str">
        <f t="shared" si="10"/>
        <v/>
      </c>
      <c r="S53" s="76"/>
      <c r="T53" s="31"/>
      <c r="U53" s="28" t="str">
        <f t="shared" si="11"/>
        <v/>
      </c>
    </row>
    <row r="54" spans="1:21" ht="25" customHeight="1">
      <c r="A54" s="110"/>
      <c r="B54" s="100"/>
      <c r="C54" s="141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16"/>
      <c r="M54" s="108"/>
      <c r="N54" s="124" t="str">
        <f t="shared" si="8"/>
        <v/>
      </c>
      <c r="O54" s="105"/>
      <c r="P54" s="6"/>
      <c r="Q54" s="60" t="str">
        <f t="shared" si="9"/>
        <v/>
      </c>
      <c r="R54" s="73" t="str">
        <f t="shared" si="10"/>
        <v/>
      </c>
      <c r="S54" s="76"/>
      <c r="T54" s="31"/>
      <c r="U54" s="28" t="str">
        <f t="shared" si="11"/>
        <v/>
      </c>
    </row>
    <row r="55" spans="1:21" ht="25" customHeight="1">
      <c r="A55" s="110"/>
      <c r="B55" s="100"/>
      <c r="C55" s="141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16"/>
      <c r="M55" s="108"/>
      <c r="N55" s="124" t="str">
        <f t="shared" si="8"/>
        <v/>
      </c>
      <c r="O55" s="105"/>
      <c r="P55" s="6"/>
      <c r="Q55" s="60" t="str">
        <f t="shared" si="9"/>
        <v/>
      </c>
      <c r="R55" s="73" t="str">
        <f t="shared" si="10"/>
        <v/>
      </c>
      <c r="S55" s="76"/>
      <c r="T55" s="31"/>
      <c r="U55" s="28" t="str">
        <f t="shared" si="11"/>
        <v/>
      </c>
    </row>
    <row r="56" spans="1:21" ht="25" customHeight="1">
      <c r="A56" s="110"/>
      <c r="B56" s="100"/>
      <c r="C56" s="141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16"/>
      <c r="M56" s="108"/>
      <c r="N56" s="124" t="str">
        <f t="shared" si="8"/>
        <v/>
      </c>
      <c r="O56" s="105"/>
      <c r="P56" s="6"/>
      <c r="Q56" s="60" t="str">
        <f t="shared" si="9"/>
        <v/>
      </c>
      <c r="R56" s="73" t="str">
        <f t="shared" si="10"/>
        <v/>
      </c>
      <c r="S56" s="76"/>
      <c r="T56" s="31"/>
      <c r="U56" s="28" t="str">
        <f t="shared" si="11"/>
        <v/>
      </c>
    </row>
    <row r="57" spans="1:21" ht="25" customHeight="1">
      <c r="A57" s="110"/>
      <c r="B57" s="100"/>
      <c r="C57" s="141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16"/>
      <c r="M57" s="108"/>
      <c r="N57" s="124" t="str">
        <f t="shared" si="8"/>
        <v/>
      </c>
      <c r="O57" s="105"/>
      <c r="P57" s="6"/>
      <c r="Q57" s="60" t="str">
        <f t="shared" si="9"/>
        <v/>
      </c>
      <c r="R57" s="73" t="str">
        <f t="shared" si="10"/>
        <v/>
      </c>
      <c r="S57" s="76"/>
      <c r="T57" s="31"/>
      <c r="U57" s="28" t="str">
        <f t="shared" si="11"/>
        <v/>
      </c>
    </row>
    <row r="58" spans="1:21" ht="25" customHeight="1">
      <c r="A58" s="110"/>
      <c r="B58" s="101"/>
      <c r="C58" s="142"/>
      <c r="D58" s="77">
        <v>17</v>
      </c>
      <c r="E58" s="78"/>
      <c r="F58" s="78"/>
      <c r="G58" s="78"/>
      <c r="H58" s="78"/>
      <c r="I58" s="78"/>
      <c r="J58" s="78" t="s">
        <v>95</v>
      </c>
      <c r="K58" s="13">
        <f>SUM(K42:K57)</f>
        <v>0.12777777777777777</v>
      </c>
      <c r="L58" s="111" t="s">
        <v>96</v>
      </c>
      <c r="M58" s="112"/>
      <c r="N58" s="135">
        <f>SUM(N42:O57)</f>
        <v>3.0666666666666664</v>
      </c>
      <c r="O58" s="112"/>
      <c r="P58" s="79"/>
      <c r="Q58" s="80" t="s">
        <v>97</v>
      </c>
      <c r="R58" s="81">
        <f>SUM(R42:R57)</f>
        <v>0.21212121212121207</v>
      </c>
      <c r="S58" s="82"/>
      <c r="T58" s="83" t="s">
        <v>98</v>
      </c>
      <c r="U58" s="84">
        <f>SUM(U42:U57)</f>
        <v>0.80769230769230771</v>
      </c>
    </row>
    <row r="59" spans="1:21" ht="25" customHeight="1">
      <c r="A59" s="110"/>
      <c r="B59" s="19" t="s">
        <v>99</v>
      </c>
      <c r="C59" s="104" t="s">
        <v>100</v>
      </c>
      <c r="D59" s="105"/>
      <c r="E59" s="85">
        <f>IF(U6="",N58,U6*K58)</f>
        <v>3.0666666666666664</v>
      </c>
      <c r="F59" s="163" t="s">
        <v>101</v>
      </c>
      <c r="G59" s="164"/>
      <c r="H59" s="164"/>
      <c r="I59" s="164"/>
      <c r="J59" s="164"/>
      <c r="K59" s="164"/>
      <c r="L59" s="164"/>
      <c r="M59" s="164"/>
      <c r="N59" s="164"/>
      <c r="O59" s="164"/>
      <c r="P59" s="95"/>
      <c r="Q59" s="159" t="s">
        <v>102</v>
      </c>
      <c r="R59" s="160"/>
      <c r="S59" s="160"/>
      <c r="T59" s="160"/>
      <c r="U59" s="161"/>
    </row>
    <row r="60" spans="1:21" ht="25" customHeight="1">
      <c r="A60" s="110"/>
      <c r="B60" s="5" t="s">
        <v>103</v>
      </c>
      <c r="C60" s="117" t="s">
        <v>104</v>
      </c>
      <c r="D60" s="115"/>
      <c r="E60" s="86">
        <f>(K27+K40+U40+R58+U58+E59+U27)*O8</f>
        <v>0.28694897872960373</v>
      </c>
      <c r="F60" s="113" t="s">
        <v>105</v>
      </c>
      <c r="G60" s="114"/>
      <c r="H60" s="114"/>
      <c r="I60" s="114"/>
      <c r="J60" s="114"/>
      <c r="K60" s="114"/>
      <c r="L60" s="114"/>
      <c r="M60" s="114"/>
      <c r="N60" s="114"/>
      <c r="O60" s="114"/>
      <c r="P60" s="115"/>
      <c r="Q60" s="145" t="s">
        <v>106</v>
      </c>
      <c r="R60" s="146"/>
      <c r="S60" s="148"/>
      <c r="T60" s="149"/>
      <c r="U60" s="150"/>
    </row>
    <row r="61" spans="1:21" ht="25" customHeight="1">
      <c r="A61" s="110"/>
      <c r="B61" s="5" t="s">
        <v>107</v>
      </c>
      <c r="C61" s="117" t="s">
        <v>108</v>
      </c>
      <c r="D61" s="115"/>
      <c r="E61" s="86">
        <f>(K27+U27)*0.03+(K40+U40+R58+U58+E59+E60)*0.15</f>
        <v>0.96384343728146837</v>
      </c>
      <c r="F61" s="113" t="s">
        <v>140</v>
      </c>
      <c r="G61" s="114"/>
      <c r="H61" s="114"/>
      <c r="I61" s="114"/>
      <c r="J61" s="114"/>
      <c r="K61" s="114"/>
      <c r="L61" s="114"/>
      <c r="M61" s="114"/>
      <c r="N61" s="114"/>
      <c r="O61" s="114"/>
      <c r="P61" s="115"/>
      <c r="Q61" s="118" t="s">
        <v>109</v>
      </c>
      <c r="R61" s="114"/>
      <c r="S61" s="121"/>
      <c r="T61" s="122"/>
      <c r="U61" s="123"/>
    </row>
    <row r="62" spans="1:21" ht="25" customHeight="1">
      <c r="A62" s="110"/>
      <c r="B62" s="5" t="s">
        <v>110</v>
      </c>
      <c r="C62" s="117" t="s">
        <v>111</v>
      </c>
      <c r="D62" s="115"/>
      <c r="E62" s="87">
        <v>1.65</v>
      </c>
      <c r="F62" s="113" t="s">
        <v>112</v>
      </c>
      <c r="G62" s="114"/>
      <c r="H62" s="114"/>
      <c r="I62" s="114"/>
      <c r="J62" s="114"/>
      <c r="K62" s="114"/>
      <c r="L62" s="114"/>
      <c r="M62" s="114"/>
      <c r="N62" s="114"/>
      <c r="O62" s="114"/>
      <c r="P62" s="115"/>
      <c r="Q62" s="118" t="s">
        <v>113</v>
      </c>
      <c r="R62" s="114"/>
      <c r="S62" s="121"/>
      <c r="T62" s="122"/>
      <c r="U62" s="123"/>
    </row>
    <row r="63" spans="1:21" ht="25" customHeight="1">
      <c r="A63" s="110"/>
      <c r="B63" s="5" t="s">
        <v>114</v>
      </c>
      <c r="C63" s="117" t="s">
        <v>115</v>
      </c>
      <c r="D63" s="115"/>
      <c r="E63" s="88">
        <v>2.5499999999999998</v>
      </c>
      <c r="F63" s="113" t="s">
        <v>116</v>
      </c>
      <c r="G63" s="114"/>
      <c r="H63" s="114"/>
      <c r="I63" s="114"/>
      <c r="J63" s="114"/>
      <c r="K63" s="114"/>
      <c r="L63" s="114"/>
      <c r="M63" s="114"/>
      <c r="N63" s="114"/>
      <c r="O63" s="114"/>
      <c r="P63" s="115"/>
      <c r="Q63" s="165"/>
      <c r="R63" s="127"/>
      <c r="S63" s="166"/>
      <c r="T63" s="167"/>
      <c r="U63" s="168"/>
    </row>
    <row r="64" spans="1:21" ht="25" customHeight="1">
      <c r="A64" s="110"/>
      <c r="B64" s="5" t="s">
        <v>117</v>
      </c>
      <c r="C64" s="117" t="s">
        <v>118</v>
      </c>
      <c r="D64" s="115"/>
      <c r="E64" s="89">
        <f>K27+U27+K40+R58+U58+E59+E60+E61+E62+E63+U40-S60</f>
        <v>19.798241352491257</v>
      </c>
      <c r="F64" s="113" t="s">
        <v>119</v>
      </c>
      <c r="G64" s="114"/>
      <c r="H64" s="114"/>
      <c r="I64" s="114"/>
      <c r="J64" s="114"/>
      <c r="K64" s="114"/>
      <c r="L64" s="114"/>
      <c r="M64" s="114"/>
      <c r="N64" s="114"/>
      <c r="O64" s="114"/>
      <c r="P64" s="115"/>
      <c r="Q64" s="137" t="s">
        <v>120</v>
      </c>
      <c r="R64" s="138"/>
      <c r="S64" s="138"/>
      <c r="T64" s="138"/>
      <c r="U64" s="139"/>
    </row>
    <row r="65" spans="1:21" ht="25" customHeight="1">
      <c r="A65" s="110"/>
      <c r="B65" s="5" t="s">
        <v>121</v>
      </c>
      <c r="C65" s="117" t="s">
        <v>122</v>
      </c>
      <c r="D65" s="115"/>
      <c r="E65" s="90">
        <v>0.15</v>
      </c>
      <c r="F65" s="113" t="s">
        <v>123</v>
      </c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75"/>
      <c r="R65" s="176"/>
      <c r="S65" s="176"/>
      <c r="T65" s="176"/>
      <c r="U65" s="177"/>
    </row>
    <row r="66" spans="1:21" ht="25" customHeight="1">
      <c r="A66" s="110"/>
      <c r="B66" s="5" t="s">
        <v>124</v>
      </c>
      <c r="C66" s="117" t="s">
        <v>125</v>
      </c>
      <c r="D66" s="115"/>
      <c r="E66" s="86">
        <f>E64*E65</f>
        <v>2.9697362028736882</v>
      </c>
      <c r="F66" s="113" t="s">
        <v>126</v>
      </c>
      <c r="G66" s="114"/>
      <c r="H66" s="114"/>
      <c r="I66" s="114"/>
      <c r="J66" s="114"/>
      <c r="K66" s="114"/>
      <c r="L66" s="114"/>
      <c r="M66" s="114"/>
      <c r="N66" s="114"/>
      <c r="O66" s="114"/>
      <c r="P66" s="115"/>
      <c r="Q66" s="176"/>
      <c r="R66" s="176"/>
      <c r="S66" s="176"/>
      <c r="T66" s="176"/>
      <c r="U66" s="177"/>
    </row>
    <row r="67" spans="1:21" ht="25" customHeight="1">
      <c r="A67" s="110"/>
      <c r="B67" s="5" t="s">
        <v>127</v>
      </c>
      <c r="C67" s="117" t="s">
        <v>128</v>
      </c>
      <c r="D67" s="115"/>
      <c r="E67" s="86">
        <f>E64+E66</f>
        <v>22.767977555364943</v>
      </c>
      <c r="F67" s="113" t="s">
        <v>129</v>
      </c>
      <c r="G67" s="114"/>
      <c r="H67" s="114"/>
      <c r="I67" s="114"/>
      <c r="J67" s="114"/>
      <c r="K67" s="114"/>
      <c r="L67" s="114"/>
      <c r="M67" s="114"/>
      <c r="N67" s="114"/>
      <c r="O67" s="114"/>
      <c r="P67" s="115"/>
      <c r="Q67" s="176"/>
      <c r="R67" s="176"/>
      <c r="S67" s="176"/>
      <c r="T67" s="176"/>
      <c r="U67" s="177"/>
    </row>
    <row r="68" spans="1:21" ht="25" customHeight="1">
      <c r="A68" s="110"/>
      <c r="B68" s="5" t="s">
        <v>130</v>
      </c>
      <c r="C68" s="117" t="s">
        <v>131</v>
      </c>
      <c r="D68" s="115"/>
      <c r="E68" s="86">
        <f>E67*0.13</f>
        <v>2.9598370821974429</v>
      </c>
      <c r="F68" s="113" t="s">
        <v>132</v>
      </c>
      <c r="G68" s="114"/>
      <c r="H68" s="114"/>
      <c r="I68" s="114"/>
      <c r="J68" s="114"/>
      <c r="K68" s="114"/>
      <c r="L68" s="114"/>
      <c r="M68" s="114"/>
      <c r="N68" s="114"/>
      <c r="O68" s="114"/>
      <c r="P68" s="115"/>
      <c r="Q68" s="176"/>
      <c r="R68" s="176"/>
      <c r="S68" s="176"/>
      <c r="T68" s="176"/>
      <c r="U68" s="177"/>
    </row>
    <row r="69" spans="1:21" ht="25" customHeight="1">
      <c r="A69" s="110"/>
      <c r="B69" s="77" t="s">
        <v>133</v>
      </c>
      <c r="C69" s="152" t="s">
        <v>134</v>
      </c>
      <c r="D69" s="128"/>
      <c r="E69" s="91">
        <f>E67+E68</f>
        <v>25.727814637562386</v>
      </c>
      <c r="F69" s="126" t="s">
        <v>135</v>
      </c>
      <c r="G69" s="127"/>
      <c r="H69" s="127"/>
      <c r="I69" s="127"/>
      <c r="J69" s="127"/>
      <c r="K69" s="127"/>
      <c r="L69" s="127"/>
      <c r="M69" s="127"/>
      <c r="N69" s="127"/>
      <c r="O69" s="127"/>
      <c r="P69" s="128"/>
      <c r="Q69" s="178"/>
      <c r="R69" s="178"/>
      <c r="S69" s="178"/>
      <c r="T69" s="178"/>
      <c r="U69" s="179"/>
    </row>
    <row r="70" spans="1:21" ht="13.5" customHeight="1">
      <c r="B70"/>
    </row>
  </sheetData>
  <mergeCells count="119">
    <mergeCell ref="L49:M4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C67:D67"/>
    <mergeCell ref="F64:P64"/>
    <mergeCell ref="C68:D68"/>
    <mergeCell ref="Q65:U69"/>
    <mergeCell ref="F67:P67"/>
    <mergeCell ref="N49:O49"/>
    <mergeCell ref="H7:K7"/>
    <mergeCell ref="S61:U61"/>
    <mergeCell ref="C41:C58"/>
    <mergeCell ref="B4:B8"/>
    <mergeCell ref="F59:P59"/>
    <mergeCell ref="Q63:R63"/>
    <mergeCell ref="L45:M45"/>
    <mergeCell ref="N48:O48"/>
    <mergeCell ref="S63:U63"/>
    <mergeCell ref="M8:N8"/>
    <mergeCell ref="C28:C40"/>
    <mergeCell ref="O8:P8"/>
    <mergeCell ref="F60:P60"/>
    <mergeCell ref="C4:D4"/>
    <mergeCell ref="E4:F4"/>
    <mergeCell ref="N55:O55"/>
    <mergeCell ref="L48:M48"/>
    <mergeCell ref="N54:O54"/>
    <mergeCell ref="N41:O41"/>
    <mergeCell ref="M5:N5"/>
    <mergeCell ref="L47:M47"/>
    <mergeCell ref="L41:M41"/>
    <mergeCell ref="N57:O57"/>
    <mergeCell ref="N28:U28"/>
    <mergeCell ref="H27:I27"/>
    <mergeCell ref="L56:M56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91F9-5A6B-674C-9129-5648B8DA98DA}">
  <dimension ref="A2:D3"/>
  <sheetViews>
    <sheetView workbookViewId="0">
      <selection activeCell="B4" sqref="B4"/>
    </sheetView>
  </sheetViews>
  <sheetFormatPr baseColWidth="10" defaultRowHeight="15"/>
  <sheetData>
    <row r="2" spans="1:4">
      <c r="A2" s="92" t="s">
        <v>143</v>
      </c>
      <c r="B2" s="92" t="s">
        <v>45</v>
      </c>
      <c r="C2" s="92" t="s">
        <v>141</v>
      </c>
      <c r="D2" s="92" t="s">
        <v>142</v>
      </c>
    </row>
    <row r="3" spans="1:4">
      <c r="A3">
        <v>8000</v>
      </c>
      <c r="B3">
        <v>0.1</v>
      </c>
      <c r="C3" s="93">
        <v>0.1</v>
      </c>
      <c r="D3">
        <f>A3*B3*(1+C3)</f>
        <v>880.00000000000011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0"/>
  <sheetViews>
    <sheetView topLeftCell="A29" workbookViewId="0">
      <selection activeCell="E10" sqref="E10:F1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3" width="9" style="1" customWidth="1"/>
    <col min="24" max="16384" width="9" style="1"/>
  </cols>
  <sheetData>
    <row r="1" spans="1:21" ht="12" customHeight="1">
      <c r="A1" s="109"/>
    </row>
    <row r="2" spans="1:21" ht="40" customHeight="1">
      <c r="A2" s="110"/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</row>
    <row r="3" spans="1:21" ht="31" customHeight="1">
      <c r="A3" s="110"/>
      <c r="B3" s="132" t="s">
        <v>1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33"/>
    </row>
    <row r="4" spans="1:21" ht="28" customHeight="1">
      <c r="A4" s="110"/>
      <c r="B4" s="129" t="s">
        <v>2</v>
      </c>
      <c r="C4" s="94" t="s">
        <v>3</v>
      </c>
      <c r="D4" s="95"/>
      <c r="E4" s="143" t="s">
        <v>4</v>
      </c>
      <c r="F4" s="103"/>
      <c r="G4" s="2" t="s">
        <v>5</v>
      </c>
      <c r="H4" s="143">
        <v>3000</v>
      </c>
      <c r="I4" s="144"/>
      <c r="J4" s="144"/>
      <c r="K4" s="103"/>
      <c r="L4" s="129" t="s">
        <v>6</v>
      </c>
      <c r="M4" s="94" t="s">
        <v>7</v>
      </c>
      <c r="N4" s="95"/>
      <c r="O4" s="102" t="s">
        <v>136</v>
      </c>
      <c r="P4" s="103"/>
      <c r="Q4" s="2" t="s">
        <v>9</v>
      </c>
      <c r="R4" s="136">
        <v>46192</v>
      </c>
      <c r="S4" s="103"/>
      <c r="T4" s="3" t="s">
        <v>10</v>
      </c>
      <c r="U4" s="4">
        <v>7.7499999999999999E-2</v>
      </c>
    </row>
    <row r="5" spans="1:21" ht="28" customHeight="1">
      <c r="A5" s="110"/>
      <c r="B5" s="130"/>
      <c r="C5" s="119" t="s">
        <v>11</v>
      </c>
      <c r="D5" s="115"/>
      <c r="E5" s="107" t="s">
        <v>12</v>
      </c>
      <c r="F5" s="108"/>
      <c r="G5" s="7" t="s">
        <v>13</v>
      </c>
      <c r="H5" s="107">
        <v>120</v>
      </c>
      <c r="I5" s="122"/>
      <c r="J5" s="122"/>
      <c r="K5" s="108"/>
      <c r="L5" s="130"/>
      <c r="M5" s="119" t="s">
        <v>14</v>
      </c>
      <c r="N5" s="115"/>
      <c r="O5" s="134" t="s">
        <v>137</v>
      </c>
      <c r="P5" s="108"/>
      <c r="Q5" s="8" t="s">
        <v>16</v>
      </c>
      <c r="R5" s="125" t="s">
        <v>17</v>
      </c>
      <c r="S5" s="108"/>
      <c r="T5" s="8" t="s">
        <v>18</v>
      </c>
      <c r="U5" s="9">
        <v>8.9200000000000002E-2</v>
      </c>
    </row>
    <row r="6" spans="1:21" ht="28" customHeight="1">
      <c r="A6" s="110"/>
      <c r="B6" s="130"/>
      <c r="C6" s="119" t="s">
        <v>19</v>
      </c>
      <c r="D6" s="115"/>
      <c r="E6" s="107" t="s">
        <v>20</v>
      </c>
      <c r="F6" s="108"/>
      <c r="G6" s="7" t="s">
        <v>21</v>
      </c>
      <c r="H6" s="107">
        <v>50</v>
      </c>
      <c r="I6" s="122"/>
      <c r="J6" s="122"/>
      <c r="K6" s="108"/>
      <c r="L6" s="130"/>
      <c r="M6" s="147" t="s">
        <v>22</v>
      </c>
      <c r="N6" s="115"/>
      <c r="O6" s="174">
        <v>61.217799999999997</v>
      </c>
      <c r="P6" s="108"/>
      <c r="Q6" s="8" t="s">
        <v>16</v>
      </c>
      <c r="R6" s="125" t="s">
        <v>17</v>
      </c>
      <c r="S6" s="108"/>
      <c r="T6" s="7" t="s">
        <v>23</v>
      </c>
      <c r="U6" s="11"/>
    </row>
    <row r="7" spans="1:21" ht="28" customHeight="1">
      <c r="A7" s="110"/>
      <c r="B7" s="130"/>
      <c r="C7" s="119" t="s">
        <v>24</v>
      </c>
      <c r="D7" s="115"/>
      <c r="E7" s="107" t="s">
        <v>25</v>
      </c>
      <c r="F7" s="108"/>
      <c r="G7" s="8" t="s">
        <v>26</v>
      </c>
      <c r="H7" s="107" t="s">
        <v>27</v>
      </c>
      <c r="I7" s="122"/>
      <c r="J7" s="122"/>
      <c r="K7" s="108"/>
      <c r="L7" s="130"/>
      <c r="M7" s="119" t="s">
        <v>28</v>
      </c>
      <c r="N7" s="115"/>
      <c r="O7" s="174"/>
      <c r="P7" s="108"/>
      <c r="Q7" s="8" t="s">
        <v>29</v>
      </c>
      <c r="R7" s="125" t="s">
        <v>17</v>
      </c>
      <c r="S7" s="108"/>
      <c r="T7" s="7" t="s">
        <v>30</v>
      </c>
      <c r="U7" s="9">
        <v>1</v>
      </c>
    </row>
    <row r="8" spans="1:21" ht="28" customHeight="1">
      <c r="A8" s="110"/>
      <c r="B8" s="131"/>
      <c r="C8" s="162" t="s">
        <v>31</v>
      </c>
      <c r="D8" s="112"/>
      <c r="E8" s="155">
        <v>13735526664</v>
      </c>
      <c r="F8" s="154"/>
      <c r="G8" s="13" t="s">
        <v>32</v>
      </c>
      <c r="H8" s="155" t="s">
        <v>33</v>
      </c>
      <c r="I8" s="156"/>
      <c r="J8" s="156"/>
      <c r="K8" s="154"/>
      <c r="L8" s="131"/>
      <c r="M8" s="169" t="s">
        <v>34</v>
      </c>
      <c r="N8" s="112"/>
      <c r="O8" s="170">
        <v>0.02</v>
      </c>
      <c r="P8" s="154"/>
      <c r="Q8" s="13" t="s">
        <v>35</v>
      </c>
      <c r="R8" s="153" t="s">
        <v>17</v>
      </c>
      <c r="S8" s="154"/>
      <c r="T8" s="14" t="s">
        <v>36</v>
      </c>
      <c r="U8" s="15">
        <v>300</v>
      </c>
    </row>
    <row r="9" spans="1:21" ht="25" customHeight="1">
      <c r="A9" s="110"/>
      <c r="B9" s="99" t="s">
        <v>37</v>
      </c>
      <c r="C9" s="140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20" t="s">
        <v>47</v>
      </c>
      <c r="M9" s="140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10"/>
      <c r="B10" s="100"/>
      <c r="C10" s="141"/>
      <c r="D10" s="19">
        <v>1</v>
      </c>
      <c r="E10" s="20" t="s">
        <v>145</v>
      </c>
      <c r="F10" s="21" t="s">
        <v>144</v>
      </c>
      <c r="G10" s="22"/>
      <c r="H10" s="22">
        <f>0.17/0.85+25/2000</f>
        <v>0.21250000000000002</v>
      </c>
      <c r="I10" s="23">
        <v>0.01</v>
      </c>
      <c r="J10" s="22">
        <v>25</v>
      </c>
      <c r="K10" s="24">
        <f>IF(J10="","",J10*H10*(1+I10))</f>
        <v>5.3656250000000005</v>
      </c>
      <c r="L10" s="100"/>
      <c r="M10" s="141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10"/>
      <c r="B11" s="100"/>
      <c r="C11" s="141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100"/>
      <c r="M11" s="141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10"/>
      <c r="B12" s="100"/>
      <c r="C12" s="141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100"/>
      <c r="M12" s="141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10"/>
      <c r="B13" s="100"/>
      <c r="C13" s="141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00"/>
      <c r="M13" s="141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10"/>
      <c r="B14" s="100"/>
      <c r="C14" s="141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100"/>
      <c r="M14" s="141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10"/>
      <c r="B15" s="100"/>
      <c r="C15" s="141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100"/>
      <c r="M15" s="141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10"/>
      <c r="B16" s="100"/>
      <c r="C16" s="141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100"/>
      <c r="M16" s="141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10"/>
      <c r="B17" s="100"/>
      <c r="C17" s="141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100"/>
      <c r="M17" s="141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10"/>
      <c r="B18" s="100"/>
      <c r="C18" s="141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100"/>
      <c r="M18" s="141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10"/>
      <c r="B19" s="100"/>
      <c r="C19" s="141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100"/>
      <c r="M19" s="141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10"/>
      <c r="B20" s="100"/>
      <c r="C20" s="141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100"/>
      <c r="M20" s="141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10"/>
      <c r="B21" s="100"/>
      <c r="C21" s="141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100"/>
      <c r="M21" s="141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10"/>
      <c r="B22" s="100"/>
      <c r="C22" s="141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100"/>
      <c r="M22" s="141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10"/>
      <c r="B23" s="100"/>
      <c r="C23" s="141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100"/>
      <c r="M23" s="141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10"/>
      <c r="B24" s="100"/>
      <c r="C24" s="141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100"/>
      <c r="M24" s="141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10"/>
      <c r="B25" s="100"/>
      <c r="C25" s="141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100"/>
      <c r="M25" s="141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10"/>
      <c r="B26" s="100"/>
      <c r="C26" s="141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100"/>
      <c r="M26" s="141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10"/>
      <c r="B27" s="101"/>
      <c r="C27" s="142"/>
      <c r="D27" s="12"/>
      <c r="E27" s="41"/>
      <c r="F27" s="41"/>
      <c r="G27" s="41"/>
      <c r="H27" s="111" t="s">
        <v>50</v>
      </c>
      <c r="I27" s="112"/>
      <c r="J27" s="42"/>
      <c r="K27" s="43">
        <f>SUM(K10:K26)</f>
        <v>5.3656250000000005</v>
      </c>
      <c r="L27" s="101"/>
      <c r="M27" s="142"/>
      <c r="N27" s="12"/>
      <c r="O27" s="44"/>
      <c r="P27" s="13"/>
      <c r="Q27" s="13"/>
      <c r="R27" s="13"/>
      <c r="S27" s="111" t="s">
        <v>51</v>
      </c>
      <c r="T27" s="112"/>
      <c r="U27" s="43">
        <f>SUM(U10:U26)</f>
        <v>0</v>
      </c>
    </row>
    <row r="28" spans="1:21" ht="25" customHeight="1">
      <c r="A28" s="110"/>
      <c r="B28" s="99" t="s">
        <v>52</v>
      </c>
      <c r="C28" s="140" t="s">
        <v>53</v>
      </c>
      <c r="D28" s="151" t="s">
        <v>54</v>
      </c>
      <c r="E28" s="138"/>
      <c r="F28" s="138"/>
      <c r="G28" s="138"/>
      <c r="H28" s="138"/>
      <c r="I28" s="138"/>
      <c r="J28" s="138"/>
      <c r="K28" s="139"/>
      <c r="L28" s="120" t="s">
        <v>55</v>
      </c>
      <c r="M28" s="140" t="s">
        <v>56</v>
      </c>
      <c r="N28" s="151" t="s">
        <v>57</v>
      </c>
      <c r="O28" s="138"/>
      <c r="P28" s="138"/>
      <c r="Q28" s="138"/>
      <c r="R28" s="138"/>
      <c r="S28" s="138"/>
      <c r="T28" s="138"/>
      <c r="U28" s="139"/>
    </row>
    <row r="29" spans="1:21" ht="25" customHeight="1">
      <c r="A29" s="110"/>
      <c r="B29" s="100"/>
      <c r="C29" s="141"/>
      <c r="D29" s="45" t="s">
        <v>39</v>
      </c>
      <c r="E29" s="46" t="s">
        <v>58</v>
      </c>
      <c r="F29" s="47" t="s">
        <v>59</v>
      </c>
      <c r="G29" s="46" t="s">
        <v>60</v>
      </c>
      <c r="H29" s="47" t="s">
        <v>61</v>
      </c>
      <c r="I29" s="47" t="s">
        <v>62</v>
      </c>
      <c r="J29" s="47" t="s">
        <v>63</v>
      </c>
      <c r="K29" s="48" t="s">
        <v>64</v>
      </c>
      <c r="L29" s="100"/>
      <c r="M29" s="141"/>
      <c r="N29" s="49" t="s">
        <v>65</v>
      </c>
      <c r="O29" s="46" t="s">
        <v>66</v>
      </c>
      <c r="P29" s="47" t="s">
        <v>67</v>
      </c>
      <c r="Q29" s="46" t="s">
        <v>68</v>
      </c>
      <c r="R29" s="47" t="s">
        <v>69</v>
      </c>
      <c r="S29" s="47" t="s">
        <v>70</v>
      </c>
      <c r="T29" s="47" t="s">
        <v>63</v>
      </c>
      <c r="U29" s="48" t="s">
        <v>71</v>
      </c>
    </row>
    <row r="30" spans="1:21" ht="25" customHeight="1">
      <c r="A30" s="110"/>
      <c r="B30" s="100"/>
      <c r="C30" s="141"/>
      <c r="D30" s="19">
        <v>1</v>
      </c>
      <c r="E30" s="50"/>
      <c r="F30" s="51"/>
      <c r="G30" s="51"/>
      <c r="H30" s="51"/>
      <c r="I30" s="51"/>
      <c r="J30" s="52"/>
      <c r="K30" s="53"/>
      <c r="L30" s="100"/>
      <c r="M30" s="141"/>
      <c r="N30" s="19">
        <v>1</v>
      </c>
      <c r="O30" s="54" t="s">
        <v>72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2">IF(O30="","",IF(T30="",P30/S30,P30/T30))</f>
        <v>0</v>
      </c>
    </row>
    <row r="31" spans="1:21" ht="25" customHeight="1">
      <c r="A31" s="110"/>
      <c r="B31" s="100"/>
      <c r="C31" s="141"/>
      <c r="D31" s="5">
        <v>2</v>
      </c>
      <c r="E31" s="6"/>
      <c r="F31" s="6"/>
      <c r="G31" s="6"/>
      <c r="H31" s="6"/>
      <c r="I31" s="6"/>
      <c r="J31" s="57"/>
      <c r="K31" s="58" t="str">
        <f t="shared" ref="K31:K39" si="3">IF(E31="","",IF(J31="",F31/I31,F31/J31))</f>
        <v/>
      </c>
      <c r="L31" s="100"/>
      <c r="M31" s="141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2"/>
        <v/>
      </c>
    </row>
    <row r="32" spans="1:21" ht="25" customHeight="1">
      <c r="A32" s="110"/>
      <c r="B32" s="100"/>
      <c r="C32" s="141"/>
      <c r="D32" s="5">
        <v>3</v>
      </c>
      <c r="E32" s="6"/>
      <c r="F32" s="6"/>
      <c r="G32" s="6"/>
      <c r="H32" s="6"/>
      <c r="I32" s="6"/>
      <c r="J32" s="57"/>
      <c r="K32" s="58" t="str">
        <f t="shared" si="3"/>
        <v/>
      </c>
      <c r="L32" s="100"/>
      <c r="M32" s="141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2"/>
        <v/>
      </c>
    </row>
    <row r="33" spans="1:21" ht="25" customHeight="1">
      <c r="A33" s="110"/>
      <c r="B33" s="100"/>
      <c r="C33" s="141"/>
      <c r="D33" s="5">
        <v>5</v>
      </c>
      <c r="E33" s="6"/>
      <c r="F33" s="6"/>
      <c r="G33" s="6"/>
      <c r="H33" s="6"/>
      <c r="I33" s="6"/>
      <c r="J33" s="57"/>
      <c r="K33" s="58" t="str">
        <f t="shared" si="3"/>
        <v/>
      </c>
      <c r="L33" s="100"/>
      <c r="M33" s="141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2"/>
        <v/>
      </c>
    </row>
    <row r="34" spans="1:21" ht="25" customHeight="1">
      <c r="A34" s="110"/>
      <c r="B34" s="100"/>
      <c r="C34" s="141"/>
      <c r="D34" s="5">
        <v>6</v>
      </c>
      <c r="E34" s="6"/>
      <c r="F34" s="6"/>
      <c r="G34" s="6"/>
      <c r="H34" s="6"/>
      <c r="I34" s="6"/>
      <c r="J34" s="57"/>
      <c r="K34" s="58" t="str">
        <f t="shared" si="3"/>
        <v/>
      </c>
      <c r="L34" s="100"/>
      <c r="M34" s="141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2"/>
        <v/>
      </c>
    </row>
    <row r="35" spans="1:21" ht="25" customHeight="1">
      <c r="A35" s="110"/>
      <c r="B35" s="100"/>
      <c r="C35" s="141"/>
      <c r="D35" s="5">
        <v>7</v>
      </c>
      <c r="E35" s="6"/>
      <c r="F35" s="6"/>
      <c r="G35" s="6"/>
      <c r="H35" s="6"/>
      <c r="I35" s="6"/>
      <c r="J35" s="57"/>
      <c r="K35" s="58" t="str">
        <f t="shared" si="3"/>
        <v/>
      </c>
      <c r="L35" s="100"/>
      <c r="M35" s="141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2"/>
        <v/>
      </c>
    </row>
    <row r="36" spans="1:21" ht="25" customHeight="1">
      <c r="A36" s="110"/>
      <c r="B36" s="100"/>
      <c r="C36" s="141"/>
      <c r="D36" s="5">
        <v>8</v>
      </c>
      <c r="E36" s="6"/>
      <c r="F36" s="6"/>
      <c r="G36" s="6"/>
      <c r="H36" s="6"/>
      <c r="I36" s="6"/>
      <c r="J36" s="57"/>
      <c r="K36" s="58" t="str">
        <f t="shared" si="3"/>
        <v/>
      </c>
      <c r="L36" s="100"/>
      <c r="M36" s="141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2"/>
        <v/>
      </c>
    </row>
    <row r="37" spans="1:21" ht="25" customHeight="1">
      <c r="A37" s="110"/>
      <c r="B37" s="100"/>
      <c r="C37" s="141"/>
      <c r="D37" s="5">
        <v>9</v>
      </c>
      <c r="E37" s="6"/>
      <c r="F37" s="6"/>
      <c r="G37" s="6"/>
      <c r="H37" s="6"/>
      <c r="I37" s="6"/>
      <c r="J37" s="57"/>
      <c r="K37" s="58" t="str">
        <f t="shared" si="3"/>
        <v/>
      </c>
      <c r="L37" s="100"/>
      <c r="M37" s="141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2"/>
        <v/>
      </c>
    </row>
    <row r="38" spans="1:21" ht="25" customHeight="1">
      <c r="A38" s="110"/>
      <c r="B38" s="100"/>
      <c r="C38" s="141"/>
      <c r="D38" s="5">
        <v>10</v>
      </c>
      <c r="E38" s="6"/>
      <c r="F38" s="6"/>
      <c r="G38" s="6"/>
      <c r="H38" s="6"/>
      <c r="I38" s="6"/>
      <c r="J38" s="57"/>
      <c r="K38" s="58" t="str">
        <f t="shared" si="3"/>
        <v/>
      </c>
      <c r="L38" s="100"/>
      <c r="M38" s="141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2"/>
        <v/>
      </c>
    </row>
    <row r="39" spans="1:21" ht="25" customHeight="1">
      <c r="A39" s="110"/>
      <c r="B39" s="100"/>
      <c r="C39" s="141"/>
      <c r="D39" s="5">
        <v>11</v>
      </c>
      <c r="E39" s="6"/>
      <c r="F39" s="6"/>
      <c r="G39" s="6"/>
      <c r="H39" s="6"/>
      <c r="I39" s="6"/>
      <c r="J39" s="57"/>
      <c r="K39" s="58" t="str">
        <f t="shared" si="3"/>
        <v/>
      </c>
      <c r="L39" s="100"/>
      <c r="M39" s="141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2"/>
        <v/>
      </c>
    </row>
    <row r="40" spans="1:21" ht="25" customHeight="1">
      <c r="A40" s="110"/>
      <c r="B40" s="101"/>
      <c r="C40" s="142"/>
      <c r="D40" s="12"/>
      <c r="E40" s="13" t="s">
        <v>73</v>
      </c>
      <c r="F40" s="41">
        <f>SUM(F30:F39)</f>
        <v>0</v>
      </c>
      <c r="G40" s="41"/>
      <c r="H40" s="111" t="s">
        <v>74</v>
      </c>
      <c r="I40" s="112"/>
      <c r="J40" s="61"/>
      <c r="K40" s="62">
        <f>SUM(K30:K39)</f>
        <v>0</v>
      </c>
      <c r="L40" s="101"/>
      <c r="M40" s="142"/>
      <c r="N40" s="63"/>
      <c r="O40" s="13" t="s">
        <v>75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10"/>
      <c r="B41" s="106" t="s">
        <v>76</v>
      </c>
      <c r="C41" s="140" t="s">
        <v>77</v>
      </c>
      <c r="D41" s="65" t="s">
        <v>78</v>
      </c>
      <c r="E41" s="66" t="s">
        <v>79</v>
      </c>
      <c r="F41" s="67" t="s">
        <v>80</v>
      </c>
      <c r="G41" s="67" t="s">
        <v>81</v>
      </c>
      <c r="H41" s="67" t="s">
        <v>82</v>
      </c>
      <c r="I41" s="66" t="s">
        <v>83</v>
      </c>
      <c r="J41" s="67" t="s">
        <v>84</v>
      </c>
      <c r="K41" s="66" t="s">
        <v>85</v>
      </c>
      <c r="L41" s="173" t="s">
        <v>86</v>
      </c>
      <c r="M41" s="172"/>
      <c r="N41" s="171" t="s">
        <v>87</v>
      </c>
      <c r="O41" s="172"/>
      <c r="P41" s="67" t="s">
        <v>88</v>
      </c>
      <c r="Q41" s="68" t="s">
        <v>89</v>
      </c>
      <c r="R41" s="66" t="s">
        <v>90</v>
      </c>
      <c r="S41" s="67" t="s">
        <v>91</v>
      </c>
      <c r="T41" s="67" t="s">
        <v>92</v>
      </c>
      <c r="U41" s="69" t="s">
        <v>93</v>
      </c>
    </row>
    <row r="42" spans="1:21" ht="25" customHeight="1">
      <c r="A42" s="110"/>
      <c r="B42" s="100"/>
      <c r="C42" s="141"/>
      <c r="D42" s="19">
        <v>1</v>
      </c>
      <c r="E42" s="51" t="s">
        <v>94</v>
      </c>
      <c r="F42" s="51">
        <v>60</v>
      </c>
      <c r="G42" s="70">
        <f t="shared" ref="G42:G57" si="5">IF(E42="","",12/H42*L42)</f>
        <v>540</v>
      </c>
      <c r="H42" s="71">
        <f t="shared" ref="H42:H57" si="6">IF(E42="","",F42/3600)</f>
        <v>1.6666666666666666E-2</v>
      </c>
      <c r="I42" s="51">
        <v>6.05</v>
      </c>
      <c r="J42" s="72">
        <v>24</v>
      </c>
      <c r="K42" s="73">
        <f t="shared" ref="K42:K57" si="7">IF(E42="","",H42*I42/L42)</f>
        <v>0.13444444444444445</v>
      </c>
      <c r="L42" s="157">
        <v>0.75</v>
      </c>
      <c r="M42" s="158"/>
      <c r="N42" s="124">
        <f t="shared" ref="N42:N57" si="8">IF(F42="","",IF(E42="","",J42*K42))</f>
        <v>3.2266666666666666</v>
      </c>
      <c r="O42" s="105"/>
      <c r="P42" s="51">
        <v>70</v>
      </c>
      <c r="Q42" s="56" t="s">
        <v>138</v>
      </c>
      <c r="R42" s="73">
        <f t="shared" ref="R42:R57" si="9">IF(E42="","",P42*0.9/10/$U$8/22*H42*10000/L42)</f>
        <v>0.21212121212121207</v>
      </c>
      <c r="S42" s="74">
        <v>90</v>
      </c>
      <c r="T42" s="23">
        <v>0.5</v>
      </c>
      <c r="U42" s="28">
        <f t="shared" ref="U42:U57" si="10">IF(S42="","",S42*T42*$U$7*H42/((L42+(1-L42)/1.4)))</f>
        <v>0.80769230769230771</v>
      </c>
    </row>
    <row r="43" spans="1:21" ht="25" customHeight="1">
      <c r="A43" s="110"/>
      <c r="B43" s="100"/>
      <c r="C43" s="141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16"/>
      <c r="M43" s="108"/>
      <c r="N43" s="124" t="str">
        <f t="shared" si="8"/>
        <v/>
      </c>
      <c r="O43" s="105"/>
      <c r="P43" s="6"/>
      <c r="Q43" s="60" t="str">
        <f t="shared" ref="Q43:Q57" si="11">IF(E43="","","10年2班折90%")</f>
        <v/>
      </c>
      <c r="R43" s="73" t="str">
        <f t="shared" si="9"/>
        <v/>
      </c>
      <c r="S43" s="76"/>
      <c r="T43" s="31"/>
      <c r="U43" s="28" t="str">
        <f t="shared" si="10"/>
        <v/>
      </c>
    </row>
    <row r="44" spans="1:21" ht="25" customHeight="1">
      <c r="A44" s="110"/>
      <c r="B44" s="100"/>
      <c r="C44" s="141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16"/>
      <c r="M44" s="108"/>
      <c r="N44" s="124" t="str">
        <f t="shared" si="8"/>
        <v/>
      </c>
      <c r="O44" s="105"/>
      <c r="P44" s="6"/>
      <c r="Q44" s="60" t="str">
        <f t="shared" si="11"/>
        <v/>
      </c>
      <c r="R44" s="73" t="str">
        <f t="shared" si="9"/>
        <v/>
      </c>
      <c r="S44" s="76"/>
      <c r="T44" s="31"/>
      <c r="U44" s="28" t="str">
        <f t="shared" si="10"/>
        <v/>
      </c>
    </row>
    <row r="45" spans="1:21" ht="25" customHeight="1">
      <c r="A45" s="110"/>
      <c r="B45" s="100"/>
      <c r="C45" s="141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16"/>
      <c r="M45" s="108"/>
      <c r="N45" s="124" t="str">
        <f t="shared" si="8"/>
        <v/>
      </c>
      <c r="O45" s="105"/>
      <c r="P45" s="6"/>
      <c r="Q45" s="60" t="str">
        <f t="shared" si="11"/>
        <v/>
      </c>
      <c r="R45" s="73" t="str">
        <f t="shared" si="9"/>
        <v/>
      </c>
      <c r="S45" s="76"/>
      <c r="T45" s="31"/>
      <c r="U45" s="28" t="str">
        <f t="shared" si="10"/>
        <v/>
      </c>
    </row>
    <row r="46" spans="1:21" ht="25" customHeight="1">
      <c r="A46" s="110"/>
      <c r="B46" s="100"/>
      <c r="C46" s="141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16"/>
      <c r="M46" s="108"/>
      <c r="N46" s="124" t="str">
        <f t="shared" si="8"/>
        <v/>
      </c>
      <c r="O46" s="105"/>
      <c r="P46" s="6"/>
      <c r="Q46" s="60" t="str">
        <f t="shared" si="11"/>
        <v/>
      </c>
      <c r="R46" s="73" t="str">
        <f t="shared" si="9"/>
        <v/>
      </c>
      <c r="S46" s="76"/>
      <c r="T46" s="31"/>
      <c r="U46" s="28" t="str">
        <f t="shared" si="10"/>
        <v/>
      </c>
    </row>
    <row r="47" spans="1:21" ht="25" customHeight="1">
      <c r="A47" s="110"/>
      <c r="B47" s="100"/>
      <c r="C47" s="141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16"/>
      <c r="M47" s="108"/>
      <c r="N47" s="124" t="str">
        <f t="shared" si="8"/>
        <v/>
      </c>
      <c r="O47" s="105"/>
      <c r="P47" s="6"/>
      <c r="Q47" s="60" t="str">
        <f t="shared" si="11"/>
        <v/>
      </c>
      <c r="R47" s="73" t="str">
        <f t="shared" si="9"/>
        <v/>
      </c>
      <c r="S47" s="76"/>
      <c r="T47" s="31"/>
      <c r="U47" s="28" t="str">
        <f t="shared" si="10"/>
        <v/>
      </c>
    </row>
    <row r="48" spans="1:21" ht="25" customHeight="1">
      <c r="A48" s="110"/>
      <c r="B48" s="100"/>
      <c r="C48" s="141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16"/>
      <c r="M48" s="108"/>
      <c r="N48" s="124" t="str">
        <f t="shared" si="8"/>
        <v/>
      </c>
      <c r="O48" s="105"/>
      <c r="P48" s="6"/>
      <c r="Q48" s="60" t="str">
        <f t="shared" si="11"/>
        <v/>
      </c>
      <c r="R48" s="73" t="str">
        <f t="shared" si="9"/>
        <v/>
      </c>
      <c r="S48" s="76"/>
      <c r="T48" s="31"/>
      <c r="U48" s="28" t="str">
        <f t="shared" si="10"/>
        <v/>
      </c>
    </row>
    <row r="49" spans="1:21" ht="25" customHeight="1">
      <c r="A49" s="110"/>
      <c r="B49" s="100"/>
      <c r="C49" s="141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16"/>
      <c r="M49" s="108"/>
      <c r="N49" s="124" t="str">
        <f t="shared" si="8"/>
        <v/>
      </c>
      <c r="O49" s="105"/>
      <c r="P49" s="6"/>
      <c r="Q49" s="60" t="str">
        <f t="shared" si="11"/>
        <v/>
      </c>
      <c r="R49" s="73" t="str">
        <f t="shared" si="9"/>
        <v/>
      </c>
      <c r="S49" s="76"/>
      <c r="T49" s="31"/>
      <c r="U49" s="28" t="str">
        <f t="shared" si="10"/>
        <v/>
      </c>
    </row>
    <row r="50" spans="1:21" ht="25" customHeight="1">
      <c r="A50" s="110"/>
      <c r="B50" s="100"/>
      <c r="C50" s="141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16"/>
      <c r="M50" s="108"/>
      <c r="N50" s="124" t="str">
        <f t="shared" si="8"/>
        <v/>
      </c>
      <c r="O50" s="105"/>
      <c r="P50" s="6"/>
      <c r="Q50" s="60" t="str">
        <f t="shared" si="11"/>
        <v/>
      </c>
      <c r="R50" s="73" t="str">
        <f t="shared" si="9"/>
        <v/>
      </c>
      <c r="S50" s="76"/>
      <c r="T50" s="31"/>
      <c r="U50" s="28" t="str">
        <f t="shared" si="10"/>
        <v/>
      </c>
    </row>
    <row r="51" spans="1:21" ht="25" customHeight="1">
      <c r="A51" s="110"/>
      <c r="B51" s="100"/>
      <c r="C51" s="141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16"/>
      <c r="M51" s="108"/>
      <c r="N51" s="124" t="str">
        <f t="shared" si="8"/>
        <v/>
      </c>
      <c r="O51" s="105"/>
      <c r="P51" s="6"/>
      <c r="Q51" s="60" t="str">
        <f t="shared" si="11"/>
        <v/>
      </c>
      <c r="R51" s="73" t="str">
        <f t="shared" si="9"/>
        <v/>
      </c>
      <c r="S51" s="76"/>
      <c r="T51" s="31"/>
      <c r="U51" s="28" t="str">
        <f t="shared" si="10"/>
        <v/>
      </c>
    </row>
    <row r="52" spans="1:21" ht="25" customHeight="1">
      <c r="A52" s="110"/>
      <c r="B52" s="100"/>
      <c r="C52" s="141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16"/>
      <c r="M52" s="108"/>
      <c r="N52" s="124" t="str">
        <f t="shared" si="8"/>
        <v/>
      </c>
      <c r="O52" s="105"/>
      <c r="P52" s="6"/>
      <c r="Q52" s="60" t="str">
        <f t="shared" si="11"/>
        <v/>
      </c>
      <c r="R52" s="73" t="str">
        <f t="shared" si="9"/>
        <v/>
      </c>
      <c r="S52" s="76"/>
      <c r="T52" s="31"/>
      <c r="U52" s="28" t="str">
        <f t="shared" si="10"/>
        <v/>
      </c>
    </row>
    <row r="53" spans="1:21" ht="25" customHeight="1">
      <c r="A53" s="110"/>
      <c r="B53" s="100"/>
      <c r="C53" s="141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16"/>
      <c r="M53" s="108"/>
      <c r="N53" s="124" t="str">
        <f t="shared" si="8"/>
        <v/>
      </c>
      <c r="O53" s="105"/>
      <c r="P53" s="6"/>
      <c r="Q53" s="60" t="str">
        <f t="shared" si="11"/>
        <v/>
      </c>
      <c r="R53" s="73" t="str">
        <f t="shared" si="9"/>
        <v/>
      </c>
      <c r="S53" s="76"/>
      <c r="T53" s="31"/>
      <c r="U53" s="28" t="str">
        <f t="shared" si="10"/>
        <v/>
      </c>
    </row>
    <row r="54" spans="1:21" ht="25" customHeight="1">
      <c r="A54" s="110"/>
      <c r="B54" s="100"/>
      <c r="C54" s="141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16"/>
      <c r="M54" s="108"/>
      <c r="N54" s="124" t="str">
        <f t="shared" si="8"/>
        <v/>
      </c>
      <c r="O54" s="105"/>
      <c r="P54" s="6"/>
      <c r="Q54" s="60" t="str">
        <f t="shared" si="11"/>
        <v/>
      </c>
      <c r="R54" s="73" t="str">
        <f t="shared" si="9"/>
        <v/>
      </c>
      <c r="S54" s="76"/>
      <c r="T54" s="31"/>
      <c r="U54" s="28" t="str">
        <f t="shared" si="10"/>
        <v/>
      </c>
    </row>
    <row r="55" spans="1:21" ht="25" customHeight="1">
      <c r="A55" s="110"/>
      <c r="B55" s="100"/>
      <c r="C55" s="141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16"/>
      <c r="M55" s="108"/>
      <c r="N55" s="124" t="str">
        <f t="shared" si="8"/>
        <v/>
      </c>
      <c r="O55" s="105"/>
      <c r="P55" s="6"/>
      <c r="Q55" s="60" t="str">
        <f t="shared" si="11"/>
        <v/>
      </c>
      <c r="R55" s="73" t="str">
        <f t="shared" si="9"/>
        <v/>
      </c>
      <c r="S55" s="76"/>
      <c r="T55" s="31"/>
      <c r="U55" s="28" t="str">
        <f t="shared" si="10"/>
        <v/>
      </c>
    </row>
    <row r="56" spans="1:21" ht="25" customHeight="1">
      <c r="A56" s="110"/>
      <c r="B56" s="100"/>
      <c r="C56" s="141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16"/>
      <c r="M56" s="108"/>
      <c r="N56" s="124" t="str">
        <f t="shared" si="8"/>
        <v/>
      </c>
      <c r="O56" s="105"/>
      <c r="P56" s="6"/>
      <c r="Q56" s="60" t="str">
        <f t="shared" si="11"/>
        <v/>
      </c>
      <c r="R56" s="73" t="str">
        <f t="shared" si="9"/>
        <v/>
      </c>
      <c r="S56" s="76"/>
      <c r="T56" s="31"/>
      <c r="U56" s="28" t="str">
        <f t="shared" si="10"/>
        <v/>
      </c>
    </row>
    <row r="57" spans="1:21" ht="25" customHeight="1">
      <c r="A57" s="110"/>
      <c r="B57" s="100"/>
      <c r="C57" s="141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16"/>
      <c r="M57" s="108"/>
      <c r="N57" s="124" t="str">
        <f t="shared" si="8"/>
        <v/>
      </c>
      <c r="O57" s="105"/>
      <c r="P57" s="6"/>
      <c r="Q57" s="60" t="str">
        <f t="shared" si="11"/>
        <v/>
      </c>
      <c r="R57" s="73" t="str">
        <f t="shared" si="9"/>
        <v/>
      </c>
      <c r="S57" s="76"/>
      <c r="T57" s="31"/>
      <c r="U57" s="28" t="str">
        <f t="shared" si="10"/>
        <v/>
      </c>
    </row>
    <row r="58" spans="1:21" ht="25" customHeight="1">
      <c r="A58" s="110"/>
      <c r="B58" s="101"/>
      <c r="C58" s="142"/>
      <c r="D58" s="77">
        <v>17</v>
      </c>
      <c r="E58" s="78"/>
      <c r="F58" s="78"/>
      <c r="G58" s="78"/>
      <c r="H58" s="78"/>
      <c r="I58" s="78"/>
      <c r="J58" s="78" t="s">
        <v>95</v>
      </c>
      <c r="K58" s="13">
        <f>SUM(K42:K57)</f>
        <v>0.13444444444444445</v>
      </c>
      <c r="L58" s="111" t="s">
        <v>96</v>
      </c>
      <c r="M58" s="112"/>
      <c r="N58" s="135">
        <f>SUM(N42:O57)</f>
        <v>3.2266666666666666</v>
      </c>
      <c r="O58" s="112"/>
      <c r="P58" s="79"/>
      <c r="Q58" s="80" t="s">
        <v>97</v>
      </c>
      <c r="R58" s="81">
        <f>SUM(R42:R57)</f>
        <v>0.21212121212121207</v>
      </c>
      <c r="S58" s="82"/>
      <c r="T58" s="83" t="s">
        <v>98</v>
      </c>
      <c r="U58" s="84">
        <f>SUM(U42:U57)</f>
        <v>0.80769230769230771</v>
      </c>
    </row>
    <row r="59" spans="1:21" ht="25" customHeight="1">
      <c r="A59" s="110"/>
      <c r="B59" s="19" t="s">
        <v>99</v>
      </c>
      <c r="C59" s="104" t="s">
        <v>100</v>
      </c>
      <c r="D59" s="105"/>
      <c r="E59" s="85">
        <f>IF(U6="",N58,U6*K58)</f>
        <v>3.2266666666666666</v>
      </c>
      <c r="F59" s="163" t="s">
        <v>101</v>
      </c>
      <c r="G59" s="164"/>
      <c r="H59" s="164"/>
      <c r="I59" s="164"/>
      <c r="J59" s="164"/>
      <c r="K59" s="164"/>
      <c r="L59" s="164"/>
      <c r="M59" s="164"/>
      <c r="N59" s="164"/>
      <c r="O59" s="164"/>
      <c r="P59" s="95"/>
      <c r="Q59" s="159" t="s">
        <v>102</v>
      </c>
      <c r="R59" s="160"/>
      <c r="S59" s="160"/>
      <c r="T59" s="160"/>
      <c r="U59" s="161"/>
    </row>
    <row r="60" spans="1:21" ht="25" customHeight="1">
      <c r="A60" s="110"/>
      <c r="B60" s="5" t="s">
        <v>103</v>
      </c>
      <c r="C60" s="117" t="s">
        <v>104</v>
      </c>
      <c r="D60" s="115"/>
      <c r="E60" s="86">
        <f>(K27+K40+U40+R58+U58+E59+U27)*O8</f>
        <v>0.19224210372960371</v>
      </c>
      <c r="F60" s="113" t="s">
        <v>105</v>
      </c>
      <c r="G60" s="114"/>
      <c r="H60" s="114"/>
      <c r="I60" s="114"/>
      <c r="J60" s="114"/>
      <c r="K60" s="114"/>
      <c r="L60" s="114"/>
      <c r="M60" s="114"/>
      <c r="N60" s="114"/>
      <c r="O60" s="114"/>
      <c r="P60" s="115"/>
      <c r="Q60" s="145" t="s">
        <v>106</v>
      </c>
      <c r="R60" s="146"/>
      <c r="S60" s="148"/>
      <c r="T60" s="149"/>
      <c r="U60" s="150"/>
    </row>
    <row r="61" spans="1:21" ht="25" customHeight="1">
      <c r="A61" s="110"/>
      <c r="B61" s="5" t="s">
        <v>107</v>
      </c>
      <c r="C61" s="117" t="s">
        <v>108</v>
      </c>
      <c r="D61" s="115"/>
      <c r="E61" s="86">
        <f>(K27+U27)*0.03+(K40+U40+R58+U58+E59+E60)*0.15</f>
        <v>0.82677709353146844</v>
      </c>
      <c r="F61" s="113" t="s">
        <v>140</v>
      </c>
      <c r="G61" s="114"/>
      <c r="H61" s="114"/>
      <c r="I61" s="114"/>
      <c r="J61" s="114"/>
      <c r="K61" s="114"/>
      <c r="L61" s="114"/>
      <c r="M61" s="114"/>
      <c r="N61" s="114"/>
      <c r="O61" s="114"/>
      <c r="P61" s="115"/>
      <c r="Q61" s="118" t="s">
        <v>109</v>
      </c>
      <c r="R61" s="114"/>
      <c r="S61" s="121"/>
      <c r="T61" s="122"/>
      <c r="U61" s="123"/>
    </row>
    <row r="62" spans="1:21" ht="25" customHeight="1">
      <c r="A62" s="110"/>
      <c r="B62" s="5" t="s">
        <v>110</v>
      </c>
      <c r="C62" s="117" t="s">
        <v>111</v>
      </c>
      <c r="D62" s="115"/>
      <c r="E62" s="87">
        <v>1.17</v>
      </c>
      <c r="F62" s="113" t="s">
        <v>112</v>
      </c>
      <c r="G62" s="114"/>
      <c r="H62" s="114"/>
      <c r="I62" s="114"/>
      <c r="J62" s="114"/>
      <c r="K62" s="114"/>
      <c r="L62" s="114"/>
      <c r="M62" s="114"/>
      <c r="N62" s="114"/>
      <c r="O62" s="114"/>
      <c r="P62" s="115"/>
      <c r="Q62" s="118" t="s">
        <v>113</v>
      </c>
      <c r="R62" s="114"/>
      <c r="S62" s="121"/>
      <c r="T62" s="122"/>
      <c r="U62" s="123"/>
    </row>
    <row r="63" spans="1:21" ht="25" customHeight="1">
      <c r="A63" s="110"/>
      <c r="B63" s="5" t="s">
        <v>114</v>
      </c>
      <c r="C63" s="117" t="s">
        <v>115</v>
      </c>
      <c r="D63" s="115"/>
      <c r="E63" s="88">
        <v>1.75</v>
      </c>
      <c r="F63" s="113" t="s">
        <v>116</v>
      </c>
      <c r="G63" s="114"/>
      <c r="H63" s="114"/>
      <c r="I63" s="114"/>
      <c r="J63" s="114"/>
      <c r="K63" s="114"/>
      <c r="L63" s="114"/>
      <c r="M63" s="114"/>
      <c r="N63" s="114"/>
      <c r="O63" s="114"/>
      <c r="P63" s="115"/>
      <c r="Q63" s="165"/>
      <c r="R63" s="127"/>
      <c r="S63" s="166"/>
      <c r="T63" s="167"/>
      <c r="U63" s="168"/>
    </row>
    <row r="64" spans="1:21" ht="25" customHeight="1">
      <c r="A64" s="110"/>
      <c r="B64" s="5" t="s">
        <v>117</v>
      </c>
      <c r="C64" s="117" t="s">
        <v>118</v>
      </c>
      <c r="D64" s="115"/>
      <c r="E64" s="89">
        <f>K27+U27+K40+R58+U58+E59+E60+E61+E62+E63+U40-S60</f>
        <v>13.551124383741257</v>
      </c>
      <c r="F64" s="113" t="s">
        <v>119</v>
      </c>
      <c r="G64" s="114"/>
      <c r="H64" s="114"/>
      <c r="I64" s="114"/>
      <c r="J64" s="114"/>
      <c r="K64" s="114"/>
      <c r="L64" s="114"/>
      <c r="M64" s="114"/>
      <c r="N64" s="114"/>
      <c r="O64" s="114"/>
      <c r="P64" s="115"/>
      <c r="Q64" s="137" t="s">
        <v>120</v>
      </c>
      <c r="R64" s="138"/>
      <c r="S64" s="138"/>
      <c r="T64" s="138"/>
      <c r="U64" s="139"/>
    </row>
    <row r="65" spans="1:21" ht="25" customHeight="1">
      <c r="A65" s="110"/>
      <c r="B65" s="5" t="s">
        <v>121</v>
      </c>
      <c r="C65" s="117" t="s">
        <v>122</v>
      </c>
      <c r="D65" s="115"/>
      <c r="E65" s="90">
        <v>0.15</v>
      </c>
      <c r="F65" s="113" t="s">
        <v>123</v>
      </c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75"/>
      <c r="R65" s="176"/>
      <c r="S65" s="176"/>
      <c r="T65" s="176"/>
      <c r="U65" s="177"/>
    </row>
    <row r="66" spans="1:21" ht="25" customHeight="1">
      <c r="A66" s="110"/>
      <c r="B66" s="5" t="s">
        <v>124</v>
      </c>
      <c r="C66" s="117" t="s">
        <v>125</v>
      </c>
      <c r="D66" s="115"/>
      <c r="E66" s="86">
        <f>E64*E65</f>
        <v>2.0326686575611883</v>
      </c>
      <c r="F66" s="113" t="s">
        <v>126</v>
      </c>
      <c r="G66" s="114"/>
      <c r="H66" s="114"/>
      <c r="I66" s="114"/>
      <c r="J66" s="114"/>
      <c r="K66" s="114"/>
      <c r="L66" s="114"/>
      <c r="M66" s="114"/>
      <c r="N66" s="114"/>
      <c r="O66" s="114"/>
      <c r="P66" s="115"/>
      <c r="Q66" s="176"/>
      <c r="R66" s="176"/>
      <c r="S66" s="176"/>
      <c r="T66" s="176"/>
      <c r="U66" s="177"/>
    </row>
    <row r="67" spans="1:21" ht="25" customHeight="1">
      <c r="A67" s="110"/>
      <c r="B67" s="5" t="s">
        <v>127</v>
      </c>
      <c r="C67" s="117" t="s">
        <v>128</v>
      </c>
      <c r="D67" s="115"/>
      <c r="E67" s="86">
        <f>E64+E66</f>
        <v>15.583793041302446</v>
      </c>
      <c r="F67" s="113" t="s">
        <v>129</v>
      </c>
      <c r="G67" s="114"/>
      <c r="H67" s="114"/>
      <c r="I67" s="114"/>
      <c r="J67" s="114"/>
      <c r="K67" s="114"/>
      <c r="L67" s="114"/>
      <c r="M67" s="114"/>
      <c r="N67" s="114"/>
      <c r="O67" s="114"/>
      <c r="P67" s="115"/>
      <c r="Q67" s="176"/>
      <c r="R67" s="176"/>
      <c r="S67" s="176"/>
      <c r="T67" s="176"/>
      <c r="U67" s="177"/>
    </row>
    <row r="68" spans="1:21" ht="25" customHeight="1">
      <c r="A68" s="110"/>
      <c r="B68" s="5" t="s">
        <v>130</v>
      </c>
      <c r="C68" s="117" t="s">
        <v>131</v>
      </c>
      <c r="D68" s="115"/>
      <c r="E68" s="86">
        <f>E67*0.13</f>
        <v>2.0258930953693182</v>
      </c>
      <c r="F68" s="113" t="s">
        <v>132</v>
      </c>
      <c r="G68" s="114"/>
      <c r="H68" s="114"/>
      <c r="I68" s="114"/>
      <c r="J68" s="114"/>
      <c r="K68" s="114"/>
      <c r="L68" s="114"/>
      <c r="M68" s="114"/>
      <c r="N68" s="114"/>
      <c r="O68" s="114"/>
      <c r="P68" s="115"/>
      <c r="Q68" s="176"/>
      <c r="R68" s="176"/>
      <c r="S68" s="176"/>
      <c r="T68" s="176"/>
      <c r="U68" s="177"/>
    </row>
    <row r="69" spans="1:21" ht="25" customHeight="1">
      <c r="A69" s="110"/>
      <c r="B69" s="77" t="s">
        <v>133</v>
      </c>
      <c r="C69" s="152" t="s">
        <v>134</v>
      </c>
      <c r="D69" s="128"/>
      <c r="E69" s="91">
        <f>E67+E68</f>
        <v>17.609686136671765</v>
      </c>
      <c r="F69" s="126" t="s">
        <v>135</v>
      </c>
      <c r="G69" s="127"/>
      <c r="H69" s="127"/>
      <c r="I69" s="127"/>
      <c r="J69" s="127"/>
      <c r="K69" s="127"/>
      <c r="L69" s="127"/>
      <c r="M69" s="127"/>
      <c r="N69" s="127"/>
      <c r="O69" s="127"/>
      <c r="P69" s="128"/>
      <c r="Q69" s="178"/>
      <c r="R69" s="178"/>
      <c r="S69" s="178"/>
      <c r="T69" s="178"/>
      <c r="U69" s="179"/>
    </row>
    <row r="70" spans="1:21" ht="13.5" customHeight="1">
      <c r="B70"/>
    </row>
  </sheetData>
  <mergeCells count="119">
    <mergeCell ref="L49:M4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C67:D67"/>
    <mergeCell ref="F64:P64"/>
    <mergeCell ref="C68:D68"/>
    <mergeCell ref="Q65:U69"/>
    <mergeCell ref="F67:P67"/>
    <mergeCell ref="N49:O49"/>
    <mergeCell ref="H7:K7"/>
    <mergeCell ref="S61:U61"/>
    <mergeCell ref="C41:C58"/>
    <mergeCell ref="B4:B8"/>
    <mergeCell ref="F59:P59"/>
    <mergeCell ref="Q63:R63"/>
    <mergeCell ref="L45:M45"/>
    <mergeCell ref="N48:O48"/>
    <mergeCell ref="S63:U63"/>
    <mergeCell ref="M8:N8"/>
    <mergeCell ref="C28:C40"/>
    <mergeCell ref="O8:P8"/>
    <mergeCell ref="F60:P60"/>
    <mergeCell ref="C4:D4"/>
    <mergeCell ref="E4:F4"/>
    <mergeCell ref="N55:O55"/>
    <mergeCell ref="L48:M48"/>
    <mergeCell ref="N54:O54"/>
    <mergeCell ref="N41:O41"/>
    <mergeCell ref="M5:N5"/>
    <mergeCell ref="L47:M47"/>
    <mergeCell ref="L41:M41"/>
    <mergeCell ref="N57:O57"/>
    <mergeCell ref="N28:U28"/>
    <mergeCell ref="H27:I27"/>
    <mergeCell ref="L56:M56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</mergeCells>
  <pageMargins left="0.75" right="0.75" top="1" bottom="1" header="0.5" footer="0.5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CHASSIS</vt:lpstr>
      <vt:lpstr>M5螺帽</vt:lpstr>
      <vt:lpstr>AP COVER</vt:lpstr>
      <vt:lpstr>CHASSIS!Print_Area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2026-06-27T06:25:04Z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767655C5C58A486FACD1DBA5DAC88AC2_13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