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3.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jlrglobal.sharepoint.com/sites/cabin-team/Shared Documents/Projects - Working Files/On-Cycle/L463/Lower Cabin Systems/23 RFQs/Access Panels/ABS changeover IN_10322/"/>
    </mc:Choice>
  </mc:AlternateContent>
  <xr:revisionPtr revIDLastSave="246" documentId="13_ncr:1_{ECD85ED2-E5C6-4028-99F0-1EE78271DB73}" xr6:coauthVersionLast="47" xr6:coauthVersionMax="47" xr10:uidLastSave="{D3EB62B1-5700-4B76-8A7D-6625005E5DF1}"/>
  <bookViews>
    <workbookView xWindow="-108" yWindow="-108" windowWidth="23256" windowHeight="13896" tabRatio="891" xr2:uid="{00000000-000D-0000-FFFF-FFFF00000000}"/>
  </bookViews>
  <sheets>
    <sheet name="Front Matter" sheetId="27" r:id="rId1"/>
    <sheet name="DATA_NEW" sheetId="28" state="hidden" r:id="rId2"/>
    <sheet name="Supply Chain Transparency" sheetId="63" r:id="rId3"/>
    <sheet name="Environmental Req." sheetId="47" r:id="rId4"/>
    <sheet name="Project Management" sheetId="30" r:id="rId5"/>
    <sheet name="Service Requirements" sheetId="50" r:id="rId6"/>
    <sheet name="Technical Requirements" sheetId="48" r:id="rId7"/>
    <sheet name="Hardware &amp; CAD" sheetId="33" r:id="rId8"/>
    <sheet name="Appendix A. RASIC" sheetId="58" r:id="rId9"/>
    <sheet name="DATA_RASIC_DESC" sheetId="55" state="hidden" r:id="rId10"/>
    <sheet name="DATA_RASIC" sheetId="19" state="hidden" r:id="rId11"/>
    <sheet name="Appendix C. Standards &amp; Docs." sheetId="37" r:id="rId12"/>
    <sheet name="Appendix D. Parts and Materials" sheetId="11" r:id="rId13"/>
    <sheet name="Appendix Di. Cost Pack Template" sheetId="56" r:id="rId14"/>
    <sheet name="Appendix E. Proj. Collaboration" sheetId="40" r:id="rId15"/>
    <sheet name="Appendix F. Gauge Design" sheetId="64" r:id="rId16"/>
    <sheet name="Appendix G. Measurement Eqpmt." sheetId="65" r:id="rId17"/>
    <sheet name="Appendix H. Measurement Data" sheetId="66" r:id="rId18"/>
    <sheet name="Appendix J. Measurement Points " sheetId="67" r:id="rId19"/>
    <sheet name="Appendix J. Inj. Molded Plastic" sheetId="68" r:id="rId20"/>
    <sheet name="END PAGES" sheetId="43" r:id="rId21"/>
  </sheets>
  <definedNames>
    <definedName name="_xlnm.Print_Area" localSheetId="8">'Appendix A. RASIC'!$A$1:$P$172</definedName>
    <definedName name="_xlnm.Print_Area" localSheetId="11">'Appendix C. Standards &amp; Docs.'!$A$1:$K$153</definedName>
    <definedName name="_xlnm.Print_Area" localSheetId="12">'Appendix D. Parts and Materials'!$A$1:$L$14</definedName>
    <definedName name="_xlnm.Print_Area" localSheetId="14">'Appendix E. Proj. Collaboration'!$A$1:$K$150</definedName>
    <definedName name="_xlnm.Print_Area" localSheetId="15">'Appendix F. Gauge Design'!$A:$L</definedName>
    <definedName name="_xlnm.Print_Area" localSheetId="16">'Appendix G. Measurement Eqpmt.'!$A:$L</definedName>
    <definedName name="_xlnm.Print_Area" localSheetId="17">'Appendix H. Measurement Data'!$A:$L</definedName>
    <definedName name="_xlnm.Print_Area" localSheetId="19">'Appendix J. Inj. Molded Plastic'!$A$1:$M$47</definedName>
    <definedName name="_xlnm.Print_Area" localSheetId="18">'Appendix J. Measurement Points '!$A:$L</definedName>
    <definedName name="_xlnm.Print_Area" localSheetId="20">'END PAGES'!#REF!</definedName>
    <definedName name="_xlnm.Print_Area" localSheetId="3">'Environmental Req.'!$A$1:$K$112</definedName>
    <definedName name="_xlnm.Print_Area" localSheetId="0">'Front Matter'!$A$1:$K$239</definedName>
    <definedName name="_xlnm.Print_Area" localSheetId="7">'Hardware &amp; CAD'!$A$1:$K$93</definedName>
    <definedName name="_xlnm.Print_Area" localSheetId="4">'Project Management'!$A$1:$K$76</definedName>
    <definedName name="_xlnm.Print_Area" localSheetId="5">'Service Requirements'!$A$1:$K$42</definedName>
    <definedName name="_xlnm.Print_Area" localSheetId="2">'Supply Chain Transparency'!$A$1:$K$21</definedName>
    <definedName name="_xlnm.Print_Area" localSheetId="6">'Technical Requirements'!$A$1:$K$89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8" i="27" l="1"/>
  <c r="E31" i="27"/>
  <c r="B31" i="27"/>
  <c r="E27" i="27" l="1"/>
  <c r="B27" i="27"/>
  <c r="G6" i="11"/>
  <c r="L5" i="56" l="1"/>
  <c r="F6" i="11"/>
  <c r="E6" i="11"/>
  <c r="C138" i="27"/>
  <c r="C136" i="27"/>
  <c r="C137" i="27"/>
  <c r="C139" i="27"/>
  <c r="C140" i="27"/>
  <c r="C141" i="27"/>
  <c r="C142" i="27"/>
  <c r="C143" i="27"/>
  <c r="B4" i="58"/>
  <c r="A18" i="11"/>
  <c r="N108" i="58" l="1"/>
  <c r="M108" i="58"/>
  <c r="N109" i="58"/>
  <c r="A110" i="58"/>
  <c r="A109" i="58"/>
  <c r="A108" i="58"/>
  <c r="A107" i="58"/>
  <c r="A159" i="58"/>
  <c r="L160" i="58"/>
  <c r="A160" i="58"/>
  <c r="N159" i="58"/>
  <c r="M159" i="58"/>
  <c r="L158" i="58"/>
  <c r="P157" i="58"/>
  <c r="N157" i="58"/>
  <c r="L157" i="58"/>
  <c r="P156" i="58"/>
  <c r="B156" i="58"/>
  <c r="N155" i="58"/>
  <c r="A155" i="58"/>
  <c r="P154" i="58"/>
  <c r="O154" i="58"/>
  <c r="O153" i="58"/>
  <c r="A153" i="58"/>
  <c r="P152" i="58"/>
  <c r="N152" i="58"/>
  <c r="M152" i="58"/>
  <c r="L151" i="58"/>
  <c r="A151" i="58"/>
  <c r="O150" i="58"/>
  <c r="L150" i="58"/>
  <c r="P149" i="58"/>
  <c r="B149" i="58"/>
  <c r="M148" i="58"/>
  <c r="B148" i="58"/>
  <c r="P147" i="58"/>
  <c r="O147" i="58"/>
  <c r="P146" i="58"/>
  <c r="A146" i="58"/>
  <c r="P145" i="58"/>
  <c r="O145" i="58"/>
  <c r="N145" i="58"/>
  <c r="M144" i="58"/>
  <c r="P141" i="58"/>
  <c r="O141" i="58"/>
  <c r="L141" i="58"/>
  <c r="A141" i="58"/>
  <c r="B140" i="58"/>
  <c r="N139" i="58"/>
  <c r="B139" i="58"/>
  <c r="P138" i="58"/>
  <c r="O138" i="58"/>
  <c r="P137" i="58"/>
  <c r="B137" i="58"/>
  <c r="A137" i="58"/>
  <c r="O136" i="58"/>
  <c r="N136" i="58"/>
  <c r="M135" i="58"/>
  <c r="P134" i="58"/>
  <c r="O134" i="58"/>
  <c r="M134" i="58"/>
  <c r="P133" i="58"/>
  <c r="L133" i="58"/>
  <c r="N132" i="58"/>
  <c r="B132" i="58"/>
  <c r="A132" i="58"/>
  <c r="P129" i="58"/>
  <c r="P128" i="58"/>
  <c r="B128" i="58"/>
  <c r="A128" i="58"/>
  <c r="O127" i="58"/>
  <c r="N127" i="58"/>
  <c r="M126" i="58"/>
  <c r="A126" i="58"/>
  <c r="P125" i="58"/>
  <c r="M125" i="58"/>
  <c r="P124" i="58"/>
  <c r="L124" i="58"/>
  <c r="N123" i="58"/>
  <c r="L123" i="58"/>
  <c r="A123" i="58"/>
  <c r="O122" i="58"/>
  <c r="A122" i="58"/>
  <c r="B121" i="58"/>
  <c r="A121" i="58"/>
  <c r="P120" i="58"/>
  <c r="O120" i="58"/>
  <c r="N119" i="58"/>
  <c r="A119" i="58"/>
  <c r="P118" i="58"/>
  <c r="M118" i="58"/>
  <c r="A118" i="58"/>
  <c r="L117" i="58"/>
  <c r="O116" i="58"/>
  <c r="L116" i="58"/>
  <c r="P115" i="58"/>
  <c r="O115" i="58"/>
  <c r="A115" i="58"/>
  <c r="L114" i="58"/>
  <c r="B114" i="58"/>
  <c r="P111" i="58"/>
  <c r="N111" i="58"/>
  <c r="M110" i="58"/>
  <c r="P109" i="58"/>
  <c r="O106" i="58"/>
  <c r="A106" i="58"/>
  <c r="P105" i="58"/>
  <c r="P104" i="58"/>
  <c r="L104" i="58"/>
  <c r="B104" i="58"/>
  <c r="O103" i="58"/>
  <c r="N103" i="58"/>
  <c r="M102" i="58"/>
  <c r="B102" i="58"/>
  <c r="A102" i="58"/>
  <c r="M101" i="58"/>
  <c r="A101" i="58"/>
  <c r="L100" i="58"/>
  <c r="O99" i="58"/>
  <c r="M99" i="58"/>
  <c r="A99" i="58"/>
  <c r="P98" i="58"/>
  <c r="A98" i="58"/>
  <c r="L95" i="58"/>
  <c r="B95" i="58"/>
  <c r="P94" i="58"/>
  <c r="O94" i="58"/>
  <c r="N93" i="58"/>
  <c r="B93" i="58"/>
  <c r="A93" i="58"/>
  <c r="M92" i="58"/>
  <c r="B92" i="58"/>
  <c r="L91" i="58"/>
  <c r="P90" i="58"/>
  <c r="L90" i="58"/>
  <c r="A90" i="58"/>
  <c r="P89" i="58"/>
  <c r="A89" i="58"/>
  <c r="M88" i="58"/>
  <c r="L88" i="58"/>
  <c r="P87" i="58"/>
  <c r="O87" i="58"/>
  <c r="N86" i="58"/>
  <c r="B86" i="58"/>
  <c r="A86" i="58"/>
  <c r="N85" i="58"/>
  <c r="B85" i="58"/>
  <c r="M84" i="58"/>
  <c r="A84" i="58"/>
  <c r="M83" i="58"/>
  <c r="L83" i="58"/>
  <c r="B83" i="58"/>
  <c r="N82" i="58"/>
  <c r="P81" i="58"/>
  <c r="O81" i="58"/>
  <c r="N81" i="58"/>
  <c r="M81" i="58"/>
  <c r="M80" i="58"/>
  <c r="A80" i="58"/>
  <c r="P79" i="58"/>
  <c r="M79" i="58"/>
  <c r="B79" i="58"/>
  <c r="P78" i="58"/>
  <c r="N78" i="58"/>
  <c r="A78" i="58"/>
  <c r="N77" i="58"/>
  <c r="M77" i="58"/>
  <c r="L77" i="58"/>
  <c r="A77" i="58"/>
  <c r="M76" i="58"/>
  <c r="A76" i="58"/>
  <c r="O75" i="58"/>
  <c r="M75" i="58"/>
  <c r="L75" i="58"/>
  <c r="A75" i="58"/>
  <c r="L74" i="58"/>
  <c r="A74" i="58"/>
  <c r="P73" i="58"/>
  <c r="N73" i="58"/>
  <c r="A73" i="58"/>
  <c r="P72" i="58"/>
  <c r="N72" i="58"/>
  <c r="A72" i="58"/>
  <c r="N71" i="58"/>
  <c r="M71" i="58"/>
  <c r="L71" i="58"/>
  <c r="B71" i="58"/>
  <c r="M70" i="58"/>
  <c r="A70" i="58"/>
  <c r="O69" i="58"/>
  <c r="N69" i="58"/>
  <c r="M69" i="58"/>
  <c r="A69" i="58"/>
  <c r="M68" i="58"/>
  <c r="B68" i="58"/>
  <c r="P67" i="58"/>
  <c r="M67" i="58"/>
  <c r="B67" i="58"/>
  <c r="A67" i="58"/>
  <c r="N66" i="58"/>
  <c r="B66" i="58"/>
  <c r="P65" i="58"/>
  <c r="O65" i="58"/>
  <c r="L65" i="58"/>
  <c r="K65" i="58"/>
  <c r="P64" i="58"/>
  <c r="K64" i="58"/>
  <c r="B64" i="58"/>
  <c r="A64" i="58"/>
  <c r="P63" i="58"/>
  <c r="N63" i="58"/>
  <c r="A63" i="58"/>
  <c r="O62" i="58"/>
  <c r="N62" i="58"/>
  <c r="K62" i="58"/>
  <c r="P61" i="58"/>
  <c r="O61" i="58"/>
  <c r="L61" i="58"/>
  <c r="P60" i="58"/>
  <c r="N60" i="58"/>
  <c r="L60" i="58"/>
  <c r="K60" i="58"/>
  <c r="B60" i="58"/>
  <c r="N59" i="58"/>
  <c r="B59" i="58"/>
  <c r="A59" i="58"/>
  <c r="P58" i="58"/>
  <c r="N58" i="58"/>
  <c r="K58" i="58"/>
  <c r="P57" i="58"/>
  <c r="L57" i="58"/>
  <c r="K57" i="58"/>
  <c r="A57" i="58"/>
  <c r="O54" i="58"/>
  <c r="N54" i="58"/>
  <c r="B54" i="58"/>
  <c r="O53" i="58"/>
  <c r="M53" i="58"/>
  <c r="K53" i="58"/>
  <c r="B53" i="58"/>
  <c r="A53" i="58"/>
  <c r="N52" i="58"/>
  <c r="B52" i="58"/>
  <c r="A52" i="58"/>
  <c r="P51" i="58"/>
  <c r="O51" i="58"/>
  <c r="M51" i="58"/>
  <c r="A51" i="58"/>
  <c r="O50" i="58"/>
  <c r="N50" i="58"/>
  <c r="K50" i="58"/>
  <c r="A50" i="58"/>
  <c r="P49" i="58"/>
  <c r="N49" i="58"/>
  <c r="B49" i="58"/>
  <c r="P48" i="58"/>
  <c r="O48" i="58"/>
  <c r="N48" i="58"/>
  <c r="M48" i="58"/>
  <c r="A48" i="58"/>
  <c r="N45" i="58"/>
  <c r="M45" i="58"/>
  <c r="K45" i="58"/>
  <c r="B45" i="58"/>
  <c r="P44" i="58"/>
  <c r="M44" i="58"/>
  <c r="B44" i="58"/>
  <c r="A44" i="58"/>
  <c r="O43" i="58"/>
  <c r="M43" i="58"/>
  <c r="K43" i="58"/>
  <c r="A43" i="58"/>
  <c r="N42" i="58"/>
  <c r="K42" i="58"/>
  <c r="B42" i="58"/>
  <c r="A42" i="58"/>
  <c r="P41" i="58"/>
  <c r="M41" i="58"/>
  <c r="B41" i="58"/>
  <c r="A41" i="58"/>
  <c r="P40" i="58"/>
  <c r="O40" i="58"/>
  <c r="M40" i="58"/>
  <c r="B40" i="58"/>
  <c r="P39" i="58"/>
  <c r="O39" i="58"/>
  <c r="M39" i="58"/>
  <c r="K39" i="58"/>
  <c r="B39" i="58"/>
  <c r="A39" i="58"/>
  <c r="P38" i="58"/>
  <c r="M38" i="58"/>
  <c r="K38" i="58"/>
  <c r="B38" i="58"/>
  <c r="A38" i="58"/>
  <c r="P35" i="58"/>
  <c r="O35" i="58"/>
  <c r="M35" i="58"/>
  <c r="B35" i="58"/>
  <c r="A35" i="58"/>
  <c r="P34" i="58"/>
  <c r="O34" i="58"/>
  <c r="M34" i="58"/>
  <c r="K34" i="58"/>
  <c r="B34" i="58"/>
  <c r="P33" i="58"/>
  <c r="O33" i="58"/>
  <c r="M33" i="58"/>
  <c r="K33" i="58"/>
  <c r="B33" i="58"/>
  <c r="A33" i="58"/>
  <c r="P32" i="58"/>
  <c r="M32" i="58"/>
  <c r="K32" i="58"/>
  <c r="B32" i="58"/>
  <c r="A32" i="58"/>
  <c r="P31" i="58"/>
  <c r="O31" i="58"/>
  <c r="M31" i="58"/>
  <c r="B31" i="58"/>
  <c r="A31" i="58"/>
  <c r="P30" i="58"/>
  <c r="O30" i="58"/>
  <c r="M30" i="58"/>
  <c r="K30" i="58"/>
  <c r="B30" i="58"/>
  <c r="P29" i="58"/>
  <c r="O29" i="58"/>
  <c r="M29" i="58"/>
  <c r="K29" i="58"/>
  <c r="B29" i="58"/>
  <c r="A29" i="58"/>
  <c r="P28" i="58"/>
  <c r="M28" i="58"/>
  <c r="K28" i="58"/>
  <c r="B28" i="58"/>
  <c r="A28" i="58"/>
  <c r="P27" i="58"/>
  <c r="O27" i="58"/>
  <c r="M27" i="58"/>
  <c r="B27" i="58"/>
  <c r="A27" i="58"/>
  <c r="P26" i="58"/>
  <c r="O26" i="58"/>
  <c r="M26" i="58"/>
  <c r="K26" i="58"/>
  <c r="B26" i="58"/>
  <c r="P25" i="58"/>
  <c r="O25" i="58"/>
  <c r="M25" i="58"/>
  <c r="K25" i="58"/>
  <c r="B25" i="58"/>
  <c r="A25" i="58"/>
  <c r="P24" i="58"/>
  <c r="M24" i="58"/>
  <c r="K24" i="58"/>
  <c r="B24" i="58"/>
  <c r="A24" i="58"/>
  <c r="P23" i="58"/>
  <c r="O23" i="58"/>
  <c r="M23" i="58"/>
  <c r="B23" i="58"/>
  <c r="A23" i="58"/>
  <c r="P22" i="58"/>
  <c r="O22" i="58"/>
  <c r="M22" i="58"/>
  <c r="K22" i="58"/>
  <c r="B22" i="58"/>
  <c r="P21" i="58"/>
  <c r="O21" i="58"/>
  <c r="N21" i="58"/>
  <c r="M21" i="58"/>
  <c r="K21" i="58"/>
  <c r="B21" i="58"/>
  <c r="A21" i="58"/>
  <c r="O20" i="58"/>
  <c r="N20" i="58"/>
  <c r="M20" i="58"/>
  <c r="K20" i="58"/>
  <c r="B20" i="58"/>
  <c r="A20" i="58"/>
  <c r="P19" i="58"/>
  <c r="N19" i="58"/>
  <c r="M19" i="58"/>
  <c r="K19" i="58"/>
  <c r="B19" i="58"/>
  <c r="A19" i="58"/>
  <c r="P18" i="58"/>
  <c r="O18" i="58"/>
  <c r="M18" i="58"/>
  <c r="K18" i="58"/>
  <c r="B18" i="58"/>
  <c r="A18" i="58"/>
  <c r="P17" i="58"/>
  <c r="O17" i="58"/>
  <c r="N17" i="58"/>
  <c r="K17" i="58"/>
  <c r="B17" i="58"/>
  <c r="A17" i="58"/>
  <c r="P16" i="58"/>
  <c r="O16" i="58"/>
  <c r="N16" i="58"/>
  <c r="M16" i="58"/>
  <c r="B16" i="58"/>
  <c r="A16" i="58"/>
  <c r="P15" i="58"/>
  <c r="O15" i="58"/>
  <c r="N15" i="58"/>
  <c r="M15" i="58"/>
  <c r="K15" i="58"/>
  <c r="A15" i="58"/>
  <c r="P14" i="58"/>
  <c r="O14" i="58"/>
  <c r="N14" i="58"/>
  <c r="M14" i="58"/>
  <c r="K14" i="58"/>
  <c r="B14" i="58"/>
  <c r="P13" i="58"/>
  <c r="O13" i="58"/>
  <c r="N13" i="58"/>
  <c r="M13" i="58"/>
  <c r="K13" i="58"/>
  <c r="B13" i="58"/>
  <c r="A13" i="58"/>
  <c r="O12" i="58"/>
  <c r="N12" i="58"/>
  <c r="M12" i="58"/>
  <c r="K12" i="58"/>
  <c r="B12" i="58"/>
  <c r="A12" i="58"/>
  <c r="P11" i="58"/>
  <c r="N11" i="58"/>
  <c r="M11" i="58"/>
  <c r="K11" i="58"/>
  <c r="B11" i="58"/>
  <c r="A11" i="58"/>
  <c r="P10" i="58"/>
  <c r="O10" i="58"/>
  <c r="M10" i="58"/>
  <c r="K10" i="58"/>
  <c r="B10" i="58"/>
  <c r="A10" i="58"/>
  <c r="K40" i="58"/>
  <c r="O41" i="58"/>
  <c r="B43" i="58"/>
  <c r="N44" i="58"/>
  <c r="K48" i="58"/>
  <c r="O49" i="58"/>
  <c r="B51" i="58"/>
  <c r="P52" i="58"/>
  <c r="K54" i="58"/>
  <c r="A58" i="58"/>
  <c r="A60" i="58"/>
  <c r="N61" i="58"/>
  <c r="B63" i="58"/>
  <c r="B65" i="58"/>
  <c r="P66" i="58"/>
  <c r="N68" i="58"/>
  <c r="P70" i="58"/>
  <c r="O72" i="58"/>
  <c r="O74" i="58"/>
  <c r="P76" i="58"/>
  <c r="O78" i="58"/>
  <c r="N80" i="58"/>
  <c r="P82" i="58"/>
  <c r="N84" i="58"/>
  <c r="P86" i="58"/>
  <c r="N89" i="58"/>
  <c r="O91" i="58"/>
  <c r="O93" i="58"/>
  <c r="M98" i="58"/>
  <c r="O100" i="58"/>
  <c r="P102" i="58"/>
  <c r="M105" i="58"/>
  <c r="P110" i="58"/>
  <c r="M115" i="58"/>
  <c r="N117" i="58"/>
  <c r="O119" i="58"/>
  <c r="L122" i="58"/>
  <c r="N124" i="58"/>
  <c r="O126" i="58"/>
  <c r="L129" i="58"/>
  <c r="M133" i="58"/>
  <c r="O135" i="58"/>
  <c r="L138" i="58"/>
  <c r="M140" i="58"/>
  <c r="N144" i="58"/>
  <c r="B147" i="58"/>
  <c r="M149" i="58"/>
  <c r="N151" i="58"/>
  <c r="B154" i="58"/>
  <c r="L156" i="58"/>
  <c r="N158" i="58"/>
  <c r="P80" i="58"/>
  <c r="A83" i="58"/>
  <c r="P84" i="58"/>
  <c r="L87" i="58"/>
  <c r="O89" i="58"/>
  <c r="P91" i="58"/>
  <c r="L94" i="58"/>
  <c r="N98" i="58"/>
  <c r="P100" i="58"/>
  <c r="L103" i="58"/>
  <c r="N105" i="58"/>
  <c r="B111" i="58"/>
  <c r="N115" i="58"/>
  <c r="O117" i="58"/>
  <c r="B120" i="58"/>
  <c r="M122" i="58"/>
  <c r="O124" i="58"/>
  <c r="B127" i="58"/>
  <c r="M129" i="58"/>
  <c r="N133" i="58"/>
  <c r="A136" i="58"/>
  <c r="M138" i="58"/>
  <c r="N140" i="58"/>
  <c r="A145" i="58"/>
  <c r="L147" i="58"/>
  <c r="N149" i="58"/>
  <c r="B152" i="58"/>
  <c r="M154" i="58"/>
  <c r="M156" i="58"/>
  <c r="P160" i="58"/>
  <c r="P159" i="58"/>
  <c r="K160" i="58"/>
  <c r="K159" i="58"/>
  <c r="K158" i="58"/>
  <c r="K157" i="58"/>
  <c r="K156" i="58"/>
  <c r="K155" i="58"/>
  <c r="K154" i="58"/>
  <c r="K153" i="58"/>
  <c r="K152" i="58"/>
  <c r="K151" i="58"/>
  <c r="K150" i="58"/>
  <c r="K149" i="58"/>
  <c r="K148" i="58"/>
  <c r="K147" i="58"/>
  <c r="K146" i="58"/>
  <c r="K145" i="58"/>
  <c r="K144" i="58"/>
  <c r="K141" i="58"/>
  <c r="K140" i="58"/>
  <c r="K139" i="58"/>
  <c r="K138" i="58"/>
  <c r="K137" i="58"/>
  <c r="K136" i="58"/>
  <c r="K135" i="58"/>
  <c r="K134" i="58"/>
  <c r="K133" i="58"/>
  <c r="K132" i="58"/>
  <c r="K129" i="58"/>
  <c r="K128" i="58"/>
  <c r="K127" i="58"/>
  <c r="K126" i="58"/>
  <c r="K125" i="58"/>
  <c r="K124" i="58"/>
  <c r="K123" i="58"/>
  <c r="K122" i="58"/>
  <c r="K121" i="58"/>
  <c r="K120" i="58"/>
  <c r="K119" i="58"/>
  <c r="K118" i="58"/>
  <c r="K117" i="58"/>
  <c r="K116" i="58"/>
  <c r="K115" i="58"/>
  <c r="K114" i="58"/>
  <c r="K111" i="58"/>
  <c r="K110" i="58"/>
  <c r="K109" i="58"/>
  <c r="K105" i="58"/>
  <c r="K104" i="58"/>
  <c r="K103" i="58"/>
  <c r="K102" i="58"/>
  <c r="K101" i="58"/>
  <c r="K100" i="58"/>
  <c r="K99" i="58"/>
  <c r="K98" i="58"/>
  <c r="K95" i="58"/>
  <c r="K94" i="58"/>
  <c r="K93" i="58"/>
  <c r="K92" i="58"/>
  <c r="K91" i="58"/>
  <c r="K90" i="58"/>
  <c r="K89" i="58"/>
  <c r="K88" i="58"/>
  <c r="K87" i="58"/>
  <c r="K86" i="58"/>
  <c r="K85" i="58"/>
  <c r="K84" i="58"/>
  <c r="K83" i="58"/>
  <c r="K82" i="58"/>
  <c r="K81" i="58"/>
  <c r="K80" i="58"/>
  <c r="K79" i="58"/>
  <c r="K78" i="58"/>
  <c r="K77" i="58"/>
  <c r="K76" i="58"/>
  <c r="K75" i="58"/>
  <c r="K74" i="58"/>
  <c r="K73" i="58"/>
  <c r="K72" i="58"/>
  <c r="K71" i="58"/>
  <c r="K70" i="58"/>
  <c r="K69" i="58"/>
  <c r="K68" i="58"/>
  <c r="K67" i="58"/>
  <c r="B160" i="58"/>
  <c r="P158" i="58"/>
  <c r="O157" i="58"/>
  <c r="N156" i="58"/>
  <c r="M155" i="58"/>
  <c r="L154" i="58"/>
  <c r="B153" i="58"/>
  <c r="A152" i="58"/>
  <c r="P150" i="58"/>
  <c r="O149" i="58"/>
  <c r="N148" i="58"/>
  <c r="M147" i="58"/>
  <c r="L146" i="58"/>
  <c r="B145" i="58"/>
  <c r="A144" i="58"/>
  <c r="P140" i="58"/>
  <c r="O139" i="58"/>
  <c r="N138" i="58"/>
  <c r="M137" i="58"/>
  <c r="L136" i="58"/>
  <c r="B135" i="58"/>
  <c r="A134" i="58"/>
  <c r="P132" i="58"/>
  <c r="O129" i="58"/>
  <c r="N128" i="58"/>
  <c r="M127" i="58"/>
  <c r="L126" i="58"/>
  <c r="B125" i="58"/>
  <c r="A124" i="58"/>
  <c r="P122" i="58"/>
  <c r="O121" i="58"/>
  <c r="N120" i="58"/>
  <c r="M119" i="58"/>
  <c r="L118" i="58"/>
  <c r="B117" i="58"/>
  <c r="A116" i="58"/>
  <c r="P114" i="58"/>
  <c r="O111" i="58"/>
  <c r="N110" i="58"/>
  <c r="M109" i="58"/>
  <c r="A105" i="58"/>
  <c r="P103" i="58"/>
  <c r="O102" i="58"/>
  <c r="N101" i="58"/>
  <c r="M100" i="58"/>
  <c r="L99" i="58"/>
  <c r="B98" i="58"/>
  <c r="A95" i="58"/>
  <c r="P93" i="58"/>
  <c r="O92" i="58"/>
  <c r="N91" i="58"/>
  <c r="M90" i="58"/>
  <c r="L89" i="58"/>
  <c r="B88" i="58"/>
  <c r="A87" i="58"/>
  <c r="P85" i="58"/>
  <c r="O84" i="58"/>
  <c r="N83" i="58"/>
  <c r="M82" i="58"/>
  <c r="L81" i="58"/>
  <c r="B80" i="58"/>
  <c r="A79" i="58"/>
  <c r="P77" i="58"/>
  <c r="O76" i="58"/>
  <c r="N75" i="58"/>
  <c r="M74" i="58"/>
  <c r="L73" i="58"/>
  <c r="B72" i="58"/>
  <c r="A71" i="58"/>
  <c r="P69" i="58"/>
  <c r="O68" i="58"/>
  <c r="N67" i="58"/>
  <c r="M66" i="58"/>
  <c r="M65" i="58"/>
  <c r="M64" i="58"/>
  <c r="M63" i="58"/>
  <c r="M62" i="58"/>
  <c r="M61" i="58"/>
  <c r="M60" i="58"/>
  <c r="M59" i="58"/>
  <c r="M58" i="58"/>
  <c r="M57" i="58"/>
  <c r="M54" i="58"/>
  <c r="O160" i="58"/>
  <c r="L159" i="58"/>
  <c r="A158" i="58"/>
  <c r="O156" i="58"/>
  <c r="L155" i="58"/>
  <c r="A154" i="58"/>
  <c r="O152" i="58"/>
  <c r="M151" i="58"/>
  <c r="B150" i="58"/>
  <c r="P148" i="58"/>
  <c r="N147" i="58"/>
  <c r="B146" i="58"/>
  <c r="P144" i="58"/>
  <c r="N141" i="58"/>
  <c r="L140" i="58"/>
  <c r="A139" i="58"/>
  <c r="O137" i="58"/>
  <c r="M136" i="58"/>
  <c r="A135" i="58"/>
  <c r="O133" i="58"/>
  <c r="M132" i="58"/>
  <c r="B129" i="58"/>
  <c r="P127" i="58"/>
  <c r="N126" i="58"/>
  <c r="L125" i="58"/>
  <c r="P123" i="58"/>
  <c r="N122" i="58"/>
  <c r="L121" i="58"/>
  <c r="A120" i="58"/>
  <c r="O118" i="58"/>
  <c r="M117" i="58"/>
  <c r="B116" i="58"/>
  <c r="O114" i="58"/>
  <c r="M111" i="58"/>
  <c r="B110" i="58"/>
  <c r="L105" i="58"/>
  <c r="A104" i="58"/>
  <c r="N102" i="58"/>
  <c r="L101" i="58"/>
  <c r="A100" i="58"/>
  <c r="O98" i="58"/>
  <c r="M95" i="58"/>
  <c r="B94" i="58"/>
  <c r="P92" i="58"/>
  <c r="M91" i="58"/>
  <c r="B90" i="58"/>
  <c r="P88" i="58"/>
  <c r="N87" i="58"/>
  <c r="L86" i="58"/>
  <c r="A85" i="58"/>
  <c r="O83" i="58"/>
  <c r="L82" i="58"/>
  <c r="A81" i="58"/>
  <c r="O79" i="58"/>
  <c r="M78" i="58"/>
  <c r="B77" i="58"/>
  <c r="P75" i="58"/>
  <c r="N74" i="58"/>
  <c r="B73" i="58"/>
  <c r="P71" i="58"/>
  <c r="N70" i="58"/>
  <c r="L69" i="58"/>
  <c r="A68" i="58"/>
  <c r="O66" i="58"/>
  <c r="N65" i="58"/>
  <c r="L64" i="58"/>
  <c r="K63" i="58"/>
  <c r="B62" i="58"/>
  <c r="A61" i="58"/>
  <c r="P59" i="58"/>
  <c r="O58" i="58"/>
  <c r="N57" i="58"/>
  <c r="L54" i="58"/>
  <c r="L53" i="58"/>
  <c r="L52" i="58"/>
  <c r="L51" i="58"/>
  <c r="L50" i="58"/>
  <c r="L49" i="58"/>
  <c r="L48" i="58"/>
  <c r="L45" i="58"/>
  <c r="L44" i="58"/>
  <c r="L43" i="58"/>
  <c r="L42" i="58"/>
  <c r="O159" i="58"/>
  <c r="M158" i="58"/>
  <c r="B157" i="58"/>
  <c r="P155" i="58"/>
  <c r="N154" i="58"/>
  <c r="L153" i="58"/>
  <c r="P151" i="58"/>
  <c r="N150" i="58"/>
  <c r="L149" i="58"/>
  <c r="A148" i="58"/>
  <c r="O146" i="58"/>
  <c r="M145" i="58"/>
  <c r="B144" i="58"/>
  <c r="O140" i="58"/>
  <c r="M139" i="58"/>
  <c r="B138" i="58"/>
  <c r="P136" i="58"/>
  <c r="N135" i="58"/>
  <c r="L134" i="58"/>
  <c r="A133" i="58"/>
  <c r="N129" i="58"/>
  <c r="L128" i="58"/>
  <c r="A127" i="58"/>
  <c r="O125" i="58"/>
  <c r="M124" i="58"/>
  <c r="B123" i="58"/>
  <c r="P121" i="58"/>
  <c r="M120" i="58"/>
  <c r="B119" i="58"/>
  <c r="P117" i="58"/>
  <c r="N116" i="58"/>
  <c r="L115" i="58"/>
  <c r="A114" i="58"/>
  <c r="O110" i="58"/>
  <c r="L109" i="58"/>
  <c r="O105" i="58"/>
  <c r="M104" i="58"/>
  <c r="B103" i="58"/>
  <c r="P101" i="58"/>
  <c r="N100" i="58"/>
  <c r="B99" i="58"/>
  <c r="P95" i="58"/>
  <c r="N94" i="58"/>
  <c r="L93" i="58"/>
  <c r="A92" i="58"/>
  <c r="O90" i="58"/>
  <c r="M89" i="58"/>
  <c r="A88" i="58"/>
  <c r="O86" i="58"/>
  <c r="M85" i="58"/>
  <c r="N160" i="58"/>
  <c r="O158" i="58"/>
  <c r="A157" i="58"/>
  <c r="B155" i="58"/>
  <c r="N153" i="58"/>
  <c r="O151" i="58"/>
  <c r="A150" i="58"/>
  <c r="L148" i="58"/>
  <c r="N146" i="58"/>
  <c r="O144" i="58"/>
  <c r="B141" i="58"/>
  <c r="L139" i="58"/>
  <c r="N137" i="58"/>
  <c r="P135" i="58"/>
  <c r="B134" i="58"/>
  <c r="L132" i="58"/>
  <c r="O128" i="58"/>
  <c r="P126" i="58"/>
  <c r="A125" i="58"/>
  <c r="M123" i="58"/>
  <c r="N121" i="58"/>
  <c r="P119" i="58"/>
  <c r="B118" i="58"/>
  <c r="M116" i="58"/>
  <c r="N114" i="58"/>
  <c r="B109" i="58"/>
  <c r="O104" i="58"/>
  <c r="A103" i="58"/>
  <c r="B101" i="58"/>
  <c r="N99" i="58"/>
  <c r="O95" i="58"/>
  <c r="A94" i="58"/>
  <c r="L92" i="58"/>
  <c r="N90" i="58"/>
  <c r="O88" i="58"/>
  <c r="B87" i="58"/>
  <c r="L85" i="58"/>
  <c r="P83" i="58"/>
  <c r="B82" i="58"/>
  <c r="O80" i="58"/>
  <c r="L79" i="58"/>
  <c r="O77" i="58"/>
  <c r="L76" i="58"/>
  <c r="P74" i="58"/>
  <c r="M73" i="58"/>
  <c r="O71" i="58"/>
  <c r="L70" i="58"/>
  <c r="P68" i="58"/>
  <c r="L67" i="58"/>
  <c r="A66" i="58"/>
  <c r="O64" i="58"/>
  <c r="L63" i="58"/>
  <c r="A62" i="58"/>
  <c r="O60" i="58"/>
  <c r="L59" i="58"/>
  <c r="B58" i="58"/>
  <c r="P54" i="58"/>
  <c r="N53" i="58"/>
  <c r="M52" i="58"/>
  <c r="K51" i="58"/>
  <c r="B50" i="58"/>
  <c r="A49" i="58"/>
  <c r="P45" i="58"/>
  <c r="O44" i="58"/>
  <c r="N43" i="58"/>
  <c r="M42" i="58"/>
  <c r="L41" i="58"/>
  <c r="L40" i="58"/>
  <c r="L39" i="58"/>
  <c r="L38" i="58"/>
  <c r="L35" i="58"/>
  <c r="L34" i="58"/>
  <c r="L33" i="58"/>
  <c r="L32" i="58"/>
  <c r="L31" i="58"/>
  <c r="L30" i="58"/>
  <c r="L29" i="58"/>
  <c r="L28" i="58"/>
  <c r="L27" i="58"/>
  <c r="L26" i="58"/>
  <c r="L25" i="58"/>
  <c r="L24" i="58"/>
  <c r="L23" i="58"/>
  <c r="L22" i="58"/>
  <c r="L21" i="58"/>
  <c r="L20" i="58"/>
  <c r="L19" i="58"/>
  <c r="L18" i="58"/>
  <c r="L17" i="58"/>
  <c r="L16" i="58"/>
  <c r="L15" i="58"/>
  <c r="L14" i="58"/>
  <c r="L13" i="58"/>
  <c r="L12" i="58"/>
  <c r="L11" i="58"/>
  <c r="L10" i="58"/>
  <c r="B159" i="58"/>
  <c r="M157" i="58"/>
  <c r="O155" i="58"/>
  <c r="P153" i="58"/>
  <c r="L152" i="58"/>
  <c r="M150" i="58"/>
  <c r="O148" i="58"/>
  <c r="A147" i="58"/>
  <c r="L145" i="58"/>
  <c r="M141" i="58"/>
  <c r="P139" i="58"/>
  <c r="A138" i="58"/>
  <c r="B136" i="58"/>
  <c r="N134" i="58"/>
  <c r="O132" i="58"/>
  <c r="A129" i="58"/>
  <c r="L127" i="58"/>
  <c r="N125" i="58"/>
  <c r="O123" i="58"/>
  <c r="B122" i="58"/>
  <c r="L120" i="58"/>
  <c r="N118" i="58"/>
  <c r="P116" i="58"/>
  <c r="B115" i="58"/>
  <c r="L111" i="58"/>
  <c r="O109" i="58"/>
  <c r="P106" i="58"/>
  <c r="B105" i="58"/>
  <c r="M103" i="58"/>
  <c r="O101" i="58"/>
  <c r="P99" i="58"/>
  <c r="L98" i="58"/>
  <c r="M94" i="58"/>
  <c r="N92" i="58"/>
  <c r="A91" i="58"/>
  <c r="B89" i="58"/>
  <c r="M87" i="58"/>
  <c r="O85" i="58"/>
  <c r="B84" i="58"/>
  <c r="O82" i="58"/>
  <c r="B81" i="58"/>
  <c r="N79" i="58"/>
  <c r="B78" i="58"/>
  <c r="N76" i="58"/>
  <c r="B75" i="58"/>
  <c r="O73" i="58"/>
  <c r="L72" i="58"/>
  <c r="O70" i="58"/>
  <c r="B69" i="58"/>
  <c r="O67" i="58"/>
  <c r="K66" i="58"/>
  <c r="A65" i="58"/>
  <c r="O63" i="58"/>
  <c r="L62" i="58"/>
  <c r="B61" i="58"/>
  <c r="O59" i="58"/>
  <c r="L58" i="58"/>
  <c r="B57" i="58"/>
  <c r="P53" i="58"/>
  <c r="O52" i="58"/>
  <c r="N51" i="58"/>
  <c r="M50" i="58"/>
  <c r="K49" i="58"/>
  <c r="B48" i="58"/>
  <c r="A45" i="58"/>
  <c r="P43" i="58"/>
  <c r="O42" i="58"/>
  <c r="N41" i="58"/>
  <c r="N40" i="58"/>
  <c r="N39" i="58"/>
  <c r="N38" i="58"/>
  <c r="N35" i="58"/>
  <c r="N34" i="58"/>
  <c r="N33" i="58"/>
  <c r="N32" i="58"/>
  <c r="N31" i="58"/>
  <c r="N30" i="58"/>
  <c r="N29" i="58"/>
  <c r="N28" i="58"/>
  <c r="N27" i="58"/>
  <c r="N26" i="58"/>
  <c r="N25" i="58"/>
  <c r="N24" i="58"/>
  <c r="N23" i="58"/>
  <c r="N22" i="58"/>
  <c r="N10" i="58"/>
  <c r="O11" i="58"/>
  <c r="P12" i="58"/>
  <c r="A14" i="58"/>
  <c r="B15" i="58"/>
  <c r="K16" i="58"/>
  <c r="M17" i="58"/>
  <c r="N18" i="58"/>
  <c r="O19" i="58"/>
  <c r="P20" i="58"/>
  <c r="A22" i="58"/>
  <c r="K23" i="58"/>
  <c r="O24" i="58"/>
  <c r="A26" i="58"/>
  <c r="K27" i="58"/>
  <c r="O28" i="58"/>
  <c r="A30" i="58"/>
  <c r="K31" i="58"/>
  <c r="O32" i="58"/>
  <c r="A34" i="58"/>
  <c r="K35" i="58"/>
  <c r="O38" i="58"/>
  <c r="A40" i="58"/>
  <c r="K41" i="58"/>
  <c r="P42" i="58"/>
  <c r="K44" i="58"/>
  <c r="O45" i="58"/>
  <c r="M49" i="58"/>
  <c r="P50" i="58"/>
  <c r="K52" i="58"/>
  <c r="A54" i="58"/>
  <c r="O57" i="58"/>
  <c r="K59" i="58"/>
  <c r="K61" i="58"/>
  <c r="P62" i="58"/>
  <c r="N64" i="58"/>
  <c r="L66" i="58"/>
  <c r="L68" i="58"/>
  <c r="B70" i="58"/>
  <c r="M72" i="58"/>
  <c r="B74" i="58"/>
  <c r="B76" i="58"/>
  <c r="L78" i="58"/>
  <c r="L80" i="58"/>
  <c r="A82" i="58"/>
  <c r="L84" i="58"/>
  <c r="M86" i="58"/>
  <c r="N88" i="58"/>
  <c r="B91" i="58"/>
  <c r="M93" i="58"/>
  <c r="N95" i="58"/>
  <c r="B100" i="58"/>
  <c r="L102" i="58"/>
  <c r="N104" i="58"/>
  <c r="L110" i="58"/>
  <c r="M114" i="58"/>
  <c r="A117" i="58"/>
  <c r="L119" i="58"/>
  <c r="M121" i="58"/>
  <c r="B124" i="58"/>
  <c r="B126" i="58"/>
  <c r="M128" i="58"/>
  <c r="B133" i="58"/>
  <c r="L135" i="58"/>
  <c r="L137" i="58"/>
  <c r="A140" i="58"/>
  <c r="L144" i="58"/>
  <c r="M146" i="58"/>
  <c r="A149" i="58"/>
  <c r="B151" i="58"/>
  <c r="M153" i="58"/>
  <c r="A156" i="58"/>
  <c r="B158" i="58"/>
  <c r="M160" i="58"/>
  <c r="I2" i="27" a="1"/>
  <c r="I2" i="27" s="1"/>
  <c r="J2" i="27" a="1"/>
  <c r="J2" i="27" s="1"/>
  <c r="D5" i="33" l="1"/>
  <c r="E3" i="30" l="1"/>
  <c r="E134" i="27"/>
  <c r="B23" i="27"/>
  <c r="E23" i="27"/>
  <c r="J108"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MacRae, Phil (P.)</author>
  </authors>
  <commentList>
    <comment ref="A2" authorId="0" shapeId="0" xr:uid="{B586716B-36B2-4985-9104-5227ED1D6279}">
      <text>
        <r>
          <rPr>
            <b/>
            <sz val="9"/>
            <color indexed="81"/>
            <rFont val="Tahoma"/>
            <family val="2"/>
          </rPr>
          <t xml:space="preserve">DOCUMENT RECORD
DO NOT CHANGE THIS INFORMATION. 
</t>
        </r>
        <r>
          <rPr>
            <sz val="9"/>
            <color indexed="81"/>
            <rFont val="Tahoma"/>
            <family val="2"/>
          </rPr>
          <t xml:space="preserve">The Issue Level in this field relates to the issue level of the DOCUMENT in JLR Way. This number will only change when a new issue of the document is uploaded and approved in JLR Way. </t>
        </r>
        <r>
          <rPr>
            <b/>
            <sz val="9"/>
            <color indexed="81"/>
            <rFont val="Tahoma"/>
            <family val="2"/>
          </rPr>
          <t xml:space="preserve">
</t>
        </r>
        <r>
          <rPr>
            <sz val="9"/>
            <color indexed="81"/>
            <rFont val="Tahoma"/>
            <family val="2"/>
          </rPr>
          <t xml:space="preserve">
</t>
        </r>
      </text>
    </comment>
    <comment ref="H2" authorId="0" shapeId="0" xr:uid="{85F3CAD7-E6CC-41CD-AD81-E86C63C28200}">
      <text>
        <r>
          <rPr>
            <b/>
            <sz val="9"/>
            <color indexed="81"/>
            <rFont val="Tahoma"/>
            <family val="2"/>
          </rPr>
          <t xml:space="preserve">RECORD OF ESOW REVISIONS
</t>
        </r>
        <r>
          <rPr>
            <sz val="9"/>
            <color indexed="81"/>
            <rFont val="Tahoma"/>
            <family val="2"/>
          </rPr>
          <t xml:space="preserve">DO NOT CHANGE THIS INFORMATION MANUALLY!
This information will be updated when you fill out Page 2 of this section "Record for eSOW Revisions"
</t>
        </r>
      </text>
    </comment>
    <comment ref="J2" authorId="0" shapeId="0" xr:uid="{70D20B6D-A62A-4CDA-8A4D-1E574EAC32C8}">
      <text>
        <r>
          <rPr>
            <sz val="9"/>
            <color indexed="81"/>
            <rFont val="Tahoma"/>
            <family val="2"/>
          </rPr>
          <t xml:space="preserve">
</t>
        </r>
        <r>
          <rPr>
            <b/>
            <sz val="9"/>
            <color indexed="81"/>
            <rFont val="Tahoma"/>
            <family val="2"/>
          </rPr>
          <t>RECORD OF ESOW REVISIONS</t>
        </r>
        <r>
          <rPr>
            <sz val="9"/>
            <color indexed="81"/>
            <rFont val="Tahoma"/>
            <family val="2"/>
          </rPr>
          <t xml:space="preserve">
DO NOT CHANGE THIS INFORMATION MANUALLY!
This information will be updated when you fill out Page 2 of this section "Record for eSOW Revisions"
</t>
        </r>
      </text>
    </comment>
    <comment ref="A4" authorId="0" shapeId="0" xr:uid="{8FA8EBCB-4723-4A72-B29A-83A825BDCE59}">
      <text>
        <r>
          <rPr>
            <sz val="9"/>
            <color indexed="81"/>
            <rFont val="Tahoma"/>
            <family val="2"/>
          </rPr>
          <t xml:space="preserve">Title: Engineering Statement of Work
Document Name: Engineering Statement of Work (eSOW) JLR-TMP-557249
Classification: OFFICIAL
Security: CONFIDENTIAL
Retention No.: 26.06 The Requirement and Request for Procurement Services
Retention Period: C+12 Years (UK, Brazil, Japan, MENA, Netherlands, Russia, USA and China)
Owning Function: Engineering Delivery, Compatibility Team [ EO-7 ]
Applicability: This document does not align to a PCDS Milestone(s) or Business Gateway(s). The Engineering Statement of Work is applicable on creation of a GSP Sourcing Project with a valid GSPiD Code. 
If the buyer has the intention to use a different Engineering Statement of Work, a waiver must be raised against the GSP processes and agreed by the Matched Pair, and Chair of the SBR Events before SBR 1. 
Intent and Process: The Engineering Statement of Work is classed as DRAFT before it is signed by the Jaguar Land Rover Engineer. Once signed, it is classed as an OFFICIAL document and must be retained, even if the document is rejected at SBR 2, SBR 3, is changed or is rejected by the supplier. 
All Engineering Statement of Work(s) signed by the Jaguar Land Rover Lead Engineer must be retained in accordance with the Retention Period above.
</t>
        </r>
      </text>
    </comment>
    <comment ref="I8" authorId="0" shapeId="0" xr:uid="{87187BD9-6B10-416F-9630-3159593384AE}">
      <text>
        <r>
          <rPr>
            <b/>
            <sz val="9"/>
            <color indexed="81"/>
            <rFont val="Tahoma"/>
            <family val="2"/>
          </rPr>
          <t xml:space="preserve">MANDATORY FIELD
</t>
        </r>
        <r>
          <rPr>
            <sz val="9"/>
            <color indexed="81"/>
            <rFont val="Tahoma"/>
            <family val="2"/>
          </rPr>
          <t xml:space="preserve">Choose a supplier category. 
For more information on supplier categories refer to section "Supplier Categories" in this tab below. 
When you choose a supplier category it will auto-complete a RASIC in Appendix A - RASIC
</t>
        </r>
        <r>
          <rPr>
            <b/>
            <sz val="9"/>
            <color indexed="81"/>
            <rFont val="Tahoma"/>
            <family val="2"/>
          </rPr>
          <t>NOTE:</t>
        </r>
        <r>
          <rPr>
            <sz val="9"/>
            <color indexed="81"/>
            <rFont val="Tahoma"/>
            <family val="2"/>
          </rPr>
          <t xml:space="preserve"> If you choose SPECIAL PROJECT, it will NOT auto-complete a RASIC in Appendix A - RASIC and you will need to do this by yourself. </t>
        </r>
      </text>
    </comment>
    <comment ref="A21" authorId="0" shapeId="0" xr:uid="{13085D0B-DC39-47E1-89A9-1F916809FC69}">
      <text>
        <r>
          <rPr>
            <sz val="9"/>
            <color indexed="81"/>
            <rFont val="Tahoma"/>
            <family val="2"/>
          </rPr>
          <t xml:space="preserve">SIGNATURES BLOCK
This section contains the necessary signatures for completion of the eSOW. 
An eSOW is not valid unless it is signed by all parties.
</t>
        </r>
        <r>
          <rPr>
            <b/>
            <sz val="9"/>
            <color indexed="81"/>
            <rFont val="Tahoma"/>
            <family val="2"/>
          </rPr>
          <t>The JAGUAR LAND ROVER LEAD ENGINEER</t>
        </r>
        <r>
          <rPr>
            <sz val="9"/>
            <color indexed="81"/>
            <rFont val="Tahoma"/>
            <family val="2"/>
          </rPr>
          <t xml:space="preserve">
Must sign ANY eSOW before the SBR 2 event. If the eSOW needs to be changed or amended after SBR 2, but before SCPA, the JLR Engineer must create a new revision of the eSOW and sign it AGAIN.
</t>
        </r>
        <r>
          <rPr>
            <b/>
            <sz val="9"/>
            <color indexed="81"/>
            <rFont val="Tahoma"/>
            <family val="2"/>
          </rPr>
          <t>The JAGUAR LAND ROVER GROUP LEAD</t>
        </r>
        <r>
          <rPr>
            <sz val="9"/>
            <color indexed="81"/>
            <rFont val="Tahoma"/>
            <family val="2"/>
          </rPr>
          <t xml:space="preserve">
Must sign ANY eSOW before the SBR 2 event. If the eSOW needs to be changed or amended after SBR 2, but before SCPA, the JLR Engineer must create a new revision of the eSOW, sign it again and pass to the GROUP LEADER to sign again. 
</t>
        </r>
        <r>
          <rPr>
            <i/>
            <sz val="9"/>
            <color indexed="81"/>
            <rFont val="Tahoma"/>
            <family val="2"/>
          </rPr>
          <t xml:space="preserve">JLR must retain document control. Every version of an eSOW either presented for an SBR event or given to a supplier for review must be retained with signatures. 
</t>
        </r>
        <r>
          <rPr>
            <b/>
            <sz val="9"/>
            <color indexed="81"/>
            <rFont val="Tahoma"/>
            <family val="2"/>
          </rPr>
          <t>Supplier Name, Address, Master Code</t>
        </r>
        <r>
          <rPr>
            <i/>
            <sz val="9"/>
            <color indexed="81"/>
            <rFont val="Tahoma"/>
            <family val="2"/>
          </rPr>
          <t xml:space="preserve">
</t>
        </r>
        <r>
          <rPr>
            <sz val="9"/>
            <color indexed="81"/>
            <rFont val="Tahoma"/>
            <family val="2"/>
          </rPr>
          <t xml:space="preserve">This information shall be completed once the preferred supplier is nominated 
</t>
        </r>
        <r>
          <rPr>
            <b/>
            <sz val="9"/>
            <color indexed="81"/>
            <rFont val="Tahoma"/>
            <family val="2"/>
          </rPr>
          <t>Supplier Representing Engineer</t>
        </r>
        <r>
          <rPr>
            <sz val="9"/>
            <color indexed="81"/>
            <rFont val="Tahoma"/>
            <family val="2"/>
          </rPr>
          <t xml:space="preserve">
The Supplier Representing Engineer shall sign the eSOW before the SCPA. 
This signatory confirm acceptance of the eSOW and all requirements and information contained within. Once the eSOW is signed by the supplier, you must use the official DCR and ECR processes for change. </t>
        </r>
      </text>
    </comment>
    <comment ref="A106" authorId="0" shapeId="0" xr:uid="{DAE3EBEB-F84A-4A5E-863A-BD312381143D}">
      <text>
        <r>
          <rPr>
            <b/>
            <sz val="9"/>
            <color indexed="81"/>
            <rFont val="Tahoma"/>
            <family val="2"/>
          </rPr>
          <t>RECORD OF ESOW REVISIONS</t>
        </r>
        <r>
          <rPr>
            <sz val="9"/>
            <color indexed="81"/>
            <rFont val="Tahoma"/>
            <family val="2"/>
          </rPr>
          <t xml:space="preserve">
This section is for the</t>
        </r>
        <r>
          <rPr>
            <b/>
            <sz val="9"/>
            <color indexed="81"/>
            <rFont val="Tahoma"/>
            <family val="2"/>
          </rPr>
          <t xml:space="preserve"> JLR LEAD ENGINEER</t>
        </r>
        <r>
          <rPr>
            <sz val="9"/>
            <color indexed="81"/>
            <rFont val="Tahoma"/>
            <family val="2"/>
          </rPr>
          <t xml:space="preserve"> to manage all revisions of the eSOW which may go back and forth between JLR and the supplier BEFORE The supplier signs the eSOW. 
</t>
        </r>
        <r>
          <rPr>
            <b/>
            <sz val="9"/>
            <color indexed="81"/>
            <rFont val="Tahoma"/>
            <family val="2"/>
          </rPr>
          <t xml:space="preserve">DO NOT CHANGE THE ISSUE LEVEL OF THIS DOCUMENT. THE ISSUE LEVEL REFERS TO THE ISSUE LEVEL OF THE ESOW TEMPLATE IN JLR WAY. </t>
        </r>
        <r>
          <rPr>
            <sz val="9"/>
            <color indexed="81"/>
            <rFont val="Tahoma"/>
            <family val="2"/>
          </rPr>
          <t xml:space="preserve">
Refer to the </t>
        </r>
        <r>
          <rPr>
            <b/>
            <sz val="9"/>
            <color indexed="81"/>
            <rFont val="Tahoma"/>
            <family val="2"/>
          </rPr>
          <t>READ ME THEN DELETE ME</t>
        </r>
        <r>
          <rPr>
            <sz val="9"/>
            <color indexed="81"/>
            <rFont val="Tahoma"/>
            <family val="2"/>
          </rPr>
          <t xml:space="preserve"> Tab for more information on how to use this section. 
When you use this section, it will automatically update the fields in ROW 2 on Page 1 of the FRONT MATTER Section </t>
        </r>
      </text>
    </comment>
    <comment ref="A107" authorId="0" shapeId="0" xr:uid="{8E822D00-9F4C-4B6E-8231-7E244B21AD71}">
      <text>
        <r>
          <rPr>
            <b/>
            <sz val="9"/>
            <color indexed="81"/>
            <rFont val="Tahoma"/>
            <family val="2"/>
          </rPr>
          <t xml:space="preserve">REVISION
</t>
        </r>
        <r>
          <rPr>
            <sz val="9"/>
            <color indexed="81"/>
            <rFont val="Tahoma"/>
            <family val="2"/>
          </rPr>
          <t xml:space="preserve">
Use the drop down menu to choose the correct revision for your eSOW.  
Revision refers to the number of times the eSOW has been REVISED by the JLR Engineer, and presented to the supplier as a formal submission. 
The first time you submit an eSOW, the revision number is 0 as this is the "First Submission". The document has not been revised. 
The second time you submit an eSOW, this means the document has been revised </t>
        </r>
        <r>
          <rPr>
            <b/>
            <sz val="9"/>
            <color indexed="81"/>
            <rFont val="Tahoma"/>
            <family val="2"/>
          </rPr>
          <t>ONCE</t>
        </r>
        <r>
          <rPr>
            <sz val="9"/>
            <color indexed="81"/>
            <rFont val="Tahoma"/>
            <family val="2"/>
          </rPr>
          <t xml:space="preserve"> and it is the </t>
        </r>
        <r>
          <rPr>
            <b/>
            <sz val="9"/>
            <color indexed="81"/>
            <rFont val="Tahoma"/>
            <family val="2"/>
          </rPr>
          <t xml:space="preserve">SECOND SUBMISSION. </t>
        </r>
        <r>
          <rPr>
            <sz val="9"/>
            <color indexed="81"/>
            <rFont val="Tahoma"/>
            <family val="2"/>
          </rPr>
          <t xml:space="preserve">
DO NOT FILL IN THIS FEILD MANUALLY. USE THE DROP DOWN MENU AT ALL TIMES.
The Submissions, and Revisions follow this order at all times;
</t>
        </r>
        <r>
          <rPr>
            <b/>
            <sz val="9"/>
            <color indexed="81"/>
            <rFont val="Tahoma"/>
            <family val="2"/>
          </rPr>
          <t>REVISION</t>
        </r>
        <r>
          <rPr>
            <sz val="9"/>
            <color indexed="81"/>
            <rFont val="Tahoma"/>
            <family val="2"/>
          </rPr>
          <t xml:space="preserve">                </t>
        </r>
        <r>
          <rPr>
            <b/>
            <sz val="9"/>
            <color indexed="81"/>
            <rFont val="Tahoma"/>
            <family val="2"/>
          </rPr>
          <t>SUBMISSION</t>
        </r>
        <r>
          <rPr>
            <sz val="9"/>
            <color indexed="81"/>
            <rFont val="Tahoma"/>
            <family val="2"/>
          </rPr>
          <t xml:space="preserve">
0                             FIRST SUBMISSION
1                            SECOND SUBMISSION
2                           THIRD SUBMISSION
3                           FOURTH SUBMISSION
etc,</t>
        </r>
        <r>
          <rPr>
            <b/>
            <sz val="9"/>
            <color indexed="81"/>
            <rFont val="Tahoma"/>
            <family val="2"/>
          </rPr>
          <t xml:space="preserve">
</t>
        </r>
        <r>
          <rPr>
            <sz val="9"/>
            <color indexed="81"/>
            <rFont val="Tahoma"/>
            <family val="2"/>
          </rPr>
          <t xml:space="preserve">
</t>
        </r>
      </text>
    </comment>
    <comment ref="B107" authorId="0" shapeId="0" xr:uid="{3685CF33-A6EE-4EAB-B996-C63CE4DC6497}">
      <text>
        <r>
          <rPr>
            <b/>
            <sz val="9"/>
            <color indexed="81"/>
            <rFont val="Tahoma"/>
            <family val="2"/>
          </rPr>
          <t xml:space="preserve">SUBMISSION
</t>
        </r>
        <r>
          <rPr>
            <sz val="9"/>
            <color indexed="81"/>
            <rFont val="Tahoma"/>
            <family val="2"/>
          </rPr>
          <t xml:space="preserve">Use the drop down menu to choose the correct submission. 
Submission refers to submission of the eSOW to a supplier, through a formal portal such as SAP Ariba. 
</t>
        </r>
        <r>
          <rPr>
            <b/>
            <sz val="9"/>
            <color indexed="81"/>
            <rFont val="Tahoma"/>
            <family val="2"/>
          </rPr>
          <t>DO NOT FILL IN THIS FEILD MANUALLY. USE THE DROP DOWN MENU AT ALL TIMES.</t>
        </r>
        <r>
          <rPr>
            <sz val="9"/>
            <color indexed="81"/>
            <rFont val="Tahoma"/>
            <family val="2"/>
          </rPr>
          <t xml:space="preserve">
The Submissions, and Revisions follow this order at all times;
REVISION                SUBMISSION</t>
        </r>
        <r>
          <rPr>
            <b/>
            <sz val="9"/>
            <color indexed="81"/>
            <rFont val="Tahoma"/>
            <family val="2"/>
          </rPr>
          <t xml:space="preserve">
0                           FIRST SUBMISSION
1                           SECOND SUBMISSION
2                           THIRD SUBMISSION
3                           FOURTH SUBMISSION
etc,
</t>
        </r>
        <r>
          <rPr>
            <sz val="9"/>
            <color indexed="81"/>
            <rFont val="Tahoma"/>
            <family val="2"/>
          </rPr>
          <t xml:space="preserve">
</t>
        </r>
      </text>
    </comment>
    <comment ref="D107" authorId="0" shapeId="0" xr:uid="{F1E104DC-E159-4607-97AB-1CC7FB704609}">
      <text>
        <r>
          <rPr>
            <b/>
            <sz val="9"/>
            <color indexed="81"/>
            <rFont val="Tahoma"/>
            <family val="2"/>
          </rPr>
          <t xml:space="preserve">DESCRIPTION OF CHANGES
</t>
        </r>
        <r>
          <rPr>
            <sz val="9"/>
            <color indexed="81"/>
            <rFont val="Tahoma"/>
            <family val="2"/>
          </rPr>
          <t xml:space="preserve">
Insert a list of changes to the document. 
</t>
        </r>
      </text>
    </comment>
    <comment ref="I107" authorId="0" shapeId="0" xr:uid="{EFE61D36-DFF9-4EA3-9C66-AD5E79805A46}">
      <text>
        <r>
          <rPr>
            <b/>
            <sz val="9"/>
            <color indexed="81"/>
            <rFont val="Tahoma"/>
            <family val="2"/>
          </rPr>
          <t xml:space="preserve">LE
</t>
        </r>
        <r>
          <rPr>
            <sz val="9"/>
            <color indexed="81"/>
            <rFont val="Tahoma"/>
            <family val="2"/>
          </rPr>
          <t>Insert the Lead Engineers CDSID</t>
        </r>
      </text>
    </comment>
    <comment ref="J107" authorId="0" shapeId="0" xr:uid="{E8EF67C7-A25B-458D-B64A-DE8E32420FBC}">
      <text>
        <r>
          <rPr>
            <b/>
            <sz val="9"/>
            <color indexed="81"/>
            <rFont val="Tahoma"/>
            <family val="2"/>
          </rPr>
          <t>GL
Insert the Group Leaders CDSID</t>
        </r>
        <r>
          <rPr>
            <sz val="9"/>
            <color indexed="81"/>
            <rFont val="Tahoma"/>
            <family val="2"/>
          </rPr>
          <t xml:space="preserve">
</t>
        </r>
      </text>
    </comment>
    <comment ref="K107" authorId="0" shapeId="0" xr:uid="{2B53FC49-5E6D-41CB-92D8-92A5F830DC42}">
      <text>
        <r>
          <rPr>
            <b/>
            <sz val="9"/>
            <color indexed="81"/>
            <rFont val="Tahoma"/>
            <family val="2"/>
          </rPr>
          <t xml:space="preserve">DATE
</t>
        </r>
        <r>
          <rPr>
            <sz val="9"/>
            <color indexed="81"/>
            <rFont val="Tahoma"/>
            <family val="2"/>
          </rPr>
          <t xml:space="preserve">Insert the date when the changes were made. 
</t>
        </r>
      </text>
    </comment>
    <comment ref="A120" authorId="0" shapeId="0" xr:uid="{5F38F3AE-DA47-4FB3-AAF7-CE34EB6F592A}">
      <text>
        <r>
          <rPr>
            <b/>
            <sz val="9"/>
            <color indexed="81"/>
            <rFont val="Tahoma"/>
            <family val="2"/>
          </rPr>
          <t xml:space="preserve">SUPPLIER CATEGORY
</t>
        </r>
        <r>
          <rPr>
            <sz val="9"/>
            <color indexed="81"/>
            <rFont val="Tahoma"/>
            <family val="2"/>
          </rPr>
          <t xml:space="preserve">This section provides short and detailed information about the different supplier categories. 
Detailed information on supplier categories are contained in NOTES in the fields in ROW 60 - 64.
A supplier category is important to define a RASIC. 
If you are unsure of a supplier category, you can contact the GSI Team directly for more advice and guidance. 
There is a LINK to the GSI SharePoint at Row 82.
</t>
        </r>
        <r>
          <rPr>
            <b/>
            <sz val="9"/>
            <color indexed="81"/>
            <rFont val="Tahoma"/>
            <family val="2"/>
          </rPr>
          <t xml:space="preserve">
 </t>
        </r>
        <r>
          <rPr>
            <sz val="9"/>
            <color indexed="81"/>
            <rFont val="Tahoma"/>
            <family val="2"/>
          </rPr>
          <t xml:space="preserve">
</t>
        </r>
      </text>
    </comment>
    <comment ref="A123" authorId="0" shapeId="0" xr:uid="{0029E3DF-6BAF-4A76-BD65-0AD98B23A8AA}">
      <text>
        <r>
          <rPr>
            <b/>
            <sz val="9"/>
            <color indexed="81"/>
            <rFont val="Tahoma"/>
            <family val="2"/>
          </rPr>
          <t xml:space="preserve">Engineering Service Provider (ESP):
</t>
        </r>
        <r>
          <rPr>
            <sz val="9"/>
            <color indexed="81"/>
            <rFont val="Tahoma"/>
            <family val="2"/>
          </rPr>
          <t xml:space="preserve">
An Engineering Service Provider is a supplier that provides any service or creative work, the adequate performance of which requires engineering education, training and  experience in the application of special knowledge of the mathematical, physical and engineering sciences to such services or creative work as consultation, investigation, evaluation, planning and design of engineering works and systems, engineering studies and the review of construction for the purpose of assuring substantial compliance with drawings and specifications.
Supplier has full design responsibility for the relevant systems / fixtures / tools / facilities in accordance with JLR Global Terms &amp; Conditions. 
This will include design responsibility for other tier one supplier components. Fully integrated supplier, interacting with Product Engineering, Vehicle Engineering or AME (Advanced Manufacturing Engineering) teams - may be part of vehicle programme/project teams. 
Will require on-site management. CoC Management is with the supplier. Supplier may have releasing responsibilities. Supplier owns issue resolution.
</t>
        </r>
      </text>
    </comment>
    <comment ref="A124" authorId="0" shapeId="0" xr:uid="{A072C175-7EC7-4047-B979-D9670AA225A3}">
      <text>
        <r>
          <rPr>
            <b/>
            <sz val="9"/>
            <color indexed="81"/>
            <rFont val="Tahoma"/>
            <family val="2"/>
          </rPr>
          <t xml:space="preserve">Full System Provider (Full System Supplier):
</t>
        </r>
        <r>
          <rPr>
            <sz val="9"/>
            <color indexed="81"/>
            <rFont val="Tahoma"/>
            <family val="2"/>
          </rPr>
          <t xml:space="preserve">A Full System Provider (Or Solutions Provider)  is a vendor, a service provider or a value-added reseller (VAR) that comprehensively handles the project needs of their client from concept to installation through support. 
This process normally involves studying the client's current infrastructure, evaluating the client's needs, specifying the mix of manufacturers' hardware and software required to meet project goals, installing the hardware and software at the client's site(s).
In many cases, the "solution" also includes on-going service and support from the VAR.
Supplier has full design responsibility for the relevant systems / fixtures / tools / facilities in accordance with JLR Global Terms &amp; Conditions. This will include design responsibility for other tier one supplier components. Fully integrated supplier, interacting with Product Engineering, Vehicle Engineering or AME (Advanced Manufacturing Engineering) teams. 
May require on-site management. CoC Management is with JLR. Supplier may have releasing responsibilities. Supplier owns issue resolution. A Full System Provider included CSS / Module Level.
</t>
        </r>
        <r>
          <rPr>
            <b/>
            <sz val="9"/>
            <color indexed="81"/>
            <rFont val="Tahoma"/>
            <family val="2"/>
          </rPr>
          <t xml:space="preserve">PSC CATEGORY 1: </t>
        </r>
        <r>
          <rPr>
            <sz val="9"/>
            <color indexed="81"/>
            <rFont val="Tahoma"/>
            <family val="2"/>
          </rPr>
          <t xml:space="preserve">
Strategic supplier development partnerships
&gt; Key strategic cross-carline commodities
&gt; GTDS new technology development commodities
&gt; Examples: New Engine, Infotainment, Trans, BISG
Parts pre-sourced ahead of &lt;PS&gt;
</t>
        </r>
        <r>
          <rPr>
            <b/>
            <sz val="9"/>
            <color indexed="81"/>
            <rFont val="Tahoma"/>
            <family val="2"/>
          </rPr>
          <t>PSC CATEGORY 2:</t>
        </r>
        <r>
          <rPr>
            <sz val="9"/>
            <color indexed="81"/>
            <rFont val="Tahoma"/>
            <family val="2"/>
          </rPr>
          <t xml:space="preserve">
Supplier LEADS the engineering
&gt; Supplier has significant input for industrialisation
&gt; Supplier’s technical input required for virtual series or design feasibility
Parts sourced in line with PCDS - SAD's agreed, SCPA's declared 16 weeks prior to PTCC
</t>
        </r>
        <r>
          <rPr>
            <b/>
            <sz val="9"/>
            <color indexed="81"/>
            <rFont val="Tahoma"/>
            <family val="2"/>
          </rPr>
          <t>OR</t>
        </r>
        <r>
          <rPr>
            <sz val="9"/>
            <color indexed="81"/>
            <rFont val="Tahoma"/>
            <family val="2"/>
          </rPr>
          <t xml:space="preserve">
Supplier LEADS the engineering
&gt; Supplier has significant input for industrialisation
&gt; Supplier’s technical input required for virtual series or design feasibility
Parts sourced in line with PCDS = SAD's agreed, SCPA's declared16 weeks prior to Mid UPV0
</t>
        </r>
      </text>
    </comment>
    <comment ref="A125" authorId="0" shapeId="0" xr:uid="{F75F542A-9DF8-4872-AA17-6F87AE43B073}">
      <text>
        <r>
          <rPr>
            <b/>
            <sz val="9"/>
            <color indexed="81"/>
            <rFont val="Tahoma"/>
            <family val="2"/>
          </rPr>
          <t xml:space="preserve">Assembly / Component Provider:
</t>
        </r>
        <r>
          <rPr>
            <sz val="9"/>
            <color indexed="81"/>
            <rFont val="Tahoma"/>
            <family val="2"/>
          </rPr>
          <t xml:space="preserve">
An Assembly or Component Provider is a supplier that provides components / fixtures and tools in accordance with JLR Global Terms &amp; Conditions. 
These are typically not full DSs or systems or complete tooling stations or facilities. Fully integrated supplier, interacting with Product Engineering, Vehicle Engineering or AME (Advanced Manufacturing Engineering) teams.
May not need to design in context of entire vehicle or surrounding Manufacturing facilities. May require onsite management. CoC Management is with JLR. 
The Supplier may or may not have releasing responsibilities. Supplier is responsible for issue resolution.
</t>
        </r>
        <r>
          <rPr>
            <b/>
            <sz val="9"/>
            <color indexed="81"/>
            <rFont val="Tahoma"/>
            <family val="2"/>
          </rPr>
          <t>PSC CATEGORY 2:</t>
        </r>
        <r>
          <rPr>
            <sz val="9"/>
            <color indexed="81"/>
            <rFont val="Tahoma"/>
            <family val="2"/>
          </rPr>
          <t xml:space="preserve">
Supplier LEADS the engineering
&gt; Supplier has significant input for industrialisation
&gt; Supplier’s technical input required for virtual series or design feasibility
Parts sourced in line with PCDS - SAD's agreed, SCPA's declared 16 weeks prior to PTCC
</t>
        </r>
      </text>
    </comment>
    <comment ref="A126" authorId="0" shapeId="0" xr:uid="{41A13FE8-DEAB-4339-B803-8222E50DB99E}">
      <text>
        <r>
          <rPr>
            <b/>
            <sz val="9"/>
            <color indexed="81"/>
            <rFont val="Tahoma"/>
            <family val="2"/>
          </rPr>
          <t xml:space="preserve">Consultancy Component Provider:
</t>
        </r>
        <r>
          <rPr>
            <sz val="9"/>
            <color indexed="81"/>
            <rFont val="Tahoma"/>
            <family val="2"/>
          </rPr>
          <t xml:space="preserve">
A Consultancy Component Supplier provides specialised expertise and consultation to support the industrialisation / manufacturing process.
Typically for "industrialisation support". JLR (other supplier) has full design responsibility for assemblies &amp; major components in respect of which the advise is provided except where the issue arises as a result of incorrect or negligent advice. Advisory supplier interaction with vehicle teams.
No onsite management required. Supplier does not have releasing responsibilities. JLR is responsible for issue resolution save to the extent that the issue arises as a result of incorrect or negligent advice. Supplier provides partial CAD models on request. Supplier provides manufacturing &amp; technical input.
</t>
        </r>
        <r>
          <rPr>
            <b/>
            <sz val="9"/>
            <color indexed="81"/>
            <rFont val="Tahoma"/>
            <family val="2"/>
          </rPr>
          <t xml:space="preserve">
PSC CATEGORY 3:</t>
        </r>
        <r>
          <rPr>
            <sz val="9"/>
            <color indexed="81"/>
            <rFont val="Tahoma"/>
            <family val="2"/>
          </rPr>
          <t xml:space="preserve">
Supplier SUPPORTS the engineering
&gt; Supplier has significant input for industrialisation
&gt; Supplier’s technical input is required to support virtual series
Parts sourced by mid point V1 - SAD's agreed, SCPA's declared16 weeks prior to Mid UNV</t>
        </r>
        <r>
          <rPr>
            <b/>
            <sz val="9"/>
            <color indexed="81"/>
            <rFont val="Tahoma"/>
            <family val="2"/>
          </rPr>
          <t xml:space="preserve">
</t>
        </r>
      </text>
    </comment>
    <comment ref="A127" authorId="0" shapeId="0" xr:uid="{101459C6-79EF-4CB8-853A-6F18B94E57E2}">
      <text>
        <r>
          <rPr>
            <b/>
            <sz val="9"/>
            <color indexed="81"/>
            <rFont val="Tahoma"/>
            <family val="2"/>
          </rPr>
          <t xml:space="preserve">Make To Print:
</t>
        </r>
        <r>
          <rPr>
            <sz val="9"/>
            <color indexed="81"/>
            <rFont val="Tahoma"/>
            <family val="2"/>
          </rPr>
          <t xml:space="preserve">
A Make To Print supplier provides parts / assemblies / tooling / facilities or software to a predefined specification and design.
The supplier does not provide any level of design except for limited industrialisation support. 
Carry over parts or JLR has design responsibility. No technical input from supplier.
</t>
        </r>
        <r>
          <rPr>
            <b/>
            <sz val="9"/>
            <color indexed="81"/>
            <rFont val="Tahoma"/>
            <family val="2"/>
          </rPr>
          <t>PSC CATEGORY 4:</t>
        </r>
        <r>
          <rPr>
            <sz val="9"/>
            <color indexed="81"/>
            <rFont val="Tahoma"/>
            <family val="2"/>
          </rPr>
          <t xml:space="preserve">
Make to Print (no or limited supplier technical input required)
Parts that require no supplier technical input for either geometry, functionality or industrialisation
&gt; Pure carry-over parts (by part number) where price negotiation is required
&gt; Design-to-Print parts
Parts sourced 6 weeks before &lt;PA&gt; or 18 weeks before &lt;FDJ&gt; - SAD's agreed, SCPA's declared16 weeks prior to PA - 6wks
</t>
        </r>
      </text>
    </comment>
    <comment ref="A129" authorId="0" shapeId="0" xr:uid="{00264BAF-D69B-46A3-805E-F6FA268A2469}">
      <text>
        <r>
          <rPr>
            <b/>
            <sz val="9"/>
            <color indexed="81"/>
            <rFont val="Tahoma"/>
            <family val="2"/>
          </rPr>
          <t xml:space="preserve">CORE APPLICATIONS
</t>
        </r>
        <r>
          <rPr>
            <sz val="9"/>
            <color indexed="81"/>
            <rFont val="Tahoma"/>
            <family val="2"/>
          </rPr>
          <t xml:space="preserve">This sections contains information about the rules and terms for suppliers about core applications and also a list of core applications. 
The </t>
        </r>
        <r>
          <rPr>
            <b/>
            <sz val="9"/>
            <color indexed="81"/>
            <rFont val="Tahoma"/>
            <family val="2"/>
          </rPr>
          <t>LEAD ENGINEER</t>
        </r>
        <r>
          <rPr>
            <sz val="9"/>
            <color indexed="81"/>
            <rFont val="Tahoma"/>
            <family val="2"/>
          </rPr>
          <t xml:space="preserve"> must decide which core applications AND/OR their respective processes are applicable to their sourcing project. 
This section is </t>
        </r>
        <r>
          <rPr>
            <b/>
            <sz val="9"/>
            <color indexed="81"/>
            <rFont val="Tahoma"/>
            <family val="2"/>
          </rPr>
          <t>MANDATORY</t>
        </r>
        <r>
          <rPr>
            <sz val="9"/>
            <color indexed="81"/>
            <rFont val="Tahoma"/>
            <family val="2"/>
          </rPr>
          <t xml:space="preserve"> and all fields in yellow must be completed by using the drop down menu. 
NOTE: If a supplier is required to follow the processes, but not the software tool for any given core application, you must still choose </t>
        </r>
        <r>
          <rPr>
            <b/>
            <sz val="9"/>
            <color indexed="81"/>
            <rFont val="Tahoma"/>
            <family val="2"/>
          </rPr>
          <t>"YES"</t>
        </r>
        <r>
          <rPr>
            <sz val="9"/>
            <color indexed="81"/>
            <rFont val="Tahoma"/>
            <family val="2"/>
          </rPr>
          <t xml:space="preserve"> in the </t>
        </r>
        <r>
          <rPr>
            <b/>
            <sz val="9"/>
            <color indexed="81"/>
            <rFont val="Tahoma"/>
            <family val="2"/>
          </rPr>
          <t>REQUIRED</t>
        </r>
        <r>
          <rPr>
            <sz val="9"/>
            <color indexed="81"/>
            <rFont val="Tahoma"/>
            <family val="2"/>
          </rPr>
          <t xml:space="preserve"> drop down column. 
</t>
        </r>
      </text>
    </comment>
    <comment ref="A146" authorId="0" shapeId="0" xr:uid="{15A9B15C-993B-4529-B0A4-C21EA2BC0B34}">
      <text>
        <r>
          <rPr>
            <b/>
            <sz val="9"/>
            <color indexed="81"/>
            <rFont val="Tahoma"/>
            <family val="2"/>
          </rPr>
          <t xml:space="preserve">GLOBAL SUPPLIER INTEGRATION
</t>
        </r>
        <r>
          <rPr>
            <sz val="9"/>
            <color indexed="81"/>
            <rFont val="Tahoma"/>
            <family val="2"/>
          </rPr>
          <t xml:space="preserve">If you are unsure about enerjyhub registrations, supplier categories or supplier onboarding then click the link to the GSI SharePoint and reach out to the GSI team for support, before you submit your eSOW for SBR 2.
</t>
        </r>
      </text>
    </comment>
    <comment ref="A147" authorId="0" shapeId="0" xr:uid="{B96D9C9D-63ED-44C4-9FFE-4A24BC735D17}">
      <text>
        <r>
          <rPr>
            <b/>
            <sz val="9"/>
            <color indexed="81"/>
            <rFont val="Tahoma"/>
            <family val="2"/>
          </rPr>
          <t xml:space="preserve">ONBOARDING REQUIREMENTS
</t>
        </r>
        <r>
          <rPr>
            <sz val="9"/>
            <color indexed="81"/>
            <rFont val="Tahoma"/>
            <family val="2"/>
          </rPr>
          <t xml:space="preserve">Currently, registration to ENERJYHUB is </t>
        </r>
        <r>
          <rPr>
            <b/>
            <sz val="9"/>
            <color indexed="81"/>
            <rFont val="Tahoma"/>
            <family val="2"/>
          </rPr>
          <t>mandatory</t>
        </r>
        <r>
          <rPr>
            <sz val="9"/>
            <color indexed="81"/>
            <rFont val="Tahoma"/>
            <family val="2"/>
          </rPr>
          <t xml:space="preserve"> for all new and existing suppliers. To deviate from this, contact the GSI team directly. 
You should contact the GSI team before your SBR 2 event if you need support. </t>
        </r>
      </text>
    </comment>
    <comment ref="A149" authorId="0" shapeId="0" xr:uid="{D5B9DA9B-2B07-4132-97E0-3853072778EB}">
      <text>
        <r>
          <rPr>
            <b/>
            <sz val="9"/>
            <color indexed="81"/>
            <rFont val="Tahoma"/>
            <family val="2"/>
          </rPr>
          <t xml:space="preserve">CHANGES AND DEVIATIONS
</t>
        </r>
        <r>
          <rPr>
            <sz val="9"/>
            <color indexed="81"/>
            <rFont val="Tahoma"/>
            <family val="2"/>
          </rPr>
          <t xml:space="preserve">This section outlines the applicable routes for change and deviation. 
</t>
        </r>
        <r>
          <rPr>
            <b/>
            <sz val="9"/>
            <color indexed="81"/>
            <rFont val="Tahoma"/>
            <family val="2"/>
          </rPr>
          <t>NOTE:</t>
        </r>
        <r>
          <rPr>
            <sz val="9"/>
            <color indexed="81"/>
            <rFont val="Tahoma"/>
            <family val="2"/>
          </rPr>
          <t xml:space="preserve"> This excel NOTE is designed to provide the JLR engineer with information about the deviation paths and processes. For a full understanding of the correct deviation and change processes before SCPA and POST SCPA, speak to your buyer directly. </t>
        </r>
        <r>
          <rPr>
            <b/>
            <sz val="9"/>
            <color indexed="81"/>
            <rFont val="Tahoma"/>
            <family val="2"/>
          </rPr>
          <t xml:space="preserve">
MAKING CHANGES TO THE ESOW BEFORE SCPA
</t>
        </r>
        <r>
          <rPr>
            <sz val="9"/>
            <color indexed="81"/>
            <rFont val="Tahoma"/>
            <family val="2"/>
          </rPr>
          <t xml:space="preserve">The Lead Engineer is expected to make changes to the eSOW document throughout the sourcing window. All Changes shall be recorded in the eSOW Save all copies of every submission /  revision of your eSOW. Record all relevant and up to date information in an eSOW. 
You do not need to use Side letters or supplemental terms and conditions to capture changes in the eSOW through the sourcing window. 
</t>
        </r>
        <r>
          <rPr>
            <b/>
            <sz val="9"/>
            <color indexed="81"/>
            <rFont val="Tahoma"/>
            <family val="2"/>
          </rPr>
          <t>MAKING CHANGES TO THE CONTRACTUAL WORKSPACE BEFORE SCPA</t>
        </r>
        <r>
          <rPr>
            <sz val="9"/>
            <color indexed="81"/>
            <rFont val="Tahoma"/>
            <family val="2"/>
          </rPr>
          <t xml:space="preserve">
Consult with your Buyer and purchasing leaders. Use Side letters and Supplemental terms and conditions to capture contractual changes if the information cannot be recorded in the eSOW.
</t>
        </r>
        <r>
          <rPr>
            <b/>
            <sz val="9"/>
            <color indexed="81"/>
            <rFont val="Tahoma"/>
            <family val="2"/>
          </rPr>
          <t>MAKING CHANGES AFTER THE SCPA IS SIGNED</t>
        </r>
        <r>
          <rPr>
            <sz val="9"/>
            <color indexed="81"/>
            <rFont val="Tahoma"/>
            <family val="2"/>
          </rPr>
          <t xml:space="preserve">
Use the official supplier change request portals (incl. ECR and DCR.) Once the eSOW is signed, it becomes locked and cannot be changed.  
</t>
        </r>
        <r>
          <rPr>
            <b/>
            <sz val="9"/>
            <color indexed="81"/>
            <rFont val="Tahoma"/>
            <family val="2"/>
          </rPr>
          <t>USING A DIFFERENT ESOW</t>
        </r>
        <r>
          <rPr>
            <sz val="9"/>
            <color indexed="81"/>
            <rFont val="Tahoma"/>
            <family val="2"/>
          </rPr>
          <t xml:space="preserve">
There is only one authorised eSOW for sourcing projects; JLR-TMP-557249. If you wish to use a different eSOW, you must discuss with the GSP Team to decide if you can deviate from the sourcing process.
</t>
        </r>
      </text>
    </comment>
    <comment ref="A161" authorId="0" shapeId="0" xr:uid="{840C297A-11BD-4CD2-885A-67DD4BCBFCBE}">
      <text>
        <r>
          <rPr>
            <b/>
            <sz val="9"/>
            <color indexed="81"/>
            <rFont val="Tahoma"/>
            <family val="2"/>
          </rPr>
          <t xml:space="preserve">CHANGE MANAGEMENT INFORMATION
</t>
        </r>
        <r>
          <rPr>
            <sz val="9"/>
            <color indexed="81"/>
            <rFont val="Tahoma"/>
            <family val="2"/>
          </rPr>
          <t>This section defines all aspects of change management relating to a sourcing project. Design and engineering requirements can change due to a range of contributing factors both during and after the sourcing process and after the Job#1 milestone.</t>
        </r>
        <r>
          <rPr>
            <b/>
            <sz val="9"/>
            <color indexed="81"/>
            <rFont val="Tahoma"/>
            <family val="2"/>
          </rPr>
          <t xml:space="preserve">
NOTE:</t>
        </r>
        <r>
          <rPr>
            <sz val="9"/>
            <color indexed="81"/>
            <rFont val="Tahoma"/>
            <family val="2"/>
          </rPr>
          <t xml:space="preserve"> This section is for information to the supplier. The Lead Engineer does not need to change / fill out any fields in this section
This section captures all relevant information for Parts Development, ED&amp;T and permissible change in one single place. 
</t>
        </r>
      </text>
    </comment>
    <comment ref="A188" authorId="0" shapeId="0" xr:uid="{1FC092CF-E7B3-4AA4-ADC5-C58CBED1F693}">
      <text>
        <r>
          <rPr>
            <b/>
            <sz val="9"/>
            <color indexed="81"/>
            <rFont val="Tahoma"/>
            <family val="2"/>
          </rPr>
          <t>WARRANTY</t>
        </r>
        <r>
          <rPr>
            <sz val="9"/>
            <color indexed="81"/>
            <rFont val="Tahoma"/>
            <family val="2"/>
          </rPr>
          <t xml:space="preserve">
</t>
        </r>
        <r>
          <rPr>
            <b/>
            <sz val="9"/>
            <color indexed="81"/>
            <rFont val="Tahoma"/>
            <family val="2"/>
          </rPr>
          <t>NOTE:</t>
        </r>
        <r>
          <rPr>
            <sz val="9"/>
            <color indexed="81"/>
            <rFont val="Tahoma"/>
            <family val="2"/>
          </rPr>
          <t xml:space="preserve"> This section is for information to the supplier. The Lead Engineer does not need to change / fill out any fields in this section
This section captures all relevant information for the warranty terms and conditions associated with the purchase of supplier parts. 
This information must not be deleted / changed by the Lead Engineer. 
For information or guidance, contact Dave Beadle.
</t>
        </r>
      </text>
    </comment>
    <comment ref="A190" authorId="0" shapeId="0" xr:uid="{D444AD82-C152-48F8-9C6A-BC5EC8506562}">
      <text>
        <r>
          <rPr>
            <b/>
            <sz val="9"/>
            <color indexed="81"/>
            <rFont val="Tahoma"/>
            <family val="2"/>
          </rPr>
          <t>SUPPLIER BEHAVIOURS</t>
        </r>
        <r>
          <rPr>
            <sz val="9"/>
            <color indexed="81"/>
            <rFont val="Tahoma"/>
            <family val="2"/>
          </rPr>
          <t xml:space="preserve">
</t>
        </r>
        <r>
          <rPr>
            <b/>
            <sz val="9"/>
            <color indexed="81"/>
            <rFont val="Tahoma"/>
            <family val="2"/>
          </rPr>
          <t>NOTE:</t>
        </r>
        <r>
          <rPr>
            <sz val="9"/>
            <color indexed="81"/>
            <rFont val="Tahoma"/>
            <family val="2"/>
          </rPr>
          <t xml:space="preserve"> This section is for information to the supplier. The Lead Engineer does not need to change / fill out any fields in this section
This section provides greater clarity and focus to the suppliers with regards to supplier behaviour before SCPA and after the SCPA is signed. This information is presented in accordance with Global Terms and Conditions.  
Refer to the Global Terms and Conditions for more information on Supplier Behaviours.</t>
        </r>
      </text>
    </comment>
    <comment ref="A192" authorId="0" shapeId="0" xr:uid="{F319B284-DFAA-4C15-A0C3-0B4E3DA0DE79}">
      <text>
        <r>
          <rPr>
            <b/>
            <sz val="9"/>
            <color indexed="81"/>
            <rFont val="Tahoma"/>
            <family val="2"/>
          </rPr>
          <t>RESOURCE</t>
        </r>
        <r>
          <rPr>
            <sz val="9"/>
            <color indexed="81"/>
            <rFont val="Tahoma"/>
            <family val="2"/>
          </rPr>
          <t xml:space="preserve">
</t>
        </r>
        <r>
          <rPr>
            <b/>
            <sz val="9"/>
            <color indexed="81"/>
            <rFont val="Tahoma"/>
            <family val="2"/>
          </rPr>
          <t>NOTE:</t>
        </r>
        <r>
          <rPr>
            <sz val="9"/>
            <color indexed="81"/>
            <rFont val="Tahoma"/>
            <family val="2"/>
          </rPr>
          <t xml:space="preserve"> This section is for information to the supplier. The Lead Engineer does not need to change / fill out any fields in this section
This section provides greater clarity and focus to the suppliers with regards to sourcing and resource management. This information is presented in accordance with Global Terms and Conditions. 
The Skills Matrix / List of Supplier Skills is captures in the PROJECT MANAGEMENT Tab. </t>
        </r>
      </text>
    </comment>
    <comment ref="A194" authorId="0" shapeId="0" xr:uid="{6B7844A0-49E4-4205-AC44-4315EC609D14}">
      <text>
        <r>
          <rPr>
            <b/>
            <sz val="9"/>
            <color indexed="81"/>
            <rFont val="Tahoma"/>
            <family val="2"/>
          </rPr>
          <t xml:space="preserve">ORDER OF PRECEDENCE
</t>
        </r>
        <r>
          <rPr>
            <sz val="9"/>
            <color indexed="81"/>
            <rFont val="Tahoma"/>
            <family val="2"/>
          </rPr>
          <t xml:space="preserve">This section define the documentation hierarchy for your sourcing project. 
There a range a range of document which sit above and below the "power" of the eSOW. 
It is important to note that the Engineering Statement of Work will always sit above, and hold more authority, than any other statement of work including warranty, service, software. 
All other statement of work documents are classed as Supplemental Statement Of Work (eSOW). You can find more information about sSOWs in Appendix C. Support Documents. 
This order of precedence is in accordance with the Global Terms and Conditions. </t>
        </r>
      </text>
    </comment>
    <comment ref="A204" authorId="0" shapeId="0" xr:uid="{D744B35C-1AEA-4BA5-BF26-E99A3015B36F}">
      <text>
        <r>
          <rPr>
            <b/>
            <sz val="9"/>
            <color indexed="81"/>
            <rFont val="Tahoma"/>
            <family val="2"/>
          </rPr>
          <t xml:space="preserve">PROJECT MANAGEMENT
NOTE: This section is for information to the supplier. The Lead Engineer does not need to change / fill out any fields in this section.
</t>
        </r>
        <r>
          <rPr>
            <sz val="9"/>
            <color indexed="81"/>
            <rFont val="Tahoma"/>
            <family val="2"/>
          </rPr>
          <t>This section contains a range of information relating to project governance, joint processes and project management. It's purpose is to create a level of expectation of the supplier once work begins. 
To create a project collaboration plan or define more detailed project management rules then</t>
        </r>
        <r>
          <rPr>
            <b/>
            <sz val="9"/>
            <color indexed="81"/>
            <rFont val="Tahoma"/>
            <family val="2"/>
          </rPr>
          <t xml:space="preserve"> use Appendix E. Project Collaboration </t>
        </r>
        <r>
          <rPr>
            <sz val="9"/>
            <color indexed="81"/>
            <rFont val="Tahoma"/>
            <family val="2"/>
          </rPr>
          <t xml:space="preserve">tab. 
</t>
        </r>
      </text>
    </comment>
    <comment ref="A209" authorId="0" shapeId="0" xr:uid="{EAE1FE1E-5823-40CD-B52E-720BA64DE15A}">
      <text>
        <r>
          <rPr>
            <b/>
            <sz val="9"/>
            <color indexed="81"/>
            <rFont val="Tahoma"/>
            <family val="2"/>
          </rPr>
          <t xml:space="preserve">Conformity of Production. 
</t>
        </r>
        <r>
          <rPr>
            <sz val="9"/>
            <color indexed="81"/>
            <rFont val="Tahoma"/>
            <family val="2"/>
          </rPr>
          <t xml:space="preserve">This information was previously captured as an eSOW Attachment and held within JLR Way. 
It was decided that the CoP information shall be mandatory for every sourcing project. 
The Lead Engineer does not need to add any information or gather other documents from JLR way to support the CoP requirements as they are now captured directly in the eSOW. 
</t>
        </r>
      </text>
    </comment>
    <comment ref="A222" authorId="0" shapeId="0" xr:uid="{3F3F394D-9BE5-43A5-9B4D-C08CC6E5EB22}">
      <text>
        <r>
          <rPr>
            <b/>
            <sz val="9"/>
            <color indexed="81"/>
            <rFont val="Tahoma"/>
            <family val="2"/>
          </rPr>
          <t xml:space="preserve">GLOBAL SAFETY AND COMPLIANCE
</t>
        </r>
        <r>
          <rPr>
            <sz val="9"/>
            <color indexed="81"/>
            <rFont val="Tahoma"/>
            <family val="2"/>
          </rPr>
          <t xml:space="preserve">This information was previously captured as an eSOW Attachment and held within JLR Way. 
It was decided that the Global Safety Compliance and Type Approval  information shall be mandatory for every sourcing project. 
The Lead Engineer does not need to add any information or gather other documents from JLR way to support these requirements as they are now captured directly in the eSOW. 
</t>
        </r>
      </text>
    </comment>
    <comment ref="A237" authorId="0" shapeId="0" xr:uid="{060A3195-A0FC-4F6E-A1AE-60F1D78699C7}">
      <text>
        <r>
          <rPr>
            <b/>
            <sz val="9"/>
            <color indexed="81"/>
            <rFont val="Tahoma"/>
            <family val="2"/>
          </rPr>
          <t xml:space="preserve">GLOBAL SAFETY AND COMPLIANCE
</t>
        </r>
        <r>
          <rPr>
            <sz val="9"/>
            <color indexed="81"/>
            <rFont val="Tahoma"/>
            <family val="2"/>
          </rPr>
          <t xml:space="preserve">This information was previously captured as an eSOW Attachment and held within JLR Way. 
It was decided that the Global Safety Compliance and Type Approval  information shall be mandatory for every sourcing project. 
The Lead Engineer does not need to add any information or gather other documents from JLR way to support these requirements as they are now captured directly in the eSOW.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MacRae, Phil (P.)</author>
  </authors>
  <commentList>
    <comment ref="A1" authorId="0" shapeId="0" xr:uid="{9BB06122-4755-425D-9932-1FB8734E445C}">
      <text>
        <r>
          <rPr>
            <b/>
            <sz val="9"/>
            <color indexed="81"/>
            <rFont val="Tahoma"/>
            <family val="2"/>
          </rPr>
          <t xml:space="preserve">Environmental Recycling Requirements
</t>
        </r>
        <r>
          <rPr>
            <sz val="9"/>
            <color indexed="81"/>
            <rFont val="Tahoma"/>
            <family val="2"/>
          </rPr>
          <t xml:space="preserve">This section contains all the information from the previous eSOW attachment JLR-HTG-551209 
ESOW ATTACHMENT B03 - ENVIRONMENTAL &amp; RECYCLING (VERSION 10) 
The Lead Engineer does not need to complete any field in this section, however they must be aware of the recycling, environmental and sustainability requirements at JLR. 
For more guidance and advice, refer to the Sustainability Team.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MacRae, Phil (P.)</author>
  </authors>
  <commentList>
    <comment ref="A6" authorId="0" shapeId="0" xr:uid="{2252478A-D5D8-4BA7-8D8F-1AD56BD69973}">
      <text>
        <r>
          <rPr>
            <b/>
            <sz val="9"/>
            <color indexed="81"/>
            <rFont val="Tahoma"/>
            <family val="2"/>
          </rPr>
          <t xml:space="preserve">VEHICLE INFORMATION
</t>
        </r>
        <r>
          <rPr>
            <sz val="9"/>
            <color indexed="81"/>
            <rFont val="Tahoma"/>
            <family val="2"/>
          </rPr>
          <t xml:space="preserve">This section is </t>
        </r>
        <r>
          <rPr>
            <b/>
            <sz val="9"/>
            <color indexed="81"/>
            <rFont val="Tahoma"/>
            <family val="2"/>
          </rPr>
          <t>MANDATORY</t>
        </r>
        <r>
          <rPr>
            <sz val="9"/>
            <color indexed="81"/>
            <rFont val="Tahoma"/>
            <family val="2"/>
          </rPr>
          <t xml:space="preserve"> and must be completed. 
This section contains the information relating to the vehicle, including manufacturing locations, vehicle codes, volumes and codes. 
Contact your buyer to obtain the necessary information for this section. 
NOTE: The Lead Engineer is responsible for all information contained within the engineering statement of work and is responsible to make sure that all information, from third party sources is accurate before input into the eSOW. 
</t>
        </r>
      </text>
    </comment>
    <comment ref="A26" authorId="0" shapeId="0" xr:uid="{1CE34155-B492-4810-9E48-D74245A27D7C}">
      <text>
        <r>
          <rPr>
            <b/>
            <sz val="9"/>
            <color indexed="81"/>
            <rFont val="Tahoma"/>
            <family val="2"/>
          </rPr>
          <t xml:space="preserve">Programme Timings
</t>
        </r>
        <r>
          <rPr>
            <sz val="9"/>
            <color indexed="81"/>
            <rFont val="Tahoma"/>
            <family val="2"/>
          </rPr>
          <t>This section defines programme timings and requires input from the Lead Engineer. 
All programmes should use PCDS v4 unless stated otherwise.</t>
        </r>
        <r>
          <rPr>
            <b/>
            <sz val="9"/>
            <color indexed="81"/>
            <rFont val="Tahoma"/>
            <family val="2"/>
          </rPr>
          <t xml:space="preserve"> 
</t>
        </r>
        <r>
          <rPr>
            <sz val="9"/>
            <color indexed="81"/>
            <rFont val="Tahoma"/>
            <family val="2"/>
          </rPr>
          <t xml:space="preserve">The Lead Engineer is expected to complete the VEHICLE PROGRAMME FRAMEWORK matrix with the correct / expected dates for each gateway and milestone and include any relevant notes. 
This is to create a clear benchmark for deliverables before sourcing. 
It is expected that other VPF documents will be submitted for sourcing and after sourcing if dates / program timings change, however the supplier I only required to sign the eSOW with regards to programme timings. </t>
        </r>
      </text>
    </comment>
    <comment ref="A31" authorId="0" shapeId="0" xr:uid="{4C890925-DEE2-4B9B-AD2E-0C43CC4438DF}">
      <text>
        <r>
          <rPr>
            <b/>
            <sz val="9"/>
            <color indexed="81"/>
            <rFont val="Tahoma"/>
            <family val="2"/>
          </rPr>
          <t xml:space="preserve">VEHICLE PROGRAMME FRAMEWORK
</t>
        </r>
        <r>
          <rPr>
            <sz val="9"/>
            <color indexed="81"/>
            <rFont val="Tahoma"/>
            <family val="2"/>
          </rPr>
          <t xml:space="preserve">The Lead Engineer is expected to complete the VEHICLE PROGRAMME FRAMEWORK matrix with the correct / expected dates for each gateway and milestone and include any relevant notes. 
This is to create a clear benchmark for deliverables before sourcing. 
It is expected that other VPF documents will be submitted for sourcing and after sourcing if dates / program timings change, however the supplier I only required to sign the eSOW with regards to programme timings. </t>
        </r>
      </text>
    </comment>
    <comment ref="A51" authorId="0" shapeId="0" xr:uid="{C97F426F-CBD1-4E0E-B96B-13DAA16CF0A1}">
      <text>
        <r>
          <rPr>
            <b/>
            <sz val="9"/>
            <color indexed="81"/>
            <rFont val="Tahoma"/>
            <family val="2"/>
          </rPr>
          <t xml:space="preserve">Bespoke Timing Requirements
</t>
        </r>
        <r>
          <rPr>
            <sz val="9"/>
            <color indexed="81"/>
            <rFont val="Tahoma"/>
            <family val="2"/>
          </rPr>
          <t xml:space="preserve">
Use this section to define any bespoke timing requirements for your sourcing project. You can refer to supporting documents if there is more detailed information needed.
Make sure to capture all supporting documents in Appendix. C. Support Documents </t>
        </r>
      </text>
    </comment>
    <comment ref="A55" authorId="0" shapeId="0" xr:uid="{75958DA7-46F1-4380-AB20-F00D35621FAF}">
      <text>
        <r>
          <rPr>
            <b/>
            <sz val="9"/>
            <color indexed="81"/>
            <rFont val="Tahoma"/>
            <family val="2"/>
          </rPr>
          <t xml:space="preserve">Skills and Competencies
</t>
        </r>
        <r>
          <rPr>
            <sz val="9"/>
            <color indexed="81"/>
            <rFont val="Tahoma"/>
            <family val="2"/>
          </rPr>
          <t xml:space="preserve">This section allows the Lead Engineer and any other stakeholder to decide which skills / expertise the supplier resources must have in order to support the project, and also to define the JLR Expectation on the supplier. 
For Example, you may need an supplier to be able to use CATIA V5, but you wish to state which areas of expertise within CATIA are necessary.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MacRae, Phil (P.)</author>
  </authors>
  <commentList>
    <comment ref="A8" authorId="0" shapeId="0" xr:uid="{6BEBDF7B-2C67-4AD6-9B6F-9C474056E9A6}">
      <text>
        <r>
          <rPr>
            <sz val="9"/>
            <color indexed="81"/>
            <rFont val="Tahoma"/>
            <family val="2"/>
          </rPr>
          <t xml:space="preserve">Explain the commodity and its relationship to the programme - Explain its function - explain the need for a sourcing project - explain the expectation of the supplier - explain how the supplier deliverables will be used to meet the programme objectives.
</t>
        </r>
      </text>
    </comment>
    <comment ref="A11" authorId="0" shapeId="0" xr:uid="{DA98B907-F29A-405A-B31E-4FAAD381962B}">
      <text>
        <r>
          <rPr>
            <sz val="9"/>
            <color indexed="81"/>
            <rFont val="Tahoma"/>
            <family val="2"/>
          </rPr>
          <t xml:space="preserve">Describe system overview. NOTE: You can refer to a PDS if the information is contained there.
Expand this field and/or refer to standards or documents if needed.
E.g.: System overview, system applications and interfaces, expected outcomes and technical deliverables, etc. 
</t>
        </r>
      </text>
    </comment>
    <comment ref="A14" authorId="0" shapeId="0" xr:uid="{907A5B37-69B4-4D82-BFEE-0986F7DE1F8F}">
      <text>
        <r>
          <rPr>
            <sz val="9"/>
            <color indexed="81"/>
            <rFont val="Tahoma"/>
            <family val="2"/>
          </rPr>
          <t xml:space="preserve">If applicable, describe system context and interactions. NOTE: You can refer to a PDS if the information is contained there.
Expand this field and/or refer to standards or documents if needed.
E.g.: List of peripherals of interaction its context.
</t>
        </r>
      </text>
    </comment>
    <comment ref="A17" authorId="0" shapeId="0" xr:uid="{74B7D12E-E891-47A5-8CD6-F53C04B941A3}">
      <text>
        <r>
          <rPr>
            <sz val="9"/>
            <color indexed="81"/>
            <rFont val="Tahoma"/>
            <family val="2"/>
          </rPr>
          <t xml:space="preserve">If applicable, describe system behaviours. NOTE: You can refer to a PDS if the information is contained there.
Expand this field and/or refer to standards or documents if needed.
E.g.: How the component/system shall behave in certain conditions and specific cases.
</t>
        </r>
      </text>
    </comment>
    <comment ref="A20" authorId="0" shapeId="0" xr:uid="{910B273A-D25C-4DB1-86AA-4861EF0BDA1A}">
      <text>
        <r>
          <rPr>
            <sz val="9"/>
            <color indexed="81"/>
            <rFont val="Tahoma"/>
            <family val="2"/>
          </rPr>
          <t xml:space="preserve">If applicable, describe use cases or scenarios. NOTE: You can refer to a PDS if the information is contained there.
Expand this field and/or refer to standards or documents if needed.
E.g.: common and Specific and/or extreme operation conditions in which the system shall be fully operational.
</t>
        </r>
      </text>
    </comment>
    <comment ref="A22" authorId="0" shapeId="0" xr:uid="{84D523F5-66CA-448D-B821-F416FA6B1FF3}">
      <text>
        <r>
          <rPr>
            <b/>
            <sz val="9"/>
            <color indexed="81"/>
            <rFont val="Tahoma"/>
            <family val="2"/>
          </rPr>
          <t xml:space="preserve">TECHNICAL TARGETS AND ATTRIBUTES
</t>
        </r>
        <r>
          <rPr>
            <sz val="9"/>
            <color indexed="81"/>
            <rFont val="Tahoma"/>
            <family val="2"/>
          </rPr>
          <t xml:space="preserve">Use this section to define any of the 18 technical attributes and their targets at JLR. Include any classification, scoring or notes relevant to the attribute. 
</t>
        </r>
      </text>
    </comment>
    <comment ref="A51" authorId="0" shapeId="0" xr:uid="{E5574515-08C9-484C-977C-3F4D64AD1400}">
      <text>
        <r>
          <rPr>
            <b/>
            <sz val="9"/>
            <color indexed="81"/>
            <rFont val="Tahoma"/>
            <family val="2"/>
          </rPr>
          <t xml:space="preserve">DIAGRAMS
Use this section to create function and boundary diagrams. 
</t>
        </r>
        <r>
          <rPr>
            <sz val="9"/>
            <color indexed="81"/>
            <rFont val="Tahoma"/>
            <family val="2"/>
          </rPr>
          <t xml:space="preserve">If this section cannot demonstrate your system to a suitable level, you can create your own diagrams and append them to this eSOW and the RFQ Pack.
All appended diagrams, documents and vision files must be recorded in Appendix C. Support Documents
</t>
        </r>
      </text>
    </comment>
    <comment ref="A58" authorId="0" shapeId="0" xr:uid="{C9BDA05D-D8A8-47E2-98E8-D14CB71FFE89}">
      <text>
        <r>
          <rPr>
            <b/>
            <sz val="9"/>
            <color indexed="81"/>
            <rFont val="Tahoma"/>
            <family val="2"/>
          </rPr>
          <t>MacRae, Phil (P.):</t>
        </r>
        <r>
          <rPr>
            <sz val="9"/>
            <color indexed="81"/>
            <rFont val="Tahoma"/>
            <family val="2"/>
          </rPr>
          <t xml:space="preserve">
</t>
        </r>
      </text>
    </comment>
    <comment ref="D60" authorId="0" shapeId="0" xr:uid="{9E76054B-3AEE-4E1D-B216-DC6AE5737265}">
      <text>
        <r>
          <rPr>
            <b/>
            <sz val="9"/>
            <color indexed="81"/>
            <rFont val="Tahoma"/>
            <family val="2"/>
          </rPr>
          <t xml:space="preserve">APPLICABILITY
</t>
        </r>
        <r>
          <rPr>
            <sz val="9"/>
            <color indexed="81"/>
            <rFont val="Tahoma"/>
            <family val="2"/>
          </rPr>
          <t>State which commodity documents are applicable for this sourcing project. 
You must append all applicable documents to the your RFC Pack for SBR 2 submission, and record all documents in Appendix C. Support Documents</t>
        </r>
      </text>
    </comment>
    <comment ref="E60" authorId="0" shapeId="0" xr:uid="{02552F2F-FE70-4F9C-9FC8-A69C97914C9B}">
      <text>
        <r>
          <rPr>
            <b/>
            <sz val="9"/>
            <color indexed="81"/>
            <rFont val="Tahoma"/>
            <family val="2"/>
          </rPr>
          <t xml:space="preserve">MATERIAL LEVEL
DO NOT CHANGE THESE NUMBERS
</t>
        </r>
        <r>
          <rPr>
            <sz val="9"/>
            <color indexed="81"/>
            <rFont val="Tahoma"/>
            <family val="2"/>
          </rPr>
          <t>This field relates to the material level for each commodity document. Refer to column H - K for material number information</t>
        </r>
      </text>
    </comment>
    <comment ref="F60" authorId="0" shapeId="0" xr:uid="{6622C43D-CED1-40A6-9BB9-ED3C47F4FD44}">
      <text>
        <r>
          <rPr>
            <b/>
            <sz val="9"/>
            <color indexed="81"/>
            <rFont val="Tahoma"/>
            <family val="2"/>
          </rPr>
          <t xml:space="preserve">REVISIONS
</t>
        </r>
        <r>
          <rPr>
            <sz val="9"/>
            <color indexed="81"/>
            <rFont val="Tahoma"/>
            <family val="2"/>
          </rPr>
          <t xml:space="preserve">The Revision of the document AT THE TIME of the eSOW Submission and acceptance by the supplier and the JLR Engineer. </t>
        </r>
      </text>
    </comment>
    <comment ref="G60" authorId="0" shapeId="0" xr:uid="{2D60D774-EF30-4250-8626-A43138976C7D}">
      <text>
        <r>
          <rPr>
            <b/>
            <sz val="9"/>
            <color indexed="81"/>
            <rFont val="Tahoma"/>
            <family val="2"/>
          </rPr>
          <t xml:space="preserve">DATE
</t>
        </r>
        <r>
          <rPr>
            <sz val="9"/>
            <color indexed="81"/>
            <rFont val="Tahoma"/>
            <family val="2"/>
          </rPr>
          <t xml:space="preserve">Record the date from when the document is VALID FROM.
If your document is out of date or no longer valid, then the commodity document must be updated before the eSOW submission. </t>
        </r>
      </text>
    </comment>
    <comment ref="A81" authorId="0" shapeId="0" xr:uid="{3A23CF08-CCA2-4679-B4C0-6E9142E4A095}">
      <text>
        <r>
          <rPr>
            <sz val="9"/>
            <color indexed="81"/>
            <rFont val="Tahoma"/>
            <family val="2"/>
          </rPr>
          <t xml:space="preserve">List of most common warranty claims for the given system / commodity
</t>
        </r>
      </text>
    </comment>
    <comment ref="A84" authorId="0" shapeId="0" xr:uid="{3D536E3F-1628-4E53-AF3F-DF1E57C189C8}">
      <text>
        <r>
          <rPr>
            <sz val="9"/>
            <color indexed="81"/>
            <rFont val="Tahoma"/>
            <family val="2"/>
          </rPr>
          <t xml:space="preserve">Strategy to focus on resolving common warranty claims. Assumptions to be taken into account by the supplier to guarantee common warranty issues for the given system will be resolved.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MacRae, Phil (P.)</author>
  </authors>
  <commentList>
    <comment ref="A38" authorId="0" shapeId="0" xr:uid="{A1990CC2-CEEC-48CE-A99F-4C5D64CF1295}">
      <text>
        <r>
          <rPr>
            <b/>
            <sz val="9"/>
            <color indexed="81"/>
            <rFont val="Tahoma"/>
            <family val="2"/>
          </rPr>
          <t>EXAMPLE:
CFD analysis of flow in HVAC ducting for a packaging study).</t>
        </r>
        <r>
          <rPr>
            <sz val="9"/>
            <color indexed="81"/>
            <rFont val="Tahoma"/>
            <family val="2"/>
          </rPr>
          <t xml:space="preserve">
</t>
        </r>
      </text>
    </comment>
    <comment ref="A39" authorId="0" shapeId="0" xr:uid="{C6D63A9B-D508-41E0-BAAE-B6FD128CB2B0}">
      <text>
        <r>
          <rPr>
            <b/>
            <sz val="9"/>
            <color indexed="81"/>
            <rFont val="Tahoma"/>
            <family val="2"/>
          </rPr>
          <t xml:space="preserve">EXAMPLE:
 Analysis result, working model, mesh, 3D geometry for CAE, control function.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MacRae, Phil (P.)</author>
  </authors>
  <commentList>
    <comment ref="B4" authorId="0" shapeId="0" xr:uid="{1E852B7C-7A3A-41F0-B8A8-E16388603197}">
      <text>
        <r>
          <rPr>
            <b/>
            <sz val="9"/>
            <color indexed="81"/>
            <rFont val="Tahoma"/>
            <family val="2"/>
          </rPr>
          <t xml:space="preserve">DO NOT CHANGE THIS FIELD
</t>
        </r>
        <r>
          <rPr>
            <sz val="9"/>
            <color indexed="81"/>
            <rFont val="Tahoma"/>
            <family val="2"/>
          </rPr>
          <t xml:space="preserve">This Field is populated based on your supplier selection in Tab Front Matter.
</t>
        </r>
      </text>
    </comment>
    <comment ref="O8" authorId="0" shapeId="0" xr:uid="{4865CAEA-0EAD-4A7E-8FA7-69A7E791C37F}">
      <text>
        <r>
          <rPr>
            <b/>
            <sz val="9"/>
            <color indexed="81"/>
            <rFont val="Tahoma"/>
            <family val="2"/>
          </rPr>
          <t xml:space="preserve">APPLICABILITY TO RASIC
THIS FIELD IS MANDATORY
</t>
        </r>
        <r>
          <rPr>
            <sz val="9"/>
            <color indexed="81"/>
            <rFont val="Tahoma"/>
            <family val="2"/>
          </rPr>
          <t xml:space="preserve">You must select if the RASIC Section is applicable to your sourcing project. 
If you select NOT APPLICABLE, the section will be coloured in RED and not readable. 
If there is a single RASIC entry which you do not agree with / would like to change, use the Appendix B. RASIC Additions to capture any other RASIC requirements 
DO NOT CHANGE ANY RASIC INFORMATION IN THIS TAB.
</t>
        </r>
      </text>
    </comment>
    <comment ref="K9" authorId="0" shapeId="0" xr:uid="{0A7D44C4-37DC-4068-91CA-FD5AA5CA2145}">
      <text>
        <r>
          <rPr>
            <b/>
            <sz val="9"/>
            <color indexed="81"/>
            <rFont val="Tahoma"/>
            <family val="2"/>
          </rPr>
          <t>LEAD</t>
        </r>
        <r>
          <rPr>
            <sz val="9"/>
            <color indexed="81"/>
            <rFont val="Tahoma"/>
            <family val="2"/>
          </rPr>
          <t xml:space="preserve">
Lead defines which organisation is responsible for delivery of the task. 
The Lead is responsible for the following, but not limited
a) drive &amp; control the process, 
b) analyse and follow-up work plan,
c) consolidate and coordinate, 
d) initiate work plan,
e) execute work plan,
f) trade-off decision with respect to agreed targets
</t>
        </r>
      </text>
    </comment>
    <comment ref="L9" authorId="0" shapeId="0" xr:uid="{C5E8A2A6-8331-4E67-BFFA-9605FF5896F8}">
      <text>
        <r>
          <rPr>
            <b/>
            <u/>
            <sz val="9"/>
            <color indexed="81"/>
            <rFont val="Tahoma"/>
            <family val="2"/>
          </rPr>
          <t>R - RESPONSIBLE</t>
        </r>
        <r>
          <rPr>
            <b/>
            <sz val="9"/>
            <color indexed="81"/>
            <rFont val="Tahoma"/>
            <family val="2"/>
          </rPr>
          <t xml:space="preserve">
</t>
        </r>
        <r>
          <rPr>
            <sz val="9"/>
            <color indexed="81"/>
            <rFont val="Tahoma"/>
            <family val="2"/>
          </rPr>
          <t>Responsible defines which organisation shall own, manage and complete the task.</t>
        </r>
        <r>
          <rPr>
            <b/>
            <sz val="9"/>
            <color indexed="81"/>
            <rFont val="Tahoma"/>
            <family val="2"/>
          </rPr>
          <t xml:space="preserve">
</t>
        </r>
      </text>
    </comment>
    <comment ref="M9" authorId="0" shapeId="0" xr:uid="{3142D954-9B22-494D-99C1-17A18EB0F555}">
      <text>
        <r>
          <rPr>
            <b/>
            <u/>
            <sz val="9"/>
            <color indexed="81"/>
            <rFont val="Tahoma"/>
            <family val="2"/>
          </rPr>
          <t>A - APPROVE</t>
        </r>
        <r>
          <rPr>
            <sz val="9"/>
            <color indexed="81"/>
            <rFont val="Tahoma"/>
            <family val="2"/>
          </rPr>
          <t xml:space="preserve">
Approve defines which organisation is accountable for the outcome, or deliverable of the task and holds the approval authority for the task.
</t>
        </r>
      </text>
    </comment>
    <comment ref="N9" authorId="0" shapeId="0" xr:uid="{B8A18644-D11E-4564-9243-7FC339B059E7}">
      <text>
        <r>
          <rPr>
            <b/>
            <u/>
            <sz val="9"/>
            <color indexed="81"/>
            <rFont val="Tahoma"/>
            <family val="2"/>
          </rPr>
          <t>S - SUPPORT</t>
        </r>
        <r>
          <rPr>
            <b/>
            <sz val="9"/>
            <color indexed="81"/>
            <rFont val="Tahoma"/>
            <family val="2"/>
          </rPr>
          <t xml:space="preserve">
</t>
        </r>
        <r>
          <rPr>
            <sz val="9"/>
            <color indexed="81"/>
            <rFont val="Tahoma"/>
            <family val="2"/>
          </rPr>
          <t xml:space="preserve">Support defines which organisation shall provide support services for the completion of the task.
This can include individuals who contribute to the completion of the task but are not authority holders.
</t>
        </r>
      </text>
    </comment>
    <comment ref="O9" authorId="0" shapeId="0" xr:uid="{65CB1A81-C9E2-43A8-A75C-D7502D0C8EE4}">
      <text>
        <r>
          <rPr>
            <b/>
            <u/>
            <sz val="9"/>
            <color indexed="81"/>
            <rFont val="Tahoma"/>
            <family val="2"/>
          </rPr>
          <t>I - INFORMED</t>
        </r>
        <r>
          <rPr>
            <b/>
            <sz val="9"/>
            <color indexed="81"/>
            <rFont val="Tahoma"/>
            <family val="2"/>
          </rPr>
          <t xml:space="preserve">
</t>
        </r>
        <r>
          <rPr>
            <sz val="9"/>
            <color indexed="81"/>
            <rFont val="Tahoma"/>
            <family val="2"/>
          </rPr>
          <t>Informed defines which organisations need to be informed of the progress and completion of the task.
This can include project stakeholders who do not provide resources for the completion of the task.</t>
        </r>
      </text>
    </comment>
    <comment ref="P9" authorId="0" shapeId="0" xr:uid="{16A1EC69-7136-4B99-A73C-790525F6F2E5}">
      <text>
        <r>
          <rPr>
            <b/>
            <sz val="9"/>
            <color indexed="81"/>
            <rFont val="Tahoma"/>
            <family val="2"/>
          </rPr>
          <t xml:space="preserve">C - CONSULTED
</t>
        </r>
        <r>
          <rPr>
            <sz val="9"/>
            <color indexed="81"/>
            <rFont val="Tahoma"/>
            <family val="2"/>
          </rPr>
          <t xml:space="preserve">Consulted defines which organisation shall provide consulting services including individuals who act as subject matter experts and can support the completion of the task.
</t>
        </r>
      </text>
    </comment>
    <comment ref="O36" authorId="0" shapeId="0" xr:uid="{4B0BCCFD-0014-4C4C-9D30-EA47CDD09159}">
      <text>
        <r>
          <rPr>
            <b/>
            <sz val="9"/>
            <color indexed="81"/>
            <rFont val="Tahoma"/>
            <family val="2"/>
          </rPr>
          <t xml:space="preserve">APPLICABILITY TO RASIC
THIS FIELD IS MANDATORY
</t>
        </r>
        <r>
          <rPr>
            <sz val="9"/>
            <color indexed="81"/>
            <rFont val="Tahoma"/>
            <family val="2"/>
          </rPr>
          <t xml:space="preserve">You must select if the RASIC Section is applicable to your sourcing project. 
If you select NOT APPLICABLE, the section will be coloured in RED and not readable. 
If there is a single RASIC entry which you do not agree with / would like to change, use the Appendix B. RASIC Additions to capture any other RASIC requirements 
DO NOT CHANGE ANY RASIC INFORMATION IN THIS TAB.
</t>
        </r>
      </text>
    </comment>
    <comment ref="K37" authorId="0" shapeId="0" xr:uid="{80CAA64F-6C31-427F-BAFA-23C8B51E94F1}">
      <text>
        <r>
          <rPr>
            <b/>
            <sz val="9"/>
            <color indexed="81"/>
            <rFont val="Tahoma"/>
            <family val="2"/>
          </rPr>
          <t>LEAD</t>
        </r>
        <r>
          <rPr>
            <sz val="9"/>
            <color indexed="81"/>
            <rFont val="Tahoma"/>
            <family val="2"/>
          </rPr>
          <t xml:space="preserve">
Lead defines which organisation is responsible for delivery of the task. 
The Lead is responsible for the following, but not limited
a) drive &amp; control the process, 
b) analyse and follow-up work plan,
c) consolidate and coordinate, 
d) initiate work plan,
e) execute work plan,
f) trade-off decision with respect to agreed targets
</t>
        </r>
      </text>
    </comment>
    <comment ref="L37" authorId="0" shapeId="0" xr:uid="{3034BF86-4373-44E1-9145-96EE8F29B410}">
      <text>
        <r>
          <rPr>
            <b/>
            <u/>
            <sz val="9"/>
            <color indexed="81"/>
            <rFont val="Tahoma"/>
            <family val="2"/>
          </rPr>
          <t>R - RESPONSIBLE</t>
        </r>
        <r>
          <rPr>
            <b/>
            <sz val="9"/>
            <color indexed="81"/>
            <rFont val="Tahoma"/>
            <family val="2"/>
          </rPr>
          <t xml:space="preserve">
</t>
        </r>
        <r>
          <rPr>
            <sz val="9"/>
            <color indexed="81"/>
            <rFont val="Tahoma"/>
            <family val="2"/>
          </rPr>
          <t>Responsible defines which organisation shall own, manage and complete the task.</t>
        </r>
        <r>
          <rPr>
            <b/>
            <sz val="9"/>
            <color indexed="81"/>
            <rFont val="Tahoma"/>
            <family val="2"/>
          </rPr>
          <t xml:space="preserve">
</t>
        </r>
      </text>
    </comment>
    <comment ref="M37" authorId="0" shapeId="0" xr:uid="{1445214D-2DF0-482F-8371-269EC063E4FE}">
      <text>
        <r>
          <rPr>
            <b/>
            <u/>
            <sz val="9"/>
            <color indexed="81"/>
            <rFont val="Tahoma"/>
            <family val="2"/>
          </rPr>
          <t>A - APPROVE</t>
        </r>
        <r>
          <rPr>
            <sz val="9"/>
            <color indexed="81"/>
            <rFont val="Tahoma"/>
            <family val="2"/>
          </rPr>
          <t xml:space="preserve">
Approve defines which organisation is accountable for the outcome, or deliverable of the task and holds the approval authority for the task.
</t>
        </r>
      </text>
    </comment>
    <comment ref="N37" authorId="0" shapeId="0" xr:uid="{9C11BEB2-69D8-4AF8-B8DD-C69B8D7A9F9A}">
      <text>
        <r>
          <rPr>
            <b/>
            <u/>
            <sz val="9"/>
            <color indexed="81"/>
            <rFont val="Tahoma"/>
            <family val="2"/>
          </rPr>
          <t>S - SUPPORT</t>
        </r>
        <r>
          <rPr>
            <b/>
            <sz val="9"/>
            <color indexed="81"/>
            <rFont val="Tahoma"/>
            <family val="2"/>
          </rPr>
          <t xml:space="preserve">
</t>
        </r>
        <r>
          <rPr>
            <sz val="9"/>
            <color indexed="81"/>
            <rFont val="Tahoma"/>
            <family val="2"/>
          </rPr>
          <t xml:space="preserve">Support defines which organisation shall provide support services for the completion of the task.
This can include individuals who contribute to the completion of the task but are not authority holders.
</t>
        </r>
      </text>
    </comment>
    <comment ref="O37" authorId="0" shapeId="0" xr:uid="{0E6F0A87-FBFF-4B62-AF6D-309B7BA1A62F}">
      <text>
        <r>
          <rPr>
            <b/>
            <u/>
            <sz val="9"/>
            <color indexed="81"/>
            <rFont val="Tahoma"/>
            <family val="2"/>
          </rPr>
          <t>I - INFORMED</t>
        </r>
        <r>
          <rPr>
            <b/>
            <sz val="9"/>
            <color indexed="81"/>
            <rFont val="Tahoma"/>
            <family val="2"/>
          </rPr>
          <t xml:space="preserve">
</t>
        </r>
        <r>
          <rPr>
            <sz val="9"/>
            <color indexed="81"/>
            <rFont val="Tahoma"/>
            <family val="2"/>
          </rPr>
          <t>Informed defines which organisations need to be informed of the progress and completion of the task.
This can include project stakeholders who do not provide resources for the completion of the task.</t>
        </r>
      </text>
    </comment>
    <comment ref="P37" authorId="0" shapeId="0" xr:uid="{596785B6-DC54-4B90-9D88-7C20C38CABCD}">
      <text>
        <r>
          <rPr>
            <b/>
            <u/>
            <sz val="9"/>
            <color indexed="81"/>
            <rFont val="Tahoma"/>
            <family val="2"/>
          </rPr>
          <t>C - CONSULTED</t>
        </r>
        <r>
          <rPr>
            <b/>
            <sz val="9"/>
            <color indexed="81"/>
            <rFont val="Tahoma"/>
            <family val="2"/>
          </rPr>
          <t xml:space="preserve">
</t>
        </r>
        <r>
          <rPr>
            <sz val="9"/>
            <color indexed="81"/>
            <rFont val="Tahoma"/>
            <family val="2"/>
          </rPr>
          <t xml:space="preserve">Consulted defines which organisation shall provide consulting services including individuals who act as subject matter experts and can support the completion of the task.
</t>
        </r>
      </text>
    </comment>
    <comment ref="O46" authorId="0" shapeId="0" xr:uid="{357B83EE-22E3-4CA0-8136-145F51A8780B}">
      <text>
        <r>
          <rPr>
            <b/>
            <sz val="9"/>
            <color indexed="81"/>
            <rFont val="Tahoma"/>
            <family val="2"/>
          </rPr>
          <t xml:space="preserve">APPLICABILITY TO RASIC
THIS FIELD IS MANDATORY
</t>
        </r>
        <r>
          <rPr>
            <sz val="9"/>
            <color indexed="81"/>
            <rFont val="Tahoma"/>
            <family val="2"/>
          </rPr>
          <t xml:space="preserve">You must select if the RASIC Section is applicable to your sourcing project. 
If you select NOT APPLICABLE, the section will be coloured in RED and not readable. 
If there is a single RASIC entry which you do not agree with / would like to change, use the Appendix B. RASIC Additions to capture any other RASIC requirements 
DO NOT CHANGE ANY RASIC INFORMATION IN THIS TAB.
</t>
        </r>
      </text>
    </comment>
    <comment ref="K47" authorId="0" shapeId="0" xr:uid="{B4BBE887-DD9D-45C5-9B2A-CE812873D4DF}">
      <text>
        <r>
          <rPr>
            <b/>
            <sz val="9"/>
            <color indexed="81"/>
            <rFont val="Tahoma"/>
            <family val="2"/>
          </rPr>
          <t>LEAD</t>
        </r>
        <r>
          <rPr>
            <sz val="9"/>
            <color indexed="81"/>
            <rFont val="Tahoma"/>
            <family val="2"/>
          </rPr>
          <t xml:space="preserve">
Lead defines which organisation is responsible for delivery of the task. 
The Lead is responsible for the following, but not limited
a) drive &amp; control the process, 
b) analyse and follow-up work plan,
c) consolidate and coordinate, 
d) initiate work plan,
e) execute work plan,
f) trade-off decision with respect to agreed targets
</t>
        </r>
      </text>
    </comment>
    <comment ref="L47" authorId="0" shapeId="0" xr:uid="{415C6578-D162-4553-8CBA-E3587901F59D}">
      <text>
        <r>
          <rPr>
            <b/>
            <u/>
            <sz val="9"/>
            <color indexed="81"/>
            <rFont val="Tahoma"/>
            <family val="2"/>
          </rPr>
          <t>R - RESPONSIBLE</t>
        </r>
        <r>
          <rPr>
            <b/>
            <sz val="9"/>
            <color indexed="81"/>
            <rFont val="Tahoma"/>
            <family val="2"/>
          </rPr>
          <t xml:space="preserve">
</t>
        </r>
        <r>
          <rPr>
            <sz val="9"/>
            <color indexed="81"/>
            <rFont val="Tahoma"/>
            <family val="2"/>
          </rPr>
          <t>Responsible defines which organisation shall own, manage and complete the task.</t>
        </r>
        <r>
          <rPr>
            <b/>
            <sz val="9"/>
            <color indexed="81"/>
            <rFont val="Tahoma"/>
            <family val="2"/>
          </rPr>
          <t xml:space="preserve">
</t>
        </r>
      </text>
    </comment>
    <comment ref="M47" authorId="0" shapeId="0" xr:uid="{364A131D-A695-42F0-B650-88CF0FAD5642}">
      <text>
        <r>
          <rPr>
            <b/>
            <u/>
            <sz val="9"/>
            <color indexed="81"/>
            <rFont val="Tahoma"/>
            <family val="2"/>
          </rPr>
          <t>A - APPROVE</t>
        </r>
        <r>
          <rPr>
            <sz val="9"/>
            <color indexed="81"/>
            <rFont val="Tahoma"/>
            <family val="2"/>
          </rPr>
          <t xml:space="preserve">
Approve defines which organisation is accountable for the outcome, or deliverable of the task and holds the approval authority for the task.
</t>
        </r>
      </text>
    </comment>
    <comment ref="N47" authorId="0" shapeId="0" xr:uid="{D6412BCD-0FF1-450B-8F50-227DD5E304F5}">
      <text>
        <r>
          <rPr>
            <b/>
            <u/>
            <sz val="9"/>
            <color indexed="81"/>
            <rFont val="Tahoma"/>
            <family val="2"/>
          </rPr>
          <t>S - SUPPORT</t>
        </r>
        <r>
          <rPr>
            <b/>
            <sz val="9"/>
            <color indexed="81"/>
            <rFont val="Tahoma"/>
            <family val="2"/>
          </rPr>
          <t xml:space="preserve">
</t>
        </r>
        <r>
          <rPr>
            <sz val="9"/>
            <color indexed="81"/>
            <rFont val="Tahoma"/>
            <family val="2"/>
          </rPr>
          <t xml:space="preserve">Support defines which organisation shall provide support services for the completion of the task.
This can include individuals who contribute to the completion of the task but are not authority holders.
</t>
        </r>
      </text>
    </comment>
    <comment ref="O47" authorId="0" shapeId="0" xr:uid="{564BBD08-DD23-48FA-8F7B-F447C8BEFE62}">
      <text>
        <r>
          <rPr>
            <b/>
            <u/>
            <sz val="9"/>
            <color indexed="81"/>
            <rFont val="Tahoma"/>
            <family val="2"/>
          </rPr>
          <t>I - INFORMED</t>
        </r>
        <r>
          <rPr>
            <b/>
            <sz val="9"/>
            <color indexed="81"/>
            <rFont val="Tahoma"/>
            <family val="2"/>
          </rPr>
          <t xml:space="preserve">
</t>
        </r>
        <r>
          <rPr>
            <sz val="9"/>
            <color indexed="81"/>
            <rFont val="Tahoma"/>
            <family val="2"/>
          </rPr>
          <t>Informed defines which organisations need to be informed of the progress and completion of the task.
This can include project stakeholders who do not provide resources for the completion of the task.</t>
        </r>
      </text>
    </comment>
    <comment ref="P47" authorId="0" shapeId="0" xr:uid="{4F0DB1D2-80AD-4EC9-A433-989064C5F96E}">
      <text>
        <r>
          <rPr>
            <b/>
            <sz val="9"/>
            <color indexed="81"/>
            <rFont val="Tahoma"/>
            <family val="2"/>
          </rPr>
          <t xml:space="preserve">C - CONSULTED
</t>
        </r>
        <r>
          <rPr>
            <sz val="9"/>
            <color indexed="81"/>
            <rFont val="Tahoma"/>
            <family val="2"/>
          </rPr>
          <t xml:space="preserve">Consulted defines which organisation shall provide consulting services including individuals who act as subject matter experts and can support the completion of the task.
</t>
        </r>
      </text>
    </comment>
    <comment ref="O55" authorId="0" shapeId="0" xr:uid="{646F2F0F-FC33-4463-B9CB-3DDF0420A2A8}">
      <text>
        <r>
          <rPr>
            <b/>
            <sz val="9"/>
            <color indexed="81"/>
            <rFont val="Tahoma"/>
            <family val="2"/>
          </rPr>
          <t xml:space="preserve">APPLICABILITY TO RASIC
THIS FIELD IS MANDATORY
</t>
        </r>
        <r>
          <rPr>
            <sz val="9"/>
            <color indexed="81"/>
            <rFont val="Tahoma"/>
            <family val="2"/>
          </rPr>
          <t xml:space="preserve">You must select if the RASIC Section is applicable to your sourcing project. 
If you select NOT APPLICABLE, the section will be coloured in RED and not readable. 
If there is a single RASIC entry which you do not agree with / would like to change, use the Appendix B. RASIC Additions to capture any other RASIC requirements 
DO NOT CHANGE ANY RASIC INFORMATION IN THIS TAB.
</t>
        </r>
      </text>
    </comment>
    <comment ref="K56" authorId="0" shapeId="0" xr:uid="{27811048-B3A8-4C46-9D6C-D200D147B509}">
      <text>
        <r>
          <rPr>
            <b/>
            <sz val="9"/>
            <color indexed="81"/>
            <rFont val="Tahoma"/>
            <family val="2"/>
          </rPr>
          <t>LEAD</t>
        </r>
        <r>
          <rPr>
            <sz val="9"/>
            <color indexed="81"/>
            <rFont val="Tahoma"/>
            <family val="2"/>
          </rPr>
          <t xml:space="preserve">
Lead defines which organisation is responsible for delivery of the task. 
The Lead is responsible for the following, but not limited
a) drive &amp; control the process, 
b) analyse and follow-up work plan,
c) consolidate and coordinate, 
d) initiate work plan,
e) execute work plan,
f) trade-off decision with respect to agreed targets
</t>
        </r>
      </text>
    </comment>
    <comment ref="L56" authorId="0" shapeId="0" xr:uid="{931A090C-4ECE-42A9-8E2B-F4BDA8EAEA1C}">
      <text>
        <r>
          <rPr>
            <b/>
            <u/>
            <sz val="9"/>
            <color indexed="81"/>
            <rFont val="Tahoma"/>
            <family val="2"/>
          </rPr>
          <t>R - RESPONSIBLE</t>
        </r>
        <r>
          <rPr>
            <b/>
            <sz val="9"/>
            <color indexed="81"/>
            <rFont val="Tahoma"/>
            <family val="2"/>
          </rPr>
          <t xml:space="preserve">
</t>
        </r>
        <r>
          <rPr>
            <sz val="9"/>
            <color indexed="81"/>
            <rFont val="Tahoma"/>
            <family val="2"/>
          </rPr>
          <t>Responsible defines which organisation shall own, manage and complete the task.</t>
        </r>
        <r>
          <rPr>
            <b/>
            <sz val="9"/>
            <color indexed="81"/>
            <rFont val="Tahoma"/>
            <family val="2"/>
          </rPr>
          <t xml:space="preserve">
</t>
        </r>
      </text>
    </comment>
    <comment ref="M56" authorId="0" shapeId="0" xr:uid="{0A0AF637-0D45-4312-AB0F-92C3868CCCC4}">
      <text>
        <r>
          <rPr>
            <b/>
            <u/>
            <sz val="9"/>
            <color indexed="81"/>
            <rFont val="Tahoma"/>
            <family val="2"/>
          </rPr>
          <t>A - APPROVE</t>
        </r>
        <r>
          <rPr>
            <sz val="9"/>
            <color indexed="81"/>
            <rFont val="Tahoma"/>
            <family val="2"/>
          </rPr>
          <t xml:space="preserve">
Approve defines which organisation is accountable for the outcome, or deliverable of the task and holds the approval authority for the task.
</t>
        </r>
      </text>
    </comment>
    <comment ref="N56" authorId="0" shapeId="0" xr:uid="{53DDC1DF-11E0-4D4E-AB42-4A2BCB5E880C}">
      <text>
        <r>
          <rPr>
            <b/>
            <u/>
            <sz val="9"/>
            <color indexed="81"/>
            <rFont val="Tahoma"/>
            <family val="2"/>
          </rPr>
          <t>S - SUPPORT</t>
        </r>
        <r>
          <rPr>
            <b/>
            <sz val="9"/>
            <color indexed="81"/>
            <rFont val="Tahoma"/>
            <family val="2"/>
          </rPr>
          <t xml:space="preserve">
</t>
        </r>
        <r>
          <rPr>
            <sz val="9"/>
            <color indexed="81"/>
            <rFont val="Tahoma"/>
            <family val="2"/>
          </rPr>
          <t xml:space="preserve">Support defines which organisation shall provide support services for the completion of the task.
This can include individuals who contribute to the completion of the task but are not authority holders.
</t>
        </r>
      </text>
    </comment>
    <comment ref="O56" authorId="0" shapeId="0" xr:uid="{971BFE5F-370E-4703-A32A-23CDDDA29591}">
      <text>
        <r>
          <rPr>
            <b/>
            <u/>
            <sz val="9"/>
            <color indexed="81"/>
            <rFont val="Tahoma"/>
            <family val="2"/>
          </rPr>
          <t>I - INFORMED</t>
        </r>
        <r>
          <rPr>
            <b/>
            <sz val="9"/>
            <color indexed="81"/>
            <rFont val="Tahoma"/>
            <family val="2"/>
          </rPr>
          <t xml:space="preserve">
</t>
        </r>
        <r>
          <rPr>
            <sz val="9"/>
            <color indexed="81"/>
            <rFont val="Tahoma"/>
            <family val="2"/>
          </rPr>
          <t>Informed defines which organisations need to be informed of the progress and completion of the task.
This can include project stakeholders who do not provide resources for the completion of the task.</t>
        </r>
      </text>
    </comment>
    <comment ref="P56" authorId="0" shapeId="0" xr:uid="{A201F4A2-E8F8-4F5B-8A05-1A32FE0D8C40}">
      <text>
        <r>
          <rPr>
            <b/>
            <u/>
            <sz val="9"/>
            <color indexed="81"/>
            <rFont val="Tahoma"/>
            <family val="2"/>
          </rPr>
          <t>C - CONSULTED</t>
        </r>
        <r>
          <rPr>
            <b/>
            <sz val="9"/>
            <color indexed="81"/>
            <rFont val="Tahoma"/>
            <family val="2"/>
          </rPr>
          <t xml:space="preserve">
</t>
        </r>
        <r>
          <rPr>
            <sz val="9"/>
            <color indexed="81"/>
            <rFont val="Tahoma"/>
            <family val="2"/>
          </rPr>
          <t xml:space="preserve">Consulted defines which organisation shall provide consulting services including individuals who act as subject matter experts and can support the completion of the task.
</t>
        </r>
      </text>
    </comment>
    <comment ref="O96" authorId="0" shapeId="0" xr:uid="{C3D721E4-9E7F-4039-AB44-CACFC08A4218}">
      <text>
        <r>
          <rPr>
            <b/>
            <sz val="9"/>
            <color indexed="81"/>
            <rFont val="Tahoma"/>
            <family val="2"/>
          </rPr>
          <t xml:space="preserve">APPLICABILITY TO RASIC
THIS FIELD IS MANDATORY
</t>
        </r>
        <r>
          <rPr>
            <sz val="9"/>
            <color indexed="81"/>
            <rFont val="Tahoma"/>
            <family val="2"/>
          </rPr>
          <t xml:space="preserve">You must select if the RASIC Section is applicable to your sourcing project. 
If you select NOT APPLICABLE, the section will be coloured in RED and not readable. 
If there is a single RASIC entry which you do not agree with / would like to change, use the Appendix B. RASIC Additions to capture any other RASIC requirements 
DO NOT CHANGE ANY RASIC INFORMATION IN THIS TAB.
</t>
        </r>
      </text>
    </comment>
    <comment ref="K97" authorId="0" shapeId="0" xr:uid="{AC929358-43A6-4B03-B1D1-983D268FBFB7}">
      <text>
        <r>
          <rPr>
            <b/>
            <sz val="9"/>
            <color indexed="81"/>
            <rFont val="Tahoma"/>
            <family val="2"/>
          </rPr>
          <t>LEAD</t>
        </r>
        <r>
          <rPr>
            <sz val="9"/>
            <color indexed="81"/>
            <rFont val="Tahoma"/>
            <family val="2"/>
          </rPr>
          <t xml:space="preserve">
Lead defines which organisation is responsible for delivery of the task. 
The Lead is responsible for the following, but not limited
a) drive &amp; control the process, 
b) analyse and follow-up work plan,
c) consolidate and coordinate, 
d) initiate work plan,
e) execute work plan,
f) trade-off decision with respect to agreed targets
</t>
        </r>
      </text>
    </comment>
    <comment ref="L97" authorId="0" shapeId="0" xr:uid="{A0BB0C48-636D-449D-91EA-C95A92204233}">
      <text>
        <r>
          <rPr>
            <b/>
            <u/>
            <sz val="9"/>
            <color indexed="81"/>
            <rFont val="Tahoma"/>
            <family val="2"/>
          </rPr>
          <t>R - RESPONSIBLE</t>
        </r>
        <r>
          <rPr>
            <b/>
            <sz val="9"/>
            <color indexed="81"/>
            <rFont val="Tahoma"/>
            <family val="2"/>
          </rPr>
          <t xml:space="preserve">
</t>
        </r>
        <r>
          <rPr>
            <sz val="9"/>
            <color indexed="81"/>
            <rFont val="Tahoma"/>
            <family val="2"/>
          </rPr>
          <t>Responsible defines which organisation shall own, manage and complete the task.</t>
        </r>
        <r>
          <rPr>
            <b/>
            <sz val="9"/>
            <color indexed="81"/>
            <rFont val="Tahoma"/>
            <family val="2"/>
          </rPr>
          <t xml:space="preserve">
</t>
        </r>
      </text>
    </comment>
    <comment ref="M97" authorId="0" shapeId="0" xr:uid="{1886D163-829C-41CB-BE7B-A4669C93E124}">
      <text>
        <r>
          <rPr>
            <b/>
            <u/>
            <sz val="9"/>
            <color indexed="81"/>
            <rFont val="Tahoma"/>
            <family val="2"/>
          </rPr>
          <t>A - APPROVE</t>
        </r>
        <r>
          <rPr>
            <sz val="9"/>
            <color indexed="81"/>
            <rFont val="Tahoma"/>
            <family val="2"/>
          </rPr>
          <t xml:space="preserve">
Approve defines which organisation is accountable for the outcome, or deliverable of the task and holds the approval authority for the task.
</t>
        </r>
      </text>
    </comment>
    <comment ref="N97" authorId="0" shapeId="0" xr:uid="{08541D51-C700-46B8-916F-96231850658E}">
      <text>
        <r>
          <rPr>
            <b/>
            <u/>
            <sz val="9"/>
            <color indexed="81"/>
            <rFont val="Tahoma"/>
            <family val="2"/>
          </rPr>
          <t>S - SUPPORT</t>
        </r>
        <r>
          <rPr>
            <b/>
            <sz val="9"/>
            <color indexed="81"/>
            <rFont val="Tahoma"/>
            <family val="2"/>
          </rPr>
          <t xml:space="preserve">
</t>
        </r>
        <r>
          <rPr>
            <sz val="9"/>
            <color indexed="81"/>
            <rFont val="Tahoma"/>
            <family val="2"/>
          </rPr>
          <t xml:space="preserve">Support defines which organisation shall provide support services for the completion of the task.
This can include individuals who contribute to the completion of the task but are not authority holders.
</t>
        </r>
      </text>
    </comment>
    <comment ref="O97" authorId="0" shapeId="0" xr:uid="{A81781FB-524C-4DED-BE2A-9DDA70C6A913}">
      <text>
        <r>
          <rPr>
            <b/>
            <u/>
            <sz val="9"/>
            <color indexed="81"/>
            <rFont val="Tahoma"/>
            <family val="2"/>
          </rPr>
          <t>I - INFORMED</t>
        </r>
        <r>
          <rPr>
            <b/>
            <sz val="9"/>
            <color indexed="81"/>
            <rFont val="Tahoma"/>
            <family val="2"/>
          </rPr>
          <t xml:space="preserve">
</t>
        </r>
        <r>
          <rPr>
            <sz val="9"/>
            <color indexed="81"/>
            <rFont val="Tahoma"/>
            <family val="2"/>
          </rPr>
          <t>Informed defines which organisations need to be informed of the progress and completion of the task.
This can include project stakeholders who do not provide resources for the completion of the task.</t>
        </r>
      </text>
    </comment>
    <comment ref="P97" authorId="0" shapeId="0" xr:uid="{B16D8108-3B4C-4915-95F9-64E592DA4FA0}">
      <text>
        <r>
          <rPr>
            <b/>
            <u/>
            <sz val="9"/>
            <color indexed="81"/>
            <rFont val="Tahoma"/>
            <family val="2"/>
          </rPr>
          <t>C - CONSULTED</t>
        </r>
        <r>
          <rPr>
            <b/>
            <sz val="9"/>
            <color indexed="81"/>
            <rFont val="Tahoma"/>
            <family val="2"/>
          </rPr>
          <t xml:space="preserve">
</t>
        </r>
        <r>
          <rPr>
            <sz val="9"/>
            <color indexed="81"/>
            <rFont val="Tahoma"/>
            <family val="2"/>
          </rPr>
          <t xml:space="preserve">Consulted defines which organisation shall provide consulting services including individuals who act as subject matter experts and can support the completion of the task.
</t>
        </r>
      </text>
    </comment>
    <comment ref="O112" authorId="0" shapeId="0" xr:uid="{DF00FD4A-EE30-4BEC-97B1-6380C6313DFC}">
      <text>
        <r>
          <rPr>
            <b/>
            <sz val="9"/>
            <color indexed="81"/>
            <rFont val="Tahoma"/>
            <family val="2"/>
          </rPr>
          <t xml:space="preserve">APPLICABILITY TO RASIC
THIS FIELD IS MANDATORY
</t>
        </r>
        <r>
          <rPr>
            <sz val="9"/>
            <color indexed="81"/>
            <rFont val="Tahoma"/>
            <family val="2"/>
          </rPr>
          <t xml:space="preserve">You must select if the RASIC Section is applicable to your sourcing project. 
If you select NOT APPLICABLE, the section will be coloured in RED and not readable. 
If there is a single RASIC entry which you do not agree with / would like to change, use the Appendix B. RASIC Additions to capture any other RASIC requirements 
DO NOT CHANGE ANY RASIC INFORMATION IN THIS TAB.
</t>
        </r>
      </text>
    </comment>
    <comment ref="K113" authorId="0" shapeId="0" xr:uid="{D6622507-D2DB-49F2-9C13-BE6042B2F099}">
      <text>
        <r>
          <rPr>
            <b/>
            <sz val="9"/>
            <color indexed="81"/>
            <rFont val="Tahoma"/>
            <family val="2"/>
          </rPr>
          <t>LEAD</t>
        </r>
        <r>
          <rPr>
            <sz val="9"/>
            <color indexed="81"/>
            <rFont val="Tahoma"/>
            <family val="2"/>
          </rPr>
          <t xml:space="preserve">
Lead defines which organisation is responsible for delivery of the task. 
The Lead is responsible for the following, but not limited
a) drive &amp; control the process, 
b) analyse and follow-up work plan,
c) consolidate and coordinate, 
d) initiate work plan,
e) execute work plan,
f) trade-off decision with respect to agreed targets
</t>
        </r>
      </text>
    </comment>
    <comment ref="L113" authorId="0" shapeId="0" xr:uid="{76564985-B017-45B2-80CD-15E1BA9372DA}">
      <text>
        <r>
          <rPr>
            <b/>
            <u/>
            <sz val="9"/>
            <color indexed="81"/>
            <rFont val="Tahoma"/>
            <family val="2"/>
          </rPr>
          <t>R - RESPONSIBLE</t>
        </r>
        <r>
          <rPr>
            <b/>
            <sz val="9"/>
            <color indexed="81"/>
            <rFont val="Tahoma"/>
            <family val="2"/>
          </rPr>
          <t xml:space="preserve">
</t>
        </r>
        <r>
          <rPr>
            <sz val="9"/>
            <color indexed="81"/>
            <rFont val="Tahoma"/>
            <family val="2"/>
          </rPr>
          <t>Responsible defines which organisation shall own, manage and complete the task.</t>
        </r>
        <r>
          <rPr>
            <b/>
            <sz val="9"/>
            <color indexed="81"/>
            <rFont val="Tahoma"/>
            <family val="2"/>
          </rPr>
          <t xml:space="preserve">
</t>
        </r>
      </text>
    </comment>
    <comment ref="M113" authorId="0" shapeId="0" xr:uid="{9E924375-8D07-4C05-920B-6E88BB7BE625}">
      <text>
        <r>
          <rPr>
            <b/>
            <u/>
            <sz val="9"/>
            <color indexed="81"/>
            <rFont val="Tahoma"/>
            <family val="2"/>
          </rPr>
          <t>A - APPROVE</t>
        </r>
        <r>
          <rPr>
            <sz val="9"/>
            <color indexed="81"/>
            <rFont val="Tahoma"/>
            <family val="2"/>
          </rPr>
          <t xml:space="preserve">
Approve defines which organisation is accountable for the outcome, or deliverable of the task and holds the approval authority for the task.
</t>
        </r>
      </text>
    </comment>
    <comment ref="N113" authorId="0" shapeId="0" xr:uid="{AE7EE6BE-41C2-4824-8C6C-CC58CFDB3618}">
      <text>
        <r>
          <rPr>
            <b/>
            <u/>
            <sz val="9"/>
            <color indexed="81"/>
            <rFont val="Tahoma"/>
            <family val="2"/>
          </rPr>
          <t>S - SUPPORT</t>
        </r>
        <r>
          <rPr>
            <b/>
            <sz val="9"/>
            <color indexed="81"/>
            <rFont val="Tahoma"/>
            <family val="2"/>
          </rPr>
          <t xml:space="preserve">
</t>
        </r>
        <r>
          <rPr>
            <sz val="9"/>
            <color indexed="81"/>
            <rFont val="Tahoma"/>
            <family val="2"/>
          </rPr>
          <t xml:space="preserve">Support defines which organisation shall provide support services for the completion of the task.
This can include individuals who contribute to the completion of the task but are not authority holders.
</t>
        </r>
      </text>
    </comment>
    <comment ref="O113" authorId="0" shapeId="0" xr:uid="{B0A2A532-FC53-4D70-8011-395FCFC5C62C}">
      <text>
        <r>
          <rPr>
            <b/>
            <u/>
            <sz val="9"/>
            <color indexed="81"/>
            <rFont val="Tahoma"/>
            <family val="2"/>
          </rPr>
          <t>I - INFORMED</t>
        </r>
        <r>
          <rPr>
            <b/>
            <sz val="9"/>
            <color indexed="81"/>
            <rFont val="Tahoma"/>
            <family val="2"/>
          </rPr>
          <t xml:space="preserve">
</t>
        </r>
        <r>
          <rPr>
            <sz val="9"/>
            <color indexed="81"/>
            <rFont val="Tahoma"/>
            <family val="2"/>
          </rPr>
          <t>Informed defines which organisations need to be informed of the progress and completion of the task.
This can include project stakeholders who do not provide resources for the completion of the task.</t>
        </r>
      </text>
    </comment>
    <comment ref="P113" authorId="0" shapeId="0" xr:uid="{1335835F-AF51-4FA0-80D0-957B4DD8B3DB}">
      <text>
        <r>
          <rPr>
            <b/>
            <u/>
            <sz val="9"/>
            <color indexed="81"/>
            <rFont val="Tahoma"/>
            <family val="2"/>
          </rPr>
          <t>C - CONSULTED</t>
        </r>
        <r>
          <rPr>
            <b/>
            <sz val="9"/>
            <color indexed="81"/>
            <rFont val="Tahoma"/>
            <family val="2"/>
          </rPr>
          <t xml:space="preserve">
</t>
        </r>
        <r>
          <rPr>
            <sz val="9"/>
            <color indexed="81"/>
            <rFont val="Tahoma"/>
            <family val="2"/>
          </rPr>
          <t xml:space="preserve">Consulted defines which organisation shall provide consulting services including individuals who act as subject matter experts and can support the completion of the task.
</t>
        </r>
      </text>
    </comment>
    <comment ref="O130" authorId="0" shapeId="0" xr:uid="{38A420EA-CF84-4FAD-8FB9-82E86F04E277}">
      <text>
        <r>
          <rPr>
            <b/>
            <sz val="9"/>
            <color indexed="81"/>
            <rFont val="Tahoma"/>
            <family val="2"/>
          </rPr>
          <t xml:space="preserve">APPLICABILITY TO RASIC
THIS FIELD IS MANDATORY
</t>
        </r>
        <r>
          <rPr>
            <sz val="9"/>
            <color indexed="81"/>
            <rFont val="Tahoma"/>
            <family val="2"/>
          </rPr>
          <t xml:space="preserve">You must select if the RASIC Section is applicable to your sourcing project. 
If you select NOT APPLICABLE, the section will be coloured in RED and not readable. 
If there is a single RASIC entry which you do not agree with / would like to change, use the Appendix B. RASIC Additions to capture any other RASIC requirements 
DO NOT CHANGE ANY RASIC INFORMATION IN THIS TAB.
</t>
        </r>
      </text>
    </comment>
    <comment ref="K131" authorId="0" shapeId="0" xr:uid="{ECB5059F-6BAD-451D-AE14-AB92F6584EA6}">
      <text>
        <r>
          <rPr>
            <b/>
            <sz val="9"/>
            <color indexed="81"/>
            <rFont val="Tahoma"/>
            <family val="2"/>
          </rPr>
          <t>LEAD</t>
        </r>
        <r>
          <rPr>
            <sz val="9"/>
            <color indexed="81"/>
            <rFont val="Tahoma"/>
            <family val="2"/>
          </rPr>
          <t xml:space="preserve">
Lead defines which organisation is responsible for delivery of the task. 
The Lead is responsible for the following, but not limited
a) drive &amp; control the process, 
b) analyse and follow-up work plan,
c) consolidate and coordinate, 
d) initiate work plan,
e) execute work plan,
f) trade-off decision with respect to agreed targets
</t>
        </r>
      </text>
    </comment>
    <comment ref="L131" authorId="0" shapeId="0" xr:uid="{E5EB9638-291E-4691-A78A-7531A5491B2B}">
      <text>
        <r>
          <rPr>
            <b/>
            <u/>
            <sz val="9"/>
            <color indexed="81"/>
            <rFont val="Tahoma"/>
            <family val="2"/>
          </rPr>
          <t>R - RESPONSIBLE</t>
        </r>
        <r>
          <rPr>
            <b/>
            <sz val="9"/>
            <color indexed="81"/>
            <rFont val="Tahoma"/>
            <family val="2"/>
          </rPr>
          <t xml:space="preserve">
</t>
        </r>
        <r>
          <rPr>
            <sz val="9"/>
            <color indexed="81"/>
            <rFont val="Tahoma"/>
            <family val="2"/>
          </rPr>
          <t>Responsible defines which organisation shall own, manage and complete the task.</t>
        </r>
        <r>
          <rPr>
            <b/>
            <sz val="9"/>
            <color indexed="81"/>
            <rFont val="Tahoma"/>
            <family val="2"/>
          </rPr>
          <t xml:space="preserve">
</t>
        </r>
      </text>
    </comment>
    <comment ref="M131" authorId="0" shapeId="0" xr:uid="{461A0578-5379-42F1-A1B5-F64A88275C7F}">
      <text>
        <r>
          <rPr>
            <b/>
            <u/>
            <sz val="9"/>
            <color indexed="81"/>
            <rFont val="Tahoma"/>
            <family val="2"/>
          </rPr>
          <t>A - APPROVE</t>
        </r>
        <r>
          <rPr>
            <sz val="9"/>
            <color indexed="81"/>
            <rFont val="Tahoma"/>
            <family val="2"/>
          </rPr>
          <t xml:space="preserve">
Approve defines which organisation is accountable for the outcome, or deliverable of the task and holds the approval authority for the task.
</t>
        </r>
      </text>
    </comment>
    <comment ref="N131" authorId="0" shapeId="0" xr:uid="{C1CB09F9-8204-4B24-B110-06B92BF14C13}">
      <text>
        <r>
          <rPr>
            <b/>
            <u/>
            <sz val="9"/>
            <color indexed="81"/>
            <rFont val="Tahoma"/>
            <family val="2"/>
          </rPr>
          <t>S - SUPPORT</t>
        </r>
        <r>
          <rPr>
            <b/>
            <sz val="9"/>
            <color indexed="81"/>
            <rFont val="Tahoma"/>
            <family val="2"/>
          </rPr>
          <t xml:space="preserve">
</t>
        </r>
        <r>
          <rPr>
            <sz val="9"/>
            <color indexed="81"/>
            <rFont val="Tahoma"/>
            <family val="2"/>
          </rPr>
          <t xml:space="preserve">Support defines which organisation shall provide support services for the completion of the task.
This can include individuals who contribute to the completion of the task but are not authority holders.
</t>
        </r>
      </text>
    </comment>
    <comment ref="O131" authorId="0" shapeId="0" xr:uid="{2CDE4FD2-CE6D-4CAE-8DAB-5D2994F95F0C}">
      <text>
        <r>
          <rPr>
            <b/>
            <u/>
            <sz val="9"/>
            <color indexed="81"/>
            <rFont val="Tahoma"/>
            <family val="2"/>
          </rPr>
          <t>I - INFORMED</t>
        </r>
        <r>
          <rPr>
            <b/>
            <sz val="9"/>
            <color indexed="81"/>
            <rFont val="Tahoma"/>
            <family val="2"/>
          </rPr>
          <t xml:space="preserve">
</t>
        </r>
        <r>
          <rPr>
            <sz val="9"/>
            <color indexed="81"/>
            <rFont val="Tahoma"/>
            <family val="2"/>
          </rPr>
          <t>Informed defines which organisations need to be informed of the progress and completion of the task.
This can include project stakeholders who do not provide resources for the completion of the task.</t>
        </r>
      </text>
    </comment>
    <comment ref="P131" authorId="0" shapeId="0" xr:uid="{68DC9C75-9D9E-4294-A00C-84BF207DD458}">
      <text>
        <r>
          <rPr>
            <b/>
            <sz val="9"/>
            <color indexed="81"/>
            <rFont val="Tahoma"/>
            <family val="2"/>
          </rPr>
          <t xml:space="preserve">C - CONSULTED
</t>
        </r>
        <r>
          <rPr>
            <sz val="9"/>
            <color indexed="81"/>
            <rFont val="Tahoma"/>
            <family val="2"/>
          </rPr>
          <t xml:space="preserve">Consulted defines which organisation shall provide consulting services including individuals who act as subject matter experts and can support the completion of the task.
</t>
        </r>
      </text>
    </comment>
    <comment ref="O142" authorId="0" shapeId="0" xr:uid="{67889A2F-51CF-43CF-BD01-F61A796DCD1E}">
      <text>
        <r>
          <rPr>
            <b/>
            <sz val="9"/>
            <color indexed="81"/>
            <rFont val="Tahoma"/>
            <family val="2"/>
          </rPr>
          <t xml:space="preserve">APPLICABILITY TO RASIC
THIS FIELD IS MANDATORY
</t>
        </r>
        <r>
          <rPr>
            <sz val="9"/>
            <color indexed="81"/>
            <rFont val="Tahoma"/>
            <family val="2"/>
          </rPr>
          <t xml:space="preserve">You must select if the RASIC Section is applicable to your sourcing project. 
If you select NOT APPLICABLE, the section will be coloured in RED and not readable. 
If there is a single RASIC entry which you do not agree with / would like to change, use the Appendix B. RASIC Additions to capture any other RASIC requirements 
DO NOT CHANGE ANY RASIC INFORMATION IN THIS TAB.
</t>
        </r>
      </text>
    </comment>
    <comment ref="K143" authorId="0" shapeId="0" xr:uid="{F3390722-B82C-483C-A0C8-DDFE2D5C6E77}">
      <text>
        <r>
          <rPr>
            <b/>
            <sz val="9"/>
            <color indexed="81"/>
            <rFont val="Tahoma"/>
            <family val="2"/>
          </rPr>
          <t>LEAD</t>
        </r>
        <r>
          <rPr>
            <sz val="9"/>
            <color indexed="81"/>
            <rFont val="Tahoma"/>
            <family val="2"/>
          </rPr>
          <t xml:space="preserve">
Lead defines which organisation is responsible for delivery of the task. 
The Lead is responsible for the following, but not limited
a) drive &amp; control the process, 
b) analyse and follow-up work plan,
c) consolidate and coordinate, 
d) initiate work plan,
e) execute work plan,
f) trade-off decision with respect to agreed targets
</t>
        </r>
      </text>
    </comment>
    <comment ref="L143" authorId="0" shapeId="0" xr:uid="{0AEDA36D-89D4-4AFA-8138-086284BB2123}">
      <text>
        <r>
          <rPr>
            <b/>
            <u/>
            <sz val="9"/>
            <color indexed="81"/>
            <rFont val="Tahoma"/>
            <family val="2"/>
          </rPr>
          <t>R - RESPONSIBLE</t>
        </r>
        <r>
          <rPr>
            <b/>
            <sz val="9"/>
            <color indexed="81"/>
            <rFont val="Tahoma"/>
            <family val="2"/>
          </rPr>
          <t xml:space="preserve">
</t>
        </r>
        <r>
          <rPr>
            <sz val="9"/>
            <color indexed="81"/>
            <rFont val="Tahoma"/>
            <family val="2"/>
          </rPr>
          <t>Responsible defines which organisation shall own, manage and complete the task.</t>
        </r>
        <r>
          <rPr>
            <b/>
            <sz val="9"/>
            <color indexed="81"/>
            <rFont val="Tahoma"/>
            <family val="2"/>
          </rPr>
          <t xml:space="preserve">
</t>
        </r>
      </text>
    </comment>
    <comment ref="M143" authorId="0" shapeId="0" xr:uid="{D7EE6FC0-2D79-4561-9BCB-27FCD529801B}">
      <text>
        <r>
          <rPr>
            <b/>
            <u/>
            <sz val="9"/>
            <color indexed="81"/>
            <rFont val="Tahoma"/>
            <family val="2"/>
          </rPr>
          <t>A - APPROVE</t>
        </r>
        <r>
          <rPr>
            <sz val="9"/>
            <color indexed="81"/>
            <rFont val="Tahoma"/>
            <family val="2"/>
          </rPr>
          <t xml:space="preserve">
Approve defines which organisation is accountable for the outcome, or deliverable of the task and holds the approval authority for the task.
</t>
        </r>
      </text>
    </comment>
    <comment ref="N143" authorId="0" shapeId="0" xr:uid="{A54A8AE5-9BB3-4ACA-ABEC-34E38CDF2273}">
      <text>
        <r>
          <rPr>
            <b/>
            <u/>
            <sz val="9"/>
            <color indexed="81"/>
            <rFont val="Tahoma"/>
            <family val="2"/>
          </rPr>
          <t>S - SUPPORT</t>
        </r>
        <r>
          <rPr>
            <b/>
            <sz val="9"/>
            <color indexed="81"/>
            <rFont val="Tahoma"/>
            <family val="2"/>
          </rPr>
          <t xml:space="preserve">
</t>
        </r>
        <r>
          <rPr>
            <sz val="9"/>
            <color indexed="81"/>
            <rFont val="Tahoma"/>
            <family val="2"/>
          </rPr>
          <t xml:space="preserve">Support defines which organisation shall provide support services for the completion of the task.
This can include individuals who contribute to the completion of the task but are not authority holders.
</t>
        </r>
      </text>
    </comment>
    <comment ref="O143" authorId="0" shapeId="0" xr:uid="{225D4F57-DA76-449C-AD03-3571F768F8D4}">
      <text>
        <r>
          <rPr>
            <b/>
            <u/>
            <sz val="9"/>
            <color indexed="81"/>
            <rFont val="Tahoma"/>
            <family val="2"/>
          </rPr>
          <t>I - INFORMED</t>
        </r>
        <r>
          <rPr>
            <b/>
            <sz val="9"/>
            <color indexed="81"/>
            <rFont val="Tahoma"/>
            <family val="2"/>
          </rPr>
          <t xml:space="preserve">
</t>
        </r>
        <r>
          <rPr>
            <sz val="9"/>
            <color indexed="81"/>
            <rFont val="Tahoma"/>
            <family val="2"/>
          </rPr>
          <t>Informed defines which organisations need to be informed of the progress and completion of the task.
This can include project stakeholders who do not provide resources for the completion of the task.</t>
        </r>
      </text>
    </comment>
    <comment ref="P143" authorId="0" shapeId="0" xr:uid="{1905C08D-16C4-4F29-B012-335DC706FB73}">
      <text>
        <r>
          <rPr>
            <b/>
            <u/>
            <sz val="9"/>
            <color indexed="81"/>
            <rFont val="Tahoma"/>
            <family val="2"/>
          </rPr>
          <t>C - CONSULTED</t>
        </r>
        <r>
          <rPr>
            <b/>
            <sz val="9"/>
            <color indexed="81"/>
            <rFont val="Tahoma"/>
            <family val="2"/>
          </rPr>
          <t xml:space="preserve">
</t>
        </r>
        <r>
          <rPr>
            <sz val="9"/>
            <color indexed="81"/>
            <rFont val="Tahoma"/>
            <family val="2"/>
          </rPr>
          <t xml:space="preserve">Consulted defines which organisation shall provide consulting services including individuals who act as subject matter experts and can support the completion of the task.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MacRae, Phil (P.)</author>
  </authors>
  <commentList>
    <comment ref="A11" authorId="0" shapeId="0" xr:uid="{ADEFF478-4A73-495A-82A1-08CBDB16B410}">
      <text>
        <r>
          <rPr>
            <b/>
            <sz val="9"/>
            <color indexed="81"/>
            <rFont val="Tahoma"/>
            <family val="2"/>
          </rPr>
          <t xml:space="preserve">SUPPORTING DOCUMENTS:
</t>
        </r>
        <r>
          <rPr>
            <sz val="9"/>
            <color indexed="81"/>
            <rFont val="Tahoma"/>
            <family val="2"/>
          </rPr>
          <t xml:space="preserve">These documents provide technical information to the supplier to support the requirements defined int he eSOW. They are </t>
        </r>
        <r>
          <rPr>
            <b/>
            <sz val="9"/>
            <color indexed="81"/>
            <rFont val="Tahoma"/>
            <family val="2"/>
          </rPr>
          <t>NOT</t>
        </r>
        <r>
          <rPr>
            <sz val="9"/>
            <color indexed="81"/>
            <rFont val="Tahoma"/>
            <family val="2"/>
          </rPr>
          <t xml:space="preserve"> Industry, business or internal Engineering Standards. 
Supporting documents can include locally produced instructions (Local Work Instructions, Templates, Matrices etc).
Supporting documents can also include project collaboration material, project timing plans, deliverables.
</t>
        </r>
      </text>
    </comment>
    <comment ref="A37" authorId="0" shapeId="0" xr:uid="{24196C00-9E8E-4C9E-AF12-D500EBD950C7}">
      <text>
        <r>
          <rPr>
            <b/>
            <sz val="9"/>
            <color indexed="81"/>
            <rFont val="Tahoma"/>
            <family val="2"/>
          </rPr>
          <t xml:space="preserve">GENERAL STANDARDS
</t>
        </r>
        <r>
          <rPr>
            <sz val="9"/>
            <color indexed="81"/>
            <rFont val="Tahoma"/>
            <family val="2"/>
          </rPr>
          <t xml:space="preserve">This section is for General standards which are applicable to a wide range of sourcing projects.
</t>
        </r>
        <r>
          <rPr>
            <b/>
            <sz val="9"/>
            <color indexed="81"/>
            <rFont val="Tahoma"/>
            <family val="2"/>
          </rPr>
          <t>INDUSTRY</t>
        </r>
        <r>
          <rPr>
            <sz val="9"/>
            <color indexed="81"/>
            <rFont val="Tahoma"/>
            <family val="2"/>
          </rPr>
          <t xml:space="preserve"> - Standards from the automotive industry, regulatory bodies, EC council and governments
</t>
        </r>
        <r>
          <rPr>
            <b/>
            <sz val="9"/>
            <color indexed="81"/>
            <rFont val="Tahoma"/>
            <family val="2"/>
          </rPr>
          <t>BUSINESS</t>
        </r>
        <r>
          <rPr>
            <sz val="9"/>
            <color indexed="81"/>
            <rFont val="Tahoma"/>
            <family val="2"/>
          </rPr>
          <t xml:space="preserve"> - Internal Standards relevant to JLR as a business
</t>
        </r>
        <r>
          <rPr>
            <b/>
            <sz val="9"/>
            <color indexed="81"/>
            <rFont val="Tahoma"/>
            <family val="2"/>
          </rPr>
          <t>SUPPLIER</t>
        </r>
        <r>
          <rPr>
            <sz val="9"/>
            <color indexed="81"/>
            <rFont val="Tahoma"/>
            <family val="2"/>
          </rPr>
          <t xml:space="preserve"> - internal JLR Standards relevant to the onboarding, requirements and security of supplier relationships. 
The Lead Engineer is responsible for all standards and documents being made available to the supplier. </t>
        </r>
        <r>
          <rPr>
            <b/>
            <sz val="9"/>
            <color indexed="81"/>
            <rFont val="Tahoma"/>
            <family val="2"/>
          </rPr>
          <t xml:space="preserve">
NOTE: NOT ALL DOCUMENTS AND STANDARDS ARE ON ENERJYHUB OR COVISINT. CHECK WITH YOUR BUYER AND THE GSI TEAM FOR DOCUMENT REPOSITORIES.</t>
        </r>
      </text>
    </comment>
    <comment ref="J38" authorId="0" shapeId="0" xr:uid="{A8A07918-10D2-4AFF-A26E-23C074F0F1F0}">
      <text>
        <r>
          <rPr>
            <b/>
            <sz val="9"/>
            <color indexed="81"/>
            <rFont val="Tahoma"/>
            <family val="2"/>
          </rPr>
          <t xml:space="preserve">STANDARDS APPLICABILITY
</t>
        </r>
        <r>
          <rPr>
            <sz val="9"/>
            <color indexed="81"/>
            <rFont val="Tahoma"/>
            <family val="2"/>
          </rPr>
          <t xml:space="preserve">
The Lead Engineer must state which standards are MANDATORY or NOT APPLICABLE TO A GIVEN PROJECT. </t>
        </r>
        <r>
          <rPr>
            <b/>
            <sz val="9"/>
            <color indexed="81"/>
            <rFont val="Tahoma"/>
            <family val="2"/>
          </rPr>
          <t xml:space="preserve">
</t>
        </r>
        <r>
          <rPr>
            <sz val="9"/>
            <color indexed="81"/>
            <rFont val="Tahoma"/>
            <family val="2"/>
          </rPr>
          <t xml:space="preserve">For example, standards referring to Air Pollutants may not be applicable to manufacturers of electrical wiring. Therefore this standards would be "Not Applicable"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MacRae, Phil (P.)</author>
  </authors>
  <commentList>
    <comment ref="A118" authorId="0" shapeId="0" xr:uid="{3EBA0913-6467-41CB-9B80-8B9C06C39722}">
      <text>
        <r>
          <rPr>
            <sz val="9"/>
            <color indexed="81"/>
            <rFont val="Tahoma"/>
            <family val="2"/>
          </rPr>
          <t xml:space="preserve">EXAMPLES OF MEETING TYPES:
Technical Reviews
Quality Reviews
Change Board Meting
Problem Review Board Meetings
Escalation Meetings
Joint Reviews
Workshops
Collaboration Sessions
Audits and Assessments
Governance Meetings
DCR / ECR Discussion Meetings
Progress Reviews
Regular Training
Release Acceptance Reviews
Supplier Scorecard Review and Trend Analysis
Project Collaboration Planning
Compliance Workshops
Defect Analysis
Senior Project Reviews
Lessons Learned
Software related meetings and reviews 
Work Product Exchange
</t>
        </r>
      </text>
    </comment>
    <comment ref="E118" authorId="0" shapeId="0" xr:uid="{4DC8399E-D937-4B97-9C4F-3072E653CFBA}">
      <text>
        <r>
          <rPr>
            <b/>
            <sz val="9"/>
            <color indexed="81"/>
            <rFont val="Tahoma"/>
            <family val="2"/>
          </rPr>
          <t xml:space="preserve">EXAMPLE OF CADENCE:
</t>
        </r>
        <r>
          <rPr>
            <sz val="9"/>
            <color indexed="81"/>
            <rFont val="Tahoma"/>
            <family val="2"/>
          </rPr>
          <t xml:space="preserve">
Daily
Weekly
Monthly
Bi-Monthly
Quarterly
Bi-Annually
Annually
</t>
        </r>
        <r>
          <rPr>
            <b/>
            <sz val="9"/>
            <color indexed="81"/>
            <rFont val="Tahoma"/>
            <family val="2"/>
          </rPr>
          <t xml:space="preserve">
</t>
        </r>
        <r>
          <rPr>
            <sz val="9"/>
            <color indexed="81"/>
            <rFont val="Tahoma"/>
            <family val="2"/>
          </rPr>
          <t xml:space="preserve">
</t>
        </r>
      </text>
    </comment>
    <comment ref="J118" authorId="0" shapeId="0" xr:uid="{0B522829-639B-4D2E-AB03-38868A5E56C4}">
      <text>
        <r>
          <rPr>
            <sz val="9"/>
            <color indexed="81"/>
            <rFont val="Tahoma"/>
            <family val="2"/>
          </rPr>
          <t>NOTE:
Outputs can be;</t>
        </r>
        <r>
          <rPr>
            <b/>
            <sz val="9"/>
            <color indexed="81"/>
            <rFont val="Tahoma"/>
            <family val="2"/>
          </rPr>
          <t xml:space="preserve">
</t>
        </r>
        <r>
          <rPr>
            <sz val="9"/>
            <color indexed="81"/>
            <rFont val="Tahoma"/>
            <family val="2"/>
          </rPr>
          <t>Meeting Minutes
Documents
Work product</t>
        </r>
        <r>
          <rPr>
            <b/>
            <sz val="9"/>
            <color indexed="81"/>
            <rFont val="Tahoma"/>
            <family val="2"/>
          </rPr>
          <t xml:space="preserve">
</t>
        </r>
      </text>
    </comment>
    <comment ref="A138" authorId="0" shapeId="0" xr:uid="{D15A0C60-A6DC-4DD4-812D-3CCAE9C31E11}">
      <text>
        <r>
          <rPr>
            <b/>
            <sz val="9"/>
            <color indexed="81"/>
            <rFont val="Tahoma"/>
            <family val="2"/>
          </rPr>
          <t>ENGINEERING CHANGE MANAGEMENT</t>
        </r>
        <r>
          <rPr>
            <sz val="9"/>
            <color indexed="81"/>
            <rFont val="Tahoma"/>
            <family val="2"/>
          </rPr>
          <t xml:space="preserve">
Supplier and JLR shall define and agree to a joint Change Management process and toolset to ensure changes identified by JLR or Supplier can be effectively captured, shared, approved, tracked and progressed. 
This process may be defined in this document, or via references to a shared change management plan. 
The agreements shall comply with the requirements defined in the Change Management section of the Process and Project Requirements. </t>
        </r>
      </text>
    </comment>
    <comment ref="A139" authorId="0" shapeId="0" xr:uid="{7E6EF6CA-D3C0-45F1-9D8C-18489D5607A9}">
      <text>
        <r>
          <rPr>
            <b/>
            <sz val="9"/>
            <color indexed="81"/>
            <rFont val="Tahoma"/>
            <family val="2"/>
          </rPr>
          <t xml:space="preserve">RISK MANAGEMENT:
</t>
        </r>
        <r>
          <rPr>
            <sz val="9"/>
            <color indexed="81"/>
            <rFont val="Tahoma"/>
            <family val="2"/>
          </rPr>
          <t xml:space="preserve">Supplier and JLR shall define and agree to a joint Risk Management process and toolset to support joint reviews of relevant risks identified by supplier and risks identified by JLR. This process may be defined in this document, or via references to a shared project management plan or risk management plan. 
The agreements shall comply with the requirements defined in the Risk Management section of the Process and Project Requirements. 
</t>
        </r>
      </text>
    </comment>
    <comment ref="A140" authorId="0" shapeId="0" xr:uid="{A382EEDA-B0EC-4FA3-8736-9F4E6730B673}">
      <text>
        <r>
          <rPr>
            <b/>
            <sz val="9"/>
            <color indexed="81"/>
            <rFont val="Tahoma"/>
            <family val="2"/>
          </rPr>
          <t xml:space="preserve">RELEASE MANAGEMENT:
</t>
        </r>
        <r>
          <rPr>
            <sz val="9"/>
            <color indexed="81"/>
            <rFont val="Tahoma"/>
            <family val="2"/>
          </rPr>
          <t xml:space="preserve">Supplier and JLR shall define and agree to a joint Release Management process and toolset (to be defined or referenced in this section). 
The agreements shall comply with the requirements defined in the Release Management section of the Process and Project Requirements. 
</t>
        </r>
      </text>
    </comment>
    <comment ref="A141" authorId="0" shapeId="0" xr:uid="{404132BC-8479-496A-96E2-F259C1AD484B}">
      <text>
        <r>
          <rPr>
            <b/>
            <sz val="9"/>
            <color indexed="81"/>
            <rFont val="Tahoma"/>
            <family val="2"/>
          </rPr>
          <t>PROBLEM MANAGEMENT:</t>
        </r>
        <r>
          <rPr>
            <sz val="9"/>
            <color indexed="81"/>
            <rFont val="Tahoma"/>
            <family val="2"/>
          </rPr>
          <t xml:space="preserve">
Supplier and JLR shall define and agree to a joint Problem Management process and toolset to ensure project and technical issues identified by JLR or supplier can be effectively captured, shared, tracked and progressed. This process may be defined in this document, or via references to a shared problem management plan. 
The agreements shall comply with the requirements defined in the Problem Management section of the Process and Project Requirements. 
</t>
        </r>
      </text>
    </comment>
    <comment ref="A142" authorId="0" shapeId="0" xr:uid="{45F2C617-2F53-48B4-91A4-DA3906369CFA}">
      <text>
        <r>
          <rPr>
            <b/>
            <sz val="9"/>
            <color indexed="81"/>
            <rFont val="Tahoma"/>
            <family val="2"/>
          </rPr>
          <t xml:space="preserve">TEST MANAGEMENT:
</t>
        </r>
        <r>
          <rPr>
            <sz val="9"/>
            <color indexed="81"/>
            <rFont val="Tahoma"/>
            <family val="2"/>
          </rPr>
          <t xml:space="preserve">Supplier and JLR shall define and agree to joint Test Management goals and approaches, such as: 
Project’s test management goals, rules and constraints 
Methods of sharing and aligning JLR &amp; Supplier Test Strategies to ensure effective and efficient test approach 
Methods of reviewing and improving tests throughout the project to ensure effective &amp; timely defect discovery 
This process may be defined in this document, or via references to a shared test management plan. 
The agreements shall comply with the requirements defined in the Test Management section of the Process and Project Requirements. 
</t>
        </r>
      </text>
    </comment>
    <comment ref="A143" authorId="0" shapeId="0" xr:uid="{DED05C67-67FB-41A5-A1B6-FBF178DC50B7}">
      <text>
        <r>
          <rPr>
            <b/>
            <sz val="9"/>
            <color indexed="81"/>
            <rFont val="Tahoma"/>
            <family val="2"/>
          </rPr>
          <t xml:space="preserve">ENGINEERING REQUIREMENTS MANAGEMENT:
</t>
        </r>
        <r>
          <rPr>
            <sz val="9"/>
            <color indexed="81"/>
            <rFont val="Tahoma"/>
            <family val="2"/>
          </rPr>
          <t xml:space="preserve">Supplier and JLR shall define and agree to a joint Requirements Management process and toolset to ensure engineering requirements identified by JLR or supplier can be effectively captured, shared, reviewed, tracked and progressed. This process may be defined in this document, or via references to a shared requirements management plan. 
The agreements shall comply with the requirements defined in the Engineering Requirements Management section of the Process and Project Requirements. 
</t>
        </r>
      </text>
    </comment>
    <comment ref="A144" authorId="0" shapeId="0" xr:uid="{C272C2D4-B23A-46A9-AC75-24C091D3814F}">
      <text>
        <r>
          <rPr>
            <b/>
            <sz val="9"/>
            <color indexed="81"/>
            <rFont val="Tahoma"/>
            <family val="2"/>
          </rPr>
          <t xml:space="preserve">CONFIGURATION MANAGEMENT:
</t>
        </r>
        <r>
          <rPr>
            <sz val="9"/>
            <color indexed="81"/>
            <rFont val="Tahoma"/>
            <family val="2"/>
          </rPr>
          <t xml:space="preserve">Supplier and JLR shall define and agree to joint Configuration Management goals and approaches such as: 
Project’s configuration management goals, rules and constraints 
What data is exchanged, how this enters the configuration management system and when 
How joint Configuration Management activities are synchronised, and when 
How product variants shall be managed 
</t>
        </r>
      </text>
    </comment>
    <comment ref="A145" authorId="0" shapeId="0" xr:uid="{BB26A8BE-F689-4253-895E-7F6C61C47907}">
      <text>
        <r>
          <rPr>
            <b/>
            <sz val="9"/>
            <color indexed="81"/>
            <rFont val="Tahoma"/>
            <family val="2"/>
          </rPr>
          <t xml:space="preserve">PROJECT IMPROVEMENTS:
</t>
        </r>
        <r>
          <rPr>
            <sz val="9"/>
            <color indexed="81"/>
            <rFont val="Tahoma"/>
            <family val="2"/>
          </rPr>
          <t xml:space="preserve">Supplier and JLR shall define the input sources, methods and responsibilities involved in regular identification and delivery of improvements to project ways of working and associated work products.  
The agreements shall comply with the requirements defined in the Continuous Improvement &amp; Monitoring and Control sections of the Process and Project Requirements.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<sst xmlns="http://schemas.openxmlformats.org/spreadsheetml/2006/main" count="9003" uniqueCount="1720">
  <si>
    <t>Statement of Work (eSOW/Hardware)</t>
  </si>
  <si>
    <t>JLR-TMP-557249   Issue Level 5.1</t>
  </si>
  <si>
    <t>Revision</t>
  </si>
  <si>
    <t>RECORDS MANAGEMENT</t>
  </si>
  <si>
    <t>TITLE:</t>
  </si>
  <si>
    <t>Engineering Statement of Work</t>
  </si>
  <si>
    <t>RETENTION No:</t>
  </si>
  <si>
    <t>CP1-001</t>
  </si>
  <si>
    <t>OWNER:</t>
  </si>
  <si>
    <t>Marcus Penn</t>
  </si>
  <si>
    <t>SECURITY:</t>
  </si>
  <si>
    <t>CONFIDENTIAL</t>
  </si>
  <si>
    <t>RECORD TYPE:</t>
  </si>
  <si>
    <t>OFFICIAL</t>
  </si>
  <si>
    <t>AUTHOR:</t>
  </si>
  <si>
    <t>Phil MacRae</t>
  </si>
  <si>
    <t xml:space="preserve">This Statement of Work shall be used to define the project and technical requirements for any given sourcing project and to support the Global Sourcing Process requirements at Jaguar Land Rover. This document is the authoritative document for all engineering, technical and software requirements. Requirements defined in any other Supplemental Statement of Work (referred to as sow hereinafter) documents shall not supersede the content of this Statement of Work unless stated otherwise. </t>
  </si>
  <si>
    <t>Document Title:</t>
  </si>
  <si>
    <t>Supplier Category:</t>
  </si>
  <si>
    <t>Make to Print</t>
  </si>
  <si>
    <t>Centre of Competence:</t>
  </si>
  <si>
    <t>Body Engineering</t>
  </si>
  <si>
    <t>Vehicle Platform:</t>
  </si>
  <si>
    <t>MLA</t>
  </si>
  <si>
    <t>Squad / Chapter:</t>
  </si>
  <si>
    <t>Cabin</t>
  </si>
  <si>
    <t>Vehicle Line / Name:</t>
  </si>
  <si>
    <t>L463</t>
  </si>
  <si>
    <t>Job #1 Date</t>
  </si>
  <si>
    <t>Model Year:</t>
  </si>
  <si>
    <t>30MY</t>
  </si>
  <si>
    <t>Supplier Master Code:</t>
  </si>
  <si>
    <t>Supplier Name:</t>
  </si>
  <si>
    <t>Lead Engineer:</t>
  </si>
  <si>
    <t>CDSID:</t>
  </si>
  <si>
    <t>amitroi</t>
  </si>
  <si>
    <t>GSPid Code:</t>
  </si>
  <si>
    <t>IN_10322</t>
  </si>
  <si>
    <t>Group Leader:</t>
  </si>
  <si>
    <t>Jonathan Ellis</t>
  </si>
  <si>
    <t>jellis3</t>
  </si>
  <si>
    <t>Commodity Plan:</t>
  </si>
  <si>
    <t>Module Lead:</t>
  </si>
  <si>
    <t>Mark Croucher</t>
  </si>
  <si>
    <t>mcrouch7</t>
  </si>
  <si>
    <t>Commodity Plan Code:</t>
  </si>
  <si>
    <t>P-0008384</t>
  </si>
  <si>
    <t>Strategic Buyer:</t>
  </si>
  <si>
    <t>Lauren Spensley</t>
  </si>
  <si>
    <t>lspensl1</t>
  </si>
  <si>
    <t>Component / System:</t>
  </si>
  <si>
    <t>Floor Coverings</t>
  </si>
  <si>
    <t>Service Lead:</t>
  </si>
  <si>
    <t>Mark Hardy</t>
  </si>
  <si>
    <t>mhardy28</t>
  </si>
  <si>
    <t>CPSCII Code:</t>
  </si>
  <si>
    <t>010501</t>
  </si>
  <si>
    <t>SIGNATURES BLOCK</t>
  </si>
  <si>
    <t>Jaguar Land Rover Lead Engineer:</t>
  </si>
  <si>
    <t>Name:</t>
  </si>
  <si>
    <t>DATE:</t>
  </si>
  <si>
    <t>SIGNED:</t>
  </si>
  <si>
    <t>Jaguar Land Rover Module Leader:</t>
  </si>
  <si>
    <r>
      <t>Authorising Service Signatory:</t>
    </r>
    <r>
      <rPr>
        <sz val="11"/>
        <color theme="1"/>
        <rFont val="Calibri"/>
        <family val="2"/>
        <scheme val="minor"/>
      </rPr>
      <t xml:space="preserve"> </t>
    </r>
    <r>
      <rPr>
        <sz val="8"/>
        <color rgb="FFC00000"/>
        <rFont val="Calibri"/>
        <family val="2"/>
        <scheme val="minor"/>
      </rPr>
      <t>*This signatory is mandatory. Contact Mark Hardy (mhardy28) for direction and guidance.</t>
    </r>
  </si>
  <si>
    <t>Supplier Representing Engineer:</t>
  </si>
  <si>
    <t>ID No:</t>
  </si>
  <si>
    <t>Record of Changes to JLR-TMP-557249 Template</t>
  </si>
  <si>
    <t>This section contains a detailed list of all changes to the template. The use of this section is reserved for use by the Content Author and the Content Owner as defined in JLR Way in accordance with the Statement of Work (eSOW/Hardware) JLR-TMP-557249 operational template. This section must not be changed or edited by any signature of the Statement of Work.</t>
  </si>
  <si>
    <t>ISSUE LEVEL</t>
  </si>
  <si>
    <t>ISSUE CHANGE</t>
  </si>
  <si>
    <t>CHANGE TYPE</t>
  </si>
  <si>
    <t>LOCATION 
TAB / APPENDIX</t>
  </si>
  <si>
    <t>DESCRIPTION</t>
  </si>
  <si>
    <t>3.0</t>
  </si>
  <si>
    <t>MAJOR</t>
  </si>
  <si>
    <t>N/A</t>
  </si>
  <si>
    <t>ALL</t>
  </si>
  <si>
    <t xml:space="preserve">The Statement of Work has been overhauled, 100% content revision. </t>
  </si>
  <si>
    <t>3.1</t>
  </si>
  <si>
    <t>MINOR</t>
  </si>
  <si>
    <t>NEW</t>
  </si>
  <si>
    <t>Sticky Notes added to section titles for guidance and clarity of instruction. Not visible to supplier when printed to .pdf format.</t>
  </si>
  <si>
    <t>ELECTRICAL REQUIREMENTS</t>
  </si>
  <si>
    <t>Added Cyber Security Section.</t>
  </si>
  <si>
    <t>3.2</t>
  </si>
  <si>
    <t>CHANGE</t>
  </si>
  <si>
    <t>FRONT MATTER</t>
  </si>
  <si>
    <t>Improvements to Warranty Terms and Conditions Section.</t>
  </si>
  <si>
    <t>Changes to 3DX License Requirements within Core Applications Section.</t>
  </si>
  <si>
    <t>3.3</t>
  </si>
  <si>
    <t>APPENDIX G</t>
  </si>
  <si>
    <t>New Appendix added (H) for Semiconductor sourcing requirements.</t>
  </si>
  <si>
    <t>HARDWARE / CAD</t>
  </si>
  <si>
    <t>Hardware Requirements Tab updated to include Hardware technical requirements and all CAD/CAE requirements.</t>
  </si>
  <si>
    <t>Revised to only define Cyber Security, Electrical Connectors and Bespoke requirements. Other information captured in Tab Technical Requirements.</t>
  </si>
  <si>
    <t>3.4</t>
  </si>
  <si>
    <t>Official Records Statement and Retention Code update to reflect correct JLR Official Records Policy.</t>
  </si>
  <si>
    <t>DELETED</t>
  </si>
  <si>
    <t xml:space="preserve">Hyperlinks to sources outside of the Statement of Work deleted due to problems with access needs, site security and excel. </t>
  </si>
  <si>
    <t>3.5</t>
  </si>
  <si>
    <t xml:space="preserve">Flash Page replaced with new version;  directly Infront of Signature block on Page 1. </t>
  </si>
  <si>
    <t>Reference changed in Parts Development and Validation. Prototype Part Governance Process changed from JLR-PRD-557143 to JLR-PRD-557806.</t>
  </si>
  <si>
    <t>Document JLR-TMP-557249 Title changed from 'Engineering Statement of Work (eSOW)' or 'eSOW 'to Statement of Work (eSOW/Hardware).</t>
  </si>
  <si>
    <t>READ ME THEN DELETE ME</t>
  </si>
  <si>
    <t>READ ME THEN DELETE ME guidance tab or engineers deleted and replaced with Statement of Work - Responsibilities and Operating Procedure JLR-PRD-570407.</t>
  </si>
  <si>
    <t>3.6</t>
  </si>
  <si>
    <t>CYBER SEC. REQUIREMENTS</t>
  </si>
  <si>
    <t>New Tab created for Cyber Security Requirements</t>
  </si>
  <si>
    <t>SERVICE REQUIREMENTS</t>
  </si>
  <si>
    <t>New Tab created for Service Requirements</t>
  </si>
  <si>
    <t>Cyber Security information removed; moved to Cyber Security Requirements Tab</t>
  </si>
  <si>
    <t>3.7</t>
  </si>
  <si>
    <t>APPENDIX K</t>
  </si>
  <si>
    <t>New Appendix added (K) for Software Sourcing.</t>
  </si>
  <si>
    <t>Update to text and instructions</t>
  </si>
  <si>
    <t>3.8</t>
  </si>
  <si>
    <t>New Section added; Record of Changes to Template JLR-557249.</t>
  </si>
  <si>
    <t>APPENDIX J</t>
  </si>
  <si>
    <t>New Appendix added (J) for Injection Moulded Plastics.</t>
  </si>
  <si>
    <t>APPENDIX L</t>
  </si>
  <si>
    <t>New Appendix added (L) for Door Trim Sourcing Requirements.</t>
  </si>
  <si>
    <t xml:space="preserve">New Supplier Category for ESP_Door Trim Teams. Affects Appendix A only. </t>
  </si>
  <si>
    <t xml:space="preserve">Supplier Master Code and Supplier Name re-added to Front Matter Page 1. </t>
  </si>
  <si>
    <t>All references of 'eSOW' changed to 'Statement of Work'.</t>
  </si>
  <si>
    <t>APPENDIX A</t>
  </si>
  <si>
    <t>RASIC descriptions auto-populated by selecting supplier category in Front Matter. 
Bespoke RASICs created for dedicated CoCs (i.e.. Door Trim).</t>
  </si>
  <si>
    <t>ENVIROMENTAL REQUIREMENTS</t>
  </si>
  <si>
    <t xml:space="preserve">Removed incorrect references to 'Table 5.' Changed to correct internal reference ERR.9 and ERR 1. respectively. </t>
  </si>
  <si>
    <t>APPENDIX D</t>
  </si>
  <si>
    <t>Name of Appendix changed from "Parts Lists" to "Parts and Materials"</t>
  </si>
  <si>
    <t xml:space="preserve">New section added for material information to be included with the part. Additional disclaimer for materials added to introduction section. </t>
  </si>
  <si>
    <t>(M) PROJECT MANAGEMENT</t>
  </si>
  <si>
    <t>New Section for Magna Project Management sourcing only</t>
  </si>
  <si>
    <t>(M) Appendix Ai. L2 RASIC</t>
  </si>
  <si>
    <t>New Level 2 RASIC Tab specifically for Magna Projects</t>
  </si>
  <si>
    <t>(M) Appendix Aii. L3 RASIC</t>
  </si>
  <si>
    <t>New Level 3 RASIC Tab specifically for Magna FSS Projects</t>
  </si>
  <si>
    <t>SUPPLIER CATEGORY</t>
  </si>
  <si>
    <t xml:space="preserve">Category ESP_MAGNA_LEVEL_01 added </t>
  </si>
  <si>
    <t>Added Cost Pack Templates to Appendix D</t>
  </si>
  <si>
    <t>4.0</t>
  </si>
  <si>
    <t>SUPPLY CHAIN TRANSPARENCY</t>
  </si>
  <si>
    <t>New section for Supplier Transparency and Management</t>
  </si>
  <si>
    <t>Front Matter</t>
  </si>
  <si>
    <t>New section relating to Change Management for Costs Post SCPA (Page 6)</t>
  </si>
  <si>
    <t xml:space="preserve">Improvements to wording for Appendix J. Removed allowance for supplier to use alternatives source files as deliverables to JLR. </t>
  </si>
  <si>
    <t>4.1</t>
  </si>
  <si>
    <t>ENVIRONMENTAL REQUIREMENTS</t>
  </si>
  <si>
    <t>Added section ERR 11b referring to Per and Poly Fluorinated Substances (PFAS)</t>
  </si>
  <si>
    <t>Change to ERR 12 Frequently Asked Questions;
- What is Part Marking?; Changes to rules on ISO 1043 applicable sections
- Why is the RSMS Req. Important; addition of reference to STJLR.999.9999
- How do I report declarable substances; removal of reference to STJLR.99.9999 and changed to www.GADSL.org</t>
  </si>
  <si>
    <t>Complete rewrite of section EER.1 Electrical Connectors</t>
  </si>
  <si>
    <t>4.2</t>
  </si>
  <si>
    <t>MINOR CHANGE</t>
  </si>
  <si>
    <t xml:space="preserve">METADATA OF THE DOCUMENT </t>
  </si>
  <si>
    <t xml:space="preserve">The authorship of the document has been transferred  to ayeoman1
the ownership of the document has been transferred to agierhar </t>
  </si>
  <si>
    <t>4.3</t>
  </si>
  <si>
    <t>Failures on issue level number corrected</t>
  </si>
  <si>
    <t>4.4</t>
  </si>
  <si>
    <t>-</t>
  </si>
  <si>
    <t>Changes not captured by previous owners of the documents</t>
  </si>
  <si>
    <t>4.5</t>
  </si>
  <si>
    <t>Line 168 - Change Mgmt. relating to cost post SCPA- update to ED&amp;T rate information.  Removed content and covered by NEW ED&amp;T policy process - JLR-HTG-586067</t>
  </si>
  <si>
    <t>Line 166 - Engineering Design &amp; Testing (ED&amp;T) information update to align with new policy JLR-HTG-586067</t>
  </si>
  <si>
    <t>Line 9 - APX.K.2 working change to incorporate SESOW template reference JLR-TMP-569740</t>
  </si>
  <si>
    <t>ENVIRONMENTAL REQ.</t>
  </si>
  <si>
    <t>line 2 removed reference WCR as no longer valid.</t>
  </si>
  <si>
    <t>Line 10 added in STN-575210 (mandatory)</t>
  </si>
  <si>
    <t xml:space="preserve">4.6 </t>
  </si>
  <si>
    <t>REMOVED DEAD LINK</t>
  </si>
  <si>
    <t>PURPOSE OF THE TEMPLATE (NOT ACTUALLY THE TEMPLATE)</t>
  </si>
  <si>
    <t>4.7</t>
  </si>
  <si>
    <t>UPDATED LINE 94</t>
  </si>
  <si>
    <t>UPATED LINE 94 WITH CORRECT 4.7 VERSION &amp; TO UPDATE THE TITLE LEVEL TIDY UP</t>
  </si>
  <si>
    <t>4.8</t>
  </si>
  <si>
    <t>UPDATED ALL PAGES TO 4.8</t>
  </si>
  <si>
    <t>4.4 WAS LEFT ON SOME PAGES NOT UPDATED - GENERAL TIDY UP</t>
  </si>
  <si>
    <t>4.9</t>
  </si>
  <si>
    <t>MAJOR CHANGE</t>
  </si>
  <si>
    <t>3 MAGNA TABS</t>
  </si>
  <si>
    <t>REMOVE ALL MAGNA CONTENT TABS (AGREED 7/3/25 DURING CONSULTATION</t>
  </si>
  <si>
    <t>ENVIRONMENTAL REQ</t>
  </si>
  <si>
    <t>ESOW ENVIRONMENTAL REQ. TAB TO REFLECT ENGINEERING REQUIREMENTS FOR LATEST VERSION OF STJLR 51.5270 (LINE 62</t>
  </si>
  <si>
    <t>UPDATE BY TAB OWNERS TO ENHANCE INFORMATION (ENSURING CLEARER STATEMENTS) LINES 15/16/25/26/45/46/59</t>
  </si>
  <si>
    <t>TURNED TAB TO RED TO ENSURE IT IS CONSIDERED AS MANDATORY CONSIDERATION REQUIREMENT</t>
  </si>
  <si>
    <t xml:space="preserve">UPDATED LINES 2 TO INCORPORATE ENHANCEMENT TO INCLUDE CSMS JLR WAY PROCESS </t>
  </si>
  <si>
    <t>REF TO CP1-001 CORPORATE RETENTION UPDATE</t>
  </si>
  <si>
    <t>UPDATED TO REFLECT THE NEW CORPORATE RETENTION REFERENCE/DOCUMENT</t>
  </si>
  <si>
    <t>5.1</t>
  </si>
  <si>
    <t>minor</t>
  </si>
  <si>
    <t>update to rev level only to align with JLR way</t>
  </si>
  <si>
    <t>update to rev level only to align with JLR way - added previously and JLR way misaligned with document</t>
  </si>
  <si>
    <t>5.2</t>
  </si>
  <si>
    <t>spelling updates</t>
  </si>
  <si>
    <t>updates to all spellings within the document</t>
  </si>
  <si>
    <t>5.3</t>
  </si>
  <si>
    <t>updates for all tabs spelling issues</t>
  </si>
  <si>
    <t>FM.4 Record of Statement of Work Revisions</t>
  </si>
  <si>
    <t>REVISION</t>
  </si>
  <si>
    <t>SUBMISSION</t>
  </si>
  <si>
    <t>DESCRIPTION OF CHANGES</t>
  </si>
  <si>
    <t>LE</t>
  </si>
  <si>
    <t>GL</t>
  </si>
  <si>
    <t>DATE</t>
  </si>
  <si>
    <t>First Submission</t>
  </si>
  <si>
    <t>Second Submission</t>
  </si>
  <si>
    <t>IT-0023 STRESS CRACKING FOR PLASTICS added to Technical Requirements tab</t>
  </si>
  <si>
    <r>
      <rPr>
        <b/>
        <sz val="8"/>
        <color theme="1"/>
        <rFont val="Calibri"/>
        <family val="2"/>
        <scheme val="minor"/>
      </rPr>
      <t>FM.5</t>
    </r>
    <r>
      <rPr>
        <b/>
        <sz val="12"/>
        <color theme="1"/>
        <rFont val="Calibri"/>
        <family val="2"/>
        <scheme val="minor"/>
      </rPr>
      <t xml:space="preserve"> Supplier Category</t>
    </r>
  </si>
  <si>
    <t xml:space="preserve">The supplier category defines how the supplier will work with Jaguar Land Rover and their design input and responsibility. This selection will affect which Core Applications and RASIC requirements are applicable. </t>
  </si>
  <si>
    <t>SHORT DESCRIPTION / USE CASE</t>
  </si>
  <si>
    <t>Engineering Service Provider</t>
  </si>
  <si>
    <t>General classification for suppliers not defined within an PSC Category</t>
  </si>
  <si>
    <t>Full System Provider (CSS/Module Level)</t>
  </si>
  <si>
    <t>When the Supplier LEADS the engineering requirement</t>
  </si>
  <si>
    <t>Assembly / Component Provider</t>
  </si>
  <si>
    <t>Consultancy Component Provider</t>
  </si>
  <si>
    <t>When the supplier SUPPORTS the engineering requirement</t>
  </si>
  <si>
    <t>Make To Print</t>
  </si>
  <si>
    <t>When no / limited supplier technical input is required</t>
  </si>
  <si>
    <r>
      <rPr>
        <b/>
        <sz val="8"/>
        <color theme="1"/>
        <rFont val="Calibri"/>
        <family val="2"/>
        <scheme val="minor"/>
      </rPr>
      <t>FM.6</t>
    </r>
    <r>
      <rPr>
        <b/>
        <sz val="12"/>
        <color theme="1"/>
        <rFont val="Calibri"/>
        <family val="2"/>
        <scheme val="minor"/>
      </rPr>
      <t xml:space="preserve"> Core Applications</t>
    </r>
  </si>
  <si>
    <t>The section defines all core applications, software applications and data exchanges which the supplier shall use if nominated by JLR. The supplier is responsible for the registration, training, familiarisation and use of the tools and systems defined below unless stated otherwise in this section. It may be necessary for the supplier to register, familiarise, train and use tools that have not been captured or agreed prior to SCPA. JLR shall provide written notice to the supplier if there is need for the supplier to use a new tool, software, or core application after SCPA with guidance of cost, training and licenses and process. The supplier shall act in good faith to support JLR during such decisions and transition periods.</t>
  </si>
  <si>
    <t>The Supplier shall engage with the Global Supplier Integration (GSI) team through EnerjyHub to identify, align with and use core applications, their associated processes and supporting documentation.  The Supplier is responsible for managing revisions and updates to any core application, associated processes and supporting documentation. Jaguar Land Rover reserve the right to add, change or delay the use of any core application, associated processes, supporting documents, associated licences and their costs, and the mandate for any applicable training programmes during and after the sourcing project window, including after the Sourcing and Commercial Programme Agreement (SCPA) is signed by the supplier. Change requests shall be presented to the supplier in writing.</t>
  </si>
  <si>
    <t>CORE APPLICATION MATRIX</t>
  </si>
  <si>
    <t>CORE APPLICATION</t>
  </si>
  <si>
    <t>REQUIRED</t>
  </si>
  <si>
    <t>ACCEPTABLE USE CASES</t>
  </si>
  <si>
    <t>3DX</t>
  </si>
  <si>
    <t>For engineering data exchange including CAD, APQP and associated processes.</t>
  </si>
  <si>
    <t>AIMS2</t>
  </si>
  <si>
    <t>To raise and manage issues relating to the project and deliverables.</t>
  </si>
  <si>
    <t>eAPQP</t>
  </si>
  <si>
    <t>To track and manage supplier deliverables.</t>
  </si>
  <si>
    <t>Enerjyhub</t>
  </si>
  <si>
    <t>For supplier access to JLR processes, toolsets, training and engineering standards.</t>
  </si>
  <si>
    <t>ePSW</t>
  </si>
  <si>
    <t>To submit PSWs and interim PSWs</t>
  </si>
  <si>
    <t>RMDV2</t>
  </si>
  <si>
    <t>For access to engineering standards and design information.</t>
  </si>
  <si>
    <t>JIRA</t>
  </si>
  <si>
    <t>For task management, issue management and project tracking.</t>
  </si>
  <si>
    <t>Confluence</t>
  </si>
  <si>
    <t>For collaboration and idea sharing.</t>
  </si>
  <si>
    <t>3DX License - 
CAD AUTHOR</t>
  </si>
  <si>
    <r>
      <rPr>
        <b/>
        <sz val="9"/>
        <color theme="1"/>
        <rFont val="Calibri"/>
        <family val="2"/>
        <scheme val="minor"/>
      </rPr>
      <t>RECOMMENDED FOR ALL EXCEPT MAKE TO PRINT</t>
    </r>
    <r>
      <rPr>
        <sz val="9"/>
        <color theme="1"/>
        <rFont val="Calibri"/>
        <family val="2"/>
        <scheme val="minor"/>
      </rPr>
      <t xml:space="preserve">
Directly connect to JLR 3DExperience environment with CAD Authoring roles available.</t>
    </r>
  </si>
  <si>
    <t>3DX Exchange - 
via Data Service Provider</t>
  </si>
  <si>
    <r>
      <rPr>
        <b/>
        <sz val="9"/>
        <color theme="1"/>
        <rFont val="Calibri"/>
        <family val="2"/>
        <scheme val="minor"/>
      </rPr>
      <t>RECOMMENDED FOR MAKE TO PRINT ONLY</t>
    </r>
    <r>
      <rPr>
        <sz val="9"/>
        <color theme="1"/>
        <rFont val="Calibri"/>
        <family val="2"/>
        <scheme val="minor"/>
      </rPr>
      <t xml:space="preserve">
Recommended form of CAD Exchange for Make to Print Suppliers by using the Data Service Provider (DSP), Majenta Solutions. </t>
    </r>
  </si>
  <si>
    <t>CONTACT THE GLOBAL SUPPLIER INTEGRATION TEAM IF YOU REQUIRE SUPPORT FOR ACCESS OR SUPPLIER PRACTICES</t>
  </si>
  <si>
    <r>
      <rPr>
        <b/>
        <sz val="8"/>
        <color theme="1"/>
        <rFont val="Calibri"/>
        <family val="2"/>
        <scheme val="minor"/>
      </rPr>
      <t>FM.7</t>
    </r>
    <r>
      <rPr>
        <b/>
        <sz val="12"/>
        <color theme="1"/>
        <rFont val="Calibri"/>
        <family val="2"/>
        <scheme val="minor"/>
      </rPr>
      <t xml:space="preserve"> Onboarding Requirements</t>
    </r>
  </si>
  <si>
    <t xml:space="preserve">The Lead Engineer shall raise a GSI request to finalise the on-boarding requirements and attain the correct setup, including permissions and collaborative working spaces for the supplier within the 3DExperience environment. Contact the GSI Team for more guidance and information. </t>
  </si>
  <si>
    <r>
      <rPr>
        <b/>
        <sz val="8"/>
        <color theme="1"/>
        <rFont val="Calibri"/>
        <family val="2"/>
        <scheme val="minor"/>
      </rPr>
      <t>FM.8</t>
    </r>
    <r>
      <rPr>
        <b/>
        <sz val="12"/>
        <color theme="1"/>
        <rFont val="Calibri"/>
        <family val="2"/>
        <scheme val="minor"/>
      </rPr>
      <t xml:space="preserve"> Changes</t>
    </r>
  </si>
  <si>
    <t xml:space="preserve">This section defines the how, when and where to capture changes to the Statement of Work through the sourcing project window and after the SCPA has been signed. Once the SCPA is signed the Statement of Work is considered 'locked' and cannot be changed or amended. Changes must be captured through the correct channel as defined below. </t>
  </si>
  <si>
    <t>AFTER SCPA</t>
  </si>
  <si>
    <t>Changes from Statement of Work content</t>
  </si>
  <si>
    <t>Raise a DCR or ECR to capture change requests.</t>
  </si>
  <si>
    <t>Contractual Changes</t>
  </si>
  <si>
    <t xml:space="preserve">Follow Supplier Change Processes and consult the relevant Buyer. </t>
  </si>
  <si>
    <t>Supplier Change Requests</t>
  </si>
  <si>
    <t>Changes initiated by supplier can be either a) Process Change, b) Engineering Change, c) Resource or d) Relocation.
Changes defined as "in scope" are;
1. Changes to the PPAP Processes
2. Resourcing changes defined as change of a supplier that provides deliverables to a JLR Tier 1 or DT2 (Directed Tier 2) supplier.
3. Relocation changes are defined as the change of a JLR Tier 1 or DT2 supplier manufacturing site, site change or ship point (initiated by the supplier).</t>
  </si>
  <si>
    <t>Out of Scope Supplier Change Requests</t>
  </si>
  <si>
    <t>The following supplier changes are defined as "out of scope";</t>
  </si>
  <si>
    <r>
      <rPr>
        <b/>
        <sz val="10"/>
        <color theme="1"/>
        <rFont val="Calibri"/>
        <family val="2"/>
        <scheme val="minor"/>
      </rPr>
      <t xml:space="preserve">1. </t>
    </r>
    <r>
      <rPr>
        <sz val="10"/>
        <color theme="1"/>
        <rFont val="Calibri"/>
        <family val="2"/>
        <scheme val="minor"/>
      </rPr>
      <t xml:space="preserve">Administrative changes, where the supplier initiated site code change with no change to the manufacturing process.
</t>
    </r>
    <r>
      <rPr>
        <b/>
        <sz val="10"/>
        <color theme="1"/>
        <rFont val="Calibri"/>
        <family val="2"/>
        <scheme val="minor"/>
      </rPr>
      <t xml:space="preserve">2. </t>
    </r>
    <r>
      <rPr>
        <sz val="10"/>
        <color theme="1"/>
        <rFont val="Calibri"/>
        <family val="2"/>
        <scheme val="minor"/>
      </rPr>
      <t>Legal entity or ownership change is a change to the Vendor Master code initiate by supplier</t>
    </r>
    <r>
      <rPr>
        <b/>
        <sz val="10"/>
        <color theme="1"/>
        <rFont val="Calibri"/>
        <family val="2"/>
        <scheme val="minor"/>
      </rPr>
      <t xml:space="preserve">
</t>
    </r>
    <r>
      <rPr>
        <sz val="10"/>
        <color theme="1"/>
        <rFont val="Calibri"/>
        <family val="2"/>
        <scheme val="minor"/>
      </rPr>
      <t xml:space="preserve">-Approval for component piece or tooling cost changes are not in the scope of SCR.
-Engineering Change Request (ECR) initiated by JLR
-Design Change Request (DCR) initiated by JLR
</t>
    </r>
    <r>
      <rPr>
        <b/>
        <sz val="10"/>
        <color theme="1"/>
        <rFont val="Calibri"/>
        <family val="2"/>
        <scheme val="minor"/>
      </rPr>
      <t>3.</t>
    </r>
    <r>
      <rPr>
        <sz val="10"/>
        <color theme="1"/>
        <rFont val="Calibri"/>
        <family val="2"/>
        <scheme val="minor"/>
      </rPr>
      <t xml:space="preserve"> Chery Jaguar Land Rover (CJLR) is out of scope for this procedure. If a component is supplied to CJLR as well as JLR then use SCR and the CJLR equivalent Supplier Change Request Procedure.</t>
    </r>
  </si>
  <si>
    <r>
      <rPr>
        <b/>
        <sz val="8"/>
        <color theme="1"/>
        <rFont val="Calibri"/>
        <family val="2"/>
        <scheme val="minor"/>
      </rPr>
      <t>FM.9</t>
    </r>
    <r>
      <rPr>
        <b/>
        <sz val="12"/>
        <color theme="1"/>
        <rFont val="Calibri"/>
        <family val="2"/>
        <scheme val="minor"/>
      </rPr>
      <t xml:space="preserve"> Bespoke Change Requests</t>
    </r>
  </si>
  <si>
    <t xml:space="preserve">Use this section to define all bespoke change requests and deviations. </t>
  </si>
  <si>
    <r>
      <rPr>
        <b/>
        <sz val="8"/>
        <color theme="1"/>
        <rFont val="Calibri"/>
        <family val="2"/>
        <scheme val="minor"/>
      </rPr>
      <t>FM.10</t>
    </r>
    <r>
      <rPr>
        <b/>
        <sz val="12"/>
        <color theme="1"/>
        <rFont val="Calibri"/>
        <family val="2"/>
        <scheme val="minor"/>
      </rPr>
      <t xml:space="preserve"> Change Management Information</t>
    </r>
  </si>
  <si>
    <t xml:space="preserve">This section defines all aspects of change management relating to a sourcing project. Design and engineering requirements can change due to a range of contributing factors both during and after the sourcing process and after the Job#1 milestone. The supplier is expected to support JLR with all areas of change as defined below and act in good faith to identify areas where change may be necessary before a change requirement is needed or realised. </t>
  </si>
  <si>
    <t>Parts Development and Validation</t>
  </si>
  <si>
    <t>The supplier must demonstrate that all attribute targets can be delivered prior to VB tooling kick off, through CAE analysis, physical means or any other means as defined by JLR.  Any target mis-identified during system validation (CAE, rig or vehicle) where the supplier had previously formally confirmed and documented target achievement, shall be corrected by the supplier.
Changes to design, engineering and development of a commodity are expected throughout the design and development phases;
1. Prior to The SCPA (CPA) the supplier shall be responsible for all costs associated with their bid to secure a sourcing contract with Jaguar Land Rover.
2. Prior to Job 1 (J#1) Any increase to costs associated with acquisition of materials, design &amp; development, testing and/or rework of the commodity being sourced shall be reviewed on a case by case basis between JLR and the supplier to determine the cost liability and, if applicable, revised delivery times.
Unless expressly stated elsewhere in this Statement of Work or the SCPA, the Lead Engineer should identify where there is a risk of a 'part off' production tooling not being delivered in time for VB MRD and raise it to the Prototype Part Governance Forum for resolution. Refer to JLR-PRD-557806 Prototype Part Governance Process for more information.</t>
  </si>
  <si>
    <t>Engineering Design &amp; Testing (ED&amp;T)</t>
  </si>
  <si>
    <t>All ED&amp;T spend must be in accordance with ED&amp;T Policy JLR-HTG-586067</t>
  </si>
  <si>
    <t>Change Management relating to Cost (Post SCPA Signature)</t>
  </si>
  <si>
    <t xml:space="preserve">All post SCPA changes to be handled in accordance with the ED&amp;T Policy (JLR-HTG-586067)
</t>
  </si>
  <si>
    <t>Change Management Information (Continued.)</t>
  </si>
  <si>
    <t>Permissible Changes</t>
  </si>
  <si>
    <t>Jaguar Land Rover reserves the right to include additional non-chargeable permissible change items to the Non-Chargeable Permissible Change Matrix for any given commodity before submission to SBR 2 and no later than the SCPA has been signed.</t>
  </si>
  <si>
    <t xml:space="preserve">The supplier is expected to identify and record expected engineering changes prior to SCPA. JLR does not accept any changes identified after SCPA  as 'chargeable' elements. The complexity in vehicle manufacturing predicates that engineering changes are inevitable and thus should be anticipated during the development of a vehicle program. Every JLR Vehicle program and commodity conforms to a set of Gateways, Milestones and Phases. The purpose of these engineering and business landmarks is to achieve programme completion and industry certification in accordance with the agreed technical specifications, features and commercial targets in readiness for mass production. </t>
  </si>
  <si>
    <t>NON-CHARGEABLE PERMISSIBLE CHANGE ITEMS</t>
  </si>
  <si>
    <t>TYPE</t>
  </si>
  <si>
    <t>APPLICABILITY</t>
  </si>
  <si>
    <t>CONFORMANCE_001</t>
  </si>
  <si>
    <t>Any cost incurred associated with iterative analysis, design, CAD update, sample preparation, supplier in-house testing etc. incurred by the supplier during the normal course of the development programme, as he deems necessary to satisfy the component, system or sub-system targets stated in the ESOW. Providing the component, sub-system or system is deemed to be operating within the agreed relevant boundary conditions stated in the eSOW.</t>
  </si>
  <si>
    <t>CONFORMANCE_002</t>
  </si>
  <si>
    <t>Any cost incurred associated with iterative analysis, design, CAD update, sample preparation, supplier in-house testing etc. incurred by the supplier during the normal course of the development programme, resulting from the failure of his component, sub-system or system identified to him by JLR from a JLR vehicle, or rig test.</t>
  </si>
  <si>
    <t>CONFORMANCE_003</t>
  </si>
  <si>
    <t>Any cost incurred associated with iterative analysis, design, CAD update, sample preparation, supplier in-house testing etc. incurred by the supplier during the normal course of the development programme, resulting from JLR AIMS and or package changes concurred by the JLR engineering team up to the agreed point for P-Release minus 3 months to support off-tool production for VB MRD.</t>
  </si>
  <si>
    <t>CONFORMANCE_004</t>
  </si>
  <si>
    <t>Providing the component, sub-system or system is deemed to be operating within the agreed relevant boundary conditions stated in the ESOW.</t>
  </si>
  <si>
    <t>GEOMETRY_001</t>
  </si>
  <si>
    <t>Minor geometry changes required by JLR to ensure the on-going satisfactory fitment and packaging of the supplier’s component, sub-system or system in the context of the surrounding or adjacent parts that are also under-going similar development up to the agreed point for P-Release minus 3 months to support off-tool production for VB MRD.</t>
  </si>
  <si>
    <t>BESPOKE NON-CHARGEABLE PERMISSIBLE CHANGE ITEMS</t>
  </si>
  <si>
    <r>
      <rPr>
        <b/>
        <sz val="8"/>
        <color theme="1"/>
        <rFont val="Calibri"/>
        <family val="2"/>
        <scheme val="minor"/>
      </rPr>
      <t>FM.11</t>
    </r>
    <r>
      <rPr>
        <b/>
        <sz val="12"/>
        <color theme="1"/>
        <rFont val="Calibri"/>
        <family val="2"/>
        <scheme val="minor"/>
      </rPr>
      <t xml:space="preserve"> Warranty Terms and Conditions</t>
    </r>
  </si>
  <si>
    <t>In the event of any conflict with a Statement of Work or in the event of a component/system failure during lifetime production, all terms as defined in JLR-STN-18499 JLR Production Purchasing Global Terms and Conditions (PPGTC) and JLR-STN-19214 Global Terms and Conditions for Engineering (GTCE) and the JLR-HTG-85444 Recovery Web Guide shall take precedence and for the avoidance of doubt:
1. Government Requirements for warranty of the Goods, as referred to in PPGTCs Section 22, shall include (without limitation) any such requirement arising in relation to a Field Service Action under PPGTCs Section 23.
2. Where the Statement of Work specifies that a JLR Engineering Standards document (e.g. TPJLR/STJLR) containing long term durability requirements is applicable, such standard is deemed to be a ‘Quality/Reliability Statement of Work’ for the purpose of the PPGTCs section 22.07 and the greater warranty periods required by such standard shall take precedence to the extent of any conflict with the warranty periods specified in the PPGTCs and/or Warranty Recovery Web-Guide.</t>
  </si>
  <si>
    <r>
      <rPr>
        <b/>
        <sz val="8"/>
        <color theme="1"/>
        <rFont val="Calibri"/>
        <family val="2"/>
        <scheme val="minor"/>
      </rPr>
      <t>FM.12</t>
    </r>
    <r>
      <rPr>
        <b/>
        <sz val="12"/>
        <color theme="1"/>
        <rFont val="Calibri"/>
        <family val="2"/>
        <scheme val="minor"/>
      </rPr>
      <t xml:space="preserve"> Supplier Behaviours</t>
    </r>
  </si>
  <si>
    <t xml:space="preserve">The supplier is expected to inform JLR of any changes to their company ownership, business practices or organisational structure as it relates to the sourcing project.
Prior to the issuance of the SCPA, the supplier is expected to raise any reasons, supported by evidence, that they will be unable to fulfil the technical or project requirements of the sourcing project. Any information not presented, or information presented but not agreed by JLR, prior to the SCPA, which is later found to be necessary shall be classed as an omission by the supplier.
JLR and the supplier are expected to act in good faith through the life of the sourcing project. Where the supplier has reason to believe that the quality of their deliverable is, or may be compromised due to an omission from JLR, the supplier is expected to inform JLR within 48 hours with evidence to support their current position and a list of requirements and timelines to define what is required to support the suppliers' ability to submit their deliverables to JLR in accordance with the requirements defined in the Statement of Work, it's supporting documents and all agreed timelines. </t>
  </si>
  <si>
    <r>
      <rPr>
        <b/>
        <sz val="8"/>
        <color theme="1"/>
        <rFont val="Calibri"/>
        <family val="2"/>
        <scheme val="minor"/>
      </rPr>
      <t>FM.13</t>
    </r>
    <r>
      <rPr>
        <b/>
        <sz val="12"/>
        <color theme="1"/>
        <rFont val="Calibri"/>
        <family val="2"/>
        <scheme val="minor"/>
      </rPr>
      <t xml:space="preserve"> Resource Management </t>
    </r>
  </si>
  <si>
    <t>JLR shall outline the necessary skills and experience levels needed to support the sourcing project. The supplier is expected provide human resources with the relevant experience and necessary skill level to support the sourcing project technical and project management requirements. The supplier shall assess their current resource capacity and provide a resource management plan for resource acquisition, or re-structuring,  and the associated onboarding, training, sourcing project familiarisation and access requirements needed to meet the expected experience and skill levels needed for the sourcing project. JLR is not responsible, nor expected to compensate the supplier for any work related to the acquisition, onboarding, training, sourcing project familiarisation, licenses or access rights required to support the sourcing project.</t>
  </si>
  <si>
    <r>
      <rPr>
        <b/>
        <sz val="8"/>
        <color theme="1"/>
        <rFont val="Calibri"/>
        <family val="2"/>
        <scheme val="minor"/>
      </rPr>
      <t>FM.14</t>
    </r>
    <r>
      <rPr>
        <b/>
        <sz val="12"/>
        <color theme="1"/>
        <rFont val="Calibri"/>
        <family val="2"/>
        <scheme val="minor"/>
      </rPr>
      <t xml:space="preserve"> Order of Precedence</t>
    </r>
  </si>
  <si>
    <t>The supplier shall provide the Services to JLR in accordance with the Order of Precedence defined below, and supported by the Engineering Global Terms and Conditions JLR-STN-19214. JLR reserves the right to add additional levels of precedence depending on project requirements. Level 1 holds the highest precedence. The Engineering Statement of Work is Level 4.</t>
  </si>
  <si>
    <t>Level 1:</t>
  </si>
  <si>
    <t>Purchase Order</t>
  </si>
  <si>
    <t>Level 2:</t>
  </si>
  <si>
    <t>Supplemental Terms and Conditions</t>
  </si>
  <si>
    <t>Level 3:</t>
  </si>
  <si>
    <t>Global Terms and Conditions</t>
  </si>
  <si>
    <t>Level 4:</t>
  </si>
  <si>
    <t>Statement of Work - Production Sourcing</t>
  </si>
  <si>
    <t>Level 5:</t>
  </si>
  <si>
    <t>Supplemental Statement of Work</t>
  </si>
  <si>
    <t>Level 6:</t>
  </si>
  <si>
    <t>Support Documents defined in Appendix C. Standards and Documents</t>
  </si>
  <si>
    <t>Level 7:</t>
  </si>
  <si>
    <t>Web Guides</t>
  </si>
  <si>
    <t>Level 8:</t>
  </si>
  <si>
    <t>Any other document with an engineering or technical requirements which is attached to the RFQ Pack.</t>
  </si>
  <si>
    <r>
      <rPr>
        <b/>
        <sz val="8"/>
        <color theme="1"/>
        <rFont val="Calibri"/>
        <family val="2"/>
        <scheme val="minor"/>
      </rPr>
      <t xml:space="preserve">FM.15 </t>
    </r>
    <r>
      <rPr>
        <b/>
        <sz val="12"/>
        <color theme="1"/>
        <rFont val="Calibri"/>
        <family val="2"/>
        <scheme val="minor"/>
      </rPr>
      <t>Project Management</t>
    </r>
  </si>
  <si>
    <t>Project Governance</t>
  </si>
  <si>
    <t>JLR and the supplier shall agree on a post sourcing action plan to provide clear channels of information exchange and management after the SCPA  has been signed by the supplier and the Statement of Work has been 'locked'. A post sourcing action plan, also known as a project collaboration plan shall be used to record individual stakeholders, their contact information, their roles and responsibilities. It shall include the means and methods for identifying;
a) Risk
b) Need for design/engineering change and justification 
c) Scope change/creep
d) Escalation.
JLR and the supplier are expected to identify and record all individuals who are directly responsible for the  completion of the sourcing project. Both parties are required to further identify any stakeholder who is not directly involved with the sourcing project, yet can be defined as a person who;
a) has a business or engineering need or expectation related to the sourcing requirement, sourcing project or commodity, or
b) has the ability or authority  to influence the project direction, delivery or requirements, or
c) can provide relevant expertise, resources or guidance to support the delivery of sourcing requirements and the completion of the project.
JLR and the supplier are expected to collaborate a regular cadence on these areas;
a) Board meetings
b) Project and Technical reviews
c) Risk, escalation and lessons learned
d) Workshops and collaborative learning
e) Proposed cadence for meetings
f) Proposed attendees, stakeholders and stand ins. 
g) Contact information for all meeting participants
h) Organisational charts and roles for traditional program management and where applicable, Agile.</t>
  </si>
  <si>
    <t>Joint Processes</t>
  </si>
  <si>
    <r>
      <rPr>
        <u/>
        <sz val="10"/>
        <color theme="1"/>
        <rFont val="Calibri"/>
        <family val="2"/>
        <scheme val="minor"/>
      </rPr>
      <t>Risk Management</t>
    </r>
    <r>
      <rPr>
        <sz val="10"/>
        <color theme="1"/>
        <rFont val="Calibri"/>
        <family val="2"/>
        <scheme val="minor"/>
      </rPr>
      <t xml:space="preserve">
JLR and the supplier shall define and agree to a joint risk management process and toolset to identify and manage risks associated with the sourcing project which are raised by and/or affected by both JLR and the supplier. This action will be achieved after the SCPA has been signed by the supplier. Risk management plans or positions (e.g. relating to risk appetite) shall align with the JLR PE Project Risk Management guidelines. 
</t>
    </r>
    <r>
      <rPr>
        <u/>
        <sz val="10"/>
        <color theme="1"/>
        <rFont val="Calibri"/>
        <family val="2"/>
        <scheme val="minor"/>
      </rPr>
      <t>Problem Management and Escalations</t>
    </r>
    <r>
      <rPr>
        <sz val="10"/>
        <color theme="1"/>
        <rFont val="Calibri"/>
        <family val="2"/>
        <scheme val="minor"/>
      </rPr>
      <t xml:space="preserve">
The supplier and JLR shall define and agree to a joint problem management process and toolset to identify, prioritize and create actions for project and technical problems raised by JLR or the supplier. Problems shall be recorded and tracked through from identification to completion. Risk management processes, escalations and lessons learned processes may be affected by the identification and management of problems. 
</t>
    </r>
    <r>
      <rPr>
        <u/>
        <sz val="10"/>
        <color theme="1"/>
        <rFont val="Calibri"/>
        <family val="2"/>
        <scheme val="minor"/>
      </rPr>
      <t>Engineering Management</t>
    </r>
    <r>
      <rPr>
        <sz val="10"/>
        <color theme="1"/>
        <rFont val="Calibri"/>
        <family val="2"/>
        <scheme val="minor"/>
      </rPr>
      <t xml:space="preserve">
JLR and the supplier shall agree to collaborate on the continual development and change of engineering requirements through the life of the sourcing project. Engineering design changes or changes to requirements as defined in the Statement of Work after the SCPA has been signed by the supplier or risks not identified/quoted by the supplier as identified in their own DFMEA, shall be recorded in a Design Change Request (DCR) and follow the appropriate DCR Process. Costing shall be agreed between JLR and the supplier in accordance with the rules and guidance as defined in the Production Purchasing and Engineering Terms and Conditions. </t>
    </r>
  </si>
  <si>
    <r>
      <rPr>
        <b/>
        <sz val="8"/>
        <color rgb="FF000000"/>
        <rFont val="Calibri"/>
        <family val="2"/>
        <scheme val="minor"/>
      </rPr>
      <t>FM.16</t>
    </r>
    <r>
      <rPr>
        <b/>
        <sz val="12"/>
        <color rgb="FF000000"/>
        <rFont val="Calibri"/>
        <family val="2"/>
        <scheme val="minor"/>
      </rPr>
      <t xml:space="preserve"> Conformity of Production</t>
    </r>
  </si>
  <si>
    <t>Statement of Applicable Requirements</t>
  </si>
  <si>
    <t xml:space="preserve">Jaguar Land Rover shall know all applicable vehicle / system Conformity of Production requirements for all markets and all subsequent regulatory updates where applicable. </t>
  </si>
  <si>
    <t>The Supplier shall know, and where necessary to research and learn, all system / component Conformity of Production requirements for all markets and all subsequent regulatory, and non-regulatory updates and changes. The Supplier shall make sure that all requirements are met in all markets where a vehicle line is to be sold, and/or serviced. Refer to the Supplier Requirement for Market Certification Web Guide for guidance.</t>
  </si>
  <si>
    <t xml:space="preserve">The Supplier Requirement for Market Certification Web Guide is a guide, and is not a definitive list of all requirements. Jaguar Land Rover reserves the right to make enforceable amendments to the Supplier Requirement for Market Certification Web Guide, and request the fulfilment of any additional requirement not defined in the Supplier Requirement for Market Certification Web Guide after the SCPA is signed. </t>
  </si>
  <si>
    <t>Development of Control Plans</t>
  </si>
  <si>
    <t xml:space="preserve">The supplier shall develop a control plan to demonstrate the methods, tools and applications which shall be used to meet all requirements, for relevant markets. Test facilities and methods shall conform to the requirements defined in the relevant regulatory standards. The supplier shall create, complete, share and maintain a RASIC to make sure that all roles and responsibilities are defined and agreed with Jaguar Land Rover. Parts and components which are not the responsibility of the supplier, but are applicable to the requirements of this Statement of Work and the Conformity of Production are required and shall be defined in the RASIC. Jaguar Land Rover shall have the final approval on all roles and responsibilities between JLR and the supplier. </t>
  </si>
  <si>
    <t>Verification and Document Compliance</t>
  </si>
  <si>
    <t>The supplier shall complete all testing as defined in a control plan using production samples. Test results shall be recorded, reviewed and signed by the supplier before submission to Jaguar Land Rover. The supplier shall define all test documentation and associated tasks including the recording of results, review, publishing and where necessary, independent review in the RASIC. The Supplier shall make sure that the control plan is reviewed and updated annually and captures all regulatory changes and improvements. The control plan shall be made available to Jaguar Land Rover or the Type Approval Agency on request.</t>
  </si>
  <si>
    <t>The supplier and Jaguar Land Rover shall maintain, update, review and archive all Conformity of Production documentation in accordance with Jaguar Land Rover records management requirements.</t>
  </si>
  <si>
    <t xml:space="preserve">Conformity of Production failures, deviations or delays shall be escalated to Jaguar Land Rover within 48 hours. Escalations shall include plans to re-establish compliance including timelines, resources, costs, risk, and any changes to or deviations to regulatory requirements and deviations from the Engineering Statement of Work, Jaguar Land Rover standards or any Jaguar Land Rover terms and conditions. </t>
  </si>
  <si>
    <r>
      <rPr>
        <b/>
        <sz val="8"/>
        <color rgb="FF000000"/>
        <rFont val="Calibri"/>
        <family val="2"/>
        <scheme val="minor"/>
      </rPr>
      <t>FM.17</t>
    </r>
    <r>
      <rPr>
        <b/>
        <sz val="12"/>
        <color rgb="FF000000"/>
        <rFont val="Calibri"/>
        <family val="2"/>
        <scheme val="minor"/>
      </rPr>
      <t xml:space="preserve"> Global Safety Compliance and Type Approval</t>
    </r>
  </si>
  <si>
    <t>The Supplier shall know, and where necessary to research and learn, all system / component Conformity of Production requirements for all markets and all subsequent regulatory, and non-regulatory updates and changes. The Supplier shall make sure that all requirements are met in all markets where a vehicle line is to be sold, and/or serviced. Refer to the Supplier Requirement for Market Certification Web Guide for guidance.
Jaguar Land Rover and the supplier are shall work together to learn, understand and share relevant information, documents and processes relating to regulatory requirements, JLR Corporate safety and self certification requirements to all applicable markets for any specified vehicle line, including but not limited to do, all document and process updates.</t>
  </si>
  <si>
    <t>Development of Test Plans</t>
  </si>
  <si>
    <t xml:space="preserve">The supplier shall develop a test plan to demonstrate and record evidence of compliance to all applicable self certification or type approval certification requirements. The supplier shall provide plans and evidence to support the all required testing by appropriate test activities and re-do, change or adjust testing activities in the event of regulatory or program changes. </t>
  </si>
  <si>
    <t xml:space="preserve">Test facilities, methods, processes and if applicable, documentation shall be approved by the JLR Centre of Competence / Programme responsible department. All certification testing shall be completed at an accredited test facility for the market(s) for where the compliance and type approval is required. </t>
  </si>
  <si>
    <t>For component type approval the supplier shall perform all necessary tasks to complete the type approval process and provide all necessary components, documentation and resources to the certificating authority with subsequent output certification to JLR
Where required, ensure that factory audits are scheduled and completed in line with programme timing requirements. The Supplier shall support the type approval and component certification activities with any ongoing actions / renewals to support the Conformity of Production requirements.</t>
  </si>
  <si>
    <t>Jaguar Land Rover and the supplier shall work together to complete all testing activities in accordance with agreed test plans using appropriate production representative samples.  Test results shall be recorded, reviewed and signed by the supplier before submission to Jaguar Land Rover. The supplier shall define all test documentation and associated tasks including the recording of results, review, publishing and where necessary, independent review in the RASIC. The Supplier shall make sure that the test plan is reviewed and updated annually and captures all regulatory changes and improvements. The control plan shall be made available to Jaguar Land Rover or the Type Approval Agency on request.</t>
  </si>
  <si>
    <t>For Vehicle and System type approval, perform all necessary tasks to complete the type approval process and support any vehicles by providing all necessary components, documentation or test resources.</t>
  </si>
  <si>
    <r>
      <rPr>
        <b/>
        <sz val="8"/>
        <color rgb="FF000000"/>
        <rFont val="Calibri"/>
        <family val="2"/>
        <scheme val="minor"/>
      </rPr>
      <t>FM.18</t>
    </r>
    <r>
      <rPr>
        <b/>
        <sz val="12"/>
        <color rgb="FF000000"/>
        <rFont val="Calibri"/>
        <family val="2"/>
        <scheme val="minor"/>
      </rPr>
      <t xml:space="preserve"> Freedom of Information Exchange</t>
    </r>
  </si>
  <si>
    <t xml:space="preserve">The supplier is expected to support the JLR Supply Chain Transparency Processes
JLR may request the supplier to provide visibility into supplier upstream supply chain(s) to ensure that both JLR and the supplier are working to accepted industry practice in key areas as defined below in section SCRT.1 Areas of Transparency. In some cases, the supplier may be requested to provide demonstrations and evidence of their ability to meet transparency requirement targets as defined below. </t>
  </si>
  <si>
    <t xml:space="preserve">END OF SECTION </t>
  </si>
  <si>
    <t>SUPPLIER CATEGORIES</t>
  </si>
  <si>
    <t>LOCATIONS</t>
  </si>
  <si>
    <t>SKILLS</t>
  </si>
  <si>
    <t>NOT APPLICABLE</t>
  </si>
  <si>
    <t>3D Experience</t>
  </si>
  <si>
    <t>Full System Provider</t>
  </si>
  <si>
    <t>BRAZIL</t>
  </si>
  <si>
    <t>ACDS</t>
  </si>
  <si>
    <t>Third Submission</t>
  </si>
  <si>
    <t>Assembly or Component Provider</t>
  </si>
  <si>
    <t>BROWNS LANE</t>
  </si>
  <si>
    <t>Agile</t>
  </si>
  <si>
    <t>Fourth  Submission</t>
  </si>
  <si>
    <t>CASTLE BROMWICH</t>
  </si>
  <si>
    <t>Agile QBR management process</t>
  </si>
  <si>
    <t>Fifth Submission</t>
  </si>
  <si>
    <t>CHINA</t>
  </si>
  <si>
    <t>AIMS - Process Awareness, Resolution</t>
  </si>
  <si>
    <t>Sixth Submission</t>
  </si>
  <si>
    <t>ESP_DOOR TRIM</t>
  </si>
  <si>
    <t>EMC</t>
  </si>
  <si>
    <t>Seventh Submission</t>
  </si>
  <si>
    <t>GAYDON</t>
  </si>
  <si>
    <t>Bill of Material</t>
  </si>
  <si>
    <t>Eighth Submission</t>
  </si>
  <si>
    <t>CORE APPLICATIONS</t>
  </si>
  <si>
    <t>GRAZ</t>
  </si>
  <si>
    <t>Business Objects 4.2</t>
  </si>
  <si>
    <t>Ninth Submission</t>
  </si>
  <si>
    <t>APP</t>
  </si>
  <si>
    <t>ESI</t>
  </si>
  <si>
    <t>ESP</t>
  </si>
  <si>
    <t>FSP</t>
  </si>
  <si>
    <t>ASSY COM</t>
  </si>
  <si>
    <t>CONSULT</t>
  </si>
  <si>
    <t>MTP</t>
  </si>
  <si>
    <t>HALEWOOD</t>
  </si>
  <si>
    <t>C/C++</t>
  </si>
  <si>
    <t>Tenth Submission</t>
  </si>
  <si>
    <t>MANDATORY</t>
  </si>
  <si>
    <t>INDIA (PUNE)</t>
  </si>
  <si>
    <t>CAD</t>
  </si>
  <si>
    <t>Eleventh Submission</t>
  </si>
  <si>
    <t>OXFORD ROAD</t>
  </si>
  <si>
    <t>CAE</t>
  </si>
  <si>
    <t>NOT APPLIC.</t>
  </si>
  <si>
    <t>SLOVAKIA (NITRA)</t>
  </si>
  <si>
    <t>CAS / CAM</t>
  </si>
  <si>
    <t>EMC DATA</t>
  </si>
  <si>
    <t>EnerjyHub</t>
  </si>
  <si>
    <t>SOLIHULL</t>
  </si>
  <si>
    <t>Catia V5</t>
  </si>
  <si>
    <t>COMM. TYPE</t>
  </si>
  <si>
    <t>WHITLEY</t>
  </si>
  <si>
    <t>Catia V6</t>
  </si>
  <si>
    <t>COMPONENT</t>
  </si>
  <si>
    <t>CCDS</t>
  </si>
  <si>
    <t>SUB-SYSTEM</t>
  </si>
  <si>
    <t>Change Decision Forum/ Scope Control</t>
  </si>
  <si>
    <t>DESIGN STAT.</t>
  </si>
  <si>
    <t>Confleunce</t>
  </si>
  <si>
    <t>Clipboards</t>
  </si>
  <si>
    <t>Commodity  Strategy L1 &amp; L2</t>
  </si>
  <si>
    <t>CARRY OVER</t>
  </si>
  <si>
    <t>APPLIC TABLE</t>
  </si>
  <si>
    <t>CAD CAE</t>
  </si>
  <si>
    <t>ASSY</t>
  </si>
  <si>
    <t>Communication &amp; Presentation Skills</t>
  </si>
  <si>
    <t>COMBO</t>
  </si>
  <si>
    <t>YES</t>
  </si>
  <si>
    <t>JLR-Q1</t>
  </si>
  <si>
    <t>CARRY OVER w/CHANGE</t>
  </si>
  <si>
    <t>NO</t>
  </si>
  <si>
    <t>JLR-Q2</t>
  </si>
  <si>
    <t>Current Veh. - Quality Metrics &amp; Issue Mgmt</t>
  </si>
  <si>
    <t>Y</t>
  </si>
  <si>
    <t>JLR-Q3</t>
  </si>
  <si>
    <t>Customer Feature change governance</t>
  </si>
  <si>
    <t>EMC_1.1</t>
  </si>
  <si>
    <t>ACCESS PORTAL</t>
  </si>
  <si>
    <t>N</t>
  </si>
  <si>
    <t>SUP-Q1</t>
  </si>
  <si>
    <t>DTC's / Warning messages</t>
  </si>
  <si>
    <t>EMC_1.2</t>
  </si>
  <si>
    <t>DASSAULT 3D EXPERIENCE</t>
  </si>
  <si>
    <t>APPLICABLE</t>
  </si>
  <si>
    <t>SUP-Q2</t>
  </si>
  <si>
    <t>EMC_1.3</t>
  </si>
  <si>
    <t>Majenta EnerjyHub</t>
  </si>
  <si>
    <t>SUP-Q3</t>
  </si>
  <si>
    <t>EBOM</t>
  </si>
  <si>
    <t>EMC_1.4</t>
  </si>
  <si>
    <t>OPTION 3</t>
  </si>
  <si>
    <t>EDS Clearplan</t>
  </si>
  <si>
    <t>EMC_1.5</t>
  </si>
  <si>
    <t>OPTION 4</t>
  </si>
  <si>
    <t>NOT REQUIRED</t>
  </si>
  <si>
    <t>RESPONSIBILITY</t>
  </si>
  <si>
    <t>STANDARDS</t>
  </si>
  <si>
    <t>eFDVS</t>
  </si>
  <si>
    <t>EMC_1.6</t>
  </si>
  <si>
    <t>JAGUAR LAND ROVER</t>
  </si>
  <si>
    <t>INDUSTRY</t>
  </si>
  <si>
    <t>EMC_1.7</t>
  </si>
  <si>
    <t>SUPPLIER</t>
  </si>
  <si>
    <t>NTEI</t>
  </si>
  <si>
    <t>JLR</t>
  </si>
  <si>
    <t>Engineering Standards</t>
  </si>
  <si>
    <t>EMC_1.8</t>
  </si>
  <si>
    <t>TIER 1 SUPPLIER</t>
  </si>
  <si>
    <t>EMC_1.9</t>
  </si>
  <si>
    <t>TIER 2 SUPPLIER</t>
  </si>
  <si>
    <t>Evidence Base Engineering Release (EBER)</t>
  </si>
  <si>
    <t>EMC_1.10</t>
  </si>
  <si>
    <t>Jaguar Land Rover Ltd</t>
  </si>
  <si>
    <t>HARDWARE</t>
  </si>
  <si>
    <t>Exalead (Developer)</t>
  </si>
  <si>
    <t>EMC_1.11</t>
  </si>
  <si>
    <t>Supplier</t>
  </si>
  <si>
    <t>CAD/CAE</t>
  </si>
  <si>
    <t>Exalead (End user)</t>
  </si>
  <si>
    <t>EMC_1.12</t>
  </si>
  <si>
    <t>ELECTRICAL</t>
  </si>
  <si>
    <t>Excel</t>
  </si>
  <si>
    <t>EMC_1.13</t>
  </si>
  <si>
    <t>Special Mandatory for Cyber</t>
  </si>
  <si>
    <t>CHAGE TYPE</t>
  </si>
  <si>
    <t>CYBER</t>
  </si>
  <si>
    <t>Feature code knowledge (ACE, rMFD)</t>
  </si>
  <si>
    <t>EMC_1.14</t>
  </si>
  <si>
    <r>
      <t xml:space="preserve">MANDATORY
</t>
    </r>
    <r>
      <rPr>
        <sz val="8"/>
        <color theme="1"/>
        <rFont val="Calibri"/>
        <family val="2"/>
        <scheme val="minor"/>
      </rPr>
      <t>SOFTWARE IN SCOPE</t>
    </r>
  </si>
  <si>
    <t>SOFTWARE</t>
  </si>
  <si>
    <t>Features &amp; System Delivery Process (SSCD)</t>
  </si>
  <si>
    <t>EMC_1.15</t>
  </si>
  <si>
    <r>
      <t xml:space="preserve">NOT APPLICABLE
</t>
    </r>
    <r>
      <rPr>
        <sz val="8"/>
        <color theme="1"/>
        <rFont val="Calibri"/>
        <family val="2"/>
        <scheme val="minor"/>
      </rPr>
      <t>SOFTWARE NOT IN SCOPE</t>
    </r>
  </si>
  <si>
    <t>MISC.</t>
  </si>
  <si>
    <t>FMEA</t>
  </si>
  <si>
    <t>Gateway Papers</t>
  </si>
  <si>
    <t>Git</t>
  </si>
  <si>
    <t>Partner TAB ALIGNMEN</t>
  </si>
  <si>
    <t>Google Cloud Services</t>
  </si>
  <si>
    <t>ALIGNED</t>
  </si>
  <si>
    <t>Harlequins</t>
  </si>
  <si>
    <t>NOT ALIGNED</t>
  </si>
  <si>
    <t>IBM CLM application: RQM</t>
  </si>
  <si>
    <t>IBM CLM application: RTC RMDV</t>
  </si>
  <si>
    <t>INCREASE</t>
  </si>
  <si>
    <t>IBM CLM application: RTC SSCD</t>
  </si>
  <si>
    <t>DECREASE</t>
  </si>
  <si>
    <t>IBM DOORS Classic application: RMDV</t>
  </si>
  <si>
    <t>EQUAL</t>
  </si>
  <si>
    <t>IBM DOORS Classic application: SSCD</t>
  </si>
  <si>
    <t>Issue Management - Product &amp; Process, New Model</t>
  </si>
  <si>
    <t>IVS releases</t>
  </si>
  <si>
    <t>Javascript</t>
  </si>
  <si>
    <t>JLR Engineering Standards</t>
  </si>
  <si>
    <t>JLR-Q-003 Attachment C-F</t>
  </si>
  <si>
    <t>Lean</t>
  </si>
  <si>
    <t>Lessons Learned Use and Capture</t>
  </si>
  <si>
    <t>Luigi</t>
  </si>
  <si>
    <t>Managing Programme Gateways to Approval</t>
  </si>
  <si>
    <t>Master Schedule</t>
  </si>
  <si>
    <t>MS Office Suite</t>
  </si>
  <si>
    <t>MX+ Data Exchange</t>
  </si>
  <si>
    <t>Negotiation, Influencing &amp; Assertiveness</t>
  </si>
  <si>
    <t>P6</t>
  </si>
  <si>
    <t>P6 Schedule: Vehicle Programme Framework (VPF)</t>
  </si>
  <si>
    <t>PADB (CSPC/CSS/COC)</t>
  </si>
  <si>
    <t>PCDS</t>
  </si>
  <si>
    <t>PDAR Product Delivery and Alignment Review</t>
  </si>
  <si>
    <t>PDL Creation and management</t>
  </si>
  <si>
    <t>Prevent Recurrence Issue Management (PR-AIMS)</t>
  </si>
  <si>
    <t>Privacy Compliance by Design</t>
  </si>
  <si>
    <t>Problem Solving (8D / PPS)</t>
  </si>
  <si>
    <t>Problem Solving (DMAICR)</t>
  </si>
  <si>
    <t>Process Mapping</t>
  </si>
  <si>
    <t>Processes - 3D Experience</t>
  </si>
  <si>
    <t>Processes - APQP</t>
  </si>
  <si>
    <t>Processes - EnerjyHub</t>
  </si>
  <si>
    <t>Processes - MX+ Data Service Provider</t>
  </si>
  <si>
    <t>Processes - PPAP</t>
  </si>
  <si>
    <t>Processes - PSW</t>
  </si>
  <si>
    <t>Processes - RMDV</t>
  </si>
  <si>
    <t>Product cycle plan knowledge</t>
  </si>
  <si>
    <t>Product Engineering Sign-off (ESO)</t>
  </si>
  <si>
    <t>Programme Central</t>
  </si>
  <si>
    <t>Project Management</t>
  </si>
  <si>
    <t>PSC Contract</t>
  </si>
  <si>
    <t>Python (Including Pandas)</t>
  </si>
  <si>
    <t>Questionaire and Questionaire design</t>
  </si>
  <si>
    <t>Recovery Plans</t>
  </si>
  <si>
    <t>ReliaSoft</t>
  </si>
  <si>
    <t>Requirements Management Process (RMDV)</t>
  </si>
  <si>
    <t>Risk Management</t>
  </si>
  <si>
    <t>Risk Reviews</t>
  </si>
  <si>
    <t>RMFD / MFL / OK2UL Process</t>
  </si>
  <si>
    <t>Scorecarding</t>
  </si>
  <si>
    <t>S-DOTS</t>
  </si>
  <si>
    <t>Sharepoint (Old and New)</t>
  </si>
  <si>
    <t>Software Mainlines</t>
  </si>
  <si>
    <t>SQL</t>
  </si>
  <si>
    <t>Systems Engineering fundamentals</t>
  </si>
  <si>
    <t>Tableau</t>
  </si>
  <si>
    <t>Teamwork and relationship building</t>
  </si>
  <si>
    <t>Tool and Part Order Placement Process</t>
  </si>
  <si>
    <t>VBA</t>
  </si>
  <si>
    <t>Virtual Series / VEPS</t>
  </si>
  <si>
    <t>WERS +iCreate +PACN</t>
  </si>
  <si>
    <t>Supply Chain Transparency Requirements</t>
  </si>
  <si>
    <t xml:space="preserve">JLR and the Supplier are expected to work under a bi-lateral agreement where JLR may request the supplier to provide visibility into supplier upstream supply chain(s) to ensure that both JLR and the supplier are working to accepted industry practice in key areas as defined below in section SCRT.1 Areas of Transparency. In some cases, the supplier may be requested to provide demonstrations and evidence of their ability to meet transparency requirement targets as defined below. </t>
  </si>
  <si>
    <r>
      <rPr>
        <b/>
        <sz val="8"/>
        <color theme="1"/>
        <rFont val="Calibri"/>
        <family val="2"/>
        <scheme val="minor"/>
      </rPr>
      <t>SCTR.1</t>
    </r>
    <r>
      <rPr>
        <b/>
        <sz val="12"/>
        <color theme="1"/>
        <rFont val="Calibri"/>
        <family val="2"/>
        <scheme val="minor"/>
      </rPr>
      <t xml:space="preserve"> Areas of Transparency</t>
    </r>
  </si>
  <si>
    <t>AREA</t>
  </si>
  <si>
    <t>REQUIREMENT</t>
  </si>
  <si>
    <t>TARGET</t>
  </si>
  <si>
    <t>HIGH RISK
COMPONENTS</t>
  </si>
  <si>
    <t>To be completed by JLR
Define a list of high risk components for the particular supplier</t>
  </si>
  <si>
    <t xml:space="preserve">To be completed by JLR
Define the level of information / type of data and the method of exchange required to satisfy </t>
  </si>
  <si>
    <t>SUSTAINABILITY</t>
  </si>
  <si>
    <t>To be completed by JLR
Define a list of sustainability requirements</t>
  </si>
  <si>
    <t>To be completed by JLR
Define sustainability targets, including where applicable EU regulation or international standards.</t>
  </si>
  <si>
    <t>ETHICAL 
PRACTICES</t>
  </si>
  <si>
    <t>To be completed by JLR
Define a list of ethical practices or standards</t>
  </si>
  <si>
    <t>To be completed by JLR
Define targets in accordance with local, nation or international guidelines or governance</t>
  </si>
  <si>
    <t>Spare</t>
  </si>
  <si>
    <t>For JLR Only
Use this row to define additional transparency requirements.</t>
  </si>
  <si>
    <r>
      <rPr>
        <b/>
        <sz val="8"/>
        <color theme="1"/>
        <rFont val="Calibri"/>
        <family val="2"/>
        <scheme val="minor"/>
      </rPr>
      <t>SCTR.2</t>
    </r>
    <r>
      <rPr>
        <b/>
        <sz val="12"/>
        <color theme="1"/>
        <rFont val="Calibri"/>
        <family val="2"/>
        <scheme val="minor"/>
      </rPr>
      <t xml:space="preserve"> Supply Chain Transparency Lead / Point of Contact</t>
    </r>
  </si>
  <si>
    <t xml:space="preserve">JLR invites the supplier to nominate an individual, or department to act as a liaison between JLR and the supplier relating to all matters defined above. The nominated individual or department is not required to be defined as a technical expert in any area defined above, however is expected act in the best interest of transparency, openness, integrity and to continue the completion of all targets in the spirit of good supplier behaviour practices and open collaboration with JLR.  </t>
  </si>
  <si>
    <t>Supplier Representing Transparency Point of Contact:</t>
  </si>
  <si>
    <t>Environmental and Recycling Requirements</t>
  </si>
  <si>
    <t xml:space="preserve">Suppliers of production materials, equipment, services and consumption goods play a vital part in the development and production of Jaguar Land Rover  products. Therefore, all goods and services supplied to Jaguar Land Rover shall be aligned with the Jaguar Land Rover  Environmental Requirements and any applicable legislation.
Supplied parts and services shall comply with the environmental targets as detailed in the Sourcing and Commercial Programme Agreement (SCPA), Engineering Statements of Work, Advanced Product Quality Planning (APQP) Requirements and Guidelines, JLR Global Sustainability Web Guide – Supplier Environmental &amp; Social Requirements, System or Vehicle Design Specifications and the program specific targets. All legislation must be fulfilled and complied with.
Jaguar Land Rover  requires all production and non-production suppliers with manufacturing facilities third party certify all facilities to ISO 14001. Parts must comply with the environmental targets as detailed below. All engineering standards such as STJLRs shall be made available to the supplier through the Enerjyhub system. </t>
  </si>
  <si>
    <r>
      <rPr>
        <b/>
        <sz val="8"/>
        <color theme="1"/>
        <rFont val="Calibri"/>
        <family val="2"/>
        <scheme val="minor"/>
      </rPr>
      <t>ERR.1</t>
    </r>
    <r>
      <rPr>
        <b/>
        <sz val="12"/>
        <color theme="1"/>
        <rFont val="Calibri"/>
        <family val="2"/>
        <scheme val="minor"/>
      </rPr>
      <t xml:space="preserve"> Restricted Substances and Materials of Concern</t>
    </r>
  </si>
  <si>
    <t xml:space="preserve">All parts shall comply with the Restricted Substance Management Standard (RSMS) STJLR.99.9999. The supplier shall fulfil and comply with the reporting requirements in the Prohibited and Declarable Substances table in STJLR.99.9999. The Supplier is responsible to make sure that all their parts conform to the End-Of-Life Vehicles (ELV) legislation. The supplier shall support JLR or international material phase-out strategies. </t>
  </si>
  <si>
    <t>TIMING</t>
  </si>
  <si>
    <r>
      <t xml:space="preserve">Where required, the supplier shall submit a compliance plan 30 days before the most up to date, and understood </t>
    </r>
    <r>
      <rPr>
        <b/>
        <sz val="9"/>
        <color theme="1"/>
        <rFont val="Calibri"/>
        <family val="2"/>
        <scheme val="minor"/>
      </rPr>
      <t>PRDJ</t>
    </r>
    <r>
      <rPr>
        <sz val="9"/>
        <color theme="1"/>
        <rFont val="Calibri"/>
        <family val="2"/>
        <scheme val="minor"/>
      </rPr>
      <t xml:space="preserve"> date through the RMDV access portal. Full International Material Data System (IMDS) data is required prior to </t>
    </r>
    <r>
      <rPr>
        <b/>
        <sz val="9"/>
        <color theme="1"/>
        <rFont val="Calibri"/>
        <family val="2"/>
        <scheme val="minor"/>
      </rPr>
      <t>CSO</t>
    </r>
    <r>
      <rPr>
        <sz val="9"/>
        <color theme="1"/>
        <rFont val="Calibri"/>
        <family val="2"/>
        <scheme val="minor"/>
      </rPr>
      <t xml:space="preserve"> for all non-tuneable parts and </t>
    </r>
    <r>
      <rPr>
        <b/>
        <sz val="9"/>
        <color theme="1"/>
        <rFont val="Calibri"/>
        <family val="2"/>
        <scheme val="minor"/>
      </rPr>
      <t>VSSO</t>
    </r>
    <r>
      <rPr>
        <sz val="9"/>
        <color theme="1"/>
        <rFont val="Calibri"/>
        <family val="2"/>
        <scheme val="minor"/>
      </rPr>
      <t xml:space="preserve"> for all tuneable and non-tuneable parts. Refer to the IMDS Submission Guide For Suppliers to Jaguar Land Rover. This guide is located in Enerjyhub. </t>
    </r>
  </si>
  <si>
    <t>All parts must comply with the RSMS standard STJLR.99.9999. Non exempted components containing Lead, Mercury, Cadmium and Hexavalent Chromium are prohibited. Suppliers shall identify lead in solder application codes according to Appendix G. Lead-Free Solder Checklist to enable compliance with Annex II, 2000/53/EC. The Supplier shall comply with STJLR.50.5353.
Companies who distribute brominated flame retardants and the users of these retardants are advised to subscribe to the VECAP programme (www.vecap.info) to reduce emissions into the environment. 
Tier 1 suppliers to Jaguar Land Rover shall cascade these requirements, rules and advisements to Tier 2 suppliers and all other affected suppliers.</t>
  </si>
  <si>
    <r>
      <rPr>
        <b/>
        <sz val="8"/>
        <color theme="1"/>
        <rFont val="Calibri"/>
        <family val="2"/>
        <scheme val="minor"/>
      </rPr>
      <t>ERR.2</t>
    </r>
    <r>
      <rPr>
        <b/>
        <sz val="12"/>
        <color theme="1"/>
        <rFont val="Calibri"/>
        <family val="2"/>
        <scheme val="minor"/>
      </rPr>
      <t xml:space="preserve"> Vehicle Recyclability - Parts Reuse Restrictions</t>
    </r>
  </si>
  <si>
    <t>Do not supply any re-used parts for production of vehicles which are prohibited in Annex V of Recyclability Type Approval Directive 2005/64/EC in its latest amended version.</t>
  </si>
  <si>
    <t>Before JOB #1.</t>
  </si>
  <si>
    <t>To Comply with Annex V of the Recyclability Type Approval Directive 2005/64/EC.</t>
  </si>
  <si>
    <r>
      <rPr>
        <b/>
        <sz val="8"/>
        <color theme="1"/>
        <rFont val="Calibri"/>
        <family val="2"/>
        <scheme val="minor"/>
      </rPr>
      <t xml:space="preserve">ERR.3 </t>
    </r>
    <r>
      <rPr>
        <b/>
        <sz val="12"/>
        <color theme="1"/>
        <rFont val="Calibri"/>
        <family val="2"/>
        <scheme val="minor"/>
      </rPr>
      <t>Vehicle Recyclability - Design</t>
    </r>
  </si>
  <si>
    <t xml:space="preserve">Increase the recyclable share of the vehicle that is economically viable. Promote the use of mono-material usage in components where possible, followed by use of mechanical fixings between materials to promote pre-shredding material separation and reduce contamination. </t>
  </si>
  <si>
    <t xml:space="preserve">For recyclability, refer to RSMS STJLR.99.9999 Section H, for IMDS reporting timing. For materials recyclability test case, parts must be assessed prior to EDJ to enable any material compatibility/ recyclability issues to be resolved. </t>
  </si>
  <si>
    <t>To support Vehicle Recyclability as measured by method (ISO 22628), required for whole vehicle type approval, material composition is to be reported via IMDS in accordance with RSMS requirements.
Ref example parts in Table 4 that should be designed to be recyclable.</t>
  </si>
  <si>
    <r>
      <rPr>
        <b/>
        <sz val="8"/>
        <color theme="1"/>
        <rFont val="Calibri"/>
        <family val="2"/>
        <scheme val="minor"/>
      </rPr>
      <t xml:space="preserve">ERR.4 </t>
    </r>
    <r>
      <rPr>
        <b/>
        <sz val="12"/>
        <color theme="1"/>
        <rFont val="Calibri"/>
        <family val="2"/>
        <scheme val="minor"/>
      </rPr>
      <t>Parts Marking</t>
    </r>
  </si>
  <si>
    <t>All plastic and elastomeric parts shall be marked for recycling.</t>
  </si>
  <si>
    <r>
      <t xml:space="preserve">To comply with the parts marking requirements of the End of Life Vehicle Directive 2000/53/EC, polymeric components exceeding 100 grams and elastomeric components exceeding 200 grams are required to be marked according to ISO 1043 Part 1 and Part 2, ISO 11469 or ISO 1629.
The CAD shall include the polymeric parts marking symbols and identify their correct location on the part before </t>
    </r>
    <r>
      <rPr>
        <b/>
        <sz val="9"/>
        <color theme="1"/>
        <rFont val="Calibri"/>
        <family val="2"/>
        <scheme val="minor"/>
      </rPr>
      <t>PRDJ</t>
    </r>
    <r>
      <rPr>
        <sz val="9"/>
        <color theme="1"/>
        <rFont val="Calibri"/>
        <family val="2"/>
        <scheme val="minor"/>
      </rPr>
      <t>.</t>
    </r>
  </si>
  <si>
    <t>All plastic &amp; elastomeric parts to be marked as identified. Refer to ISO standards: ISO 1043-1, 1043-2 and 11469 for plastics and ISO 1629 for rubber materials. Above 100 grams for plastics and above 200 grams for elastomers. The parts marking symbol and the parts marking check box shall be accurately recorded in the IMDS submission for the part.</t>
  </si>
  <si>
    <r>
      <rPr>
        <b/>
        <sz val="8"/>
        <color theme="1"/>
        <rFont val="Calibri"/>
        <family val="2"/>
        <scheme val="minor"/>
      </rPr>
      <t>ERR.5</t>
    </r>
    <r>
      <rPr>
        <b/>
        <sz val="12"/>
        <color theme="1"/>
        <rFont val="Calibri"/>
        <family val="2"/>
        <scheme val="minor"/>
      </rPr>
      <t xml:space="preserve"> Recycled Materials</t>
    </r>
  </si>
  <si>
    <t>The Supplier shall identify opportunities to incorporate post-consumer recycled (PCR) content(closed loop prioritised) and post-industrial recycled (PIR) / pre-consumer recycled material content into appropriate components. For new programmes from 29MY onwards, all parts must comply with the requirements defined in STJLR.51.5270 V3 Use of Recycled Material in Polymers, Aluminium, Steel and Glass. Programme's prior to this, will comply to STJLR 51.5270 V2. Any MCF/unit programme's where by opportunities to use recycled content are available, these should be explored. Potential applications should be identified and shall be pursued and evaluated with the relevant JLR Materials Engineer / JLR Sustainability Programme Integration Lead, in order to comply with vehicle targets. 
Home scrap recycling is not accepted as recycled content. Refer to ISO 14021.</t>
  </si>
  <si>
    <r>
      <t>Supplier to notify JLR Lead Engineer of any issues in meeting the requirement before</t>
    </r>
    <r>
      <rPr>
        <b/>
        <sz val="9"/>
        <color theme="1"/>
        <rFont val="Calibri"/>
        <family val="2"/>
        <scheme val="minor"/>
      </rPr>
      <t xml:space="preserve"> FR/EDC</t>
    </r>
    <r>
      <rPr>
        <sz val="9"/>
        <color theme="1"/>
        <rFont val="Calibri"/>
        <family val="2"/>
        <scheme val="minor"/>
      </rPr>
      <t xml:space="preserve">. Component specification/drawing to include recycled content at </t>
    </r>
    <r>
      <rPr>
        <b/>
        <sz val="9"/>
        <color theme="1"/>
        <rFont val="Calibri"/>
        <family val="2"/>
        <scheme val="minor"/>
      </rPr>
      <t>EDC</t>
    </r>
    <r>
      <rPr>
        <sz val="9"/>
        <color theme="1"/>
        <rFont val="Calibri"/>
        <family val="2"/>
        <scheme val="minor"/>
      </rPr>
      <t xml:space="preserve">, final confirmation from supplier and entry into IMDS with confirmed recycled content included as evidence via RMDV by </t>
    </r>
    <r>
      <rPr>
        <b/>
        <sz val="9"/>
        <color theme="1"/>
        <rFont val="Calibri"/>
        <family val="2"/>
        <scheme val="minor"/>
      </rPr>
      <t>CSO</t>
    </r>
    <r>
      <rPr>
        <sz val="9"/>
        <color theme="1"/>
        <rFont val="Calibri"/>
        <family val="2"/>
        <scheme val="minor"/>
      </rPr>
      <t>.</t>
    </r>
  </si>
  <si>
    <r>
      <t xml:space="preserve">New programme's from 29MY onwards shall meet the respective </t>
    </r>
    <r>
      <rPr>
        <b/>
        <sz val="9"/>
        <color theme="1"/>
        <rFont val="Calibri"/>
        <family val="2"/>
        <scheme val="minor"/>
      </rPr>
      <t>CPSC</t>
    </r>
    <r>
      <rPr>
        <sz val="9"/>
        <color theme="1"/>
        <rFont val="Calibri"/>
        <family val="2"/>
        <scheme val="minor"/>
      </rPr>
      <t xml:space="preserve"> level recycled content target for specified material families as per STJLR 51.5270 V3 or exception agreed by JLR Materials Engineering &amp; Product Sustainability. Parts that already contain recycled content should continue to be specified in the same manner and aim to increase the recycled content % and/or include PCR content where possible as specified in STJLR.51.5270 V3.
Any programmes prior to 29MY shall target  a minimum 20% recycled content for all polymer material, if not, exception to be agreed by JLR Materials Engineering and Product Sustainability. Example target parts for recycled polymer content are listed in section ERR.11 below. Parts that already contain recycled content should continue to be specified in the same manner and increased by 10% where possible as specified in STJLR.51.5270 V2. Any MCF or unit programmes which does not have a programme level target, but does contain opportunity to introduce recycled content should be explored. </t>
    </r>
    <r>
      <rPr>
        <strike/>
        <sz val="9"/>
        <color theme="1"/>
        <rFont val="Calibri"/>
        <family val="2"/>
        <scheme val="minor"/>
      </rPr>
      <t xml:space="preserve">
</t>
    </r>
    <r>
      <rPr>
        <sz val="9"/>
        <color theme="1"/>
        <rFont val="Calibri"/>
        <family val="2"/>
        <scheme val="minor"/>
      </rPr>
      <t xml:space="preserve">
At the request of Jaguar Land Rover, the Supplier shall provide evidence (via RMDV and IMDS, using the recycled tab) of recycled material content.</t>
    </r>
  </si>
  <si>
    <r>
      <rPr>
        <b/>
        <sz val="8"/>
        <color theme="1"/>
        <rFont val="Calibri"/>
        <family val="2"/>
        <scheme val="minor"/>
      </rPr>
      <t>ERR.6</t>
    </r>
    <r>
      <rPr>
        <b/>
        <sz val="12"/>
        <color theme="1"/>
        <rFont val="Calibri"/>
        <family val="2"/>
        <scheme val="minor"/>
      </rPr>
      <t xml:space="preserve"> Vehicle Interior Environment Quality (VIEQ)</t>
    </r>
  </si>
  <si>
    <t>To comply with Volatile Organic compounds (VOC) emission targets within the interior cabin, the supplier shall use low VOC emission materials TÜV TOXPROOF.
The Supplier shall, where appropriate, use materials within vehicle interior cabin that do not have any adverse impacts to health in accordance with the requirements in STJLR.51.5232.
The supplier shall test and record results for air filtration components in accordance with TÜV TOXPROOF Criteria Catalogue, 2 PIG S 0051.</t>
  </si>
  <si>
    <r>
      <t xml:space="preserve">The supplier shall notify the JLR Lead Engineer and relevant Materials Engineer of any issues or obstacle that will, or may prevent the supplier or Jaguar Land Rover to meet the requirements defined in the standard before </t>
    </r>
    <r>
      <rPr>
        <b/>
        <sz val="9"/>
        <color theme="1"/>
        <rFont val="Calibri"/>
        <family val="2"/>
        <scheme val="minor"/>
      </rPr>
      <t xml:space="preserve">FR, </t>
    </r>
    <r>
      <rPr>
        <sz val="9"/>
        <color theme="1"/>
        <rFont val="Calibri"/>
        <family val="2"/>
        <scheme val="minor"/>
      </rPr>
      <t xml:space="preserve">Final material testing and sign off before </t>
    </r>
    <r>
      <rPr>
        <b/>
        <sz val="9"/>
        <color theme="1"/>
        <rFont val="Calibri"/>
        <family val="2"/>
        <scheme val="minor"/>
      </rPr>
      <t>PRC</t>
    </r>
    <r>
      <rPr>
        <sz val="9"/>
        <color theme="1"/>
        <rFont val="Calibri"/>
        <family val="2"/>
        <scheme val="minor"/>
      </rPr>
      <t xml:space="preserve">, Final component testing and sign off before </t>
    </r>
    <r>
      <rPr>
        <b/>
        <sz val="9"/>
        <color theme="1"/>
        <rFont val="Calibri"/>
        <family val="2"/>
        <scheme val="minor"/>
      </rPr>
      <t>VSSO</t>
    </r>
    <r>
      <rPr>
        <sz val="9"/>
        <color theme="1"/>
        <rFont val="Calibri"/>
        <family val="2"/>
        <scheme val="minor"/>
      </rPr>
      <t xml:space="preserve">. The supplier shall record issues or obstacles via RMDV or by any other approved collaboration means agreed in the Project Management Section of this Statement of Work. 
The supplier shall support Jaguar Land Rover, when requested, to investigate components if required to meet vehicle level requirement.
Skin contact materials to be tested by TUV Rheinland at </t>
    </r>
    <r>
      <rPr>
        <b/>
        <sz val="9"/>
        <color theme="1"/>
        <rFont val="Calibri"/>
        <family val="2"/>
        <scheme val="minor"/>
      </rPr>
      <t>PRDJ</t>
    </r>
    <r>
      <rPr>
        <sz val="9"/>
        <color theme="1"/>
        <rFont val="Calibri"/>
        <family val="2"/>
        <scheme val="minor"/>
      </rPr>
      <t>.</t>
    </r>
  </si>
  <si>
    <t>Materials shall comply with the requirements defined in STJLR.51.5229.
Applicable components shall comply with the requirements defined in STJLR.01.5202.
“Skin Contact” Materials to comply with the requirements defined in STJLR.51.5232., and to be tested by TUV Rheinland and approved to their TOXPROOF Criteria catalogue.</t>
  </si>
  <si>
    <r>
      <rPr>
        <b/>
        <sz val="8"/>
        <color theme="1"/>
        <rFont val="Calibri"/>
        <family val="2"/>
        <scheme val="minor"/>
      </rPr>
      <t>ERR.7</t>
    </r>
    <r>
      <rPr>
        <b/>
        <sz val="12"/>
        <color theme="1"/>
        <rFont val="Calibri"/>
        <family val="2"/>
        <scheme val="minor"/>
      </rPr>
      <t xml:space="preserve"> List of Affected Commodities</t>
    </r>
  </si>
  <si>
    <t>AFFECTED COMMODITY</t>
  </si>
  <si>
    <t>Restricted Substance Management Standard</t>
  </si>
  <si>
    <t>All</t>
  </si>
  <si>
    <t>Recyclability</t>
  </si>
  <si>
    <t>All commodities except for parts listed in "Example Parts Identified For Recycling" Section below.</t>
  </si>
  <si>
    <t>Parts Marking</t>
  </si>
  <si>
    <t>All non-metallic parts as identified in ISO standards ISO 1043-1, 1043-2 and 11469 for plastics and ISO 1629 for rubber materials (plastics above 100 grams, elastomers above 200 grams).</t>
  </si>
  <si>
    <t>Recycled Materials (PCR, PIR)</t>
  </si>
  <si>
    <t>All components that contain polymers.</t>
  </si>
  <si>
    <t>Vehicle Interior Environment Quality (VIEQ)</t>
  </si>
  <si>
    <t>All interior parts, exterior door handles and tailgate.</t>
  </si>
  <si>
    <r>
      <rPr>
        <b/>
        <sz val="8"/>
        <color theme="1"/>
        <rFont val="Calibri"/>
        <family val="2"/>
        <scheme val="minor"/>
      </rPr>
      <t xml:space="preserve">ERR.8 </t>
    </r>
    <r>
      <rPr>
        <b/>
        <sz val="12"/>
        <color theme="1"/>
        <rFont val="Calibri"/>
        <family val="2"/>
        <scheme val="minor"/>
      </rPr>
      <t>Parts Identified for Pre-Treatment</t>
    </r>
  </si>
  <si>
    <t>Plans are required for the parts defined below to make sure that Jaguar Land Rover vehicles comply with ELV dismantling requirements.</t>
  </si>
  <si>
    <t>COMMODITY</t>
  </si>
  <si>
    <t>ACTION</t>
  </si>
  <si>
    <t>Parts listed in the EU ELV directive Annex I / II:
- All batteries
- All electronic circuit boards and other electronic components if a vehicle threshold of 60g of lead in solder is exceeded
- Tyres
- Electrical components which contain lead in solder or in a glass or ceramic matrix compound except glass in bulbs and glaze of spark plugs if a vehicle threshold of 60g lead is exceeded
- Supercapacitors / Ultracapacitors / Electrochemical double-layer capacitors (EDLCs)</t>
  </si>
  <si>
    <t>Design for Disassembly actions (easy access, safe and easy removal).</t>
  </si>
  <si>
    <t>Pyrotechnic systems</t>
  </si>
  <si>
    <t>Minimum time to deploy / neutralise all devices through use of ECU or OBD connected tooling, easy access to the ECU, provision of dismantling manuals is required. New dismantling manuals are required where changes to the dismantling processes are made with MY updates.</t>
  </si>
  <si>
    <t>All fluid containing components</t>
  </si>
  <si>
    <t>Fluid removal marking, easy access. Design of component must  ensure all fluid can be removed within 20 mins using gravity or suction methods.</t>
  </si>
  <si>
    <t>Electronics</t>
  </si>
  <si>
    <t xml:space="preserve">Efficient soldering techniques should be employed to reduce lead content in components.
Use energy efficient components.
Refer to Appendix G. Lead Free Solder Checklist for more information. </t>
  </si>
  <si>
    <t>Displays and  Lighting</t>
  </si>
  <si>
    <t>Must be mercury-free solutions.</t>
  </si>
  <si>
    <r>
      <rPr>
        <b/>
        <sz val="8"/>
        <color theme="1"/>
        <rFont val="Calibri"/>
        <family val="2"/>
        <scheme val="minor"/>
      </rPr>
      <t>ERR.9</t>
    </r>
    <r>
      <rPr>
        <b/>
        <sz val="12"/>
        <color theme="1"/>
        <rFont val="Calibri"/>
        <family val="2"/>
        <scheme val="minor"/>
      </rPr>
      <t xml:space="preserve"> Example Parts Identified for Recycling</t>
    </r>
  </si>
  <si>
    <t>EXTERIOR TRIM</t>
  </si>
  <si>
    <t>INTERIOR TRIM</t>
  </si>
  <si>
    <t>POWER TRAIN</t>
  </si>
  <si>
    <t>Air Inlet Finishers
Bumper Covers, Brackets
Bumper Finishers
Front Trunk Moulding
Glass
Roof Finisher
Sill Finishers
Tailgate Finishers
Tow Eye Finisher
Under Trays
Wheel Arch Closure
Post Finishers
Wheel Arch Liner, Finisher</t>
  </si>
  <si>
    <t>Seat belts
Dashboard Finisher
Door Bins
Door Casing
Glove, Cubby Box &amp; Lid
Load Space Trim
Lower Post Finishers
Seat Cushions / Squabs
Seat Finisher
Door Frame Finisher
Steering Column Cowl</t>
  </si>
  <si>
    <t>Emissions Catalysts
Engine Finishers
Engine Top Cover
Radiator &amp; Fan Housing
Radiator Finisher
Air Cleaner Lid, Housing</t>
  </si>
  <si>
    <t>Battery Tray
Fuse Box Lid</t>
  </si>
  <si>
    <t>All other easily accessible polymeric components in excess of 250g</t>
  </si>
  <si>
    <r>
      <rPr>
        <b/>
        <sz val="8"/>
        <color theme="1"/>
        <rFont val="Calibri"/>
        <family val="2"/>
        <scheme val="minor"/>
      </rPr>
      <t>ERR.10</t>
    </r>
    <r>
      <rPr>
        <b/>
        <sz val="12"/>
        <color theme="1"/>
        <rFont val="Calibri"/>
        <family val="2"/>
        <scheme val="minor"/>
      </rPr>
      <t xml:space="preserve"> Parts Identified for Recycled Content</t>
    </r>
  </si>
  <si>
    <t xml:space="preserve">All applications containing recycled content must conform to the following requirements:
1. Resulting weight is equal to or less than currently used material solution.
2. For programmes to which STJLR 51.5270 V2 is applicable - Parts that already contain recycled content should continue to be specified in the same manner and increased where possible by 10%. For programmes to which STJLR 51.5270 V3 is applicable - Parts that already contain recycled content should continue to be specified in the same manner and aim to increase the recycled content % and/or include PCR content where possible 
3. Evidence of additional recycled content shall be supplied.
4. No smell or interior emission issues occur.
5. Sustainable supply is ensured.
6. Environmental impact (measured in GWP (Global Warming Potential) CO2eq) is not adversely affected.
Target parts for recycled polymer content are listed in "Example applications where recycled polymers are used" Section below. </t>
  </si>
  <si>
    <r>
      <rPr>
        <b/>
        <sz val="8"/>
        <color theme="1"/>
        <rFont val="Calibri"/>
        <family val="2"/>
        <scheme val="minor"/>
      </rPr>
      <t>ERR.11</t>
    </r>
    <r>
      <rPr>
        <b/>
        <sz val="12"/>
        <color theme="1"/>
        <rFont val="Calibri"/>
        <family val="2"/>
        <scheme val="minor"/>
      </rPr>
      <t xml:space="preserve"> Example Applications Where Recycled Polymers are Currently Used</t>
    </r>
  </si>
  <si>
    <t>BODY EXTERIOR</t>
  </si>
  <si>
    <t>POWERTRAIN / CHASSIS / ELECTRICAL</t>
  </si>
  <si>
    <t>Upstream ducts
Wheel arch liners
Bumper brackets
Leafscreen water trough
Undertrays</t>
  </si>
  <si>
    <t>IP/Centre Console carrier
NVH pads
Carpets (load space compartment, side trim, main floor, floor mats)
Seat brackets
Load floor
Parcel Shelf
Floor brackets
Interior face fabric
Trunk trim side mouldings (B-Surface)
Seat backs (B-Surface)
Speaker brackets, subwoofer housing</t>
  </si>
  <si>
    <t>Air ducting and distribution channels
Fuse box cover
Air cleaner box and lid
Auxiliary air cooler ducts
Radiator fan shroud
Engine Cover</t>
  </si>
  <si>
    <r>
      <rPr>
        <b/>
        <sz val="8"/>
        <color theme="1"/>
        <rFont val="Calibri"/>
        <family val="2"/>
        <scheme val="minor"/>
      </rPr>
      <t>ERR.11b</t>
    </r>
    <r>
      <rPr>
        <b/>
        <sz val="12"/>
        <color theme="1"/>
        <rFont val="Calibri"/>
        <family val="2"/>
        <scheme val="minor"/>
      </rPr>
      <t xml:space="preserve"> Per and Poly Fluorinated Substances (PFAS), including fluoropolymers and fluoroelastomers</t>
    </r>
  </si>
  <si>
    <t>1. PFAS containing materials and components shall not be used, where the design specifications can be met with technically and economically feasible alternatives.
2. Where PFAS containing materials and components must be used, they shall be identified in the quotation, and the technical and economic implications of substitution shall be identified.</t>
  </si>
  <si>
    <t>PFAS free components, compliant with EU and North American restriction proposals.</t>
  </si>
  <si>
    <t>Data shall be provided with the quotation.</t>
  </si>
  <si>
    <r>
      <rPr>
        <b/>
        <sz val="8"/>
        <color theme="1"/>
        <rFont val="Calibri"/>
        <family val="2"/>
        <scheme val="minor"/>
      </rPr>
      <t xml:space="preserve">ERR.12 </t>
    </r>
    <r>
      <rPr>
        <b/>
        <sz val="12"/>
        <color theme="1"/>
        <rFont val="Calibri"/>
        <family val="2"/>
        <scheme val="minor"/>
      </rPr>
      <t>Frequently Asked Questions</t>
    </r>
  </si>
  <si>
    <t>This section answers the questions "What is the requirement about?", "What happens if the requirement will not be met?", "Are compromises possible?", "Where is this requirement going beyond legal requirements for Europe and why?" for the CPA requirements:
- Restricted Substances and Materials of Concern.
- Vehicle Recyclability and Parts Marking.
- Recycled/Non-Virgin Materials.
- Vehicle Interior Environment Quality (VIEQ).</t>
  </si>
  <si>
    <t>RESTRICTED SUBSTANCES AND MATERIALS OF CONCERN</t>
  </si>
  <si>
    <t>Why is the RSMS requirement important?</t>
  </si>
  <si>
    <t>The use of prohibited substances as listed in RSMS (within STJLR.99.9999) is in conflict with legal compliance. Some requirements seem to go beyond legislation. However, the RSMS is a corporate standard that ensures that Jaguar Land Rover Limited can also cost-effectively comply with legislation. RSMS entries are the result of a thorough impact analysis.</t>
  </si>
  <si>
    <t>What does 100% compliant to RSMS mean?</t>
  </si>
  <si>
    <t>All requirements are detailed in the RSMS standard. The main requirements include the reporting of all materials and substances in IMDS. In addition, RSMS lists those substances that are not allowed to be supplied to Jaguar Land Rover Limited (prohibited), or those substances that shall be minimized due to for example up-coming legislation (some of the declarable substance) or those substances that need to be reported for other reasons.</t>
  </si>
  <si>
    <t>What happens if the RSMS requirements are not met?</t>
  </si>
  <si>
    <t>There are fines to be paid (magnitude is different for different markets) and re-calls may be necessary. In addition, image issues may occur if an environmental non-governmental organization (NGO) detects non-compliance.</t>
  </si>
  <si>
    <t>How do I report declarable substances?</t>
  </si>
  <si>
    <t>All of the substances listed in the latest available version of the Global Automotive Declarable Substances List (www.gadsl.org) must be reported in the International Material Data System (IMDS www.mdsystem.com). IMDS reports are required for each part number. Please send part data to Jaguar Land Rover Limited, IMDS account 297.</t>
  </si>
  <si>
    <t>VEHICLE RECYCLABILITY AND PARTS MARKING</t>
  </si>
  <si>
    <t>Why are these requirements important?</t>
  </si>
  <si>
    <t>The EU ELV directive (2000/53/EC) mandates a minimum vehicle recyclability rate of 85% and parts marking. In addition, it states that the automotive industry has to meet all or a significant part of the end-of-life costs. Vehicle type approval is linked to this vehicle recyclability. The listed requirements ensure that a type approval for the vehicle can be done, the vehicles are legally compliant and that end-of-life costs are minimized.</t>
  </si>
  <si>
    <t>What is recyclability?</t>
  </si>
  <si>
    <t>Complete Vehicle Recyclability is an indication of the extent to which a vehicle can be recycled at the end of its life. It is measured according to ISO 22628 on a vehicle level.</t>
  </si>
  <si>
    <t>What is part marking?</t>
  </si>
  <si>
    <t>Part marking must be in accordance with the following ISO standards: ISO 1043 part 1 thru. 4 and 11469 for plastics and ISO 1629 for rubber materials reference in latest version of the CADJLR.02.02 section G.
The use of ISO 18064 for the marking of thermoplastic rubber as defined in ISO 1043-1 is permitted. Compliance is mandatory for thermoplastics / thermosets above 100g and for elastomers above 200g, part of whole vehicle type approval.</t>
  </si>
  <si>
    <t>What happens if the requirement is not met?</t>
  </si>
  <si>
    <t>If recyclability cannot be demonstrated (e.g. due to missing data in IMDS), type approval of vehicles is affected. Part marking for polymers is also a legal requirement. For ELV costs, Jaguar Land Rover may ask for compensation if ELV disposal costs are incurred that are directly attributable to failure in delivering compliant components.</t>
  </si>
  <si>
    <t>Are compromises possible?</t>
  </si>
  <si>
    <t>Compromises for recyclability are only possible if the lower recyclability of one component can be compensated by another one that over achieves the vehicle targets.</t>
  </si>
  <si>
    <r>
      <t>Frequently Asked Questions</t>
    </r>
    <r>
      <rPr>
        <b/>
        <sz val="8"/>
        <color theme="1"/>
        <rFont val="Calibri"/>
        <family val="2"/>
        <scheme val="minor"/>
      </rPr>
      <t xml:space="preserve"> (continued.)</t>
    </r>
  </si>
  <si>
    <t>RECYCLED MATERIALS</t>
  </si>
  <si>
    <t>The increased usage of recycled materials is required by the European ELV directive and part of Jaguar Land Rover Limited Corporate Policy.</t>
  </si>
  <si>
    <t>What are recycled materials?</t>
  </si>
  <si>
    <t>The requirement is looking at non-metallic materials, in particular thermoplastics or other polymers.
- Post-consumer materials are those that have passed through the hands of consumers.
- Pre-consumer/Post-industrial materials are those that have at least been subjected to one additional process step and would otherwise require disposal, excludes home scrap recycling (e.g. direct re-granulation and re-feeding in the same facility). Material that is recovered within the same manufacturing process that generated it, shall not count towards recycled content.
- Further definition can be found in ISO 14021
Recycled material content must be reported in IMDS.</t>
  </si>
  <si>
    <t>What are recyclable materials?</t>
  </si>
  <si>
    <t>Materials that can be recovered or diverted from the non-hazardous solid waste stream for the purpose of reuse, recycling or reclamation and a substantial portion of which is consistently used in the manufacture of products, which may otherwise be produced using raw or virgin materials.</t>
  </si>
  <si>
    <t>VEHICLE INTERIOR ENVIRONMENT QUALITY (VIEQ)</t>
  </si>
  <si>
    <t>To protect the customer, meet the customer expectations and ensure legal compliance.</t>
  </si>
  <si>
    <t>What is Vehicle Interior Environment Quality (VIEQ)?</t>
  </si>
  <si>
    <t>Materials used in the construction of new vehicles affect the interior odour and fogging of the windscreen. Solvent based adhesives create issues with toluene and volatile organic compound (VOC) emissions, which are not permitted in certain markets. Certain dyes and surface materials need to be avoided as they are known to cause irritations to sensitized individuals and pollen, VOC and particulate matter (PM) ingress through the air conditioning needs to be minimized, as this is known to affect hay-fever sufferers. Sensitising substances, e.g. Natural Rubber Latex, Chromium VI and Nickel shall not be used for the vehicle interior, door handles etc. Smell or fogging issues are often linked with thermosets (phenol resin binders, polyurethane foams), elastomers (sulphur residue from vulcanization) and inefficient fuel tank sealing. The Restricted substance and vehicle interior requirements listed in Table 1 are designed to address these issues.</t>
  </si>
  <si>
    <t xml:space="preserve">This Section shall be used if the commodity to be sourced is a physical part, structure or system with no software or electrical parts. The Lead Engineer is responsible for the completion of all sections within this Statement of Work. Contact the relevant Buyer for volumes, Vehicle Programme Framework documents or other relevant project information. </t>
  </si>
  <si>
    <t>This section defines all information relating to the project management aspect of the sourcing project. Jaguar Land Rover shall provide the supplier with the most mature and relevant project and programme information applicable to the creation of a clear and concise Request For Quotation and receive a realistic and achievable quotation from a supplier.</t>
  </si>
  <si>
    <r>
      <rPr>
        <b/>
        <sz val="8"/>
        <color theme="1"/>
        <rFont val="Calibri"/>
        <family val="2"/>
        <scheme val="minor"/>
      </rPr>
      <t xml:space="preserve">EPM.1 </t>
    </r>
    <r>
      <rPr>
        <b/>
        <sz val="12"/>
        <color theme="1"/>
        <rFont val="Calibri"/>
        <family val="2"/>
        <scheme val="minor"/>
      </rPr>
      <t>Vehicle Information</t>
    </r>
  </si>
  <si>
    <t xml:space="preserve">Not all fields in this section may be applicable or mandatory for the sourcing requirements defined in this document, however it is recommended to complete as much information in this section for familiarisation, understanding and applicability. If any field in this section is not applicable, then enter (or select) "NOT APPLICABLE" in the respective field. </t>
  </si>
  <si>
    <t>CYCLE PLAN CODE</t>
  </si>
  <si>
    <t>VEHICLE NAME</t>
  </si>
  <si>
    <t>JOB #1 DATE</t>
  </si>
  <si>
    <t>PROGRAM SCALE</t>
  </si>
  <si>
    <t>Y9250</t>
  </si>
  <si>
    <t>8 years</t>
  </si>
  <si>
    <t>MANUF. LOCATION</t>
  </si>
  <si>
    <t>LIFECYCLE TOTAL</t>
  </si>
  <si>
    <t>PEAK ANNUAL VOLUME</t>
  </si>
  <si>
    <t>Nitra</t>
  </si>
  <si>
    <t>POWERTRAIN</t>
  </si>
  <si>
    <t>WHEELBASE</t>
  </si>
  <si>
    <t>CODE</t>
  </si>
  <si>
    <t>CAB STYLE</t>
  </si>
  <si>
    <t>TRANSMISSION</t>
  </si>
  <si>
    <t>PROJECT LOCATIONS</t>
  </si>
  <si>
    <t>ASSEMBLY LOCATION</t>
  </si>
  <si>
    <t>PTO PLANT LOCATION</t>
  </si>
  <si>
    <t>PROTOTYPE BUILD LOCATION</t>
  </si>
  <si>
    <r>
      <rPr>
        <b/>
        <sz val="8"/>
        <color theme="1"/>
        <rFont val="Calibri"/>
        <family val="2"/>
        <scheme val="minor"/>
      </rPr>
      <t xml:space="preserve">EPM.2 </t>
    </r>
    <r>
      <rPr>
        <b/>
        <sz val="12"/>
        <color theme="1"/>
        <rFont val="Calibri"/>
        <family val="2"/>
        <scheme val="minor"/>
      </rPr>
      <t>Programme Timings</t>
    </r>
  </si>
  <si>
    <t>All programs must use and be aligned to PCDS V4 gateways, milestones, events and timelines. Where fixed dates are not available, the Lead Engineer shall apply estimated dates and provide updates to the supplier if there is a timing change.</t>
  </si>
  <si>
    <t>This section includes all relevant gateways and milestones in a given JLR Vehicle project. The JLR engineering shall include the relevant dates for each gateway or milestone to be used as a datum point for key supplier deliverables. Timelines and key date are required in order to fulfil the obligations of the seller in accordance with JLR-STN-19214 Global Terms and Conditions for Engineering Services, Section 3(c). The Jaguar Land Rover Lead Engineer is permitted to append a current Vehicle Program Framework (VPF) Document which outlines all relevant gateway and milestone dates, however it is recommended to  complete the Timing Chart defined on the next page.
Additional timing requirements can be included below in the Vehicle Programme Framework.</t>
  </si>
  <si>
    <r>
      <rPr>
        <b/>
        <sz val="8"/>
        <color theme="1"/>
        <rFont val="Calibri"/>
        <family val="2"/>
        <scheme val="minor"/>
      </rPr>
      <t>EPM.3</t>
    </r>
    <r>
      <rPr>
        <b/>
        <sz val="12"/>
        <color theme="1"/>
        <rFont val="Calibri"/>
        <family val="2"/>
        <scheme val="minor"/>
      </rPr>
      <t xml:space="preserve"> Vehicle Programme Framework</t>
    </r>
  </si>
  <si>
    <t>VEHICLE PROGRAMME FRAMEWORK</t>
  </si>
  <si>
    <t>NAME</t>
  </si>
  <si>
    <t>NOTES</t>
  </si>
  <si>
    <t>STRATEGY</t>
  </si>
  <si>
    <t>KO</t>
  </si>
  <si>
    <t>KICK OFF</t>
  </si>
  <si>
    <t>GATEWAY</t>
  </si>
  <si>
    <t>PD</t>
  </si>
  <si>
    <t>PROG. DEFINITION</t>
  </si>
  <si>
    <t>PS</t>
  </si>
  <si>
    <t>PROG. STRATEGY</t>
  </si>
  <si>
    <t>PSC</t>
  </si>
  <si>
    <t>PROG. STRATEGY CONFIRMED</t>
  </si>
  <si>
    <t>DELIVERY</t>
  </si>
  <si>
    <t>CC</t>
  </si>
  <si>
    <t>CONTRACT CHECKPOINT</t>
  </si>
  <si>
    <t>FR</t>
  </si>
  <si>
    <t>FINANCIAL RELEASE</t>
  </si>
  <si>
    <t>PR</t>
  </si>
  <si>
    <t>PRODUCTION RELEASE</t>
  </si>
  <si>
    <t>LAUNCH</t>
  </si>
  <si>
    <t>PRC</t>
  </si>
  <si>
    <t>PRODUCTION RELEASE COMPLETION</t>
  </si>
  <si>
    <t>MILESTONE</t>
  </si>
  <si>
    <t>LRR 1</t>
  </si>
  <si>
    <t>VB READINESS</t>
  </si>
  <si>
    <t>LRR 2</t>
  </si>
  <si>
    <t>PLANT HANDOVER</t>
  </si>
  <si>
    <t>CSO</t>
  </si>
  <si>
    <t>COMPONENT SIGN OFF</t>
  </si>
  <si>
    <t>VSSO</t>
  </si>
  <si>
    <t>VEHICLE &amp; SYSTEM SIGN OFF</t>
  </si>
  <si>
    <t>LRR 3</t>
  </si>
  <si>
    <t>PROCEED TO LAUNCH PRODUCTION</t>
  </si>
  <si>
    <t>LRR 4</t>
  </si>
  <si>
    <t>OPEN CUSTOMER SALEABLE ORDER CALL</t>
  </si>
  <si>
    <t>FESO</t>
  </si>
  <si>
    <t>FINAL ENG. SIGN OFF</t>
  </si>
  <si>
    <t>LRR 5</t>
  </si>
  <si>
    <t>OK FOR JOB 1</t>
  </si>
  <si>
    <t>JOB 1</t>
  </si>
  <si>
    <r>
      <rPr>
        <b/>
        <sz val="8"/>
        <color theme="1"/>
        <rFont val="Calibri"/>
        <family val="2"/>
        <scheme val="minor"/>
      </rPr>
      <t>EPM.4</t>
    </r>
    <r>
      <rPr>
        <b/>
        <sz val="12"/>
        <color theme="1"/>
        <rFont val="Calibri"/>
        <family val="2"/>
        <scheme val="minor"/>
      </rPr>
      <t xml:space="preserve"> Bespoke Timing Requirements</t>
    </r>
  </si>
  <si>
    <r>
      <t xml:space="preserve">Record timing dates or events that the supplier is shall achieve which </t>
    </r>
    <r>
      <rPr>
        <b/>
        <sz val="10"/>
        <color theme="1"/>
        <rFont val="Calibri"/>
        <family val="2"/>
        <scheme val="minor"/>
      </rPr>
      <t xml:space="preserve">DO NOT </t>
    </r>
    <r>
      <rPr>
        <sz val="10"/>
        <color theme="1"/>
        <rFont val="Calibri"/>
        <family val="2"/>
        <scheme val="minor"/>
      </rPr>
      <t xml:space="preserve">align to a JLR Gateway or Milestone. </t>
    </r>
  </si>
  <si>
    <r>
      <rPr>
        <b/>
        <sz val="8"/>
        <color theme="1"/>
        <rFont val="Calibri"/>
        <family val="2"/>
        <scheme val="minor"/>
      </rPr>
      <t xml:space="preserve">EPM.5 </t>
    </r>
    <r>
      <rPr>
        <b/>
        <sz val="12"/>
        <color theme="1"/>
        <rFont val="Calibri"/>
        <family val="2"/>
        <scheme val="minor"/>
      </rPr>
      <t>Skills and Competencies</t>
    </r>
  </si>
  <si>
    <t>JLR shall define all skills and experience and a level of competence required for the completion of the sourcing project. The supplier is expected to review, understand and agree to all requirements listed in this section. Training programmes for tools and processes can be found in EnerjyHub.</t>
  </si>
  <si>
    <t>The supplier is expected provide human resources with the relevant experience and necessary skill level to support the sourcing project technical and project management requirements. The supplier shall assess their current resource capacity and provide a resource management plan for resource acquisition, or re-structuring,  and the associated onboarding, training, sourcing project familiarisation and access requirements needed to meet the expected experience and skill levels needed for the sourcing project. Jaguar Land Rover is not responsible, nor expected to compensate the supplier for any work related to the acquisition, onboarding, training, sourcing project familiarisation, licenses or access rights required to support the sourcing project.</t>
  </si>
  <si>
    <t>SKILLS MATRIX</t>
  </si>
  <si>
    <t>SKILL / TOOL / PROCESS</t>
  </si>
  <si>
    <t>JLR EXPECTATION</t>
  </si>
  <si>
    <t>Access and be able to use the tool</t>
  </si>
  <si>
    <t>Be able to present problem solving doucment in the form of 8Ds where required.</t>
  </si>
  <si>
    <t>Access and be able to read JLR Catia V6 files including annotations and drawing notes. APQP will be moved to 3D Experience.</t>
  </si>
  <si>
    <t>Understanding of JLR commodity plan gateways and timings</t>
  </si>
  <si>
    <t>Access to JLR engineering standards through Enerjyhub</t>
  </si>
  <si>
    <t>Supplier to own and develop the PFMEA</t>
  </si>
  <si>
    <t>Understanding and adherance to the JLR production part approval process</t>
  </si>
  <si>
    <t>Service Requirements</t>
  </si>
  <si>
    <r>
      <t xml:space="preserve">This section contains the service requirements for the commodity that the supplier shall agree to. Jaguar Land Rover and the Supplier shall agree and understand that service requirements, including parts volume of parts, can change throughout the life of the product. 
Both parties shall communicate changes in writing in accordance with the Global Terms and Conditions for Engineering Services, JLR-STN-19214 and Global Terms and Conditions for Production Purchasing, JLR-STN-18499.
The Lead Engineer must complete all fields with the guidance of the Service Commodity Lead, to ensure commodity-specific requirements are included where applicable.
The Supplier must review the Jaguar Land Rover Aftermarket Parts and Accessories, JLR-EXP-570156.
</t>
    </r>
    <r>
      <rPr>
        <b/>
        <sz val="10"/>
        <color rgb="FFC00000"/>
        <rFont val="Calibri"/>
        <family val="2"/>
        <scheme val="minor"/>
      </rPr>
      <t>THIS SECTION IS MANDATORY. CONTACT MARK HARDY (MHARDY28) FOR DIRECTION TO THE SERVICE COMMODITY LEAD.</t>
    </r>
  </si>
  <si>
    <r>
      <rPr>
        <b/>
        <sz val="8"/>
        <color theme="1"/>
        <rFont val="Calibri"/>
        <family val="2"/>
        <scheme val="minor"/>
      </rPr>
      <t>SSR.1</t>
    </r>
    <r>
      <rPr>
        <b/>
        <sz val="12"/>
        <color theme="1"/>
        <rFont val="Calibri"/>
        <family val="2"/>
        <scheme val="minor"/>
      </rPr>
      <t xml:space="preserve"> General Service Requirements</t>
    </r>
  </si>
  <si>
    <r>
      <rPr>
        <b/>
        <sz val="8"/>
        <rFont val="Calibri"/>
        <family val="2"/>
        <scheme val="minor"/>
      </rPr>
      <t xml:space="preserve">1.1 </t>
    </r>
    <r>
      <rPr>
        <b/>
        <sz val="11"/>
        <rFont val="Calibri"/>
        <family val="2"/>
        <scheme val="minor"/>
      </rPr>
      <t>Ease of Maintenance and Cost of Ownership</t>
    </r>
  </si>
  <si>
    <t>Design all systems, components and levels of assembly to facilitate repairs identified within the Retailer Repair Procedures/Workshop Manual for ease of maintenance and/or repair at a competitive cost, and to meet programme serviceability cost of ownership (COO) targets. Where relevant, commodity must be compatible with existing consumables (e.g. oil grade, hydraulic fluid). There shall be no increase in PDI complexity or time.</t>
  </si>
  <si>
    <t>Notes and Bespoke Requirements (JLR Lead Engineer input only)</t>
  </si>
  <si>
    <t>Not Applicable</t>
  </si>
  <si>
    <r>
      <rPr>
        <b/>
        <sz val="8"/>
        <rFont val="Calibri"/>
        <family val="2"/>
        <scheme val="minor"/>
      </rPr>
      <t>1.2</t>
    </r>
    <r>
      <rPr>
        <b/>
        <sz val="11"/>
        <rFont val="Calibri"/>
        <family val="2"/>
        <scheme val="minor"/>
      </rPr>
      <t xml:space="preserve"> Serialization and As-Built Data</t>
    </r>
  </si>
  <si>
    <t>Where applicable, provide serialization and as-built data for all applicable parts/systems in a format readily compatible with JLR systems. 
For commodities with key code functionality, ensure underlying algorithms are available to JLR lock database and demonstrate how these will be subsequently maintained.</t>
  </si>
  <si>
    <r>
      <rPr>
        <b/>
        <sz val="8"/>
        <rFont val="Calibri"/>
        <family val="2"/>
        <scheme val="minor"/>
      </rPr>
      <t>1.3</t>
    </r>
    <r>
      <rPr>
        <b/>
        <sz val="11"/>
        <rFont val="Calibri"/>
        <family val="2"/>
        <scheme val="minor"/>
      </rPr>
      <t xml:space="preserve"> Repair and Replacement Procedures</t>
    </r>
  </si>
  <si>
    <t>In order to support insurance rating targets, develop and document repair and replacement procedures, and where applicable, damageability for collision parts. Documentation must include the release of service-unique sheet metal design.</t>
  </si>
  <si>
    <r>
      <rPr>
        <b/>
        <sz val="8"/>
        <rFont val="Calibri"/>
        <family val="2"/>
        <scheme val="minor"/>
      </rPr>
      <t>1.4</t>
    </r>
    <r>
      <rPr>
        <b/>
        <sz val="11"/>
        <rFont val="Calibri"/>
        <family val="2"/>
        <scheme val="minor"/>
      </rPr>
      <t xml:space="preserve"> Definition of Diagnostics</t>
    </r>
  </si>
  <si>
    <t>Any system-specific diagnostics must be compatible with JLR diagnostic strategy, tool and system protocols.</t>
  </si>
  <si>
    <r>
      <rPr>
        <b/>
        <sz val="8"/>
        <rFont val="Calibri"/>
        <family val="2"/>
        <scheme val="minor"/>
      </rPr>
      <t xml:space="preserve">1.5 </t>
    </r>
    <r>
      <rPr>
        <b/>
        <sz val="11"/>
        <rFont val="Calibri"/>
        <family val="2"/>
        <scheme val="minor"/>
      </rPr>
      <t>Special Tools</t>
    </r>
  </si>
  <si>
    <t>The removal and installation of the commodity shall be possible using existing workshop procedures and existing mandated tooling and equipment. (No new special tooling or equipment will be permitted unless pre-agreed with Commodity Lead).</t>
  </si>
  <si>
    <r>
      <rPr>
        <b/>
        <u/>
        <sz val="8"/>
        <rFont val="Calibri"/>
        <family val="2"/>
        <scheme val="minor"/>
      </rPr>
      <t xml:space="preserve">1.6 </t>
    </r>
    <r>
      <rPr>
        <b/>
        <u/>
        <sz val="11"/>
        <rFont val="Calibri"/>
        <family val="2"/>
        <scheme val="minor"/>
      </rPr>
      <t>Component and System Support for Service Literature</t>
    </r>
  </si>
  <si>
    <t>Provide Technical Information required by JLR to install, assemble and otherwise use the Goods. 
Technical Information includes, but is not limited to:
- engineering, package and installation drawings;
- specifications;
- testing protocols and results;
- documents, data and other information relating to the Goods and Tooling. 
Technical Information must comply with the computer-aided-design and drafting standards of the Buyer and its Related Companies in accordance with Production Purchasing Global Terms and Conditions, JLR-STN-18499, Section 16.01.</t>
  </si>
  <si>
    <r>
      <rPr>
        <b/>
        <sz val="8"/>
        <rFont val="Calibri"/>
        <family val="2"/>
        <scheme val="minor"/>
      </rPr>
      <t>1.7</t>
    </r>
    <r>
      <rPr>
        <b/>
        <sz val="11"/>
        <rFont val="Calibri"/>
        <family val="2"/>
        <scheme val="minor"/>
      </rPr>
      <t xml:space="preserve"> Repair Compatibility of Electronic Components</t>
    </r>
  </si>
  <si>
    <t>Identify and support serviceability of electronic (black box items) components, including (but not limited to) audio, multi-media, telematics and navigation systems. 
Develop and document subsystem operational description, potential systems faults and diagnostic analysis.</t>
  </si>
  <si>
    <t>Technical Requirements</t>
  </si>
  <si>
    <r>
      <t xml:space="preserve">This section contains the technical requirements and expectations for the commodity that the supplier shall agree to. This section contains high-level design information, commodity information, system design information and detailed technical requirements. Jaguar Land Rover may provide a Product Design Specification (PDS) in lieu of technical information in this section of the Statement of Work. 
A PDS is considered a Supporting Document to the Statement of Work and does not supersede or replace Statement of Work (JLR-TMP-557249).  
</t>
    </r>
    <r>
      <rPr>
        <b/>
        <sz val="10"/>
        <color rgb="FFFF0000"/>
        <rFont val="Calibri"/>
        <family val="2"/>
        <scheme val="minor"/>
      </rPr>
      <t>NOTE: REFER TO APPENDIX C. STANDARDS AND SUPPORTING DOCUMENTS FOR ALL ENGINEERING STANDARDS</t>
    </r>
  </si>
  <si>
    <r>
      <rPr>
        <b/>
        <sz val="8"/>
        <color theme="1"/>
        <rFont val="Calibri"/>
        <family val="2"/>
        <scheme val="minor"/>
      </rPr>
      <t xml:space="preserve">ETR.1 </t>
    </r>
    <r>
      <rPr>
        <b/>
        <sz val="12"/>
        <color theme="1"/>
        <rFont val="Calibri"/>
        <family val="2"/>
        <scheme val="minor"/>
      </rPr>
      <t>Product Definition Sheet</t>
    </r>
  </si>
  <si>
    <t>Will Jaguar Land Rover issue a PDS to the supplier?</t>
  </si>
  <si>
    <t>Document Name</t>
  </si>
  <si>
    <r>
      <rPr>
        <b/>
        <sz val="8"/>
        <color theme="1"/>
        <rFont val="Calibri"/>
        <family val="2"/>
        <scheme val="minor"/>
      </rPr>
      <t xml:space="preserve">ETR.2 </t>
    </r>
    <r>
      <rPr>
        <b/>
        <sz val="12"/>
        <color theme="1"/>
        <rFont val="Calibri"/>
        <family val="2"/>
        <scheme val="minor"/>
      </rPr>
      <t>Technical and System Information</t>
    </r>
  </si>
  <si>
    <t>TECHNICAL OVERVIEW</t>
  </si>
  <si>
    <t>SYSTEM OVERVIEW</t>
  </si>
  <si>
    <t>SYSTEM CONTEXT</t>
  </si>
  <si>
    <t>SYSTEM BEHAVIOURS</t>
  </si>
  <si>
    <t xml:space="preserve">Components shall be within tolerance to fit within the vehicle </t>
  </si>
  <si>
    <t>SYSTEM USE CASE</t>
  </si>
  <si>
    <r>
      <rPr>
        <b/>
        <sz val="8"/>
        <color theme="1"/>
        <rFont val="Calibri"/>
        <family val="2"/>
        <scheme val="minor"/>
      </rPr>
      <t xml:space="preserve">ETR.3 </t>
    </r>
    <r>
      <rPr>
        <b/>
        <sz val="12"/>
        <color theme="1"/>
        <rFont val="Calibri"/>
        <family val="2"/>
        <scheme val="minor"/>
      </rPr>
      <t>Technical Targets and Attributes</t>
    </r>
  </si>
  <si>
    <t>PANEL REF</t>
  </si>
  <si>
    <t>TECHNICAL ATTRIBUTE</t>
  </si>
  <si>
    <t>DESCRIPTION / TARGET / ATTRIBUTE</t>
  </si>
  <si>
    <t>CLASS. / CATEGORY / DELTA / SCORE</t>
  </si>
  <si>
    <t>AMS</t>
  </si>
  <si>
    <t>VTSO - AMS</t>
  </si>
  <si>
    <t>A1a</t>
  </si>
  <si>
    <t>Passive Safety</t>
  </si>
  <si>
    <t>A1b</t>
  </si>
  <si>
    <t>Perceived Quality</t>
  </si>
  <si>
    <t>Provide good percieved quality of part</t>
  </si>
  <si>
    <t>A1c</t>
  </si>
  <si>
    <t>Climate &amp; Interior Air Quality</t>
  </si>
  <si>
    <t>Deliver parts within VOC limits and odor limits</t>
  </si>
  <si>
    <t>A1d</t>
  </si>
  <si>
    <t>Lighting</t>
  </si>
  <si>
    <t>A1e</t>
  </si>
  <si>
    <t>Sustainability</t>
  </si>
  <si>
    <t>Meet part recyclability requirement</t>
  </si>
  <si>
    <t>A2</t>
  </si>
  <si>
    <t>Human Factors</t>
  </si>
  <si>
    <t>A3</t>
  </si>
  <si>
    <t>Infotainment and Connectivity</t>
  </si>
  <si>
    <t>A4a</t>
  </si>
  <si>
    <t>Driving Dynamics</t>
  </si>
  <si>
    <t>A4b</t>
  </si>
  <si>
    <t>Brakes Engineering Attributes</t>
  </si>
  <si>
    <t>A4c</t>
  </si>
  <si>
    <t>Off Road &amp; All Road Capability</t>
  </si>
  <si>
    <t>A5a</t>
  </si>
  <si>
    <t>Product Efficiency</t>
  </si>
  <si>
    <t>A5b</t>
  </si>
  <si>
    <t>Performance and Driveability</t>
  </si>
  <si>
    <t>A5c</t>
  </si>
  <si>
    <t>Propulsion Systems NVH</t>
  </si>
  <si>
    <t>A6</t>
  </si>
  <si>
    <t>Automated Driving</t>
  </si>
  <si>
    <t>A7</t>
  </si>
  <si>
    <t>Aerodynamics, Aeroacoustics, WDM</t>
  </si>
  <si>
    <t>A8</t>
  </si>
  <si>
    <t>Vehicle NVH &amp; Sound Quality</t>
  </si>
  <si>
    <t>A9a</t>
  </si>
  <si>
    <t>Durability &amp; Robustness</t>
  </si>
  <si>
    <t>Meet part durability requirements</t>
  </si>
  <si>
    <t>A9b</t>
  </si>
  <si>
    <t>Towing</t>
  </si>
  <si>
    <t>A10</t>
  </si>
  <si>
    <t>Thermal Management</t>
  </si>
  <si>
    <t>A11</t>
  </si>
  <si>
    <t>Weight</t>
  </si>
  <si>
    <t>Parts to be delivered to JLR within weight specifications</t>
  </si>
  <si>
    <t>A12</t>
  </si>
  <si>
    <t>Total Cost of Ownership</t>
  </si>
  <si>
    <t>A13</t>
  </si>
  <si>
    <t>Service &amp; Repair</t>
  </si>
  <si>
    <t>A14</t>
  </si>
  <si>
    <t>Security</t>
  </si>
  <si>
    <t>A2 - VDS</t>
  </si>
  <si>
    <t>Package</t>
  </si>
  <si>
    <t>VE</t>
  </si>
  <si>
    <t>Panel Owner</t>
  </si>
  <si>
    <r>
      <rPr>
        <b/>
        <sz val="8"/>
        <color theme="1"/>
        <rFont val="Calibri"/>
        <family val="2"/>
        <scheme val="minor"/>
      </rPr>
      <t xml:space="preserve">ETR.4 </t>
    </r>
    <r>
      <rPr>
        <b/>
        <sz val="12"/>
        <color theme="1"/>
        <rFont val="Calibri"/>
        <family val="2"/>
        <scheme val="minor"/>
      </rPr>
      <t>Diagrams</t>
    </r>
  </si>
  <si>
    <t>This section defines the system functional and Boundary Diagrams.</t>
  </si>
  <si>
    <t>FUNCTIONAL DIAGRAM</t>
  </si>
  <si>
    <t>BOUNDARY DIAGRAM</t>
  </si>
  <si>
    <r>
      <rPr>
        <b/>
        <sz val="8"/>
        <color theme="1"/>
        <rFont val="Calibri"/>
        <family val="2"/>
        <scheme val="minor"/>
      </rPr>
      <t xml:space="preserve">ETR.5 </t>
    </r>
    <r>
      <rPr>
        <b/>
        <sz val="12"/>
        <color theme="1"/>
        <rFont val="Calibri"/>
        <family val="2"/>
        <scheme val="minor"/>
      </rPr>
      <t>Commodity Documents</t>
    </r>
  </si>
  <si>
    <t>JLR, with support of the supplier, shall specify all drawings, documents and other technical information that the supplier is required to deliver in the table below.</t>
  </si>
  <si>
    <t>CoC / COMMODITY DOCUMENTS</t>
  </si>
  <si>
    <t>LEVEL</t>
  </si>
  <si>
    <t>MATERIAL DESCRIPTION</t>
  </si>
  <si>
    <t xml:space="preserve">Assembly Aids, Fixture/ Tools </t>
  </si>
  <si>
    <r>
      <rPr>
        <b/>
        <sz val="8"/>
        <color theme="1"/>
        <rFont val="Calibri"/>
        <family val="2"/>
        <scheme val="minor"/>
      </rPr>
      <t xml:space="preserve">Level 1 </t>
    </r>
    <r>
      <rPr>
        <sz val="8"/>
        <color theme="1"/>
        <rFont val="Calibri"/>
        <family val="2"/>
        <scheme val="minor"/>
      </rPr>
      <t>materials describe the geometric and functional attributes of the commodity (part), and how that part meets JLR's specifications and interacts with other vehicle components.  At a minimum, the supplier must provide this information on Level One drawings unless otherwise approved by JLR.  All Level One materials can be freely used by JLR without restriction.</t>
    </r>
  </si>
  <si>
    <t>Component Package Drawings</t>
  </si>
  <si>
    <t>Component Part Drawings</t>
  </si>
  <si>
    <t>Control Plan</t>
  </si>
  <si>
    <r>
      <rPr>
        <b/>
        <sz val="9"/>
        <color theme="1"/>
        <rFont val="Calibri"/>
        <family val="2"/>
        <scheme val="minor"/>
      </rPr>
      <t>Level 2</t>
    </r>
    <r>
      <rPr>
        <sz val="9"/>
        <color theme="1"/>
        <rFont val="Calibri"/>
        <family val="2"/>
        <scheme val="minor"/>
      </rPr>
      <t xml:space="preserve"> materials describe more detailed design and manufacturing information such as FMEAs and DVP&amp;R. The Supplier will provide the Buyer with access, including delivery of reference copies as the Buyer can reasonably request (such as for the purpose of warranty analysis, DVA, system studies, durability, durability prediction), to Level Two Materials as well as the right to use Level Two Materials internally, including to integrate the goods into the vehicle. All level 2 documents must be treated as confidential in accordance with JLR-18499 Production Purchasing Global Terms and Conditions, Section 17 - Confidentiality.</t>
    </r>
  </si>
  <si>
    <t>Design FMEA</t>
  </si>
  <si>
    <t>DV / PV Test Plans</t>
  </si>
  <si>
    <t>Engineering Specifications</t>
  </si>
  <si>
    <t>Functional Requirements</t>
  </si>
  <si>
    <t>Guage Design Standards</t>
  </si>
  <si>
    <t>Process FMEA incl. Process Flow</t>
  </si>
  <si>
    <t>P-Diagram / Boundary Diagram</t>
  </si>
  <si>
    <t>Sub-Component BoM</t>
  </si>
  <si>
    <t>Software Functional Specifications</t>
  </si>
  <si>
    <t>Test Data</t>
  </si>
  <si>
    <t>Test Reports</t>
  </si>
  <si>
    <t>Test Specifications</t>
  </si>
  <si>
    <t>Tooling Data</t>
  </si>
  <si>
    <r>
      <rPr>
        <b/>
        <sz val="8"/>
        <color theme="1"/>
        <rFont val="Calibri"/>
        <family val="2"/>
        <scheme val="minor"/>
      </rPr>
      <t xml:space="preserve">ETR.6 </t>
    </r>
    <r>
      <rPr>
        <b/>
        <sz val="12"/>
        <color theme="1"/>
        <rFont val="Calibri"/>
        <family val="2"/>
        <scheme val="minor"/>
      </rPr>
      <t>Warranty Information</t>
    </r>
  </si>
  <si>
    <t xml:space="preserve">This section is designed to capture all expected warranty claims from the production and use of any part of the commodity / associated parts. </t>
  </si>
  <si>
    <t>COMMON WARRANTY CLAIMS</t>
  </si>
  <si>
    <t>RESOLUTION STRATEGY</t>
  </si>
  <si>
    <t>Not Applicable - Make to print part</t>
  </si>
  <si>
    <t>SUPPLIER RESPONSIBILITIES</t>
  </si>
  <si>
    <t>JLR Requirement title</t>
  </si>
  <si>
    <t>Requirement</t>
  </si>
  <si>
    <t>REQ: 55-7005 COMPLIANCE WITH VEHICLE INTERIOR AIR QUALITY VER01</t>
  </si>
  <si>
    <t>The supplier must prove the part conformity against STJLR.51.5229 and STJLR.01.5202.</t>
  </si>
  <si>
    <t>REQ: 45-7000 EU. 2000/53/EC IMDS and Hazardous Materials Compliance VER02 (REG)</t>
  </si>
  <si>
    <t>Confirm that all parts comply with Jaguar Land Rover's Restricted Substance Management Standard (STJLR.99.9999 – "Latest Version").
The supplier must evaluate the proposed materials against the requirements of STJLR.99.9999 (attached). If all of the requirements are met, then the supplier must inform the engineer in writing (email) by PRDJ gateway 
IMDS declaration submission required by CSO gateway</t>
  </si>
  <si>
    <t xml:space="preserve">REQ: 55-7013 TÜV Toxproof Certification Requirements for Interior Materials VER01 </t>
  </si>
  <si>
    <t xml:space="preserve">TUV testing and certification in-line with STJLR.51.5232 complete by CSO gateway </t>
  </si>
  <si>
    <t>REQ: RF-7803 GTR. MULTINATIONAL FLAMMABILITY OF INTERIOR MATERIALS VER04 (REG)</t>
  </si>
  <si>
    <t>Procedure:
1/ The Supplier shall complete a flammability test to verify:
a/ GB 8410 Flammability of Automotive Interior Materials.
b/ FMVSS 302 Flammability of Interior Materials.
2/ The Supplier must supply JLR with a Test Report that includes the details identified in "TEMPLATE - FLAMMABILITY TEST REPORT VER02".
Note:
For any component which exhibits a burn rate greater than 80 mm/min, the Supplier is required to provide statistical data to prove capabilty for on-going production.
Completion for CSO gateway</t>
  </si>
  <si>
    <t xml:space="preserve">REQ: DC-7005 Dimensional requirements for Trim components VER02 </t>
  </si>
  <si>
    <t>The supplier shall comply to this requirement outlines measurement and gauging requirements: STJLR 01.5160, STJLR 01.5161, STJLR 01.5166 and STJLR 00.5155.
Appendix F,G,H,I to be confirmed by supplier.</t>
  </si>
  <si>
    <t>REQ: RF-8503 CHN. ANNOUNCEMENT 44/2019 CQC/CCAP CERTIFICATION FOR INTERIOR TRIMMING MATERIAL VER04 (REG) </t>
  </si>
  <si>
    <t>CQC/CCAP Accreditation:
The Supplier must have accreditation for appropriate manufacturing facilities in which the components will be produced; or if not, has a plan to achieve accreditation prior to FEC. Completion by PRDJ gateway.
Complete testing as per FEC Verification Plan by VSSO gateway:
1/ The supplier must complete testing in line with the requirement and provides JLR with certification evidence and test report(s) for the following:
a/ the CQC or CCAP Component Certification Certificate
b/ the component factory and product identifying numbers correspond with the CQC or CCAP certificates, so that information is easily cross referenced by part.
c/ any markings required by the China GB standards
d/ if the vehicle or the component is to be manufactured in China the supplier will also provide a copy of the Chinese language MIIT report.
2/ Annual Factory Inspection:
a/ although not directly part of the Lead Engineer's sign off responsibility, the Supplier Technical Assistant (STA) agreed control plan with details of obtaining evidence of certification, Conformity of Production (CoP) and factory audits must be provided to JLR. Failure to ensure that this process is in the control plan may be detrimental to volume production rates for the Chinese market.
b/ the evidence of certification, CoP testing and factory audits must continue to be sent to JLR, using the generic email account jlrcert@jaguarlandrover.com</t>
  </si>
  <si>
    <t>REQ: 55-7101 Material Performance BI Carpet and Sound Control VER05</t>
  </si>
  <si>
    <t>REQ: RM-8500 JLR Corporate E108 Parts and Accessories Branding Policy VER01</t>
  </si>
  <si>
    <t xml:space="preserve">Branding details are specified in the drawing notes and CADJLR.02.02 </t>
  </si>
  <si>
    <t xml:space="preserve">REQ: IT-9035 Cabin Trim - Assembly and Location VER02 </t>
  </si>
  <si>
    <t>Supplier must use STJLR.51.5261 as a guide in selecting dimensional tolerances for plastic mouldings in order to select the relevant tolerances grade required for correct function.</t>
  </si>
  <si>
    <t>REQ: 17-7042 Interior Surface Materials: Colour Measurement and Approval VER01</t>
  </si>
  <si>
    <t>Delivery of AAR is tracked through the PPAP process. STJLR.01.5233</t>
  </si>
  <si>
    <t>REQ: FN-7000 System Safety Statement of Work</t>
  </si>
  <si>
    <t>Conform to requirements detailed in STJLR.18.059</t>
  </si>
  <si>
    <t>REQ: IT-0023 STRESS CRACKING FOR PLASTICS</t>
  </si>
  <si>
    <t>Supplier must prove and ensure that all mold release agents grease and/or materials which are designed to be in direct contact with a thermoplastic trim panel are not causing degradation to the thermoplastic (micro-cracking). Compliance shall be verified by testing to FLTM BO 127-03 with modifications shown on Detail.
This requirement applies to fastener finish - do not use metal fasteners which contain or are treated with oils (i.e. S2 and S58 finishes) for the attachment of thermoplastic trim components. For U251, the lubricant for the sunvisor vanity door attacked the PC/ABS causing cracking.
Colorant found in MIC sunvisor vanity attacked the PC/ABS material and parts cracked over time.Operating Conditions:
1. Prepare "L" type tensile bars per ASTM D 1822.  A minimum of 4 tensile bars shall be prepared for each strain level specified in the Engineering Material Specification.
2. Condition bars for 24 hrs.
3. Assemble the tensile bars in the appropriate test fixtures to achieve the strain level require by the material specification.
4. Examine the sample for cracks using the stereo microscope.
5. Apply contact material to 3 bars keeping one as a standard, within 2 hrs. of assembling the test bar onto the fixture.
6. Expose the samples for the time period and temperature required by the Engineering Material Specification.
7. Clean the strained material without solvent and allow to condition fo 1 hr. at 23 DegreesC nd 50% relative humidity.
8. Using a stereo microscope, examine the strained sample for cracking and crazing at 20 diameters magnification while the sample is still in the straining fixture.
Acceptance Criteria
No additional micro cracking from standard sample.</t>
  </si>
  <si>
    <t>Hardware and CAD/CAE</t>
  </si>
  <si>
    <t xml:space="preserve">This section contains all hardware, CAD and CAE requirements for the commodity. </t>
  </si>
  <si>
    <r>
      <rPr>
        <b/>
        <sz val="8"/>
        <color theme="1"/>
        <rFont val="Calibri"/>
        <family val="2"/>
        <scheme val="minor"/>
      </rPr>
      <t xml:space="preserve">CAD.1 </t>
    </r>
    <r>
      <rPr>
        <b/>
        <sz val="12"/>
        <color theme="1"/>
        <rFont val="Calibri"/>
        <family val="2"/>
        <scheme val="minor"/>
      </rPr>
      <t>CAD and CAE Requirements</t>
    </r>
  </si>
  <si>
    <t xml:space="preserve">This section defines which organisation is responsible for CAD design and CAE requirements. For CAD Exchange Methods and associated licenses refer to Front Matter, Page 3. </t>
  </si>
  <si>
    <t>SUPPLIER CATEGORY:</t>
  </si>
  <si>
    <t>Is the supplier responsible for the design of the part and have sole design responsibility?</t>
  </si>
  <si>
    <t>Is the responsibility  for the design of the part shared between the supplier and JLR?</t>
  </si>
  <si>
    <t>Does JLR own the design, and have design responsibility where the supplier is responsible for the manufacture of the part?</t>
  </si>
  <si>
    <r>
      <rPr>
        <b/>
        <sz val="8"/>
        <color theme="1"/>
        <rFont val="Calibri"/>
        <family val="2"/>
        <scheme val="minor"/>
      </rPr>
      <t xml:space="preserve">CAD.2 </t>
    </r>
    <r>
      <rPr>
        <b/>
        <sz val="12"/>
        <color theme="1"/>
        <rFont val="Calibri"/>
        <family val="2"/>
        <scheme val="minor"/>
      </rPr>
      <t>CAD Releasing Requirements</t>
    </r>
  </si>
  <si>
    <t>All New Tool End Items (NTEI) shall be mastered supporting Model Based Definition (MBD).
Model Based Definition is an annotated model and its associated data elements that define the product in a manner that can be used effectively without a drawing graphic sheet. The goal of MBD is to provide complete Technical Product Specification (TPS) to downstream users and systems for the lifecycle of the product. This means all required engineering information is communicated from one source, the annotated model. Consistency is needed in the creation and presentation of each product to ensure information is communicated effectively.</t>
  </si>
  <si>
    <t>RELEASE TYPE</t>
  </si>
  <si>
    <t>USE CASE</t>
  </si>
  <si>
    <t>CTM (CAD The Master)</t>
  </si>
  <si>
    <t>For New Tool End (Engineering) Items (NTEI)</t>
  </si>
  <si>
    <t>DTMC (Drawing The Master w/CAD</t>
  </si>
  <si>
    <t>For Carry Over or Modified Parts</t>
  </si>
  <si>
    <t>DTM (Drawing The Master)</t>
  </si>
  <si>
    <t>CAD Assembly Model Tech. Specification</t>
  </si>
  <si>
    <t>For CAD To be released at Part Level</t>
  </si>
  <si>
    <t>CAD Assembly Kinematics</t>
  </si>
  <si>
    <t>For products with dynamic movement. Assemblies shall be provided that contain that kinematic movement and/or dynamic movement envelope.</t>
  </si>
  <si>
    <r>
      <rPr>
        <b/>
        <sz val="8"/>
        <color theme="1"/>
        <rFont val="Calibri"/>
        <family val="2"/>
        <scheme val="minor"/>
      </rPr>
      <t xml:space="preserve">CAD.3 </t>
    </r>
    <r>
      <rPr>
        <b/>
        <sz val="12"/>
        <color theme="1"/>
        <rFont val="Calibri"/>
        <family val="2"/>
        <scheme val="minor"/>
      </rPr>
      <t>Technical Product Specification Requirements</t>
    </r>
  </si>
  <si>
    <t>For 3D CAD Model, Technical Product Specification (TPS) only​. This relates to 3D CAD data in electronic format. There is no 2D drawing. ​ A 3D TPS shall conform to BS ISO 16792.​ The 3D TPS shall fully specify all geometry, datums, dimensions and tolerances in order to provide suitable and sufficient information to manufacture and verify the workpiece. A 3D TPS shall consist of 3D model information only. The 3D model(s) shall provide the CAD nominal geometry and sufficient datums, dimensions, tolerances and general notation necessary to provide suitable and sufficient information to manufacture and verify the required part.​</t>
  </si>
  <si>
    <r>
      <rPr>
        <b/>
        <sz val="8"/>
        <color theme="1"/>
        <rFont val="Calibri"/>
        <family val="2"/>
        <scheme val="minor"/>
      </rPr>
      <t xml:space="preserve">CAD.4 </t>
    </r>
    <r>
      <rPr>
        <b/>
        <sz val="12"/>
        <color theme="1"/>
        <rFont val="Calibri"/>
        <family val="2"/>
        <scheme val="minor"/>
      </rPr>
      <t>CAE Virtual Engineering</t>
    </r>
  </si>
  <si>
    <t>This section defines the Virtual Engineering (CAE) deliverables required to support the programme(s) noted above. The term CAE in this instance refers to all forms of CAA and includes the following: CFD, FE(A), MBS, 1D systems. All suppliers to Jaguar Land Rover programmes are obligated to support CAE requirements. This section shall be considered prior to the instruction to any supplier to commence CAE work on behalf of JLR. This document should be used to define the framework for CAE activity in the Engineering Statement of Work. Suppliers must submit all CAE data in a format that is compliant with JLR’s CAE strategy.</t>
  </si>
  <si>
    <r>
      <rPr>
        <b/>
        <sz val="8"/>
        <color theme="1"/>
        <rFont val="Calibri"/>
        <family val="2"/>
        <scheme val="minor"/>
      </rPr>
      <t xml:space="preserve">CAD.5 </t>
    </r>
    <r>
      <rPr>
        <b/>
        <sz val="12"/>
        <color theme="1"/>
        <rFont val="Calibri"/>
        <family val="2"/>
        <scheme val="minor"/>
      </rPr>
      <t>Geometry Requirements</t>
    </r>
  </si>
  <si>
    <t>This section defines which organisation is responsible for analysis and solid geometry design.</t>
  </si>
  <si>
    <t>Revision / Release Number / Calibration / Parameter Table I.D.</t>
  </si>
  <si>
    <t>Supplier Requires Boundary Diagram or Other NGD Data Types</t>
  </si>
  <si>
    <t>Supplier requires solid geometry</t>
  </si>
  <si>
    <t>CAD CREATION AND DELIVERY  / TASK DESCRIPTION</t>
  </si>
  <si>
    <t>Creation and delivery of a CAE Finite Element meshed part from CAD (FE model build).</t>
  </si>
  <si>
    <t>Creation and delivery of a 1D model and/or control system model(i.e. simulation model of the software that would eventually go into an ECU on a vehicle).</t>
  </si>
  <si>
    <t>Execution of an existing method or capability in JLR to deliver some form of analysis report.</t>
  </si>
  <si>
    <t>Development of a new simulation method or capability (Includes Capability projects).</t>
  </si>
  <si>
    <r>
      <rPr>
        <b/>
        <sz val="8"/>
        <color theme="1"/>
        <rFont val="Calibri"/>
        <family val="2"/>
        <scheme val="minor"/>
      </rPr>
      <t xml:space="preserve">CAD.6 </t>
    </r>
    <r>
      <rPr>
        <b/>
        <sz val="12"/>
        <color theme="1"/>
        <rFont val="Calibri"/>
        <family val="2"/>
        <scheme val="minor"/>
      </rPr>
      <t>Virtual Engineering Responsibilities</t>
    </r>
  </si>
  <si>
    <t xml:space="preserve">This section defines the JLR and Supplier task and associated responsibilities for Virtual Engineering requirements. </t>
  </si>
  <si>
    <t>Task Description (Defined by Jaguar Land Rover)</t>
  </si>
  <si>
    <t>Responsibility for Supplier</t>
  </si>
  <si>
    <t>Define the nature and purpose of the CAE activity.</t>
  </si>
  <si>
    <t>None</t>
  </si>
  <si>
    <t>Specify the element(s) of the CAE activity to be delivered.</t>
  </si>
  <si>
    <t>Specify the further sharing requirement.
If the deliverable of this task includes a model the all users shall be identified and listed below;
1. Internal Users of the open model
2. Third party Users
3. Location (UK, Gaydon, China)</t>
  </si>
  <si>
    <t>Where the deliverable of the task is either in full or in part a CAE model; 
The model requester (Supplier Engineer) in conjunction with the Virtual Hub department at JLR must disclose the
requirement to distribute the functionality of that model to JLR and to third parties*.</t>
  </si>
  <si>
    <t>* Third party in this case only refers to and is limited to;
1. Research Partners to JLR with an existing supplier relationship
2. Other suppliers to JLR with an existing supplier relationship who require, and may be expected to provide justification for, access to the design information to support any project as agreed by JLR.</t>
  </si>
  <si>
    <r>
      <rPr>
        <b/>
        <sz val="8"/>
        <color theme="1"/>
        <rFont val="Calibri"/>
        <family val="2"/>
        <scheme val="minor"/>
      </rPr>
      <t xml:space="preserve">CAD.6.1 </t>
    </r>
    <r>
      <rPr>
        <b/>
        <sz val="12"/>
        <color theme="1"/>
        <rFont val="Calibri"/>
        <family val="2"/>
        <scheme val="minor"/>
      </rPr>
      <t>Virtual Engineering Responsibilities - Scope of CAD</t>
    </r>
  </si>
  <si>
    <t xml:space="preserve">Provide an detailed description of the CAE model requirement.
For 1D Systems Models;
Download and complete the Model Specification Document Template. </t>
  </si>
  <si>
    <t>Understand, agree and demonstrate the ability to generate the requested model. The supplier shall prepare evidence to support their ability to create the requested model.</t>
  </si>
  <si>
    <r>
      <rPr>
        <b/>
        <sz val="8"/>
        <color theme="1"/>
        <rFont val="Calibri"/>
        <family val="2"/>
        <scheme val="minor"/>
      </rPr>
      <t>This section is only applicable for 1D System Models.</t>
    </r>
    <r>
      <rPr>
        <sz val="8"/>
        <color theme="1"/>
        <rFont val="Calibri"/>
        <family val="2"/>
        <scheme val="minor"/>
      </rPr>
      <t xml:space="preserve">
1. Provide an detailed description of the inputs and outputs for 1D system model. Refer to 1D Technical Library, System IO Standard for 1D Models for the correct standards. 
2. Provide the JLR Naming Standard and associated documents and naming variables. Refer to the JLR Signal Naming Convention portal for the correct standards and guidelines.
3. If the simulation modelling requires the application of Model Based Design (MBD) methods and automatic code generation then, refer to MISRA AC GMG for industry standards and guidelines. </t>
    </r>
  </si>
  <si>
    <t>Collate, review and understand the engineering and industry standards which have been identified and provided by JLR (through any portal or communication channel)  and make sure that the model requirements, and delivered product align to all relevant sections of the engineering and industry standards. 
Refer to Section E.5 - Engineering and Industry Standards for more information.</t>
  </si>
  <si>
    <t>Define load cases and constraints that can be applied to the model.</t>
  </si>
  <si>
    <t>To apply load cases and constraints and to record and validate the findings and outcomes.</t>
  </si>
  <si>
    <t>To provide non geometric data necessary for model creation and/or validation activities. 
The supplier may be responsible for some or all correlation/validation activity. JLR Shall confirm the scope and requirements with the supplier.</t>
  </si>
  <si>
    <r>
      <t xml:space="preserve">The delivery of CAD/CAE in accordance with the project timelines, milestones and required engineering and industry standards.
The supplier is responsible for requesting non-geometric data. 
The supplier is responsible for the creation of documents, reports, reviews and references such as, but not limited to;
</t>
    </r>
    <r>
      <rPr>
        <b/>
        <u/>
        <sz val="8"/>
        <color theme="1"/>
        <rFont val="Calibri"/>
        <family val="2"/>
        <scheme val="minor"/>
      </rPr>
      <t>CAE Analysis Report</t>
    </r>
    <r>
      <rPr>
        <sz val="8"/>
        <color theme="1"/>
        <rFont val="Calibri"/>
        <family val="2"/>
        <scheme val="minor"/>
      </rPr>
      <t xml:space="preserve">
This report shall include,
a) Reference to source data for input types (CAD or NGD)
b) Description of the Analysis methods used.
c) Review of results and findings.
d) Pass/Fail matrix determined for criteria in the Test Case.
e) Suggestions for design improvement.
f) Reference to source data used to achieve validation and correlation.
</t>
    </r>
    <r>
      <rPr>
        <b/>
        <u/>
        <sz val="8"/>
        <color theme="1"/>
        <rFont val="Calibri"/>
        <family val="2"/>
        <scheme val="minor"/>
      </rPr>
      <t>CAE Models</t>
    </r>
    <r>
      <rPr>
        <sz val="8"/>
        <color theme="1"/>
        <rFont val="Calibri"/>
        <family val="2"/>
        <scheme val="minor"/>
      </rPr>
      <t xml:space="preserve">
Models which have been supplied and/or used to conduct the analysis. These must be,
 a) In a format as agreed with JLR.
 b) Compatible with JLR’s software strategy.
</t>
    </r>
    <r>
      <rPr>
        <b/>
        <u/>
        <sz val="8"/>
        <color theme="1"/>
        <rFont val="Calibri"/>
        <family val="2"/>
        <scheme val="minor"/>
      </rPr>
      <t xml:space="preserve">Other Supporting Documentation
</t>
    </r>
    <r>
      <rPr>
        <sz val="8"/>
        <color theme="1"/>
        <rFont val="Calibri"/>
        <family val="2"/>
        <scheme val="minor"/>
      </rPr>
      <t>Documents appended for any CAE models supplied. These must be included,
a) Block diagram showing model architecture, flow and I/O.
b) Meaning &amp; Units of Signals between model blocks and I/O.
c) Scope and limitations of the model.
d) Parameter names and descriptions of the model
e) Tuning Parameters (incl. names and descriptions)
f) User manuals for running models (incl. solver settings and parameterisation method)
 g) Description and data for model correlation/validation activity</t>
    </r>
  </si>
  <si>
    <r>
      <rPr>
        <b/>
        <sz val="8"/>
        <color theme="1"/>
        <rFont val="Calibri"/>
        <family val="2"/>
        <scheme val="minor"/>
      </rPr>
      <t>CAD.6.2</t>
    </r>
    <r>
      <rPr>
        <b/>
        <sz val="12"/>
        <color theme="1"/>
        <rFont val="Calibri"/>
        <family val="2"/>
        <scheme val="minor"/>
      </rPr>
      <t xml:space="preserve"> Virtual Engineering Responsibilities - Timing Requirements</t>
    </r>
  </si>
  <si>
    <t>Define Milestone, Gateway and Event timing that in accordance with the Vehicle Program Plan.
Where applicable, JLR will provide a Virtual Engineering Progression Schedule (VEPS) for each CPSCII code per component defined in this Statement of Work.
JLR Lead engineer to provide the supplier with the latest VEPS information and glidepath.</t>
  </si>
  <si>
    <t>Develop a timing plan for delivery in accordance with, and aligned to JLR Milestones, Gateways and/or Events. 
Align and comply with the data/model maturity glide path as defined in the VEPS.</t>
  </si>
  <si>
    <t>Where applicable, Provide details of the analysis methodology(is) to be used.
Provide test case details relevant to the applicable Test Case.
Where applicable, complete and append  the relevant test procedure documents.
Provide the Simulation Detection Event Rating Matrix to assist the supplier in measuring their capability against
each individual Test Case. The supplier can, although is not mandated to, provide a Benchmark Report to show results.</t>
  </si>
  <si>
    <t>Review and understand the methodology(is) defined by JLR and apply them to delivery of the models. 
Evaluate simulation capability in accordance with the JLR Simulation Detection Event Rating for test cases and provide feedback to JLR on their capabilities and any differences that may affect the test case.</t>
  </si>
  <si>
    <t>Define software and version releases and identify compatibility/non-compatibility with JLR models.
Use the Tool Compatibility and Integration Matrix as defined in the 1D Technical Library.</t>
  </si>
  <si>
    <t>Ensuring that the same release is used throughout the life of the programme. Any valid reason for change must be communicated to JLR.</t>
  </si>
  <si>
    <r>
      <rPr>
        <b/>
        <sz val="8"/>
        <color theme="1"/>
        <rFont val="Calibri"/>
        <family val="2"/>
        <scheme val="minor"/>
      </rPr>
      <t>CAD.6.3</t>
    </r>
    <r>
      <rPr>
        <b/>
        <sz val="12"/>
        <color theme="1"/>
        <rFont val="Calibri"/>
        <family val="2"/>
        <scheme val="minor"/>
      </rPr>
      <t xml:space="preserve"> Virtual Engineering Responsibilities - Capability</t>
    </r>
  </si>
  <si>
    <t>To provide the supplier with human and/or computational resources needed to support the suppliers' ability to complete their deliverables.</t>
  </si>
  <si>
    <t>Regularly review and confirm that they have the necessary skilled human and computational resources and can fulfil resource capacity to complete the deliverables.</t>
  </si>
  <si>
    <t xml:space="preserve">Define the correct method for information exchange. Refer to E.3 Project Management for more information on information exchange requirements. </t>
  </si>
  <si>
    <t xml:space="preserve">Able to support the defined information exchange methods. </t>
  </si>
  <si>
    <r>
      <rPr>
        <b/>
        <sz val="8"/>
        <color theme="1"/>
        <rFont val="Calibri"/>
        <family val="2"/>
        <scheme val="minor"/>
      </rPr>
      <t>CAD.6.4</t>
    </r>
    <r>
      <rPr>
        <b/>
        <sz val="12"/>
        <color theme="1"/>
        <rFont val="Calibri"/>
        <family val="2"/>
        <scheme val="minor"/>
      </rPr>
      <t xml:space="preserve"> Virtual Engineering Responsibilities - Bespoke / Other Requirements</t>
    </r>
  </si>
  <si>
    <t>Use this section to add additional tasks and responsibilities.</t>
  </si>
  <si>
    <r>
      <rPr>
        <b/>
        <sz val="8"/>
        <color theme="1"/>
        <rFont val="Calibri"/>
        <family val="2"/>
        <scheme val="minor"/>
      </rPr>
      <t>CAD.7</t>
    </r>
    <r>
      <rPr>
        <b/>
        <sz val="12"/>
        <color theme="1"/>
        <rFont val="Calibri"/>
        <family val="2"/>
        <scheme val="minor"/>
      </rPr>
      <t xml:space="preserve"> Bespoke Hardware System Requirements</t>
    </r>
  </si>
  <si>
    <t xml:space="preserve">This section contains all bespoke requirements for hardware, physical parts and systems. </t>
  </si>
  <si>
    <t>Appendix A. RASIC</t>
  </si>
  <si>
    <t>This section defines all tasks, roles and responsibilities to be agreed between JLR and the supplier. Deviations or changes to the tasks defined in this section are not permitted and must be recorded in the Supplemental Terms and Conditions. The Lead Engineering can create additional Tasks and associated RASIC in Appendix B. RASIC Additions. A RASIC is mandatory for all sourcing projects.</t>
  </si>
  <si>
    <t>[PM] PROGRAMME MANAGEMENT</t>
  </si>
  <si>
    <t>APPLICABLE TO SOURCING PROJECT:</t>
  </si>
  <si>
    <t>ID</t>
  </si>
  <si>
    <t>DESCRIPTION OF TASK</t>
  </si>
  <si>
    <t>Lead</t>
  </si>
  <si>
    <t>R</t>
  </si>
  <si>
    <t>A</t>
  </si>
  <si>
    <t>S</t>
  </si>
  <si>
    <t>I</t>
  </si>
  <si>
    <t>C</t>
  </si>
  <si>
    <t>[MB]  MARKETING AND BENCHMARKING</t>
  </si>
  <si>
    <t>[ES] ENGINEERING SPECIFICATION</t>
  </si>
  <si>
    <t>[DE] DESIGN AND ENGINEERING</t>
  </si>
  <si>
    <t>[TEST] TESTING, VERIFICATION, CERTIFICATION AND GAUGES</t>
  </si>
  <si>
    <t>Conduct Design Verification tests; maintain and develop DV test plans to PSW for the commodity or all relevant components, as per defined component standards. JLR Lead Engineer to supply applicable standards and test procedures throughout the sourcing window (RFQ Phase). The supplier shall develop a test plan.</t>
  </si>
  <si>
    <t>Conduct Production Verification tests; maintain and develop PV test plans to PSW for the commodity or all relevant components, as per defined component standards. JLR Lead Engineer to supply applicable standards and test procedures throughout the sourcing window (RFQ Phase). The supplier shall develop a test plan.</t>
  </si>
  <si>
    <t>SE</t>
  </si>
  <si>
    <t xml:space="preserve"> -</t>
  </si>
  <si>
    <t xml:space="preserve">Identify all applicable Conformity of Production requirements across all applicable production locations and ensure these are correctly documented in the Control Plan. Control Plan must be updated and available on request. </t>
  </si>
  <si>
    <t>TEST.14</t>
  </si>
  <si>
    <t>[MNP] (SUPPLIER) MANUFACTURING PLANNING, ENGINEERING BUILDS AND CALIBRATION (Partner ONLY)</t>
  </si>
  <si>
    <t>[FP] FACILITIES AND PERSONNEL</t>
  </si>
  <si>
    <t>[PPR] PRODUCTION PHASE RESPONSIBILITIES</t>
  </si>
  <si>
    <t>STANDARD DESCRIPTIONS</t>
  </si>
  <si>
    <t>DOORTRIM_DESC</t>
  </si>
  <si>
    <t>Partner LEVEL 1</t>
  </si>
  <si>
    <t>PROGRAMME MANAGEMENT</t>
  </si>
  <si>
    <t>PM.1</t>
  </si>
  <si>
    <t>Provide communication as appropriate to all affected functions</t>
  </si>
  <si>
    <t>DOOR TRIM_Provide communication as appropriate to all affected functions</t>
  </si>
  <si>
    <t>PM.2</t>
  </si>
  <si>
    <t>Develop an Early Sourcing Work plan for Programme team consensus</t>
  </si>
  <si>
    <t>PM.3</t>
  </si>
  <si>
    <t>Appoint a Project Leader  &amp; functional Manager of Jaguar Land Rover</t>
  </si>
  <si>
    <t>PM.4</t>
  </si>
  <si>
    <t>Establish Programme Management Teams (PMTs) as required and support supplier lead Programme Module Team</t>
  </si>
  <si>
    <t xml:space="preserve">Establish Programme Management Teams (PMTs) as required and support supplier lead Programme Module Team   </t>
  </si>
  <si>
    <t>PM.5</t>
  </si>
  <si>
    <t>Create commodity work plans to supplement the Programme specific VPP</t>
  </si>
  <si>
    <t>PM.6</t>
  </si>
  <si>
    <t>Provide access to Jaguar Land Rover's data systems which are required for the Programme.  e.g. / WERS CONCERN , NOTICE and ALERT system to allow the supplier to generate the necessary data to support Jaguar Land Rover's release system</t>
  </si>
  <si>
    <t>Provide access to Jaguar Land Rover's data systems which are required for the Programme; e.g. / JLR release system CONCERN, NOTICE and ALERT system to allow the supplier to generate the necessary data to support Jaguar Land Rover's release system. ESP to provide user names in time to support access</t>
  </si>
  <si>
    <t>PM.7</t>
  </si>
  <si>
    <t>All changes proposed by JLR to requirements or design will be formally communicated to the supplier for review and identification of impact.  If the change and associated impacts are deemed acceptable, the change will be authorised by WERS.  JLR must review and approve all changes via WERS or SREA</t>
  </si>
  <si>
    <t>All changes proposed by JLR to requirements or design will be formally communicated to the supplier for review and identification of impact.  If the change and associated impacts are deemed acceptable, the change will be authorised by WERS.  JLR must review and approve all changes via WERS or SREA.</t>
  </si>
  <si>
    <t xml:space="preserve">Changes proposed by JLR to requirements or design will be formally communicated to the supplier for review and identification of impact.  If the change and associated impacts are deemed acceptable, the change will be authorised by JLR release system. </t>
  </si>
  <si>
    <t>PM.8</t>
  </si>
  <si>
    <t>Develop Service Cost of Ownership and Serviceability Index targets for all Programme defined markets utilising Company provided data and methods.  Product must be consistent with vehicle service strategy, targets and agreements</t>
  </si>
  <si>
    <t xml:space="preserve">Develop Service Cost of Ownership and Serviceability Index targets for all Programme defined markets utilising Company provided data and methods.  Product must be consistent with vehicle service strategy, targets and agreements.  </t>
  </si>
  <si>
    <t>PM.9</t>
  </si>
  <si>
    <t>Meet Programme milestone deliverables.</t>
  </si>
  <si>
    <t>Meet Programme milestone deliverables</t>
  </si>
  <si>
    <t>Meet Programme milestone deliverables (delivery system defined by ESP)</t>
  </si>
  <si>
    <t>PM.10</t>
  </si>
  <si>
    <t xml:space="preserve">Facilitate resolution of system, subsystem, assembly and component interfaces issues including removal &amp; repair </t>
  </si>
  <si>
    <t>PM.11</t>
  </si>
  <si>
    <t>Support  Jaguar Land Rover's business processes, including change management meetings and/or open issues lists (including AIMS)</t>
  </si>
  <si>
    <t>Lead (or support as required) Jaguar Land Rover's business processes, including change management meetings and/or open issues lists (including AIMS)</t>
  </si>
  <si>
    <t>PM.12</t>
  </si>
  <si>
    <t>Obtain Jaguar Land Rover's approval for all changes and implement the approved changes using a robust 'manage the change' process</t>
  </si>
  <si>
    <t>Obtain Jaguar Land Rover's approval for all changes and implement the approved changes using a robust 'manage the change' process (1) Assumptions change: JLR Responsible, ESP: Informed 2) Part number change: ESP Responsible, JLR: Approve 3) CAD Revision: ESP Responsible, JLR: Informed)</t>
  </si>
  <si>
    <t>PM.13</t>
  </si>
  <si>
    <t>Develop an open issues management process for reporting design changes, risks and opportunities and open issues for the component or system</t>
  </si>
  <si>
    <t>Operate an open issues management process for reporting design changes, risks and opportunities and open issues for the component or system</t>
  </si>
  <si>
    <t>PM.14</t>
  </si>
  <si>
    <t>PM.15</t>
  </si>
  <si>
    <t>Provide list of team members with roles &amp; responsibilities and ensure staffing requirements are met to support Programme deliverables.  This includes support for team meetings as agreed necessary by both parties</t>
  </si>
  <si>
    <t>Provide list of team members with roles &amp; responsibilities and ensure staffing requirements are met to support Programme deliverables.  This includes support for team meetings as deemed necessary by Jaguar Land Rover</t>
  </si>
  <si>
    <t>PM.16</t>
  </si>
  <si>
    <t>Fully support and attend The Module Business Meeting &amp;  The Module Technical Meeting as required</t>
  </si>
  <si>
    <t xml:space="preserve">Establish and lead cadence that deliver technical solutions (e.g. The Module Technical Meeting) and meet cost targets (e.g. The Module Business Meeting) engaging JLR resource to support </t>
  </si>
  <si>
    <t>PM.17</t>
  </si>
  <si>
    <t xml:space="preserve">Identify system, subsystem, assembly, and component interface issues (including removal and repair) and appropriate resolution actions     </t>
  </si>
  <si>
    <t>PM.18</t>
  </si>
  <si>
    <t>Supplier must notify Jaguar Land Rover of any Tier 1 and sub-supplier design changes throughout the design, manufacturing/production and supply, and service phases of the product life cycle</t>
  </si>
  <si>
    <t>Supplier must notify Jaguar Land Rover of any Tier 1 and sub-supplier design changes via JLR release system throughout the design, manufacturing/production and supply, and service phases of the product life cycle</t>
  </si>
  <si>
    <t>PM.19</t>
  </si>
  <si>
    <t xml:space="preserve">Execute internal change control process that confirms that all requirements contained within PPAP are met </t>
  </si>
  <si>
    <t>PM.20</t>
  </si>
  <si>
    <t>Provide / Co-ordinate price and investment quotations for all engineering changes</t>
  </si>
  <si>
    <t>Provide / Co-ordinate price and investment quotations for all module and engineering changes</t>
  </si>
  <si>
    <t>PM.21</t>
  </si>
  <si>
    <t>Manage the overall Programme timing by creating a supplier work plan to ensure that all key milestones are met</t>
  </si>
  <si>
    <t>PM.22</t>
  </si>
  <si>
    <t>Maintain all documentation &amp; status reports per JLR guidelines and follow document retention policy</t>
  </si>
  <si>
    <t>Maintain all documentation &amp; status reports per Jaguar Land Rover's guidelines and follow document retention policy</t>
  </si>
  <si>
    <t>PM.23</t>
  </si>
  <si>
    <t>Perform Timing and Material Control support functions including:
· Support prototype / production build events and perform material control functions for modular assemblies
· JLR will provide a Support Plan for changes, if required, which the supplier must complete and return within 2 working days. Any response time exceptions are to be agreed with Jaguar Land Rover</t>
  </si>
  <si>
    <t>Perform Timing and Material Control support functions including:
· Develop and maintain engineering BOM records in WERS (including assemblies Service component release requirements to JLR release PCDS gateways)
· Develop and maintain Colour Release part data records in WERS for assemblies, sub-assemblies and components
· Support prototype / production build events and perform material control functions for modular assemblies
· JLR will provide a Support Plan for changes, if required, which the supplier must complete and return within 2 working days. Any response time exceptions are to be agreed with Jaguar Land Rover
· Perform WERS Notice “Complete” processing including resolution of issues to achieve “Released” status (including service assemblies/service component parts and kits)
· Develop and maintain finish and material part data records in WERS (including fasteners and service parts/kits)
· Develop and Populate the Parts List tab on this file with the agreed engineering repairable
IT IS UNDERSTOOD THAT THE SUPPLIER DOES NOT HAVE WERS ACCESS BUT WILL GIVE SUPPORT TO THESE ACTIONS</t>
  </si>
  <si>
    <t>Perform Timing, Release and Material Control support functions including:
· Develop and maintain engineering BOM records in JLR release system (including assemblies Service component release requirements to JLR release timing)
· Develop and maintain Colour Release part data records in JLR release system for assemblies, sub-assemblies and components 
· Support prototype / production build events and perform material control functions for modular assemblies
· Support all Change Management requirements via JLR release system
· JLR will provide a Support Plan for changes, if required, which the ESP will obtain from production suppliers within 2 working days. Any response time exceptions are to be agreed with JLR
· Perform JLR release system Notice “Complete” processing including resolution of issues to achieve “Released” status (including service assemblies/service component parts and kits)
· Develop and maintain finish and material part data records in JLR release system (including fasteners and service parts/kits)</t>
  </si>
  <si>
    <t>PM.24</t>
  </si>
  <si>
    <t>Review open issues on a regular basis and action in a timely manner to support Programme objectives</t>
  </si>
  <si>
    <t>PM.25</t>
  </si>
  <si>
    <t>Ensure open issue management follows the 8D philosophy</t>
  </si>
  <si>
    <t>Reserved</t>
  </si>
  <si>
    <t>PM.26</t>
  </si>
  <si>
    <t>Co-develop supplier staffing requirements (Review supplier staffing and feedback to JLR Purchasing if any issues are recognised)</t>
  </si>
  <si>
    <t>MARKET RESEARCH INCL. BENCHMARKING</t>
  </si>
  <si>
    <t>MB.1</t>
  </si>
  <si>
    <t>Define market and competitive vehicles</t>
  </si>
  <si>
    <t>DOOR TRIM_Define market and competitive vehicles</t>
  </si>
  <si>
    <t>MB.2</t>
  </si>
  <si>
    <t xml:space="preserve">Share competitive vehicle benchmarking information </t>
  </si>
  <si>
    <t>MB.3</t>
  </si>
  <si>
    <t xml:space="preserve">Provide customer desired attributes as required ;    e.g. QFD / PALS / Kano </t>
  </si>
  <si>
    <t xml:space="preserve">Provide customer desired attributes as required; e.g. QFD / PALS / Kano </t>
  </si>
  <si>
    <t>MB.4</t>
  </si>
  <si>
    <t>Provide commodity benchmarking information as required</t>
  </si>
  <si>
    <t xml:space="preserve">Provide commodity benchmarking information as required. Provide feasible alternatives should JLR carry over systems be incompatible </t>
  </si>
  <si>
    <t>MB.5</t>
  </si>
  <si>
    <t xml:space="preserve">Provide competitive commodity teardown analysis </t>
  </si>
  <si>
    <t>MB.6</t>
  </si>
  <si>
    <t>Develop Market Research Properties on styling as required</t>
  </si>
  <si>
    <t>Supply representative styling properties (with or without functional &amp; durable package properties) on commodity for Market Research bucks according to agreed time plan as required</t>
  </si>
  <si>
    <t>MB.7</t>
  </si>
  <si>
    <t>Undertake relevant market research, bench marking and value management to support target setting and attribute trade-off processes</t>
  </si>
  <si>
    <t>MB.8</t>
  </si>
  <si>
    <t>Undertake relevant market research, benchmarking and value management to support target setting and attribute trade-off processes</t>
  </si>
  <si>
    <t>ENGINEERING ESPECIFICATIONS</t>
  </si>
  <si>
    <t>ES.1</t>
  </si>
  <si>
    <t>Develop, maintain, and provide product development Standards which consist of three elements: Requirements (e.g. System Design Specifications); Design Rules (Best practice rules); and Design Verification Methods, DVM's (e.g. Key life test)</t>
  </si>
  <si>
    <t>DOOR TRIM_Provide product development Requirements</t>
  </si>
  <si>
    <t>ES.2</t>
  </si>
  <si>
    <t>Develop and maintain Programme specific (Sub) System Design Specification (SDS) for system/subsystem &amp; all included components</t>
  </si>
  <si>
    <t>Develop and maintain Programme specific Requirements for  system/subsystem &amp; all included components</t>
  </si>
  <si>
    <t>ES.3</t>
  </si>
  <si>
    <t>Develop and maintain Engineering Specifications for all component(s) per the SDS process</t>
  </si>
  <si>
    <t>Develop and maintain Engineering Specifications (Design Specifications) for all component(s) per the RMDV process</t>
  </si>
  <si>
    <t>Develop and maintain engineering specifications (Design Specifications) for all new component(s) per the SDS process within ESP part ownership responsibility</t>
  </si>
  <si>
    <t>ES.4</t>
  </si>
  <si>
    <t>Meet all of Jaguar Land Rover's Corporate, Homologation, World Regulatory, Materials and Transportation requirements for all markets within Programme definition (e.g. FMVSS, etc.). Cost or timing affected by changes required after signing this document may be subject to re-negotiation</t>
  </si>
  <si>
    <t>Meet all of Jaguar Land Rover's Corporate, Homologation, World Regulatory, Materials and Transportation requirements for all markets within Programme definition (e.g. RMDV, FMVSS etc.). Cost or timing affected by changes required after signing this document may be subject to re-negotiation</t>
  </si>
  <si>
    <t>Cascade Jaguar Land Rover's Corporate, Homologation, World Regulatory, Materials and Transportation requirements for all markets within Programme definition (e.g. FMVSS, etc.)</t>
  </si>
  <si>
    <t>ES.5</t>
  </si>
  <si>
    <t>Communicated and agree course of action in the event of  discovery of technical requirements discrepancy</t>
  </si>
  <si>
    <t>Communicate and agree a course of action in the event of the discovery of a discrepancy between Technical Requirements.</t>
  </si>
  <si>
    <t xml:space="preserve">Communicated and agree a course of action in the event of the discovery of a discrepancy between Technical Requirements </t>
  </si>
  <si>
    <t>ES.6</t>
  </si>
  <si>
    <t>Meet all of Jaguar Land Rover's Corporate, Homologation, World Regulatory, Materials and Transportation requirements for all markets within Programme definition as cascaded in commodity specific RMDV by JLR to SE responsible list. Cost or timing affected by changes required after signing this document may be subject to re-negotiation</t>
  </si>
  <si>
    <r>
      <t xml:space="preserve">
</t>
    </r>
    <r>
      <rPr>
        <sz val="9"/>
        <rFont val="Calibri"/>
        <family val="2"/>
        <scheme val="minor"/>
      </rPr>
      <t>Define and identify prototype controls, significant/critical characteristics, GD&amp;T and create and maintain fit &amp; finish drawings in compliance with either the JLR CAD and Drafting Standards at https://dept.sp.jlrint.com/sites/CADDS/SitePages/Home.aspx or via enerjyhub at https://jlr.enerjyhub.com/GSI/s/knowledge-articles?type=Resources&amp;cat=Statements+of+Work</t>
    </r>
  </si>
  <si>
    <t>Meet all of Jaguar Land Rover's Corporate, Homologation, World Regulatory, Materials and Transportation requirements for all markets within Programme definition as cascaded by JLR to ESP. All regulatory/rating requirements are  known at 12/2021 are considered in the contract (changes of legal/rating requirements published later than 11/2021 are subject to change management).</t>
  </si>
  <si>
    <t>ES.7</t>
  </si>
  <si>
    <t>Define and identify prototype controls, significant/critical characteristics and GD&amp;T in compliance with either the JLR CAD and Drafting Standards at https://dept.sp.jlrint.com/sites/CADDS/SitePages/Home.aspx or via enerjyhub at https://jlr.enerjyhub.com/GSI/s/knowledge-articles?type=Resources&amp;cat=Statements+of+Work</t>
  </si>
  <si>
    <t>DESIGN AND ENGINEERING</t>
  </si>
  <si>
    <t>DE.1</t>
  </si>
  <si>
    <t>Throughout the Product Development Process, Jaguar Land Rover's Engineers shall proactively assist suppliers to ensure a "Flawless Product" launch of a component, system and module (including but not limited to the following events):
· Know the customer requirements (including service components)
· Participate actively in supplier technical and process capability / design reviews
· Conduct problem resolution and continuous improvement efforts
· Lead periodic risk assessment of Jaguar Land Rover's / Supplier readiness
· Communicate Programme assessment status, including the sign–off and approval of progress throughout the product development process 
· Review and approve all supplier deliverables 
· Identify, measure, monitor and control critical to quality characteristics of the product / launch
· Assure that all of Jaguar Land Rover's methodologies / processes are maximised and enhanced</t>
  </si>
  <si>
    <t>DOOR TRIM_Throughout the Product Development Process, Jaguar Land Rover's Engineers shall proactively assist suppliers to ensure a "Flawless Product" launch of a component, system and module (including but not limited to the following events):
· Know the customer requirements (including service components)
· Participate actively in supplier technical and process capability / design reviews
· Conduct problem resolution and continuous improvement efforts
· Lead periodic risk assessment of Jaguar Land Rover's / Supplier readiness
· Communicate Programme assessment status, including the sign–off and approval of progress throughout the product development process 
· Review and approve all supplier deliverables 
· Identify, measure, monitor and control critical to quality characteristics of the product / launch
· Assure that all of Jaguar Land Rover's methodologies / processes are maximised and enhanced</t>
  </si>
  <si>
    <t>Throughout the Product Development Process, ESP Engineers should proactively assist suppliers to ensure a "Flawless Product" launch of a component, system and module (including but not limited to the following events):
· Know the customer requirements (including service components)
· Participate actively in supplier technical and process capability / design reviews
· Conduct problem resolution and continuous improvement efforts
· Lead periodic risk assessment of Jaguar Land Rover's / Supplier readiness
· Communicate Programme assessment status, including the sign–off and approval of progress throughout the product development process 
· Review and approve all supplier deliverables 
· Identify, measure, monitor and control critical to quality characteristics of the product / launch
· Assure that all of Jaguar Land Rover's methodologies / processes are maximised and enhanced
Refer to (M) Appendix Aii. RASIC Level 2 for more information</t>
  </si>
  <si>
    <t>DE.2</t>
  </si>
  <si>
    <t>Define system attributes &amp; requirements of all interfacing commodities ( e.g.  Headlamp-cleaning / washer bottle)</t>
  </si>
  <si>
    <t>Develop vehicle package. ESP to issue list of components within package, ESP responsible for monitoring updates to parts within supplier systems. ESP to issue list of DS’s.</t>
  </si>
  <si>
    <t>DE.3</t>
  </si>
  <si>
    <t>Develop vehicle package for the commodity. JLR to issue list of components within package, supplier responsible for monitoring updates to parts within supplier systems. JLR to issue list of DS’s</t>
  </si>
  <si>
    <t>Perform engineering change control process on reuse parts and JLR released components affecting the new vehicle programme that require ESP engineering feasibility concurrence</t>
  </si>
  <si>
    <t>DE.4</t>
  </si>
  <si>
    <t>Take ownership of and maintain parts in WERS which are manufactured by Jaguar Land Rover or are “build-to-print” parts not supplier designed, prior to the use of WERS and if required</t>
  </si>
  <si>
    <t>Provide common hard points per Generic Architecture Process (GAP) to support package/architecture design</t>
  </si>
  <si>
    <t>DE.5</t>
  </si>
  <si>
    <t>Perform engineering change control process on other modules and released components affecting the supplied module that requires supplier engineering feasibility concurrence</t>
  </si>
  <si>
    <t>Ensure CAD-to-BOM alignment throughout Programme</t>
  </si>
  <si>
    <t>DE.6</t>
  </si>
  <si>
    <t>Continuously, support throughout ESP's Product Development Process to ensure a "Flawless Product" launch:
· Customer requirements (including service components)
· Supplier technical capability / design reviews
· Programme improvement efforts &amp; recovery plans
· Communicate all risks to Jaguar Land Rover
· Product / Programme status reviews
· Ensure all deliverables are met 
· All critical to quality characteristics of the product / launch
· Develop product and process assurance plans that maximise the use of supplier technical resources while ensuring both product and process requirements are met</t>
  </si>
  <si>
    <t>DE.7</t>
  </si>
  <si>
    <t>Deliver Product Development requirements outlined in MSDS to ensure product achieves targets set within the: 
1. Manufacturing Target Agreement and 
2. Ok to Ship targets at SoP
Defined targets to be approved at &lt;TA&gt; to the following requirements (E7.4.6.1.1 to E7.4.6.1.13)
The OK To Ship (OKTS) process manages the despatch from production site of Mass Production (MP) customer vehicles. This is achieved after review and concurrence of Key Performance Indicators (KPI’s) and key criteria designated on the OK To Ship (LRR6) scorecard</t>
  </si>
  <si>
    <t>DE.8</t>
  </si>
  <si>
    <t>Support throughout Jaguar Land Rover's Product Development Process to ensure a "Flawless Product" launch (including but not limited to the following events):
· Customer requirements (including service components)
· Supplier technical and process capability / design reviews
· Programme improvement efforts &amp; recovery plans
· Communicate all identified risks to Jaguar Land Rover
· Product / Programme status reviews
· Ensure all deliverables are met 
· All critical to quality characteristics of the product / launch
· Develop product and process assurance plans that maximise the use of supplier technical resources while ensuring both product and process requirements are met</t>
  </si>
  <si>
    <t>Cost: Capex, Overall MCPU, Inbound &amp; Outbound Freight MCPU</t>
  </si>
  <si>
    <t>DE.9</t>
  </si>
  <si>
    <t xml:space="preserve">Incorporate all optimisation improvements to design   </t>
  </si>
  <si>
    <t>Incorporate all optimisation improvements into 3D CAD filed in UBoM</t>
  </si>
  <si>
    <t xml:space="preserve">Delivery: Build to Sequence, WIP Age (0&gt;3days), Production Achievement. SoB an MoB Hold Distruption, Launch Cadence Enablers, People Readiness, Process Readiness </t>
  </si>
  <si>
    <t>DE.10</t>
  </si>
  <si>
    <t xml:space="preserve">Use hard points provided by Jaguar Land Rover for package/architecture </t>
  </si>
  <si>
    <t xml:space="preserve">Software Readiness, Bill of Sequence </t>
  </si>
  <si>
    <t>DE.11</t>
  </si>
  <si>
    <t>Use WERS as the master Programme BOM including key attribute data for all parts, if required.</t>
  </si>
  <si>
    <t>Quality: Stop Ship, White Alerts, P1-P5 Major Issues/Calls, FTT%, RFT%</t>
  </si>
  <si>
    <t>DE.12</t>
  </si>
  <si>
    <t>Take ownership of parts which are loaded in WERS, create new entries as required and maintain accurate records, prior to the use of WERS and if required</t>
  </si>
  <si>
    <t>Gate Hold, ETS%, SWDL%</t>
  </si>
  <si>
    <t>DE.13</t>
  </si>
  <si>
    <t>Obtain WERS access, remote access and training (as required)</t>
  </si>
  <si>
    <t>Product: Paint Colours &amp; Contrasts Heijunka's</t>
  </si>
  <si>
    <t>DE.14</t>
  </si>
  <si>
    <t>Demonstrate the use of the following disciplines:
Design for Assembly
Design for Manufacturing
Total Cost Management
Design for Service
Design for Environment/Recyclability/Re-manufacturing</t>
  </si>
  <si>
    <t>Body Variants,Platform Part No., Carry over BoP (X900/X901/X500)</t>
  </si>
  <si>
    <t>DE.15</t>
  </si>
  <si>
    <t xml:space="preserve">Develop Total Cost Management Plan (TCM)  </t>
  </si>
  <si>
    <t>Material Selection: BiW structure, Fender, Bonnet, Teilgate, Doors</t>
  </si>
  <si>
    <t>DE.16</t>
  </si>
  <si>
    <t>Engineering prove-out including:
• Development and maintenance of DVP&amp;R for RMDV elements cascaded to SE
Development and maintenance of Design (SE and JLR on individual basis) &amp; Process FMEAs - SE
• Compliance with design rules and other technical requirements - SE
• Evidence of compliance to technical requirements as cascaded via RMDV - SE</t>
  </si>
  <si>
    <t>Engineering prove-out including:
• Development and maintenance of DVP&amp;R
Development and maintenance of Design &amp; Process FMEAs 
• Compliance with design rules and other technical requirements 
• Evidence of compliance to technical requirements as cascaded via RMDV</t>
  </si>
  <si>
    <t>Body Complete Envelope: Lengh, Width, Height &amp; Weight</t>
  </si>
  <si>
    <t>DE.17</t>
  </si>
  <si>
    <t>Production prove-out including:
• Design for Manufacture. Tooling and process feasibility
• Mould flow of all injection moulded parts
• Development and maintenance of  Design &amp; Process FMEAs 55-7025
• Evidence of compliance to technical requirements</t>
  </si>
  <si>
    <t>Production prove-out including:
• Design for Manufacture. Tooling and process feasibility.
• Mould flow of all injection moulded parts.
• Development and maintenance of  Design &amp; Process FMEAs
• Evidence of compliance to technical requirements</t>
  </si>
  <si>
    <t>Vehicle Complete Envelope: Lengh, Width, Height &amp; Weight</t>
  </si>
  <si>
    <t>DE.18</t>
  </si>
  <si>
    <t>Design Compatibility Review and Structures Support including the alignment/maintenance of Programme compliant, CAD, ECAD and related drawing data (incl. schematics) with the BOM at serviceable level in support of defined deliverables / timings and throughout service life of the vehicle</t>
  </si>
  <si>
    <t>Design Compatibility Review and Structures Support including the alignment/maintenance of Programme compliant, CAD, ECAD and related drawing data (incl. schematics) with the BOM at serviceable level in support of PCDS4 defined deliverables / timings and throughout service life of the vehicle</t>
  </si>
  <si>
    <t>Plant Performance: DFV, OPR, TFA Ult</t>
  </si>
  <si>
    <t>DE.19</t>
  </si>
  <si>
    <t>Part Trademarks:  Supplier CAD files for production &amp; service parts and accessories will comply with Directive E-108:  Automotive Parts &amp; Accessories Branding Directive (E-108 AUTOMOTIVE PARTS AND ACCESSORIES BRANDING DIRECTIVE) . Regardless of the country of origin, Supplier trademarks/trade names and part numbers may not be applied to automotive parts</t>
  </si>
  <si>
    <t>Part Maturation: PTO Off Tool &amp; PSW target achieved at PP</t>
  </si>
  <si>
    <t>DE.20</t>
  </si>
  <si>
    <t>Develop and maintain Risk and Opportunity list for cost/weight/investment/function for all targets from Programme inception to launch</t>
  </si>
  <si>
    <t xml:space="preserve">Launch Timing: PR to J1, PTO to J1 cadence between J1´s </t>
  </si>
  <si>
    <t>DE.21</t>
  </si>
  <si>
    <t xml:space="preserve">Optimise vehicle to support Programme targets; provide package/design improvements to supplier   </t>
  </si>
  <si>
    <t>DE.22</t>
  </si>
  <si>
    <t>Develop technical commodity targets (for the component, etc.)  including:
· Warranty analysis to support quality targets
· Design systems/components for service part complexity reduction, ease of maintenance and/or repair at a competitive cost</t>
  </si>
  <si>
    <t xml:space="preserve">Develop hard points compatible with Jaguar Land Rover design for package/architecture </t>
  </si>
  <si>
    <t>DE.23</t>
  </si>
  <si>
    <t>Identification and design of recyclable and remanufacturing capable components, as directed by JLR and agreed with the supplier in advance</t>
  </si>
  <si>
    <t>Identification and design of recyclable and remanufacturing capable components, as directed by JLR in advance</t>
  </si>
  <si>
    <t>Use JLR release system as the master Programme BOM including key attribute data for all parts, if required.</t>
  </si>
  <si>
    <t>DE.24</t>
  </si>
  <si>
    <t>Design systems and components to be serviced with and/or without existing special service tools</t>
  </si>
  <si>
    <t xml:space="preserve">Take ownership of parts which are loaded in JLR release system (including bought in parts, CCR, service parts and JLR in-house assemblies). Create new entries as required (subject to change management process) and maintain accurate records. Prior to the use of JLR release system, an appropriate early BoM should be provided </t>
  </si>
  <si>
    <t>DE.25</t>
  </si>
  <si>
    <t>Cooperatively develop, prove-out and provide support for collision and vehicle repair/removal procedures and documentation</t>
  </si>
  <si>
    <t>Obtain JLR release system access, remote access and training (as required)</t>
  </si>
  <si>
    <t>DE.26</t>
  </si>
  <si>
    <t>Ensure design &amp; compliance with production &amp; aftermarket homologation requirements for all serviced parts (including parts provided by lower tier suppliers)</t>
  </si>
  <si>
    <t>Demonstrate the use of the following disciplines:
Design for Assembly
Design for Manufacturing
Total Cost Management (Should Cost demonstration and meeting the cost targets)
Design for Service
Design for Environment/Recyclability/Re-manufacturing</t>
  </si>
  <si>
    <t>DE.27</t>
  </si>
  <si>
    <t>Service part, fastener, finish, lubricant and fluid commonality/complexity reduction within JLR assembly plants and dealer service applications</t>
  </si>
  <si>
    <t>Engineering prove-out including:
• Development and maintenance of DVP&amp;R for requirements cascaded 
• Development and maintenance of Design (supplier and JLR on individual basis) &amp; support of Process FMEAs
• Compliance with design rules and other technical requirements
• Evidence of compliance to technical requirements as cascaded</t>
  </si>
  <si>
    <t>DE.28</t>
  </si>
  <si>
    <t>Collaborate and provide product information/data to support service publication development (including adjacent "black box" systems/subsystems needed to support serviceability procedures)</t>
  </si>
  <si>
    <t>Lead production prove-out with suppliers according to (M) Appendix Aiii RASIC Level 3</t>
  </si>
  <si>
    <t>DE.29</t>
  </si>
  <si>
    <t>Ensure supplier compliance with Part Trademarks:  Supplier CAD files for production &amp; service parts and accessories will comply with Directive E-108:  Automotive Parts &amp; Accessories Branding Directive (E-108 AUTOMOTIVE PARTS AND ACCESSORIES BRANDING DIRECTIVE). Regardless of the country of origin, Supplier trademarks/trade names and part numbers may not be applied to automotive parts.</t>
  </si>
  <si>
    <t>DE.30</t>
  </si>
  <si>
    <t>DE.31</t>
  </si>
  <si>
    <t>Optimise vehicle to support Programme targets; provide package/design improvements to JLR</t>
  </si>
  <si>
    <t>DE.32</t>
  </si>
  <si>
    <t>DE.33</t>
  </si>
  <si>
    <t>Identification and design of recyclable and remanufacturing capable components according to JLR targets</t>
  </si>
  <si>
    <t>DE.34</t>
  </si>
  <si>
    <t>Design all system specific diagnostics compatible with Jaguar Land Rover's diagnostic strategy, tool and system protocols
· Develop and document subsystem operational description, potential systems faults and diagnostic analysis</t>
  </si>
  <si>
    <t>DE.35</t>
  </si>
  <si>
    <t>DE.36</t>
  </si>
  <si>
    <t xml:space="preserve">Cooperatively develop, prove-out and provide support for collision and vehicle repair/removal procedures and documentation. </t>
  </si>
  <si>
    <t>DE.37</t>
  </si>
  <si>
    <t>DE.38</t>
  </si>
  <si>
    <t>DE.39</t>
  </si>
  <si>
    <t>TESTING, VERIFICATION, CERTIFICATION AND GAUGES</t>
  </si>
  <si>
    <t>TEST.1</t>
  </si>
  <si>
    <t>Governmental Regulatory/Homologation vehicle-level testing, including non-Vehicle regulatory requirements (e.g. RF licences)</t>
  </si>
  <si>
    <t>DOOR TRIM_Governmental Regulatory/Homologation vehicle-level testing, including non-Vehicle regulatory requirements (e.g. RF licences)</t>
  </si>
  <si>
    <t>TEST.2</t>
  </si>
  <si>
    <t>Purchase parts for vehicle-level testing, as required</t>
  </si>
  <si>
    <t>TEST.3</t>
  </si>
  <si>
    <t xml:space="preserve">Provide access to test fleet and the test centres for suppliers to support vehicle testing of their parts </t>
  </si>
  <si>
    <t>TEST.4</t>
  </si>
  <si>
    <t>Jaguar Land Rover is to provide direction to supplier on gauge or check fixture design and construction (See PDS for details)</t>
  </si>
  <si>
    <t>TEST.5</t>
  </si>
  <si>
    <t>Provide pre-series parts according to agreed schedules supported by the agreed format PPIR documentation compatible with Jaguar Land Rover's PPIR strategy, tool and system protocols. ISIR documentation will also be required</t>
  </si>
  <si>
    <t>ESP to manage provision of prototype parts according to agreed schedules supported by the agreed format PPIR documentation compatible with Jaguar Land Rover's PPIR strategy, tool and system protocols. ISIR documentation will also be required. Precondition to meet prototype timeline is that suppliers will be nominated and sourced on time by JLR.</t>
  </si>
  <si>
    <t>TEST.6</t>
  </si>
  <si>
    <t>Provide gauge/checking fixture design in CAD by FDJ provided required information has been supplied by JLR Engineering.</t>
  </si>
  <si>
    <t>Develop and maintain DV &amp; PV plans for the commodity to verify compliance to all technical requirements, including Homologation/ Certification and governmental regulatory tests. Monitor and incorporate all available lessons-learned data and maintain test records</t>
  </si>
  <si>
    <t>TEST.7</t>
  </si>
  <si>
    <t>ESP to manage completion of Production Verification tests in suppliers; maintain records throughout product life for the commodity or all relevant components</t>
  </si>
  <si>
    <t>TEST.8</t>
  </si>
  <si>
    <t>Conduct Production Verification tests; maintain records throughout product life for the commodity or all relevant components in accordance with the agreed production control plan</t>
  </si>
  <si>
    <t xml:space="preserve">ESP to manage completion of Design Verification and Production Verification tests; maintain and develop DV and PV test plans to PSW for the commodity or all relevant components, as per defined component standards. JLR to supply applicable standards and test procedures. </t>
  </si>
  <si>
    <t>TEST.9</t>
  </si>
  <si>
    <t>Conduct Design Verification and Production Verification tests; maintain and develop DV and PV test plans to PSW for the commodity or all relevant components, as per defined component standards. JLR Lead Engineer to supply applicable standards and test procedures throughout the sourcing window (RFQ Phase). The supplier shall develop a test plan.</t>
  </si>
  <si>
    <t>Conduct Design Verification and Production Verification tests; maintain and develop DV and PV test plans to PSW for the commodity or all relevant components, as per defined component standards. JLR LE to supply applicable standards and test procedures. SE to develop test plan.</t>
  </si>
  <si>
    <t xml:space="preserve">ESP to manage identification of all applicable Conformity of Production requirements across all applicable markets and ensure these are correctly documented in the Control Plan. Control Plan must be updated and available on request. </t>
  </si>
  <si>
    <t>TEST.10</t>
  </si>
  <si>
    <t xml:space="preserve">Identify all applicable Conformity of Production requirements across all applicable markets and ensure these are correctly documented in the Control Plan. Control Plan must be updated and available on request. </t>
  </si>
  <si>
    <t>TEST.11</t>
  </si>
  <si>
    <t>Complete all Conformity of Production testing to plan using appropriate production parts.</t>
  </si>
  <si>
    <t>TEST.12</t>
  </si>
  <si>
    <t xml:space="preserve">Provide appropriate production parts for completion of Conformity of Production testing. </t>
  </si>
  <si>
    <t>TEST.13</t>
  </si>
  <si>
    <t>Issue signed Conformity of Production test reports and notify all failures with a plan to re-establish compliance.</t>
  </si>
  <si>
    <t>MANUFACTURING PLANNING AND ENGINEERING BUILDS</t>
  </si>
  <si>
    <t>MNP.1</t>
  </si>
  <si>
    <t xml:space="preserve">Issue and execute Vehicle Programme Plan including prototype build schedule and tooling levels required   </t>
  </si>
  <si>
    <t xml:space="preserve">DOOR TRIM_Issue and execute Vehicle Programme Plan including prototype build schedule and tooling levels required   </t>
  </si>
  <si>
    <t>MNP.2</t>
  </si>
  <si>
    <t xml:space="preserve">Issue and execute Vehicle Testing &amp; Vehicle Sign-Off Schedule   </t>
  </si>
  <si>
    <t>MNP.3</t>
  </si>
  <si>
    <t xml:space="preserve">Issue and execute Vehicle Launch Plan </t>
  </si>
  <si>
    <t>MNP.4</t>
  </si>
  <si>
    <t xml:space="preserve">Issue and execute minimum agreed per plant broadcast information and lead-time for each sequence to support continuous flow of delivery, including In-Line Vehicle Sequencing </t>
  </si>
  <si>
    <t>CALIBRATION REQUIREMENTS</t>
  </si>
  <si>
    <t>MNP.5</t>
  </si>
  <si>
    <t>Perform regular World Class Product Audit (WCPA) evaluations, including Squeaks &amp; Rattles (S&amp;R) of the supplied commodities</t>
  </si>
  <si>
    <t>CAL.1</t>
  </si>
  <si>
    <r>
      <rPr>
        <b/>
        <sz val="9"/>
        <rFont val="Calibri"/>
        <family val="2"/>
        <scheme val="minor"/>
      </rPr>
      <t>Define Workpackage Structure</t>
    </r>
    <r>
      <rPr>
        <sz val="9"/>
        <rFont val="Calibri"/>
        <family val="2"/>
        <scheme val="minor"/>
      </rPr>
      <t xml:space="preserve">
Take system requirements and design to partition the calibration and application work into suitable work packages. In addition any necessary work sequences shall be identified - some work packages are only able to be started once other work packages are complete, or suitably mature. Each work package shall have a boundary, system level requirements satisfied in full or part by the work package and an initial assessment of the software units that are part of the work package.</t>
    </r>
  </si>
  <si>
    <t>MNP.6</t>
  </si>
  <si>
    <t xml:space="preserve">Specify and approve transportation &amp; packaging (dunnage) for all supplied components to Jaguar Land Rover's plants. </t>
  </si>
  <si>
    <t>CAL.2</t>
  </si>
  <si>
    <r>
      <rPr>
        <b/>
        <sz val="9"/>
        <rFont val="Calibri"/>
        <family val="2"/>
        <scheme val="minor"/>
      </rPr>
      <t>Work package requirements analysis</t>
    </r>
    <r>
      <rPr>
        <sz val="9"/>
        <rFont val="Calibri"/>
        <family val="2"/>
        <scheme val="minor"/>
      </rPr>
      <t xml:space="preserve">
Gather the calibration requirements and targets for the work package.</t>
    </r>
  </si>
  <si>
    <t>MNP.7</t>
  </si>
  <si>
    <t>Support vehicle launch plan per  VPF:
· Meet the requirements of Jaguar Land Rover's Phased Production Parts Approval Process (PPAP)
· On-time production part approval
· Product and personnel to support production builds and launch</t>
  </si>
  <si>
    <t>CAL.3</t>
  </si>
  <si>
    <r>
      <rPr>
        <b/>
        <sz val="9"/>
        <rFont val="Calibri"/>
        <family val="2"/>
        <scheme val="minor"/>
      </rPr>
      <t>Work package Design</t>
    </r>
    <r>
      <rPr>
        <sz val="9"/>
        <rFont val="Calibri"/>
        <family val="2"/>
        <scheme val="minor"/>
      </rPr>
      <t xml:space="preserve">
Confirm the boundary and content of the work package and then to design the necessary experiments and tests to determine the application parameters (calibration) values. This will also produce a test plan and required resources to perform the tests. The process will also create acceptance tests and targets  for the calibration work and verification tests and targets for the verification work.</t>
    </r>
  </si>
  <si>
    <t>MNP.8</t>
  </si>
  <si>
    <t>Capacity planning to include service part requirements/volume in both tooling and production facilities for the service life of the assembly or part (including service)</t>
  </si>
  <si>
    <t>CAL.4</t>
  </si>
  <si>
    <r>
      <rPr>
        <b/>
        <sz val="9"/>
        <rFont val="Calibri"/>
        <family val="2"/>
        <scheme val="minor"/>
      </rPr>
      <t>Work package Calibration</t>
    </r>
    <r>
      <rPr>
        <sz val="9"/>
        <rFont val="Calibri"/>
        <family val="2"/>
        <scheme val="minor"/>
      </rPr>
      <t xml:space="preserve">
Perform the defined tests, collect and analysis the data and derive application parameters (calibration). This will include characterisation data, the optimisation of any values and value determination if any trade-off is required.</t>
    </r>
  </si>
  <si>
    <t>MNP.9</t>
  </si>
  <si>
    <t>Establish a process/system to maintain and control the disposal or rework of supplier owned and/or tiered supplier tooling</t>
  </si>
  <si>
    <t>CAL.5</t>
  </si>
  <si>
    <r>
      <rPr>
        <b/>
        <sz val="9"/>
        <rFont val="Calibri"/>
        <family val="2"/>
        <scheme val="minor"/>
      </rPr>
      <t>Work package Verification</t>
    </r>
    <r>
      <rPr>
        <sz val="9"/>
        <rFont val="Calibri"/>
        <family val="2"/>
        <scheme val="minor"/>
      </rPr>
      <t xml:space="preserve">
Verify the application parameters (calibration) resulting from the "WP" Calibration process meet the defined acceptance criteria. Failure to meet the targets shall either result in modifying these targets or the raising of a problem report against the system behaviour.</t>
    </r>
  </si>
  <si>
    <t>MNP.10</t>
  </si>
  <si>
    <t>Provide pre-series build support and control plan consistent with vehicle pre-series plan and engineering budget</t>
  </si>
  <si>
    <t>CAL.6</t>
  </si>
  <si>
    <r>
      <rPr>
        <b/>
        <sz val="9"/>
        <rFont val="Calibri"/>
        <family val="2"/>
        <scheme val="minor"/>
      </rPr>
      <t xml:space="preserve">Work package Integration </t>
    </r>
    <r>
      <rPr>
        <sz val="9"/>
        <rFont val="Calibri"/>
        <family val="2"/>
        <scheme val="minor"/>
      </rPr>
      <t xml:space="preserve">
Merge all the application parameters (calibrations) into a complete set of calibrations. </t>
    </r>
  </si>
  <si>
    <t>MNP.11</t>
  </si>
  <si>
    <t>Support continuous flow of production (including in-line vehicle sequencing / just-in-time delivery); coordinate with Supplier Sources delivery and build schedules sufficient to Jaguar Land Rover's build schedules.  This includes geometric data (as specified in the agreed production control plan) and physical part delivery/coordination</t>
  </si>
  <si>
    <t>CAL.7</t>
  </si>
  <si>
    <r>
      <rPr>
        <b/>
        <sz val="9"/>
        <rFont val="Calibri"/>
        <family val="2"/>
        <scheme val="minor"/>
      </rPr>
      <t>Integration Testing for calibration</t>
    </r>
    <r>
      <rPr>
        <sz val="9"/>
        <rFont val="Calibri"/>
        <family val="2"/>
        <scheme val="minor"/>
      </rPr>
      <t xml:space="preserve">
Integrated calibration testing</t>
    </r>
  </si>
  <si>
    <t>MNP.12</t>
  </si>
  <si>
    <t xml:space="preserve">Develop dunnage/transportation plan for the part / element and obtain Jaguar Land Rover's approval </t>
  </si>
  <si>
    <t>MNP.13</t>
  </si>
  <si>
    <t>Establish an assembly facility compatible with Jaguar Land Rover's broadcast timing requirements</t>
  </si>
  <si>
    <t>MNP.14</t>
  </si>
  <si>
    <t>Provide manufacturing feasibility evaluations and approvals for assembly. Develop and install product traceability system for safety critical and regulatory items in accordance with the agreed production control plan</t>
  </si>
  <si>
    <t>MNP.15</t>
  </si>
  <si>
    <t>Develop manufacturing, production and assembly characteristics to ensure high quality products</t>
  </si>
  <si>
    <t>MNP.16</t>
  </si>
  <si>
    <t>Provide physical components/systems as needed to support development of service-related publications and part/fluid packaging processes in accordance with the Jaguar Land Rover Purchase Order (PO)</t>
  </si>
  <si>
    <t>Provide physical components/systems as needed to support development of service-related publications and part/fluid packaging processes</t>
  </si>
  <si>
    <t>FACILITIES AND PERSONNEL</t>
  </si>
  <si>
    <t>FP.1</t>
  </si>
  <si>
    <t>Provide facilities at locations where supplier personnel are to be stationed; this includes office space, furniture, at Pre-Programme, Programme home-base and launch sites, as appropriate per contractual agreement</t>
  </si>
  <si>
    <r>
      <t xml:space="preserve">DOOR TRIM_Provide facilities at locations where supplier personnel are to be stationed; this includes office space, furniture, at Pre-Programme, Programme home-base and launch sites, as appropriate per contractual agreement. 
</t>
    </r>
    <r>
      <rPr>
        <i/>
        <sz val="9"/>
        <rFont val="Calibri"/>
        <family val="2"/>
        <scheme val="minor"/>
      </rPr>
      <t>JLR is responsible for providing space in JLR sites and Supplier is responsible for their sites.</t>
    </r>
  </si>
  <si>
    <t>Provide facilities at locations where ESP personnel are to be stationed within JLR; this includes office space, furniture, at Pre-Programme, Programme home-base and launch sites, as appropriate per contractual agreement</t>
  </si>
  <si>
    <t>FP.2</t>
  </si>
  <si>
    <t>Develop and present resource/staffing plan and maintain appropriate staffing levels to support all phases of the programme</t>
  </si>
  <si>
    <t>Provide technical and engineering liaison at Jaguar Land Rover's Engineering Centre and plant location for the specified time deemed by engineering (e.g. &lt;PSC&gt; through to Job #1 plus 90 days (via telephone, e-mail and on-site as needed))</t>
  </si>
  <si>
    <t>FP.3</t>
  </si>
  <si>
    <t>Turnover of supplier personnel shall be minimised to ensure continuity and if replacement occurs, must have at least the same level of skills as the prior supplier engineer</t>
  </si>
  <si>
    <t>Develop and present manpower staffing plan and maintain appropriate staffing levels to support all phases of the Programme</t>
  </si>
  <si>
    <t>FP.4</t>
  </si>
  <si>
    <t>Provide appropriate expertise and appropriately qualified, trained personnel to support the Programme. Refer also to Jaguar Land Rover's courses and the attached training/skills matrix (skills and behaviours tab)</t>
  </si>
  <si>
    <t>Turnover of ESP personnel should be minimised to ensure continuity and if replacement occurs, must have at least the same level of skills as the prior ESP personnel</t>
  </si>
  <si>
    <t>FP.5</t>
  </si>
  <si>
    <t>Complete and fund all relevant personnel training including training courses.</t>
  </si>
  <si>
    <t xml:space="preserve">Provide appropriate expertise and appropriately qualified, trained personnel to support the Programme. </t>
  </si>
  <si>
    <t>FP.6</t>
  </si>
  <si>
    <t>Financially responsible for travel costs to attend all Programme and other related meetings where appropriate and agreed</t>
  </si>
  <si>
    <t>FP.7</t>
  </si>
  <si>
    <t>Supplier shall maintain all oral &amp; written communications in English</t>
  </si>
  <si>
    <t>Support vehicle level testing where appropriate (media/press, drive team, proving ground testing, etc.)</t>
  </si>
  <si>
    <t>FP.8</t>
  </si>
  <si>
    <t>Supplier shall ensure that all project interfaces are knowledgeable and with good English  communication skills</t>
  </si>
  <si>
    <t>Financially responsible for travel costs to attend all Programme and other related meetings according to E7. RASIC Lvl 2</t>
  </si>
  <si>
    <t>FP.9</t>
  </si>
  <si>
    <t>ESP should maintain all oral &amp; written communications in English</t>
  </si>
  <si>
    <t>FP.10</t>
  </si>
  <si>
    <t>ESP should ensure that all project interfaces are knowledgeable and with good English communication skills</t>
  </si>
  <si>
    <t>PRODUCTION PHASE RESPONSIBILITIES</t>
  </si>
  <si>
    <t>PPR.1</t>
  </si>
  <si>
    <t>Assure timely decision making</t>
  </si>
  <si>
    <t>DOOR TRIM_Assure timely decision making</t>
  </si>
  <si>
    <t>PPR.2</t>
  </si>
  <si>
    <t>Identify and prioritise concerns</t>
  </si>
  <si>
    <t>PPR.3</t>
  </si>
  <si>
    <t>Communicate quality and other data to suppliers</t>
  </si>
  <si>
    <t>PPR.4</t>
  </si>
  <si>
    <t>Lead problem identification/ root cause analysis and validation plan.  Validate production fixes and process changes where the contract has not been met or as requested by a Design Change Request (DCR)</t>
  </si>
  <si>
    <t xml:space="preserve">Lead problem identification/ root cause analysis and validation plan.  Validate production fixes and process changes. </t>
  </si>
  <si>
    <t>PPR.5</t>
  </si>
  <si>
    <t>Drive / Manage continuous improvement process
· On-site process control in accordance with an agreed control plan
· Employ in-process data / metrics in accordance with an agreed control plan
· Provide technical manufacturing assistance at the supplier manufacturing site</t>
  </si>
  <si>
    <r>
      <t>Drive / Manage continuous improvement process
· On-site process control in accordance with an agreed control plan
· Employ in-process data / metrics in accordance with an agreed control plan
· Provide technical manufacturing assistance</t>
    </r>
    <r>
      <rPr>
        <strike/>
        <sz val="9"/>
        <rFont val="Calibri"/>
        <family val="2"/>
        <scheme val="minor"/>
      </rPr>
      <t xml:space="preserve">
</t>
    </r>
    <r>
      <rPr>
        <i/>
        <sz val="9"/>
        <rFont val="Calibri"/>
        <family val="2"/>
        <scheme val="minor"/>
      </rPr>
      <t>Supplier to implement at their Production Site JLR to implement at their Assembly Site.</t>
    </r>
  </si>
  <si>
    <t>PPR.6</t>
  </si>
  <si>
    <t xml:space="preserve">Jaguar Land Rover is to review / approve all changes via WERS / SREA. Any class A1 surface change must be signed-off through the formal surface approval process </t>
  </si>
  <si>
    <t>PPR.7</t>
  </si>
  <si>
    <t>Analyse returned parts</t>
  </si>
  <si>
    <t>PPR.8</t>
  </si>
  <si>
    <t xml:space="preserve">Continuous improvements for the service life cycle of the subsystem or component </t>
  </si>
  <si>
    <t>PPR.9</t>
  </si>
  <si>
    <t>Investigate problems, provide resolutions and implement corrective actions</t>
  </si>
  <si>
    <t>PPR.10</t>
  </si>
  <si>
    <t>Ensure the functionality and performance of the product throughout the life cycle per the requirements.  This includes but not limited to:
· Investigation of issues, provide resolutions and implement corrective actions
· Employ correction action/problem resolution process
· Resolve current and past model 'field' concerns, including recalls
· Analyse returned parts
· Modify components for continuous quality improvements
· Modify design / manufacturing for continuous cost improvement</t>
  </si>
  <si>
    <t>Supplier is fully responsible for ensuring the functionality and performance of their product throughout the life cycle per the requirements  and will be part of a multi-functional team, to establish the root cause of issues, including all interfacing Stakeholders.
 This includes but not limited to:
· Investigation of issues, provide resolutions and implement corrective actions
· Employ correction action/problem resolution process
· Resolve current and past model 'field' concerns, including recalls
. Perform Jaguar Land Rover's product Audit (FPA) evaluations, including squeak and rattle of the supplied module/system/component
· Analyse returned parts
· Modify components for continuous quality improvements
· Modify design / manufacturing for continuous cost improvement
.Direct ted sub-suppliers</t>
  </si>
  <si>
    <t>PPR.11</t>
  </si>
  <si>
    <t>Modify design/manufacturing for continuous cost improvement, where practical/feasible to do so</t>
  </si>
  <si>
    <t>PPR.12</t>
  </si>
  <si>
    <t>Identify and manage sub-suppliers (including service component parts)</t>
  </si>
  <si>
    <t>PPR.13</t>
  </si>
  <si>
    <t>Provide ongoing service support for the service life cycle of the subsystem or component</t>
  </si>
  <si>
    <t>PPR.14</t>
  </si>
  <si>
    <t xml:space="preserve">Investigate and resolve jointly with Jaguar Land Rover, in-plant manufacturing and process concerns:
· Management of manufacturing capability, at appropriate service level, for service life of subsystem/component </t>
  </si>
  <si>
    <t>PPR.15</t>
  </si>
  <si>
    <t>Supplier must use the SREA to obtain Jaguar Land Rover's approval for a plan to implement all Tier 1 or sub-tier supplier-initiated post-PPAP changes to manufacturing processes or supplier site locations affecting production or service component parts. JLR-LWI-554907 SREA (Supplier Request for Engineering Approval) Supplier Work Instruction.</t>
  </si>
  <si>
    <t>PPR.16</t>
  </si>
  <si>
    <t>Provide on-going service support for the service life cycle of the subsystem or component: 
· Support target closure times for QSF actions.
· Service Part activities must be consulted and provide written sign-off  prior to rendering any decision affecting tooling disposition (e.g. modifying, scrapping, transfer of ownership, etc.) which may affect the ability to produce and supply service component parts (including past model).  If tooling is affected, the Design &amp; Release activity may be required to make alternate provisions (e.g. tooling, funding, and logistics), to ensure that the supply of cost-effective Service Parts is uninterrupted.</t>
  </si>
  <si>
    <t>Provide on-going service support for the service life cycle of the subsystem or component: 
· Support target closure times for QSF actions.
· Service Part activities must be consulted and provide written sign-off  prior to rendering any decision affecting tooling disposition (e.g. modifying, scrapping, transfer of ownership, etc.) which may affect the ability to produce and supply service component parts (including past model).  If tooling is affected, the Design &amp; Release activity may be required to make alternate provisions (e.g. tooling, funding, and logistics), to ensure that the supply of cost-effective Service Parts is uninterrupted.
Critical dimensions and tolerances that affect service fit, form, and function must be available upon demand from supplier within eight hours from notification to support Quality Control processes for the service life of the vehicle.</t>
  </si>
  <si>
    <t>PPR.17</t>
  </si>
  <si>
    <t>Investigate and resolve in-plant manufacturing and process concerns. JLR responsible for system level investigation. SE responsible for component level investigation according to boundary diagram.</t>
  </si>
  <si>
    <t>Assembly/Component Provide</t>
  </si>
  <si>
    <t>DOOR TRIM</t>
  </si>
  <si>
    <t xml:space="preserve"> </t>
  </si>
  <si>
    <t>SHARE</t>
  </si>
  <si>
    <t>Shared</t>
  </si>
  <si>
    <t>RASIC BELOW</t>
  </si>
  <si>
    <t>JLR / ESP</t>
  </si>
  <si>
    <t>ESP/JLR</t>
  </si>
  <si>
    <t>SHARED</t>
  </si>
  <si>
    <t>SECTION</t>
  </si>
  <si>
    <t xml:space="preserve">NOT </t>
  </si>
  <si>
    <t>APPLIC.</t>
  </si>
  <si>
    <t>FOR</t>
  </si>
  <si>
    <t>Partner</t>
  </si>
  <si>
    <t>PROJECTS</t>
  </si>
  <si>
    <t>Appendix C. Standards &amp; Support Documents</t>
  </si>
  <si>
    <r>
      <t xml:space="preserve">This section is designed to capture all engineering standards, documents, drawings and evidence which are necessary to support the intent of this Statement of Work Pack which will support the Request For Quotation (RFQ). Support documents shall be attached to the RFQ Pack in SAP Ariba. 
</t>
    </r>
    <r>
      <rPr>
        <b/>
        <sz val="10"/>
        <color rgb="FFFF0000"/>
        <rFont val="Calibri"/>
        <family val="2"/>
        <scheme val="minor"/>
      </rPr>
      <t>Engineering Standards are located on Page 3 and 4 of this section.</t>
    </r>
  </si>
  <si>
    <r>
      <rPr>
        <b/>
        <sz val="8"/>
        <color theme="1"/>
        <rFont val="Calibri"/>
        <family val="2"/>
        <scheme val="minor"/>
      </rPr>
      <t>APX.C.1</t>
    </r>
    <r>
      <rPr>
        <b/>
        <sz val="12"/>
        <color theme="1"/>
        <rFont val="Calibri"/>
        <family val="2"/>
        <scheme val="minor"/>
      </rPr>
      <t xml:space="preserve"> Applicable Supplemental Statement of Work</t>
    </r>
  </si>
  <si>
    <t xml:space="preserve">This section defines all Supplemental Statement Of Work (eSOW) documents that are necessary to convey complex and specialist technical and project requirements that cannot be captured in this standard Statement of Work. eSOWs which are appended to the eSOW are considered part of the Statement of Work. For sourcing projects, an eSOW must be appended to a valid Statement of Work to comply with the Global Sourcing Process. eSOWs cannot be submitted in lieu of a Statement of Work (JLR-TMP-557249) for SBR 2. In the event of a conflict between the Statement of Work and any information contained within one or more sows, the Statement of Work shall take precedent. </t>
  </si>
  <si>
    <t>Select which eSOW documents are applicable for this sourcing project.</t>
  </si>
  <si>
    <t>DOCUMENT NO</t>
  </si>
  <si>
    <t>DOCUMENT NAME</t>
  </si>
  <si>
    <t>ISSUE</t>
  </si>
  <si>
    <t>JLR-STN-550990</t>
  </si>
  <si>
    <t>JLR Customer Specific Requirements for PPAP
(Refer to section 7 for Supplier Responsibilities)</t>
  </si>
  <si>
    <t>JLR-PRD-548036</t>
  </si>
  <si>
    <t>Perceived Quality (PQ) Statement of Work (PQSOW)</t>
  </si>
  <si>
    <t>JLR-HTG-586387</t>
  </si>
  <si>
    <t>Warranty Recovery Web-Guide (Including Warranty Statement of Work)</t>
  </si>
  <si>
    <r>
      <rPr>
        <b/>
        <sz val="8"/>
        <color theme="1"/>
        <rFont val="Calibri"/>
        <family val="2"/>
        <scheme val="minor"/>
      </rPr>
      <t>APX.C.2</t>
    </r>
    <r>
      <rPr>
        <b/>
        <sz val="12"/>
        <color theme="1"/>
        <rFont val="Calibri"/>
        <family val="2"/>
        <scheme val="minor"/>
      </rPr>
      <t xml:space="preserve"> List of Support Documents</t>
    </r>
  </si>
  <si>
    <t>This section defines all documents which are required to support the intent of this Statement of Work. In the event of a conflict between the Statement of Work, an eSOW and any Support Documents then to the extent of such conflict, the conflict shall be resolved in the following order of priority: (I) The Statement of Work; (ii) The Supplemental Statement of Work; (iii) The Support Documents (as defined in Appendix C.)</t>
  </si>
  <si>
    <t>DOCUMENT ID</t>
  </si>
  <si>
    <t>rsp-5256401-00000884_STJLR.99.9999_6_Restricted Substance Management Standard</t>
  </si>
  <si>
    <t>STJLR.99.9999</t>
  </si>
  <si>
    <t>rsp-5256401-00000839_STJLR.51.5270_3_Use of Recycled Material in Polymer, Aluminium, Steel and Glass</t>
  </si>
  <si>
    <t>STJLR.51.5270</t>
  </si>
  <si>
    <t>rsp-5256401-00000597_STJLR.51.5232_4_TÜV Toxproof Certification  Requirements for Interior Materials</t>
  </si>
  <si>
    <t>STJLR.51.5232</t>
  </si>
  <si>
    <t>STJLR.51.5229</t>
  </si>
  <si>
    <t>rsp-5256401-00001020_STJLR.01.5202_2_Environmental Quality Requirements for Body Components Affecting Vehicle Interior Air Quality</t>
  </si>
  <si>
    <t>STJLR.01.5202</t>
  </si>
  <si>
    <t>rsp-5256401-00003424_STJLR.01.5160_1_Requirements_for_Measurement_Equipment</t>
  </si>
  <si>
    <t>STJLR 01.5160</t>
  </si>
  <si>
    <t>rsp-5256401-00003425_STJLR.01.5161_1_Requirements_for_Measurement_Data_submissions__PIR_</t>
  </si>
  <si>
    <t>STJLR 01.5161</t>
  </si>
  <si>
    <t>rsp-5256401-00003427_STJLR.01.5166_2_Requirements_for_part_measurement</t>
  </si>
  <si>
    <t>STJLR 01.5166</t>
  </si>
  <si>
    <t>rsp-5256401-00003365_STJLR.00.5155_2_Body_Engineering_Supplier_Gauge_Design</t>
  </si>
  <si>
    <t>STJLR 00.5155</t>
  </si>
  <si>
    <t>rsp-5256401-00000921_STJLR.51.5226_7_Standard_Requirements_for_Production_Materials</t>
  </si>
  <si>
    <t>STJLR.51.5226</t>
  </si>
  <si>
    <t>rsp-5256401-00004183_STJLR.51.5261_6_Engineering_Drawing_Tolerances_for_Plastic_Mouldings</t>
  </si>
  <si>
    <t>STJLR.51.5261</t>
  </si>
  <si>
    <t>rsp-5256401-00003466_STJLR.01.5233_3_Interior_Surface_Materials_Colour_Measurement_and_Approval</t>
  </si>
  <si>
    <t>STJLR.01.5233</t>
  </si>
  <si>
    <t>TPJLR.52.015 Assessment of Gouge Resistance</t>
  </si>
  <si>
    <t>TPJLR.52.015</t>
  </si>
  <si>
    <t>STJLR.51.5306 Performance
Requirements of Thermoplastic
Elastomers (TPEs)</t>
  </si>
  <si>
    <t>STJLR.51.5306</t>
  </si>
  <si>
    <t>rsp-5256401-00003476_STJLR.01.5248_3_Performance_of_Mat_Clip_Assemblies</t>
  </si>
  <si>
    <t>STJLR.01.5248</t>
  </si>
  <si>
    <r>
      <rPr>
        <b/>
        <sz val="8"/>
        <color theme="1"/>
        <rFont val="Calibri"/>
        <family val="2"/>
        <scheme val="minor"/>
      </rPr>
      <t>APX.C.3</t>
    </r>
    <r>
      <rPr>
        <b/>
        <sz val="12"/>
        <color theme="1"/>
        <rFont val="Calibri"/>
        <family val="2"/>
        <scheme val="minor"/>
      </rPr>
      <t xml:space="preserve"> Engineering Standards</t>
    </r>
  </si>
  <si>
    <t>This section defines mandatory and commodity specific standards that are applicable to this sourcing project. This section states which standards are applicable. The Supplier shall access all standards through a Jaguar Land Rover approved portal. Many standards, documents and training materials are contained within EnerjyHub. The Supplier is expected to complete registration to EnerjyHub before the SCPA is signed. The supplier must request a deviation from mandatory standards in writing to JLR.</t>
  </si>
  <si>
    <t xml:space="preserve">Jaguar Land Rover is not responsible to provide standards which are applicable to the automotive industry and that reside in the public domain. Such standards and documents are classed as 'INDUSTRY' in the TYPE Column below. 
Jaguar Land Rover shall provide the supplier, through an approved sharing portal, with all standards classed as 'JLR' in the TYPE column below. </t>
  </si>
  <si>
    <t>GENERAL STANDARDS</t>
  </si>
  <si>
    <t>DOCUMENT NO.</t>
  </si>
  <si>
    <t>TITLE</t>
  </si>
  <si>
    <t>EC 715 / 2007</t>
  </si>
  <si>
    <t>Air Pollutants 
(European Emissions Standards)</t>
  </si>
  <si>
    <t>32019R0631</t>
  </si>
  <si>
    <t>EU Regulation 2019/631 CO 2 Engineer Performance Standards (Emissions)</t>
  </si>
  <si>
    <t>PAS 11281:2018</t>
  </si>
  <si>
    <t>Connected Automotive Ecosystems. Impact of Security and Safety. Code of Practice</t>
  </si>
  <si>
    <t>ISO 262626-6:2018</t>
  </si>
  <si>
    <t>Road Vehicles - Functional Safety - Part 6: Product Development at the Software Level</t>
  </si>
  <si>
    <t>IATF 16949:2016</t>
  </si>
  <si>
    <t>Automotive Quality Management System (QMS) standard</t>
  </si>
  <si>
    <t>1986 No. 1078</t>
  </si>
  <si>
    <t>Road Vehicles Regulations 1986</t>
  </si>
  <si>
    <t>ISO 21434</t>
  </si>
  <si>
    <t>Road Vehicles - Cybersecurity Engineering</t>
  </si>
  <si>
    <t>UN ECE Reg. No. 155</t>
  </si>
  <si>
    <t>Cyber Security and Cyber Security Management System</t>
  </si>
  <si>
    <t>UN ECE Reg. No. 156</t>
  </si>
  <si>
    <t>Software Update and Software Update Management System</t>
  </si>
  <si>
    <t>JLR-PRD-92436</t>
  </si>
  <si>
    <t>E108 Automotive Parts and Accessories Branding Directive</t>
  </si>
  <si>
    <t xml:space="preserve">JLR-STN-32300 </t>
  </si>
  <si>
    <t>JLR Supplier Requirement for Market Certification</t>
  </si>
  <si>
    <t>JLR-PRD-542693</t>
  </si>
  <si>
    <t xml:space="preserve">Requirements Management and Design Verification/Validation (RMDV2) </t>
  </si>
  <si>
    <t>JLR-PRD-556006</t>
  </si>
  <si>
    <r>
      <t xml:space="preserve">Part Inspection Plan And Report (24MY and forward)
</t>
    </r>
    <r>
      <rPr>
        <b/>
        <sz val="9"/>
        <color rgb="FFC00000"/>
        <rFont val="Calibri"/>
        <family val="2"/>
        <scheme val="minor"/>
      </rPr>
      <t>This must be used in conjunction with JLR-MNL-545939</t>
    </r>
  </si>
  <si>
    <t>JLR-PRD-65877</t>
  </si>
  <si>
    <t>ED&amp;T, Engineering and Purchase Sourcing Guide</t>
  </si>
  <si>
    <t>JLR-STN-572451</t>
  </si>
  <si>
    <t>Supplier Management Standard</t>
  </si>
  <si>
    <t>JLR-STN-68160</t>
  </si>
  <si>
    <t>Sequence Supplier Operating Standards Web Guide</t>
  </si>
  <si>
    <t>JLR-LWI-554907</t>
  </si>
  <si>
    <t>Supplier Change Request, Supplier Work Instruction</t>
  </si>
  <si>
    <t>JLR-STN-116268</t>
  </si>
  <si>
    <t>Supplier Security Standard</t>
  </si>
  <si>
    <r>
      <rPr>
        <b/>
        <sz val="8"/>
        <color theme="1"/>
        <rFont val="Calibri"/>
        <family val="2"/>
        <scheme val="minor"/>
      </rPr>
      <t>APX.C.4</t>
    </r>
    <r>
      <rPr>
        <b/>
        <sz val="12"/>
        <color theme="1"/>
        <rFont val="Calibri"/>
        <family val="2"/>
        <scheme val="minor"/>
      </rPr>
      <t xml:space="preserve"> Commodity Specific Standards</t>
    </r>
  </si>
  <si>
    <t xml:space="preserve">This section defines standards applicable to the commodity. Standards in this section are defined by these criteria;
1. Hardware - Standards relating to physical parts / components
2. CAD/CAE - Standards relating to the development of CAD
3. Electrical - Standard relating to the development of electrical systems and parts, including batteries and ECUs.
4. Cyber - Standards relating to Cyber Security rules, guidance and best practice
5. Software - Standards relating to the development of software products and services
6. Misc. - Standards relating to process, engineering best practice, industry best practice, measurements
In some cases, Jaguar Land Rover may provide the supplier with draft standards, where the final standard or document is currently in development or is yet to be released. These documents provide the supplier with an intention of the standards and requirements they shall be expected to conform to.
Draft documents appended to the eSOW are classed as OFFICIAL with the intent that they shall be published and must confirm to the applicable document retention schedule and guidance. </t>
  </si>
  <si>
    <t>COMMODITY SPECIFIC STANDARDS</t>
  </si>
  <si>
    <t>DRAFT</t>
  </si>
  <si>
    <t>Appendix D. Parts and Materials</t>
  </si>
  <si>
    <r>
      <t xml:space="preserve">This section defines all parts list and where applicable, the respective material requirements for each part.
</t>
    </r>
    <r>
      <rPr>
        <b/>
        <sz val="10"/>
        <color rgb="FFFF0000"/>
        <rFont val="Calibri"/>
        <family val="2"/>
        <scheme val="minor"/>
      </rPr>
      <t xml:space="preserve">NOTE: </t>
    </r>
    <r>
      <rPr>
        <sz val="10"/>
        <color rgb="FFFF0000"/>
        <rFont val="Calibri"/>
        <family val="2"/>
        <scheme val="minor"/>
      </rPr>
      <t xml:space="preserve">All material information from the Cost Pack must be presented in this Appendix of the Statement of Work. Where the supplier cannot commit to the agreement of a specific material or any prosperities of a material, shall present a suitable alternative during the SBR 2 and SBR 3 window.
The Lead Engineer is responsible to ensure that any alternative material and its properties are suitable to meet the quality requirements of the sourcing project commodity before the SCPA is signed. </t>
    </r>
  </si>
  <si>
    <r>
      <t xml:space="preserve">APX.D.1 </t>
    </r>
    <r>
      <rPr>
        <b/>
        <sz val="12"/>
        <color theme="1"/>
        <rFont val="Calibri"/>
        <family val="2"/>
        <scheme val="minor"/>
      </rPr>
      <t>Parts List</t>
    </r>
  </si>
  <si>
    <t>CoC</t>
  </si>
  <si>
    <t>CPSC II</t>
  </si>
  <si>
    <t>PART DESCRIPTION</t>
  </si>
  <si>
    <t>PART NUMBER</t>
  </si>
  <si>
    <t>PREFIX</t>
  </si>
  <si>
    <t>BASE</t>
  </si>
  <si>
    <t>SUFFIX</t>
  </si>
  <si>
    <t>PARENT / CHILD</t>
  </si>
  <si>
    <t>REUSE (BURNS)</t>
  </si>
  <si>
    <t>PROGRAM</t>
  </si>
  <si>
    <t>MODEL YEAR</t>
  </si>
  <si>
    <t>PURCHASED ITEM</t>
  </si>
  <si>
    <t>6 SEAT ACCESS PANEL</t>
  </si>
  <si>
    <t xml:space="preserve">Z7B2-13A994-AAW </t>
  </si>
  <si>
    <t>Parent</t>
  </si>
  <si>
    <t>B</t>
  </si>
  <si>
    <r>
      <t xml:space="preserve">APX.D.2 </t>
    </r>
    <r>
      <rPr>
        <b/>
        <sz val="12"/>
        <color theme="1"/>
        <rFont val="Calibri"/>
        <family val="2"/>
        <scheme val="minor"/>
      </rPr>
      <t>Material Details</t>
    </r>
  </si>
  <si>
    <t xml:space="preserve">This section defines the material information relating to all parts. JLR reserve the right to request the that any alternative options relating to materials and their properties are tested in accordance with JLR testing processes and standards without any time restriction or penalty. The supplier shall support JLR's requirement to test materials throughout the sourcing project and after the SCPA has been agreed and signed by both parties. </t>
  </si>
  <si>
    <t>MATERIAL TYPE</t>
  </si>
  <si>
    <r>
      <t xml:space="preserve">MATERIAL GRADE / SPECIFICATION
</t>
    </r>
    <r>
      <rPr>
        <sz val="8"/>
        <rFont val="Calibri"/>
        <family val="2"/>
        <scheme val="minor"/>
      </rPr>
      <t>(Incl. Coating or embossing)</t>
    </r>
  </si>
  <si>
    <t>GAUGE</t>
  </si>
  <si>
    <t>FINISH</t>
  </si>
  <si>
    <r>
      <t xml:space="preserve">FIXINGS
</t>
    </r>
    <r>
      <rPr>
        <b/>
        <sz val="8"/>
        <color theme="1"/>
        <rFont val="Calibri"/>
        <family val="2"/>
        <scheme val="minor"/>
      </rPr>
      <t>(incl. Part Numbers)</t>
    </r>
  </si>
  <si>
    <t>ADDITIONAL DATA</t>
  </si>
  <si>
    <t>Refer to PBOM</t>
  </si>
  <si>
    <r>
      <t xml:space="preserve">APX.D.2 </t>
    </r>
    <r>
      <rPr>
        <b/>
        <sz val="12"/>
        <color theme="1"/>
        <rFont val="Calibri"/>
        <family val="2"/>
        <scheme val="minor"/>
      </rPr>
      <t>Bespoke Material Requirements and Supplier Agreements</t>
    </r>
  </si>
  <si>
    <t>This section defines any bespoke agreements relating to materials, quality, grade or any other properties between Jaguar Land Rover and the Supplier.</t>
  </si>
  <si>
    <t xml:space="preserve">PART NO: </t>
  </si>
  <si>
    <t>Part and Material Information</t>
  </si>
  <si>
    <t>Body Engineering - Cabin</t>
  </si>
  <si>
    <t>Lead Car Line</t>
  </si>
  <si>
    <t>Model Year</t>
  </si>
  <si>
    <t>29MY</t>
  </si>
  <si>
    <t>Follow on Car Line(s)
(incl. MY)</t>
  </si>
  <si>
    <t>Full Part No.</t>
  </si>
  <si>
    <t>Part Description
(incl. Function)</t>
  </si>
  <si>
    <t>Derivative / Feature
(or Fitment)</t>
  </si>
  <si>
    <t>6-SEAT</t>
  </si>
  <si>
    <t>Take Rate (Approx.)</t>
  </si>
  <si>
    <t>Annual Volume (Avg.)</t>
  </si>
  <si>
    <t>Handed</t>
  </si>
  <si>
    <t>LHD/RHD</t>
  </si>
  <si>
    <t>Qty Unit per Vehicle</t>
  </si>
  <si>
    <t>Material Type</t>
  </si>
  <si>
    <t>Grade or Spec. (incl. coating or embossing)</t>
  </si>
  <si>
    <t>Material Gauge</t>
  </si>
  <si>
    <t>Finish</t>
  </si>
  <si>
    <t>Fixings 
(incl. Part Numbers</t>
  </si>
  <si>
    <t>Overall Dimensions</t>
  </si>
  <si>
    <t>Part Weight (kg.)</t>
  </si>
  <si>
    <t>CAD LEVEL FOR RFQ MUST ALIGN WITH 3D CAD SENT TO SUPPLIER</t>
  </si>
  <si>
    <t>Additional Information</t>
  </si>
  <si>
    <t>Appendix E. Project Collaborations</t>
  </si>
  <si>
    <t>This appendix defines how Jaguar Land Rover and the supplier teams shall collaborate to meet project requirements. This section shall be populated with information that will be provided to the potential supplier(s) during the Request For Quotation (RFQ) phase of the project to enable the potential supplier to sufficiently understand project collaboration expectations. Following successful sourcing of the supplier, both Jaguar Land Rover and the supplier shall collaborate to tailor and complete this appendix for the project, and establish agreed starting points during the sourcing window. 
This appendix is part of the Engineering Statement of Work, however some information may not be available until after the sourcing window has been closed, and the SCPA and Statement of Work has been signed by all parties.
Changes to the Statement of Work shall follow a change management process, ensuring effective communication of project related changes. 
Use Appendix C. Support Documents to include additional document needed to support this appendix. 
The Lead Engineer is responsible for the completion and all content defined within this appendix.</t>
  </si>
  <si>
    <r>
      <rPr>
        <b/>
        <sz val="8"/>
        <color theme="1"/>
        <rFont val="Calibri"/>
        <family val="2"/>
        <scheme val="minor"/>
      </rPr>
      <t xml:space="preserve">APX.E.2 </t>
    </r>
    <r>
      <rPr>
        <b/>
        <sz val="12"/>
        <color theme="1"/>
        <rFont val="Calibri"/>
        <family val="2"/>
        <scheme val="minor"/>
      </rPr>
      <t>Escalations</t>
    </r>
  </si>
  <si>
    <t>This section shall define the responsible persons and actions for escalations during the project.</t>
  </si>
  <si>
    <t>For issues raised by</t>
  </si>
  <si>
    <t>Jaguar Land Rover</t>
  </si>
  <si>
    <t>CONTACT PERSON</t>
  </si>
  <si>
    <t>CDSID</t>
  </si>
  <si>
    <t>RAISE IN AIMS?</t>
  </si>
  <si>
    <t>TIMELINE</t>
  </si>
  <si>
    <t>EMAIL ADDRESS</t>
  </si>
  <si>
    <t>Govind Kuber</t>
  </si>
  <si>
    <t>gkuber1@jaguarlandrover.com</t>
  </si>
  <si>
    <t>mcrouch7@jaguarlandrover.com</t>
  </si>
  <si>
    <r>
      <rPr>
        <b/>
        <sz val="8"/>
        <color theme="1"/>
        <rFont val="Calibri"/>
        <family val="2"/>
        <scheme val="minor"/>
      </rPr>
      <t>APX.E.3</t>
    </r>
    <r>
      <rPr>
        <b/>
        <sz val="12"/>
        <color theme="1"/>
        <rFont val="Calibri"/>
        <family val="2"/>
        <scheme val="minor"/>
      </rPr>
      <t xml:space="preserve"> Jaguar Land Rover Organisation</t>
    </r>
  </si>
  <si>
    <t>ORGANISATION MATRIX</t>
  </si>
  <si>
    <t>EMAIL</t>
  </si>
  <si>
    <t>ROLE</t>
  </si>
  <si>
    <t>RESPONSIBLE FOR</t>
  </si>
  <si>
    <t>Lead Engineer</t>
  </si>
  <si>
    <t xml:space="preserve">Govind Kuber		</t>
  </si>
  <si>
    <t>gkuber1</t>
  </si>
  <si>
    <t>Product Owner</t>
  </si>
  <si>
    <t>Technical Chapter Lead</t>
  </si>
  <si>
    <t>jellis3@jaguarlandrover.com</t>
  </si>
  <si>
    <t>Chapter Lead</t>
  </si>
  <si>
    <t>Marek Pyka</t>
  </si>
  <si>
    <t>mpyka</t>
  </si>
  <si>
    <t>mpyka@jaguarlandrover.com</t>
  </si>
  <si>
    <t>Sean Oakwood</t>
  </si>
  <si>
    <t>sbrown58</t>
  </si>
  <si>
    <t>sbrown58@jaguarlandrover.com</t>
  </si>
  <si>
    <t>Subject Matter Expert</t>
  </si>
  <si>
    <t>lspensl1@jaguarlandrover.com</t>
  </si>
  <si>
    <t>Buyer</t>
  </si>
  <si>
    <t>ORG. CHART</t>
  </si>
  <si>
    <r>
      <rPr>
        <b/>
        <sz val="8"/>
        <color theme="1"/>
        <rFont val="Calibri"/>
        <family val="2"/>
        <scheme val="minor"/>
      </rPr>
      <t>APX.E.4</t>
    </r>
    <r>
      <rPr>
        <b/>
        <sz val="12"/>
        <color theme="1"/>
        <rFont val="Calibri"/>
        <family val="2"/>
        <scheme val="minor"/>
      </rPr>
      <t xml:space="preserve"> Supplier Organisation</t>
    </r>
  </si>
  <si>
    <r>
      <rPr>
        <b/>
        <sz val="8"/>
        <color theme="1"/>
        <rFont val="Calibri"/>
        <family val="2"/>
        <scheme val="minor"/>
      </rPr>
      <t>APX.E.5</t>
    </r>
    <r>
      <rPr>
        <b/>
        <sz val="12"/>
        <color theme="1"/>
        <rFont val="Calibri"/>
        <family val="2"/>
        <scheme val="minor"/>
      </rPr>
      <t xml:space="preserve"> Stakeholder Identification</t>
    </r>
  </si>
  <si>
    <t xml:space="preserve">This section describes the list of persons outside the project team and within the JLR and supplier organization who have needs and expectations related to the project or, who are able to influence project direction or, who are able to provide support to the project. </t>
  </si>
  <si>
    <t>STAKEHOLDER MATRIX</t>
  </si>
  <si>
    <r>
      <rPr>
        <b/>
        <sz val="8"/>
        <color theme="1"/>
        <rFont val="Calibri"/>
        <family val="2"/>
        <scheme val="minor"/>
      </rPr>
      <t>APX.E.6</t>
    </r>
    <r>
      <rPr>
        <b/>
        <sz val="12"/>
        <color theme="1"/>
        <rFont val="Calibri"/>
        <family val="2"/>
        <scheme val="minor"/>
      </rPr>
      <t xml:space="preserve"> Project Monitoring and Control</t>
    </r>
  </si>
  <si>
    <t xml:space="preserve">Jaguar Land Rover and the Supplier are expected to work together and communicate at regular cadence. The supplier shall support meetings where necessary at JLR premises at supplier’s cost. Jaguar Land Rover will conduct meetings via audio or video conference, when practicable, requesting the supplier to visit Jaguar Land Rover premises only when deemed necessary. </t>
  </si>
  <si>
    <t>MEETING / REVIEW TYPE</t>
  </si>
  <si>
    <t>PURPOSE</t>
  </si>
  <si>
    <t>CADENCE</t>
  </si>
  <si>
    <t>JLR 
PARTICIPANTS</t>
  </si>
  <si>
    <t>SUPPLIER PARTICIPANTS</t>
  </si>
  <si>
    <t>OUTPUTS</t>
  </si>
  <si>
    <r>
      <rPr>
        <b/>
        <sz val="8"/>
        <color theme="1"/>
        <rFont val="Calibri"/>
        <family val="2"/>
        <scheme val="minor"/>
      </rPr>
      <t>APX.E.7</t>
    </r>
    <r>
      <rPr>
        <b/>
        <sz val="12"/>
        <color theme="1"/>
        <rFont val="Calibri"/>
        <family val="2"/>
        <scheme val="minor"/>
      </rPr>
      <t xml:space="preserve"> Joint Processes</t>
    </r>
  </si>
  <si>
    <t>This section describes the joint processes and interfaces between Jaguar Land Rover and the supplier for the project.  Jaguar Land Rover and the supplier shall collaborate during the project setup phase to complete definition and agreements for relevant joint processes. Jaguar Land Rover and the supplier shall make sure that all stakeholders and team members are informed about the joint processes.</t>
  </si>
  <si>
    <t>The Lead Engineer shall use this page to define the following joint processes;</t>
  </si>
  <si>
    <t>JOINT PROCESS</t>
  </si>
  <si>
    <t>PROCESS PLAN</t>
  </si>
  <si>
    <t>Engineering Change Management</t>
  </si>
  <si>
    <t>Release Management</t>
  </si>
  <si>
    <t>Problem Management</t>
  </si>
  <si>
    <t>Test Management</t>
  </si>
  <si>
    <t>Engineering Requirements Management</t>
  </si>
  <si>
    <t>Configuration Management</t>
  </si>
  <si>
    <t>Project Improvements</t>
  </si>
  <si>
    <t>Add more here</t>
  </si>
  <si>
    <t>Appendix F. Body Engineering Supplier Gauge Design Check Sheet</t>
  </si>
  <si>
    <t>This section is designed to illustrate the gauging design requirements.
Procedure:
By virtual series freeze point EDC supplier to submit Initial Gauge Design and Gauge Instruction Sheet proposals for approval by virtual series freeze point UPV3.
By virtual series freeze point EDC +4 weeks JLR has to review and agree Initial Gauge Design and Gauge Instruction Sheet proposals and attach copies to RMDV2 requirement DC-7005 as evidence.
By virtual series freeze point PRDJ supplier to submit Final Gauge Design and Gauge Instruction Sheet proposals with completed and signed Gauge Design Check Sheet for approval.
By virtual series freeze point PRDJ +4 weeks JLR has to review and agree Final Gauge Design, Gauge Instruction Sheet proposals and review, agree and sign Gauge Design Check Sheet. JLR has to send a copy of signed Gauge Design Check Sheet back to supplier.</t>
  </si>
  <si>
    <r>
      <t>APX.F.</t>
    </r>
    <r>
      <rPr>
        <b/>
        <sz val="12"/>
        <color theme="1"/>
        <rFont val="Calibri"/>
        <family val="2"/>
        <scheme val="minor"/>
      </rPr>
      <t xml:space="preserve"> Body Engineering Supplier Gauge Design Check Sheet</t>
    </r>
  </si>
  <si>
    <t>TEST CASE (DC7004/5)-6 (STJLR.00.5155) - BODY ENGINEERING SUPPLIER GAUGE DESIGN CHECK SHEET</t>
  </si>
  <si>
    <t>Issue 8</t>
  </si>
  <si>
    <t>Part No/ Description</t>
  </si>
  <si>
    <t>ELEMENTS</t>
  </si>
  <si>
    <t>Supplier agrees to gauge design technical requirements (elements 1-9).</t>
  </si>
  <si>
    <t>Supplier agrees to variable and attribute measurement check requirements (elements 10-11).</t>
  </si>
  <si>
    <t>Supplier agrees to gauge instruction sheet (GIS) requirements (element 12).</t>
  </si>
  <si>
    <t>Supplier agrees to Gauge R (Repeatability) and Gauge R&amp;R (Repeatability &amp; Reproducibility) requirements (13-14).</t>
  </si>
  <si>
    <t>Supplier agrees to cost effectiveness requirements (element 15).</t>
  </si>
  <si>
    <t>Supplier agrees to production gauge requirements (element 16).</t>
  </si>
  <si>
    <t>Supplier agrees to prototype gauge requirements (element 17).</t>
  </si>
  <si>
    <t>Supplier agrees to BIW gauge requirements (element 18).</t>
  </si>
  <si>
    <t>Supplier agrees to timing and responsibility requirements (element 19)</t>
  </si>
  <si>
    <t xml:space="preserve">Supplier name and signature for completion of Gauge Design Standard Check Sheet : </t>
  </si>
  <si>
    <t>JLR Body Engineering lead engineer signature for agreement to completed Gauge Design Standard Check Sheet :</t>
  </si>
  <si>
    <t>Issue             Date                Description of Change</t>
  </si>
  <si>
    <t>8              31/03/2021         Updated in line with STJLR.00.5155</t>
  </si>
  <si>
    <t>Appendix G. Requirements for measurement equipment</t>
  </si>
  <si>
    <t>This section is designed to check  minimum requirements for measurement equipment and reporting used for PPIR measurement of trim parts and assemblies as specified in STJLR 01.5160</t>
  </si>
  <si>
    <r>
      <t xml:space="preserve">APX.G </t>
    </r>
    <r>
      <rPr>
        <b/>
        <sz val="12"/>
        <color theme="1"/>
        <rFont val="Calibri"/>
        <family val="2"/>
        <scheme val="minor"/>
      </rPr>
      <t>Requirements for measurement equipment</t>
    </r>
  </si>
  <si>
    <t>TEST CASE (DC-7004/5)-1 (STJLR.01.5160) Requirements for measurement equipment</t>
  </si>
  <si>
    <t>Issue 2</t>
  </si>
  <si>
    <t>Part Number:</t>
  </si>
  <si>
    <t>Supplier:</t>
  </si>
  <si>
    <t>Scanner make and model:</t>
  </si>
  <si>
    <t>Supplier agrees to use measurement equipment compliant with JLR requirement (element 1).</t>
  </si>
  <si>
    <t xml:space="preserve">If Supplier cannot meet JLR measurement equipment requirement, supplier agrees to meet the evaluation criteria. (element 1.1). </t>
  </si>
  <si>
    <t>Deviation number or N/A</t>
  </si>
  <si>
    <t>If Supplier cannot meet JLR measurement equipment requirment (element 1.1), record deviation number issued to supplier.</t>
  </si>
  <si>
    <t>2              31/03/2021         Updated in line with STJLR.01.5160</t>
  </si>
  <si>
    <t>Appendix H. Measurement data submissions</t>
  </si>
  <si>
    <t>This section is designed to describe measurement data submission requirements for all trim parts and sub-assemblies manufactured by suppliers.</t>
  </si>
  <si>
    <r>
      <t xml:space="preserve">APX.H. </t>
    </r>
    <r>
      <rPr>
        <b/>
        <sz val="12"/>
        <color theme="1"/>
        <rFont val="Calibri"/>
        <family val="2"/>
        <scheme val="minor"/>
      </rPr>
      <t>Measurement data submissions</t>
    </r>
  </si>
  <si>
    <t>Test Case (DC-7004/5)-2 (STJLR.01.5161) - Measurement data submissions</t>
  </si>
  <si>
    <t>JLR Engineer: Alexandru Mitroi amitroi@partner.jaguarlandrover.com</t>
  </si>
  <si>
    <t>Supplier Engineer:</t>
  </si>
  <si>
    <t xml:space="preserve">Inspection reports must be submitted for assessment prior to the MRD and part shipment using the RADS system (element 1). </t>
  </si>
  <si>
    <t>Supplier agrees to use nomenclature (element 2).</t>
  </si>
  <si>
    <t>Supplier agrees to measure deviations from nominal (element 3).</t>
  </si>
  <si>
    <t>Supplier agrees to supply inspection reports including PCF &amp; Ecube validation (as relevant) (element 4.1).</t>
  </si>
  <si>
    <t>Supplier agrees to supply complete scan data in STL format (element 4.1.2).</t>
  </si>
  <si>
    <t>Supplier agrees to use released engineering tolerances for analysis of measured data (element 4.2).</t>
  </si>
  <si>
    <t>Supplier agrees to use reporting format (element 5).</t>
  </si>
  <si>
    <t>2              31/03/2021         Updated in line with STJLR.01.5161</t>
  </si>
  <si>
    <t xml:space="preserve">Appendix I. Measurement Point Planning </t>
  </si>
  <si>
    <t>This section checks there is a measurement plan compliant with STJLR 01.5166 attached to the CAD release at FDJ</t>
  </si>
  <si>
    <r>
      <t xml:space="preserve">APX.I. </t>
    </r>
    <r>
      <rPr>
        <b/>
        <sz val="12"/>
        <color theme="1"/>
        <rFont val="Calibri"/>
        <family val="2"/>
        <scheme val="minor"/>
      </rPr>
      <t xml:space="preserve">Measurement Point Planning </t>
    </r>
  </si>
  <si>
    <t xml:space="preserve">Test Case (DC-7004/5)-3 (STJLR.01.5166) - Measurement Point Planning </t>
  </si>
  <si>
    <t>Supplier agrees to create a part maturation plan (element 2).</t>
  </si>
  <si>
    <t>Supplier agrees to measure production parts to agreed levels of process control and to the minimum frequencies. (Figure 7 &amp; 8) (element 3)</t>
  </si>
  <si>
    <t>Supplier agree for prototype parts to identify L3 extraction points using the guidelines (Figure 5) (element 4)</t>
  </si>
  <si>
    <t>Supplier recognises priority areas for maturation and tool development in Dimensional brochure (elements 5.1 &amp; 6.1) and dimensonal targets per build phase (elements 5.2 &amp; 6.2)</t>
  </si>
  <si>
    <t>Supplier agrees to provide evidence (element 7.1) in the case of modifed parts.</t>
  </si>
  <si>
    <t>Supplier recognises JLR reserves the right to request parts are matured to suit required build condition and supplier responsibility to match mutiple matching parts to meet JLR assembly targets (element 8).</t>
  </si>
  <si>
    <t>Supplier agrees to provide parts to, and support matching events at site nominated by JLR including marking. (elements 9 &amp; 10).</t>
  </si>
  <si>
    <t>Supplier agrees to measurement checks on parts (element 11) including reaction planning</t>
  </si>
  <si>
    <t>Supplier agrees to measurement points on Co-ordinated cut planes (CCP) to ensure align measurement points between interfacing parts (element 12)</t>
  </si>
  <si>
    <t>Supplier agrees to measure Interference fit parts with and without mating part replicator (element 14).</t>
  </si>
  <si>
    <t>Supplier agrees to populate the Special characteristics summary sheet (SCSS) with DFMEA (where applicable) and PFMEA charcteristics (element 15).</t>
  </si>
  <si>
    <t>Supplier agrees to raise a shifted tolerance request where a deviation to a tolerance is required (element 17).</t>
  </si>
  <si>
    <t>Supplier agrees to deliver minimum capability requirements and provide and upload measurement data post PSW into JLR's Dimensional data management system (DDMS) (element 18)</t>
  </si>
  <si>
    <t>2              31/03/2021         Updated in line with STJLR.01.5166</t>
  </si>
  <si>
    <t>Appendix J. Injection Moulded Plastics</t>
  </si>
  <si>
    <r>
      <t xml:space="preserve">This appendix defines the supplier requirements for Injection Moulded Plastics analysis evidence and records when requested by Jaguar Land Rover. The analysis requests serve to characterise and enhance the quality of injection moulded components by the application and review of plastics melt flow CAE analysis. In addition the supplier shall ensure that all analyses demonstrate and record sufficient evidence to identify and mitigate technical risks to ensure that the component and conditions of injection moulded parts are robust and suitable for manufacturing.
</t>
    </r>
    <r>
      <rPr>
        <i/>
        <sz val="10"/>
        <rFont val="Calibri"/>
        <family val="2"/>
        <scheme val="minor"/>
      </rPr>
      <t xml:space="preserve">It is recommended that the Lead Engineers consult the Injection Moulded Plastics CAE SME/team within Jaguar Land Rover before submitting a  Statement of Work. </t>
    </r>
  </si>
  <si>
    <t xml:space="preserve">The Lead Engineer shall make sure that the supplier has received, understood and shall conform to the requirements as defined in JLR-MNL-562388 Injection Moulded Plastics CAE Process and where applicable, it's appending documents and templates. </t>
  </si>
  <si>
    <r>
      <rPr>
        <b/>
        <sz val="8"/>
        <color theme="1"/>
        <rFont val="Calibri"/>
        <family val="2"/>
        <scheme val="minor"/>
      </rPr>
      <t>APX.J.1</t>
    </r>
    <r>
      <rPr>
        <b/>
        <sz val="12"/>
        <color theme="1"/>
        <rFont val="Calibri"/>
        <family val="2"/>
        <scheme val="minor"/>
      </rPr>
      <t xml:space="preserve"> Required CAE Analyses</t>
    </r>
  </si>
  <si>
    <t>The supplier shall complete all analyses in accordance with JLR REQ 55-7025. The Lead Engineer shall ensure that the supplier has received, understood and shall conform to the JLR REQ 55-7025.</t>
  </si>
  <si>
    <r>
      <rPr>
        <b/>
        <sz val="8"/>
        <color theme="1"/>
        <rFont val="Calibri"/>
        <family val="2"/>
        <scheme val="minor"/>
      </rPr>
      <t>APX.J.2</t>
    </r>
    <r>
      <rPr>
        <b/>
        <sz val="12"/>
        <color theme="1"/>
        <rFont val="Calibri"/>
        <family val="2"/>
        <scheme val="minor"/>
      </rPr>
      <t xml:space="preserve"> Required Supplier Skills and Experience</t>
    </r>
  </si>
  <si>
    <t>The supplier shall demonstrate, with evidence if requested, that any individual directly or indirectly involved in the analysis process and reporting are capable in accordance with the Jaguar Land Rover requirements as defined below;</t>
  </si>
  <si>
    <t>AREA OF EXPERTISE</t>
  </si>
  <si>
    <t>REMARKS / NOTES</t>
  </si>
  <si>
    <t>APX.J.2.1 CAE Software</t>
  </si>
  <si>
    <t>The supplier shall make sure that any software packages are updated to the latest available release and are fully patched.</t>
  </si>
  <si>
    <t>Autodesk Moldflow.</t>
  </si>
  <si>
    <t>This is the approved tool as required by Jaguar Land Rover.</t>
  </si>
  <si>
    <t>APX.J.2.2 CAE Engineer Experience</t>
  </si>
  <si>
    <t>All CAE engineers conducting the analysis must have theoretical and practical knowledge of injection moulding and mould design, material properties (in particular melt flow and thermomechanical properties), Design Of Experiments (DOE) techniques and robust CAE model building.</t>
  </si>
  <si>
    <t>APX.J.2.3 CAE Engineer Certification</t>
  </si>
  <si>
    <t>The CAE engineer responsible for sign-off/data release to JLR should log their CAE Injection Moulded Plastics Certification Level.</t>
  </si>
  <si>
    <t>Evidence of qualifications shall be presented upon request by Jaguar Land Rover.</t>
  </si>
  <si>
    <t>APX.J.2.4 Bespoke Requirements</t>
  </si>
  <si>
    <r>
      <rPr>
        <b/>
        <sz val="8"/>
        <color theme="1"/>
        <rFont val="Calibri"/>
        <family val="2"/>
        <scheme val="minor"/>
      </rPr>
      <t>APX.J.3</t>
    </r>
    <r>
      <rPr>
        <b/>
        <sz val="12"/>
        <color theme="1"/>
        <rFont val="Calibri"/>
        <family val="2"/>
        <scheme val="minor"/>
      </rPr>
      <t xml:space="preserve"> Supplier Deliverables</t>
    </r>
  </si>
  <si>
    <t>The supplier shall provide deliverables at an agreed cadence with the Jaguar Land Rover Lead Engineer in accordance with the requirements defined below;</t>
  </si>
  <si>
    <t>DELIVERABLE</t>
  </si>
  <si>
    <t>APX.J.3.1 CAE Results</t>
  </si>
  <si>
    <r>
      <t xml:space="preserve">Analysis results to be reported and supplied consist of two distinct parts:
</t>
    </r>
    <r>
      <rPr>
        <b/>
        <sz val="10"/>
        <color theme="1"/>
        <rFont val="Calibri"/>
        <family val="2"/>
        <scheme val="minor"/>
      </rPr>
      <t>Part 1 - Report files</t>
    </r>
    <r>
      <rPr>
        <sz val="10"/>
        <color theme="1"/>
        <rFont val="Calibri"/>
        <family val="2"/>
        <scheme val="minor"/>
      </rPr>
      <t xml:space="preserve">
1a. JLR CAE analysis sheets in native Excel format.
1b. JLR CAE analysis Report in .pdf which shall combine the excel result and PowerPoint files.
</t>
    </r>
    <r>
      <rPr>
        <b/>
        <sz val="10"/>
        <color theme="1"/>
        <rFont val="Calibri"/>
        <family val="2"/>
        <scheme val="minor"/>
      </rPr>
      <t>Part 2 - CAE analysis results files</t>
    </r>
    <r>
      <rPr>
        <sz val="10"/>
        <color theme="1"/>
        <rFont val="Calibri"/>
        <family val="2"/>
        <scheme val="minor"/>
      </rPr>
      <t xml:space="preserve">
2. Autodesk Moldflow (.mfr)</t>
    </r>
  </si>
  <si>
    <t>APX.J.3.2 CAE Model</t>
  </si>
  <si>
    <t xml:space="preserve">Autodesk Moldflow (.sdy files). The model file shall contain the complete runner system and cooling elements such as cooling channels, bubblers, baffles and mould inserts. Material Properties .udb File. </t>
  </si>
  <si>
    <t>Required on request</t>
  </si>
  <si>
    <r>
      <t>APX.J.3.3</t>
    </r>
    <r>
      <rPr>
        <b/>
        <sz val="10"/>
        <rFont val="Calibri"/>
        <family val="2"/>
        <scheme val="minor"/>
      </rPr>
      <t xml:space="preserve"> Tool Design CAD Files</t>
    </r>
  </si>
  <si>
    <r>
      <t xml:space="preserve">Complete 3D tool design </t>
    </r>
    <r>
      <rPr>
        <sz val="10"/>
        <rFont val="Calibri"/>
        <family val="2"/>
        <scheme val="minor"/>
      </rPr>
      <t>with runner system</t>
    </r>
    <r>
      <rPr>
        <sz val="10"/>
        <color theme="1"/>
        <rFont val="Calibri"/>
        <family val="2"/>
        <scheme val="minor"/>
      </rPr>
      <t xml:space="preserve"> and cooling elements such as cooling channels, bubblers, baffles and mould inserts.</t>
    </r>
  </si>
  <si>
    <r>
      <t xml:space="preserve">APX.J.3.4 </t>
    </r>
    <r>
      <rPr>
        <b/>
        <sz val="10"/>
        <rFont val="Calibri"/>
        <family val="2"/>
        <scheme val="minor"/>
      </rPr>
      <t>Manufacturing</t>
    </r>
    <r>
      <rPr>
        <b/>
        <sz val="10"/>
        <color theme="1"/>
        <rFont val="Calibri"/>
        <family val="2"/>
        <scheme val="minor"/>
      </rPr>
      <t xml:space="preserve"> Process Parameters </t>
    </r>
  </si>
  <si>
    <t>Process parameters sheet of the component that meets aesthetical and dimensional criteria. Typically these are the coolant inlet flow rates and temperatures, melt temperature, injection velocity (including valve gate sequencing), fill time, metering stroke, velocity/pressure switchover point and maximum injection pressure, packing pressure and time, melt cushion, cooling time, cycle time, clamp force.</t>
  </si>
  <si>
    <t>APX.J.3.5 Supplier Injection Moulding Machine List</t>
  </si>
  <si>
    <t>A list of the number and type of injection moulding machines with respect to clamp unit, injection unit and tool size capabilities.</t>
  </si>
  <si>
    <t>APX.J.3.5 Bespoke Requirements</t>
  </si>
  <si>
    <t>THIS PAGE IS INTENTIONALLY LEFT BLANK</t>
  </si>
  <si>
    <t>Marton Minda</t>
  </si>
  <si>
    <t>mminda1</t>
  </si>
  <si>
    <t>mminda1@jaguarlandrover.com</t>
  </si>
  <si>
    <t>L463 30MY Injection Moulded PANELS</t>
  </si>
  <si>
    <t>L463 30MY IM PANELS</t>
  </si>
  <si>
    <r>
      <t xml:space="preserve">The supplier must prove that all parts comply with:
STJLR.51.5226 Standard Requirements For Production Materials
</t>
    </r>
    <r>
      <rPr>
        <strike/>
        <sz val="10"/>
        <rFont val="Calibri"/>
        <family val="2"/>
        <scheme val="minor"/>
      </rPr>
      <t>STJLR.51.5341 Material Performance - Carpet</t>
    </r>
    <r>
      <rPr>
        <sz val="10"/>
        <rFont val="Calibri"/>
        <family val="2"/>
        <scheme val="minor"/>
      </rPr>
      <t xml:space="preserve">
STJLR.51.5229 Environmental Quality Requirements for Interior Materials and Components
</t>
    </r>
    <r>
      <rPr>
        <strike/>
        <sz val="10"/>
        <rFont val="Calibri"/>
        <family val="2"/>
        <scheme val="minor"/>
      </rPr>
      <t>STJLR.51.5281 Polymeric foils. Gouge Test Acceptance criteria as per TPJLR.52.015 Appendix C</t>
    </r>
    <r>
      <rPr>
        <sz val="10"/>
        <rFont val="Calibri"/>
        <family val="2"/>
        <scheme val="minor"/>
      </rPr>
      <t xml:space="preserve">
</t>
    </r>
    <r>
      <rPr>
        <strike/>
        <sz val="10"/>
        <rFont val="Calibri"/>
        <family val="2"/>
        <scheme val="minor"/>
      </rPr>
      <t>STJLR.51.5306 Performance Requirements of Thermoplastic Elastomers (TPEs) Class A</t>
    </r>
  </si>
  <si>
    <t>L463 IM ACCESS PANELS DVP V8 2025 INTERIOR 20260325</t>
  </si>
  <si>
    <t>L463_29MY Panels PVP&amp;R</t>
  </si>
  <si>
    <t>L463_29MY Panels SCSS</t>
  </si>
  <si>
    <t>L463 IM ACCESS PANELS_SCSS</t>
  </si>
  <si>
    <t>Constructoin changed to Grained and Injection moulded ABS
Requirements for wrapped parts and foils removed
Requirements for unpainted plastics added
Timings updated to reflect current VPF</t>
  </si>
  <si>
    <t>STJLR.01.5019</t>
  </si>
  <si>
    <t>STJLR.01.5019 Unpainted Plastic: Cosmetic Appearance
Requirements of Thermoplastic
Elastomers (TPEs)</t>
  </si>
  <si>
    <t>STJLR.51.5229 Environmental Quality Requirements forInterior Materials and Components</t>
  </si>
  <si>
    <t>The parts contained within this eSOW are make to print floor access panel which provides access to an area of the fuel system, and provide a walkthrough floor for the 3rd row.</t>
  </si>
  <si>
    <t>System interfaces: Main Floor Carpet, BIW</t>
  </si>
  <si>
    <t>The parts within this eSOW will interface and join to main floor carpet and BIW brackets.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</si>
</sst>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8" x14ac:knownFonts="1">
    <font>
      <sz val="11"/>
      <color theme="1"/>
      <name val="Calibri"/>
      <family val="2"/>
      <scheme val="minor"/>
    </font>
    <font>
      <b/>
      <sz val="11"/>
      <color theme="1"/>
      <name val="Calibri"/>
      <family val="2"/>
      <scheme val="minor"/>
    </font>
    <font>
      <b/>
      <sz val="10"/>
      <color theme="1"/>
      <name val="Calibri"/>
      <family val="2"/>
      <scheme val="minor"/>
    </font>
    <font>
      <sz val="9"/>
      <color theme="1"/>
      <name val="Calibri"/>
      <family val="2"/>
      <scheme val="minor"/>
    </font>
    <font>
      <sz val="9"/>
      <name val="Calibri"/>
      <family val="2"/>
      <scheme val="minor"/>
    </font>
    <font>
      <b/>
      <sz val="9"/>
      <color theme="1"/>
      <name val="Calibri"/>
      <family val="2"/>
      <scheme val="minor"/>
    </font>
    <font>
      <sz val="10"/>
      <color theme="1"/>
      <name val="Calibri"/>
      <family val="2"/>
      <scheme val="minor"/>
    </font>
    <font>
      <sz val="8"/>
      <color theme="1"/>
      <name val="Calibri"/>
      <family val="2"/>
      <scheme val="minor"/>
    </font>
    <font>
      <b/>
      <sz val="8"/>
      <color theme="1"/>
      <name val="Calibri"/>
      <family val="2"/>
      <scheme val="minor"/>
    </font>
    <font>
      <b/>
      <sz val="10"/>
      <name val="Calibri"/>
      <family val="2"/>
      <scheme val="minor"/>
    </font>
    <font>
      <i/>
      <sz val="8"/>
      <color theme="1"/>
      <name val="Calibri"/>
      <family val="2"/>
      <scheme val="minor"/>
    </font>
    <font>
      <sz val="8"/>
      <name val="Calibri"/>
      <family val="2"/>
      <scheme val="minor"/>
    </font>
    <font>
      <b/>
      <u/>
      <sz val="8"/>
      <color theme="1"/>
      <name val="Calibri"/>
      <family val="2"/>
      <scheme val="minor"/>
    </font>
    <font>
      <sz val="9"/>
      <color theme="0" tint="-0.499984740745262"/>
      <name val="Calibri"/>
      <family val="2"/>
      <scheme val="minor"/>
    </font>
    <font>
      <sz val="8"/>
      <color theme="0" tint="-0.499984740745262"/>
      <name val="Calibri"/>
      <family val="2"/>
      <scheme val="minor"/>
    </font>
    <font>
      <b/>
      <sz val="12"/>
      <color theme="1"/>
      <name val="Calibri"/>
      <family val="2"/>
      <scheme val="minor"/>
    </font>
    <font>
      <sz val="8"/>
      <color theme="8" tint="0.39997558519241921"/>
      <name val="Calibri"/>
      <family val="2"/>
      <scheme val="minor"/>
    </font>
    <font>
      <sz val="9"/>
      <color indexed="81"/>
      <name val="Tahoma"/>
      <family val="2"/>
    </font>
    <font>
      <b/>
      <sz val="9"/>
      <color indexed="81"/>
      <name val="Tahoma"/>
      <family val="2"/>
    </font>
    <font>
      <b/>
      <u/>
      <sz val="9"/>
      <color indexed="81"/>
      <name val="Tahoma"/>
      <family val="2"/>
    </font>
    <font>
      <sz val="10"/>
      <name val="Calibri"/>
      <family val="2"/>
      <scheme val="minor"/>
    </font>
    <font>
      <i/>
      <sz val="10"/>
      <color theme="1"/>
      <name val="Calibri"/>
      <family val="2"/>
      <scheme val="minor"/>
    </font>
    <font>
      <sz val="8"/>
      <color rgb="FFC00000"/>
      <name val="Calibri"/>
      <family val="2"/>
      <scheme val="minor"/>
    </font>
    <font>
      <u/>
      <sz val="10"/>
      <color theme="1"/>
      <name val="Calibri"/>
      <family val="2"/>
      <scheme val="minor"/>
    </font>
    <font>
      <b/>
      <u/>
      <sz val="11"/>
      <color theme="1"/>
      <name val="Calibri"/>
      <family val="2"/>
      <scheme val="minor"/>
    </font>
    <font>
      <b/>
      <sz val="11"/>
      <name val="Calibri"/>
      <family val="2"/>
      <scheme val="minor"/>
    </font>
    <font>
      <sz val="12"/>
      <color theme="1"/>
      <name val="Calibri"/>
      <family val="2"/>
      <scheme val="minor"/>
    </font>
    <font>
      <b/>
      <sz val="10"/>
      <color rgb="FFFF0000"/>
      <name val="Calibri"/>
      <family val="2"/>
      <scheme val="minor"/>
    </font>
    <font>
      <b/>
      <sz val="16"/>
      <color theme="1"/>
      <name val="Calibri"/>
      <family val="2"/>
      <scheme val="minor"/>
    </font>
    <font>
      <sz val="16"/>
      <color theme="1"/>
      <name val="Calibri"/>
      <family val="2"/>
      <scheme val="minor"/>
    </font>
    <font>
      <b/>
      <sz val="12"/>
      <color rgb="FF000000"/>
      <name val="Calibri"/>
      <family val="2"/>
      <scheme val="minor"/>
    </font>
    <font>
      <b/>
      <u/>
      <sz val="11"/>
      <color rgb="FF000000"/>
      <name val="Calibri"/>
      <family val="2"/>
      <scheme val="minor"/>
    </font>
    <font>
      <sz val="10"/>
      <color rgb="FF000000"/>
      <name val="Calibri"/>
      <family val="2"/>
      <scheme val="minor"/>
    </font>
    <font>
      <sz val="11"/>
      <color rgb="FF000000"/>
      <name val="Calibri"/>
      <family val="2"/>
      <scheme val="minor"/>
    </font>
    <font>
      <sz val="10"/>
      <name val="Arial"/>
      <family val="2"/>
    </font>
    <font>
      <i/>
      <sz val="9"/>
      <color indexed="81"/>
      <name val="Tahoma"/>
      <family val="2"/>
    </font>
    <font>
      <b/>
      <sz val="12"/>
      <color rgb="FFFF0000"/>
      <name val="Calibri"/>
      <family val="2"/>
      <scheme val="minor"/>
    </font>
    <font>
      <b/>
      <sz val="8"/>
      <color rgb="FF000000"/>
      <name val="Calibri"/>
      <family val="2"/>
      <scheme val="minor"/>
    </font>
    <font>
      <b/>
      <u/>
      <sz val="11"/>
      <name val="Calibri"/>
      <family val="2"/>
      <scheme val="minor"/>
    </font>
    <font>
      <u/>
      <sz val="11"/>
      <color theme="1"/>
      <name val="Calibri"/>
      <family val="2"/>
      <scheme val="minor"/>
    </font>
    <font>
      <sz val="9"/>
      <color rgb="FFC00000"/>
      <name val="Calibri"/>
      <family val="2"/>
      <scheme val="minor"/>
    </font>
    <font>
      <b/>
      <u/>
      <sz val="10"/>
      <color theme="1"/>
      <name val="Calibri"/>
      <family val="2"/>
      <scheme val="minor"/>
    </font>
    <font>
      <b/>
      <sz val="8"/>
      <name val="Calibri"/>
      <family val="2"/>
      <scheme val="minor"/>
    </font>
    <font>
      <b/>
      <u/>
      <sz val="8"/>
      <name val="Calibri"/>
      <family val="2"/>
      <scheme val="minor"/>
    </font>
    <font>
      <b/>
      <sz val="10"/>
      <color rgb="FFC00000"/>
      <name val="Calibri"/>
      <family val="2"/>
      <scheme val="minor"/>
    </font>
    <font>
      <b/>
      <sz val="9"/>
      <color rgb="FFC00000"/>
      <name val="Calibri"/>
      <family val="2"/>
      <scheme val="minor"/>
    </font>
    <font>
      <sz val="11"/>
      <name val="Calibri"/>
      <family val="2"/>
      <scheme val="minor"/>
    </font>
    <font>
      <b/>
      <sz val="9"/>
      <name val="Calibri"/>
      <family val="2"/>
      <scheme val="minor"/>
    </font>
    <font>
      <strike/>
      <sz val="9"/>
      <name val="Calibri"/>
      <family val="2"/>
      <scheme val="minor"/>
    </font>
    <font>
      <sz val="9"/>
      <name val="Calibri"/>
      <family val="2"/>
    </font>
    <font>
      <i/>
      <sz val="8"/>
      <name val="Calibri"/>
      <family val="2"/>
      <scheme val="minor"/>
    </font>
    <font>
      <sz val="9"/>
      <color rgb="FF000000"/>
      <name val="Calibri"/>
      <family val="2"/>
    </font>
    <font>
      <strike/>
      <sz val="9"/>
      <color rgb="FF000000"/>
      <name val="Calibri"/>
      <family val="2"/>
    </font>
    <font>
      <sz val="9"/>
      <color rgb="FFFF0000"/>
      <name val="Calibri"/>
      <family val="2"/>
    </font>
    <font>
      <strike/>
      <sz val="9"/>
      <name val="Calibri"/>
      <family val="2"/>
    </font>
    <font>
      <i/>
      <sz val="9"/>
      <name val="Calibri"/>
      <family val="2"/>
      <scheme val="minor"/>
    </font>
    <font>
      <sz val="10"/>
      <color rgb="FFFF0000"/>
      <name val="Calibri"/>
      <family val="2"/>
      <scheme val="minor"/>
    </font>
    <font>
      <sz val="28"/>
      <color rgb="FFFF0000"/>
      <name val="Calibri"/>
      <family val="2"/>
      <scheme val="minor"/>
    </font>
    <font>
      <sz val="10"/>
      <color theme="0"/>
      <name val="Calibri"/>
      <family val="2"/>
      <scheme val="minor"/>
    </font>
    <font>
      <b/>
      <sz val="10"/>
      <color theme="0"/>
      <name val="Calibri"/>
      <family val="2"/>
      <scheme val="minor"/>
    </font>
    <font>
      <b/>
      <sz val="8"/>
      <color theme="0"/>
      <name val="Calibri"/>
      <family val="2"/>
      <scheme val="minor"/>
    </font>
    <font>
      <b/>
      <u/>
      <sz val="9"/>
      <name val="Calibri"/>
      <family val="2"/>
      <scheme val="minor"/>
    </font>
    <font>
      <b/>
      <sz val="16"/>
      <name val="Calibri"/>
      <family val="2"/>
      <scheme val="minor"/>
    </font>
    <font>
      <sz val="16"/>
      <name val="Calibri"/>
      <family val="2"/>
      <scheme val="minor"/>
    </font>
    <font>
      <i/>
      <sz val="9"/>
      <color theme="1"/>
      <name val="Calibri"/>
      <family val="2"/>
      <scheme val="minor"/>
    </font>
    <font>
      <strike/>
      <sz val="9"/>
      <color theme="1"/>
      <name val="Calibri"/>
      <family val="2"/>
      <scheme val="minor"/>
    </font>
    <font>
      <sz val="9"/>
      <color theme="1"/>
      <name val="Calibri"/>
      <family val="2"/>
    </font>
    <font>
      <sz val="9"/>
      <color theme="2" tint="-0.499984740745262"/>
      <name val="Calibri"/>
      <family val="2"/>
      <scheme val="minor"/>
    </font>
    <font>
      <u/>
      <sz val="11"/>
      <color theme="10"/>
      <name val="Calibri"/>
      <family val="2"/>
      <scheme val="minor"/>
    </font>
    <font>
      <b/>
      <sz val="10"/>
      <color rgb="FF000000"/>
      <name val="Calibri"/>
      <family val="2"/>
      <scheme val="minor"/>
    </font>
    <font>
      <sz val="18"/>
      <color theme="1"/>
      <name val="Calibri"/>
      <family val="2"/>
      <scheme val="minor"/>
    </font>
    <font>
      <b/>
      <sz val="12"/>
      <name val="Calibri"/>
      <family val="2"/>
      <scheme val="minor"/>
    </font>
    <font>
      <b/>
      <sz val="11"/>
      <color theme="1"/>
      <name val="Arial"/>
      <family val="2"/>
    </font>
    <font>
      <sz val="11"/>
      <color rgb="FF000000"/>
      <name val="Arial"/>
      <family val="2"/>
    </font>
    <font>
      <i/>
      <sz val="10"/>
      <name val="Calibri"/>
      <family val="2"/>
      <scheme val="minor"/>
    </font>
    <font>
      <i/>
      <sz val="11"/>
      <color theme="1"/>
      <name val="Calibri"/>
      <family val="2"/>
      <scheme val="minor"/>
    </font>
    <font>
      <i/>
      <sz val="11"/>
      <name val="Calibri"/>
      <family val="2"/>
      <scheme val="minor"/>
    </font>
    <font>
      <strike/>
      <sz val="10"/>
      <name val="Calibri"/>
      <family val="2"/>
      <scheme val="minor"/>
    </font>
  </fonts>
  <fills count="23">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D9D9D9"/>
        <bgColor rgb="FF000000"/>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rgb="FFFF0066"/>
        <bgColor indexed="64"/>
      </patternFill>
    </fill>
    <fill>
      <patternFill patternType="solid">
        <fgColor theme="3" tint="0.59999389629810485"/>
        <bgColor indexed="64"/>
      </patternFill>
    </fill>
    <fill>
      <patternFill patternType="solid">
        <fgColor theme="9" tint="0.59999389629810485"/>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dotted">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dotted">
        <color indexed="64"/>
      </bottom>
      <diagonal/>
    </border>
    <border>
      <left style="dashed">
        <color indexed="64"/>
      </left>
      <right/>
      <top style="thin">
        <color indexed="64"/>
      </top>
      <bottom style="dashed">
        <color indexed="64"/>
      </bottom>
      <diagonal/>
    </border>
    <border>
      <left/>
      <right style="dashed">
        <color indexed="64"/>
      </right>
      <top style="thin">
        <color indexed="64"/>
      </top>
      <bottom style="dashed">
        <color indexed="64"/>
      </bottom>
      <diagonal/>
    </border>
    <border>
      <left style="thin">
        <color indexed="64"/>
      </left>
      <right/>
      <top style="dashed">
        <color indexed="64"/>
      </top>
      <bottom/>
      <diagonal/>
    </border>
    <border>
      <left/>
      <right/>
      <top style="dashed">
        <color indexed="64"/>
      </top>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right/>
      <top style="medium">
        <color auto="1"/>
      </top>
      <bottom style="thin">
        <color auto="1"/>
      </bottom>
      <diagonal/>
    </border>
    <border>
      <left/>
      <right/>
      <top style="thin">
        <color indexed="64"/>
      </top>
      <bottom style="dashed">
        <color indexed="64"/>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medium">
        <color indexed="64"/>
      </left>
      <right style="medium">
        <color indexed="64"/>
      </right>
      <top style="medium">
        <color indexed="64"/>
      </top>
      <bottom style="medium">
        <color indexed="64"/>
      </bottom>
      <diagonal/>
    </border>
    <border>
      <left style="dashed">
        <color indexed="64"/>
      </left>
      <right/>
      <top style="dashed">
        <color indexed="64"/>
      </top>
      <bottom/>
      <diagonal/>
    </border>
    <border>
      <left/>
      <right style="thin">
        <color indexed="64"/>
      </right>
      <top style="dashed">
        <color indexed="64"/>
      </top>
      <bottom/>
      <diagonal/>
    </border>
    <border>
      <left/>
      <right style="dashed">
        <color indexed="64"/>
      </right>
      <top style="dashed">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theme="0"/>
      </left>
      <right/>
      <top style="thin">
        <color indexed="64"/>
      </top>
      <bottom style="thin">
        <color indexed="64"/>
      </bottom>
      <diagonal/>
    </border>
    <border>
      <left/>
      <right style="thin">
        <color theme="0"/>
      </right>
      <top style="thin">
        <color indexed="64"/>
      </top>
      <bottom style="thin">
        <color indexed="64"/>
      </bottom>
      <diagonal/>
    </border>
  </borders>
  <cellStyleXfs count="5">
    <xf numFmtId="0" fontId="0" fillId="0" borderId="0"/>
    <xf numFmtId="0" fontId="34" fillId="0" borderId="0"/>
    <xf numFmtId="0" fontId="34" fillId="0" borderId="0"/>
    <xf numFmtId="0" fontId="34" fillId="0" borderId="0"/>
    <xf numFmtId="0" fontId="68" fillId="0" borderId="0" applyNumberFormat="0" applyFill="0" applyBorder="0" applyAlignment="0" applyProtection="0"/>
  </cellStyleXfs>
  <cellXfs count="748">
    <xf numFmtId="0" fontId="0" fillId="0" borderId="0" xfId="0"/>
    <xf numFmtId="0" fontId="1" fillId="0" borderId="0" xfId="0" applyFont="1"/>
    <xf numFmtId="0" fontId="0" fillId="0" borderId="1" xfId="0" applyBorder="1" applyAlignment="1">
      <alignment horizontal="center" vertical="center" wrapText="1"/>
    </xf>
    <xf numFmtId="0" fontId="0" fillId="0" borderId="0" xfId="0" applyAlignment="1">
      <alignment horizontal="center" vertical="center" wrapText="1"/>
    </xf>
    <xf numFmtId="0" fontId="5" fillId="0" borderId="0" xfId="0" applyFont="1" applyAlignment="1">
      <alignment horizontal="center" vertical="center"/>
    </xf>
    <xf numFmtId="0" fontId="3" fillId="0" borderId="0" xfId="0" applyFont="1" applyAlignment="1">
      <alignment horizontal="center" vertical="center"/>
    </xf>
    <xf numFmtId="0" fontId="14" fillId="0" borderId="1" xfId="0" applyFont="1" applyBorder="1" applyAlignment="1">
      <alignment horizontal="center" vertical="center"/>
    </xf>
    <xf numFmtId="0" fontId="7" fillId="0" borderId="0" xfId="0" applyFont="1" applyAlignment="1">
      <alignment horizontal="center" vertical="center"/>
    </xf>
    <xf numFmtId="0" fontId="7" fillId="0" borderId="1" xfId="0" applyFont="1" applyBorder="1" applyAlignment="1">
      <alignment horizontal="center" vertical="center"/>
    </xf>
    <xf numFmtId="0" fontId="0" fillId="0" borderId="0" xfId="0" applyAlignment="1">
      <alignment horizontal="center" vertical="center"/>
    </xf>
    <xf numFmtId="0" fontId="7" fillId="0" borderId="11" xfId="0" applyFont="1" applyBorder="1" applyAlignment="1">
      <alignment horizontal="center" vertical="center"/>
    </xf>
    <xf numFmtId="0" fontId="8" fillId="7" borderId="1" xfId="0" applyFont="1" applyFill="1" applyBorder="1" applyAlignment="1">
      <alignment horizontal="left" vertical="center"/>
    </xf>
    <xf numFmtId="0" fontId="8" fillId="0" borderId="20" xfId="0" applyFont="1" applyBorder="1" applyAlignment="1">
      <alignment horizontal="left" vertical="center"/>
    </xf>
    <xf numFmtId="0" fontId="8" fillId="0" borderId="1" xfId="0" applyFont="1" applyBorder="1" applyAlignment="1">
      <alignment horizontal="left" vertical="center"/>
    </xf>
    <xf numFmtId="0" fontId="8" fillId="0" borderId="20" xfId="0" applyFont="1" applyBorder="1" applyAlignment="1">
      <alignment horizontal="center" vertical="center"/>
    </xf>
    <xf numFmtId="0" fontId="7" fillId="0" borderId="20" xfId="0" applyFont="1" applyBorder="1" applyAlignment="1">
      <alignment horizontal="center" vertical="center"/>
    </xf>
    <xf numFmtId="0" fontId="7" fillId="0" borderId="19" xfId="0" applyFont="1" applyBorder="1" applyAlignment="1">
      <alignment horizontal="center" vertical="center"/>
    </xf>
    <xf numFmtId="0" fontId="7" fillId="7" borderId="11" xfId="0" applyFont="1" applyFill="1" applyBorder="1" applyAlignment="1">
      <alignment horizontal="center" vertical="center"/>
    </xf>
    <xf numFmtId="0" fontId="7" fillId="0" borderId="18" xfId="0" applyFont="1" applyBorder="1" applyAlignment="1">
      <alignment horizontal="center" vertical="center"/>
    </xf>
    <xf numFmtId="0" fontId="8" fillId="0" borderId="18" xfId="0" applyFont="1" applyBorder="1" applyAlignment="1">
      <alignment horizontal="left" vertical="center"/>
    </xf>
    <xf numFmtId="0" fontId="8" fillId="0" borderId="1" xfId="0" applyFont="1" applyBorder="1" applyAlignment="1">
      <alignment horizontal="left" vertical="center" wrapText="1"/>
    </xf>
    <xf numFmtId="0" fontId="8" fillId="0" borderId="0" xfId="0" applyFont="1" applyAlignment="1">
      <alignment horizontal="left" vertical="center"/>
    </xf>
    <xf numFmtId="0" fontId="8" fillId="7" borderId="10" xfId="0" applyFont="1" applyFill="1" applyBorder="1" applyAlignment="1">
      <alignment horizontal="left" vertical="center"/>
    </xf>
    <xf numFmtId="0" fontId="8" fillId="0" borderId="2" xfId="0" applyFont="1" applyBorder="1" applyAlignment="1">
      <alignment horizontal="left" vertical="center"/>
    </xf>
    <xf numFmtId="0" fontId="7" fillId="0" borderId="3" xfId="0" applyFont="1" applyBorder="1" applyAlignment="1">
      <alignment horizontal="center" vertical="center"/>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16" fillId="0" borderId="1" xfId="0" applyFont="1" applyBorder="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justify" vertical="center"/>
    </xf>
    <xf numFmtId="0" fontId="3" fillId="0" borderId="0" xfId="0" applyFont="1" applyAlignment="1">
      <alignment horizontal="justify" vertical="center" wrapText="1"/>
    </xf>
    <xf numFmtId="0" fontId="0" fillId="0" borderId="0" xfId="0" applyAlignment="1">
      <alignment vertical="center"/>
    </xf>
    <xf numFmtId="0" fontId="0" fillId="0" borderId="8" xfId="0" applyBorder="1"/>
    <xf numFmtId="0" fontId="7" fillId="0" borderId="1" xfId="0" applyFont="1" applyBorder="1" applyAlignment="1">
      <alignment horizontal="center" vertical="center" wrapText="1"/>
    </xf>
    <xf numFmtId="0" fontId="8" fillId="0" borderId="18" xfId="0" applyFont="1" applyBorder="1" applyAlignment="1">
      <alignment horizontal="center" vertical="center"/>
    </xf>
    <xf numFmtId="0" fontId="8" fillId="0" borderId="0" xfId="0" applyFont="1" applyAlignment="1">
      <alignment horizontal="center" vertical="center"/>
    </xf>
    <xf numFmtId="0" fontId="2" fillId="3" borderId="1" xfId="0" applyFont="1" applyFill="1" applyBorder="1" applyAlignment="1">
      <alignment horizontal="center" vertical="center"/>
    </xf>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5" fillId="5" borderId="1" xfId="0" applyFont="1" applyFill="1" applyBorder="1" applyAlignment="1">
      <alignment horizontal="center" vertical="center"/>
    </xf>
    <xf numFmtId="0" fontId="3" fillId="0" borderId="1" xfId="0" applyFont="1" applyBorder="1" applyAlignment="1">
      <alignment horizontal="center" vertical="center" wrapText="1"/>
    </xf>
    <xf numFmtId="0" fontId="0" fillId="0" borderId="0" xfId="0" applyAlignment="1">
      <alignment horizontal="left"/>
    </xf>
    <xf numFmtId="0" fontId="1" fillId="0" borderId="2" xfId="0" applyFont="1" applyBorder="1"/>
    <xf numFmtId="0" fontId="0" fillId="0" borderId="1" xfId="0" applyBorder="1"/>
    <xf numFmtId="0" fontId="0" fillId="2" borderId="12" xfId="0" applyFill="1" applyBorder="1"/>
    <xf numFmtId="0" fontId="6"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2" xfId="0" applyFont="1" applyFill="1" applyBorder="1" applyAlignment="1">
      <alignment horizontal="center" vertical="center"/>
    </xf>
    <xf numFmtId="0" fontId="6" fillId="2" borderId="2" xfId="0" applyFont="1" applyFill="1" applyBorder="1" applyAlignment="1">
      <alignment horizontal="left" vertical="center"/>
    </xf>
    <xf numFmtId="0" fontId="6" fillId="2" borderId="10" xfId="0" applyFont="1" applyFill="1" applyBorder="1" applyAlignment="1">
      <alignment horizontal="left" vertical="center"/>
    </xf>
    <xf numFmtId="0" fontId="6" fillId="0" borderId="0" xfId="0" applyFont="1" applyAlignment="1">
      <alignment vertical="center"/>
    </xf>
    <xf numFmtId="0" fontId="6" fillId="0" borderId="1" xfId="0" applyFont="1" applyBorder="1"/>
    <xf numFmtId="0" fontId="2" fillId="3" borderId="19" xfId="0" applyFont="1" applyFill="1" applyBorder="1" applyAlignment="1">
      <alignment horizontal="right" vertical="center"/>
    </xf>
    <xf numFmtId="0" fontId="2" fillId="3" borderId="1" xfId="0" applyFont="1" applyFill="1" applyBorder="1" applyAlignment="1">
      <alignment horizontal="right" vertical="center"/>
    </xf>
    <xf numFmtId="0" fontId="2" fillId="3" borderId="7" xfId="0" applyFont="1" applyFill="1" applyBorder="1" applyAlignment="1">
      <alignment horizontal="right" vertical="center"/>
    </xf>
    <xf numFmtId="0" fontId="7" fillId="0" borderId="0" xfId="0" applyFont="1" applyAlignment="1">
      <alignment horizontal="left" vertical="center" wrapText="1"/>
    </xf>
    <xf numFmtId="0" fontId="24" fillId="0" borderId="0" xfId="0" applyFont="1"/>
    <xf numFmtId="0" fontId="24" fillId="0" borderId="0" xfId="0" applyFont="1" applyAlignment="1">
      <alignment horizontal="left"/>
    </xf>
    <xf numFmtId="0" fontId="0" fillId="0" borderId="3" xfId="0" applyBorder="1"/>
    <xf numFmtId="0" fontId="0" fillId="0" borderId="4" xfId="0" applyBorder="1"/>
    <xf numFmtId="0" fontId="0" fillId="0" borderId="5" xfId="0" applyBorder="1"/>
    <xf numFmtId="0" fontId="0" fillId="0" borderId="6" xfId="0" applyBorder="1"/>
    <xf numFmtId="0" fontId="0" fillId="0" borderId="9" xfId="0" applyBorder="1"/>
    <xf numFmtId="0" fontId="6" fillId="0" borderId="5" xfId="0" applyFont="1" applyBorder="1" applyAlignment="1">
      <alignment horizontal="left" vertical="center"/>
    </xf>
    <xf numFmtId="0" fontId="6" fillId="0" borderId="7" xfId="0" applyFont="1" applyBorder="1" applyAlignment="1">
      <alignment horizontal="left" vertical="center"/>
    </xf>
    <xf numFmtId="0" fontId="2" fillId="0" borderId="2" xfId="0" applyFont="1" applyBorder="1" applyAlignment="1">
      <alignment horizontal="left" vertical="center"/>
    </xf>
    <xf numFmtId="0" fontId="7" fillId="0" borderId="6" xfId="0" applyFont="1" applyBorder="1" applyAlignment="1">
      <alignment horizontal="center" vertical="center"/>
    </xf>
    <xf numFmtId="0" fontId="6" fillId="0" borderId="5" xfId="0" applyFont="1" applyBorder="1"/>
    <xf numFmtId="0" fontId="6" fillId="0" borderId="0" xfId="0" applyFont="1"/>
    <xf numFmtId="0" fontId="6" fillId="0" borderId="6" xfId="0" applyFont="1" applyBorder="1"/>
    <xf numFmtId="0" fontId="2" fillId="4" borderId="1" xfId="0" applyFont="1" applyFill="1" applyBorder="1" applyAlignment="1">
      <alignment horizontal="center" vertical="center"/>
    </xf>
    <xf numFmtId="0" fontId="1" fillId="0" borderId="19" xfId="0" applyFont="1" applyBorder="1" applyAlignment="1">
      <alignment horizontal="left"/>
    </xf>
    <xf numFmtId="0" fontId="20" fillId="0" borderId="20" xfId="0" applyFont="1" applyBorder="1" applyAlignment="1">
      <alignment horizontal="left" vertical="center"/>
    </xf>
    <xf numFmtId="0" fontId="6" fillId="0" borderId="20" xfId="0" applyFont="1" applyBorder="1" applyAlignment="1">
      <alignment horizontal="left" vertical="center"/>
    </xf>
    <xf numFmtId="0" fontId="0" fillId="0" borderId="20" xfId="0" applyBorder="1" applyAlignment="1">
      <alignment horizontal="left"/>
    </xf>
    <xf numFmtId="0" fontId="0" fillId="0" borderId="18" xfId="0" applyBorder="1" applyAlignment="1">
      <alignment horizontal="left"/>
    </xf>
    <xf numFmtId="0" fontId="6" fillId="0" borderId="0" xfId="0" applyFont="1" applyAlignment="1">
      <alignment horizontal="left" vertical="center" wrapText="1"/>
    </xf>
    <xf numFmtId="0" fontId="6" fillId="0" borderId="0" xfId="0" applyFont="1" applyAlignment="1">
      <alignment horizontal="center" vertical="center"/>
    </xf>
    <xf numFmtId="0" fontId="6" fillId="0" borderId="5" xfId="0" applyFont="1" applyBorder="1" applyAlignment="1">
      <alignment horizontal="left" vertical="center" wrapText="1"/>
    </xf>
    <xf numFmtId="0" fontId="6" fillId="0" borderId="6" xfId="0" applyFont="1" applyBorder="1" applyAlignment="1">
      <alignment horizontal="center" vertical="center"/>
    </xf>
    <xf numFmtId="0" fontId="5" fillId="0" borderId="1" xfId="0" applyFont="1" applyBorder="1" applyAlignment="1">
      <alignment horizontal="center" vertical="center" wrapText="1"/>
    </xf>
    <xf numFmtId="0" fontId="11" fillId="0" borderId="0" xfId="0" applyFont="1" applyAlignment="1">
      <alignment horizontal="left" vertical="center" wrapText="1"/>
    </xf>
    <xf numFmtId="0" fontId="0" fillId="0" borderId="11" xfId="0" applyBorder="1" applyAlignment="1">
      <alignment horizontal="center" vertical="center"/>
    </xf>
    <xf numFmtId="0" fontId="3" fillId="0" borderId="11" xfId="0" applyFont="1" applyBorder="1" applyAlignment="1">
      <alignment horizontal="center" vertical="center"/>
    </xf>
    <xf numFmtId="0" fontId="6" fillId="0" borderId="0" xfId="0" applyFont="1" applyAlignment="1">
      <alignment horizontal="justify" vertical="center" wrapText="1"/>
    </xf>
    <xf numFmtId="0" fontId="1" fillId="0" borderId="0" xfId="0" applyFont="1" applyAlignment="1">
      <alignment horizontal="center" vertical="center"/>
    </xf>
    <xf numFmtId="0" fontId="6" fillId="0" borderId="1" xfId="0" applyFont="1" applyBorder="1" applyAlignment="1">
      <alignment horizontal="center" vertical="center" wrapText="1"/>
    </xf>
    <xf numFmtId="0" fontId="2" fillId="2" borderId="0" xfId="0" applyFont="1" applyFill="1" applyAlignment="1">
      <alignment horizontal="center" vertical="center"/>
    </xf>
    <xf numFmtId="0" fontId="3" fillId="0" borderId="5" xfId="0" applyFont="1" applyBorder="1" applyAlignment="1">
      <alignment horizontal="center" vertical="center"/>
    </xf>
    <xf numFmtId="0" fontId="3" fillId="0" borderId="0" xfId="0" applyFont="1"/>
    <xf numFmtId="0" fontId="3" fillId="0" borderId="6" xfId="0" applyFont="1" applyBorder="1"/>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3" borderId="1" xfId="0" applyFont="1" applyFill="1" applyBorder="1" applyAlignment="1">
      <alignment horizontal="center" vertical="center" wrapText="1"/>
    </xf>
    <xf numFmtId="0" fontId="2" fillId="0" borderId="2" xfId="0" applyFont="1" applyBorder="1" applyAlignment="1">
      <alignment vertical="center"/>
    </xf>
    <xf numFmtId="0" fontId="6" fillId="0" borderId="5" xfId="0" applyFont="1" applyBorder="1" applyAlignment="1">
      <alignment vertical="center"/>
    </xf>
    <xf numFmtId="0" fontId="6" fillId="0" borderId="7" xfId="0" applyFont="1" applyBorder="1" applyAlignment="1">
      <alignment vertical="center"/>
    </xf>
    <xf numFmtId="0" fontId="9" fillId="3" borderId="1" xfId="0" applyFont="1" applyFill="1" applyBorder="1" applyAlignment="1">
      <alignment horizontal="center" vertical="center" wrapText="1"/>
    </xf>
    <xf numFmtId="0" fontId="0" fillId="0" borderId="0" xfId="0" applyAlignment="1">
      <alignment horizontal="justify" vertical="center" wrapText="1"/>
    </xf>
    <xf numFmtId="0" fontId="6" fillId="0" borderId="0" xfId="0" applyFont="1" applyAlignment="1">
      <alignment horizontal="center" vertical="center" wrapText="1"/>
    </xf>
    <xf numFmtId="0" fontId="2" fillId="6" borderId="0" xfId="0" applyFont="1" applyFill="1" applyAlignment="1">
      <alignment horizontal="center" vertical="center"/>
    </xf>
    <xf numFmtId="0" fontId="2" fillId="6" borderId="0" xfId="0" applyFont="1" applyFill="1" applyAlignment="1">
      <alignment horizontal="left" vertical="center"/>
    </xf>
    <xf numFmtId="0" fontId="1" fillId="0" borderId="3" xfId="0" applyFont="1" applyBorder="1"/>
    <xf numFmtId="0" fontId="6" fillId="0" borderId="5"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xf numFmtId="0" fontId="2" fillId="0" borderId="0" xfId="0" applyFont="1" applyAlignment="1">
      <alignment horizontal="center" vertical="center" wrapText="1"/>
    </xf>
    <xf numFmtId="0" fontId="6" fillId="0" borderId="10" xfId="0" applyFont="1" applyBorder="1"/>
    <xf numFmtId="0" fontId="0" fillId="0" borderId="11" xfId="0" applyBorder="1"/>
    <xf numFmtId="0" fontId="0" fillId="0" borderId="12" xfId="0" applyBorder="1"/>
    <xf numFmtId="0" fontId="0" fillId="0" borderId="10" xfId="0" applyBorder="1"/>
    <xf numFmtId="0" fontId="2" fillId="12" borderId="1" xfId="0" applyFont="1" applyFill="1" applyBorder="1" applyAlignment="1">
      <alignment horizontal="center" vertical="center"/>
    </xf>
    <xf numFmtId="0" fontId="7" fillId="0" borderId="1" xfId="0" applyFont="1" applyBorder="1" applyAlignment="1">
      <alignment horizontal="left" vertical="center" wrapText="1"/>
    </xf>
    <xf numFmtId="0" fontId="0" fillId="0" borderId="0" xfId="0" applyAlignment="1">
      <alignment wrapText="1"/>
    </xf>
    <xf numFmtId="0" fontId="2" fillId="3" borderId="19" xfId="0" applyFont="1" applyFill="1" applyBorder="1" applyAlignment="1">
      <alignment horizontal="center" vertical="center" wrapText="1"/>
    </xf>
    <xf numFmtId="0" fontId="6" fillId="3" borderId="1" xfId="0" applyFont="1" applyFill="1" applyBorder="1" applyAlignment="1">
      <alignment horizontal="center" vertical="center"/>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1" fillId="0" borderId="22" xfId="0" applyFont="1" applyBorder="1"/>
    <xf numFmtId="0" fontId="0" fillId="0" borderId="22" xfId="0" applyBorder="1"/>
    <xf numFmtId="0" fontId="0" fillId="0" borderId="23" xfId="0" applyBorder="1"/>
    <xf numFmtId="0" fontId="2" fillId="0" borderId="23" xfId="0" applyFont="1" applyBorder="1"/>
    <xf numFmtId="0" fontId="0" fillId="0" borderId="24" xfId="0" applyBorder="1"/>
    <xf numFmtId="0" fontId="0" fillId="0" borderId="25" xfId="0" applyBorder="1"/>
    <xf numFmtId="0" fontId="0" fillId="0" borderId="26" xfId="0" applyBorder="1"/>
    <xf numFmtId="0" fontId="2" fillId="0" borderId="22" xfId="0" applyFont="1" applyBorder="1" applyAlignment="1">
      <alignment horizontal="left"/>
    </xf>
    <xf numFmtId="0" fontId="33" fillId="0" borderId="0" xfId="0" applyFont="1"/>
    <xf numFmtId="0" fontId="15" fillId="0" borderId="2" xfId="0" applyFont="1" applyBorder="1"/>
    <xf numFmtId="0" fontId="2" fillId="0" borderId="5" xfId="0" applyFont="1" applyBorder="1"/>
    <xf numFmtId="0" fontId="6" fillId="0" borderId="7" xfId="0" applyFont="1" applyBorder="1"/>
    <xf numFmtId="0" fontId="6" fillId="0" borderId="0" xfId="0" applyFont="1" applyAlignment="1">
      <alignment vertical="center" wrapText="1"/>
    </xf>
    <xf numFmtId="0" fontId="8" fillId="0" borderId="1" xfId="0" applyFont="1" applyBorder="1" applyAlignment="1">
      <alignment horizontal="center" vertical="center"/>
    </xf>
    <xf numFmtId="0" fontId="7" fillId="0" borderId="0" xfId="0" applyFont="1" applyAlignment="1">
      <alignment horizontal="left" vertical="center"/>
    </xf>
    <xf numFmtId="0" fontId="11" fillId="0" borderId="1" xfId="0" applyFont="1" applyBorder="1" applyAlignment="1">
      <alignment horizontal="center" vertical="center"/>
    </xf>
    <xf numFmtId="0" fontId="5" fillId="3" borderId="1" xfId="0" applyFont="1" applyFill="1" applyBorder="1" applyAlignment="1">
      <alignment horizontal="center" vertical="center"/>
    </xf>
    <xf numFmtId="0" fontId="2" fillId="0" borderId="1" xfId="0" applyFont="1" applyBorder="1" applyAlignment="1">
      <alignment horizontal="center" vertical="center"/>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8" fillId="0" borderId="1" xfId="0" applyFont="1" applyBorder="1" applyAlignment="1">
      <alignment horizontal="center" vertical="center" wrapText="1"/>
    </xf>
    <xf numFmtId="0" fontId="36" fillId="0" borderId="1" xfId="0" applyFont="1" applyBorder="1" applyAlignment="1">
      <alignment horizontal="center" vertical="center"/>
    </xf>
    <xf numFmtId="0" fontId="5" fillId="0" borderId="0" xfId="0" applyFont="1" applyAlignment="1">
      <alignment horizontal="left" wrapText="1"/>
    </xf>
    <xf numFmtId="0" fontId="8" fillId="16"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0" fillId="0" borderId="0" xfId="0" applyAlignment="1">
      <alignment horizontal="justify"/>
    </xf>
    <xf numFmtId="0" fontId="39" fillId="0" borderId="0" xfId="0" applyFont="1"/>
    <xf numFmtId="0" fontId="0" fillId="0" borderId="0" xfId="0" applyAlignment="1">
      <alignment horizontal="left" wrapText="1"/>
    </xf>
    <xf numFmtId="0" fontId="1" fillId="0" borderId="0" xfId="0" applyFont="1" applyAlignment="1">
      <alignment horizontal="center"/>
    </xf>
    <xf numFmtId="0" fontId="16" fillId="0" borderId="0" xfId="0" applyFont="1" applyAlignment="1">
      <alignment horizontal="center" vertical="center"/>
    </xf>
    <xf numFmtId="0" fontId="8" fillId="9" borderId="1" xfId="0" applyFont="1" applyFill="1" applyBorder="1" applyAlignment="1">
      <alignment horizontal="left" vertical="center"/>
    </xf>
    <xf numFmtId="0" fontId="8" fillId="8" borderId="1" xfId="0" applyFont="1" applyFill="1" applyBorder="1" applyAlignment="1">
      <alignment horizontal="left" vertical="center"/>
    </xf>
    <xf numFmtId="0" fontId="8" fillId="8" borderId="1" xfId="0" applyFont="1" applyFill="1" applyBorder="1" applyAlignment="1">
      <alignment horizontal="center" vertical="center"/>
    </xf>
    <xf numFmtId="0" fontId="2" fillId="0" borderId="39" xfId="0" applyFont="1" applyBorder="1" applyAlignment="1">
      <alignment horizontal="left" vertical="center"/>
    </xf>
    <xf numFmtId="0" fontId="0" fillId="0" borderId="40" xfId="0" applyBorder="1"/>
    <xf numFmtId="0" fontId="0" fillId="0" borderId="41" xfId="0" applyBorder="1"/>
    <xf numFmtId="0" fontId="2" fillId="0" borderId="42" xfId="0" applyFont="1" applyBorder="1" applyAlignment="1">
      <alignment horizontal="center" vertical="center"/>
    </xf>
    <xf numFmtId="0" fontId="1" fillId="0" borderId="43" xfId="0" applyFont="1" applyBorder="1" applyAlignment="1">
      <alignment horizontal="center"/>
    </xf>
    <xf numFmtId="0" fontId="7" fillId="0" borderId="42" xfId="0" applyFont="1" applyBorder="1" applyAlignment="1">
      <alignment horizontal="left" vertical="center" wrapText="1"/>
    </xf>
    <xf numFmtId="0" fontId="7" fillId="0" borderId="43" xfId="0" applyFont="1" applyBorder="1" applyAlignment="1">
      <alignment horizontal="center" vertical="center"/>
    </xf>
    <xf numFmtId="0" fontId="7" fillId="0" borderId="44" xfId="0" applyFont="1" applyBorder="1" applyAlignment="1">
      <alignment horizontal="left" vertical="center" wrapText="1"/>
    </xf>
    <xf numFmtId="0" fontId="7" fillId="0" borderId="45" xfId="0" applyFont="1" applyBorder="1" applyAlignment="1">
      <alignment horizontal="center" vertical="center"/>
    </xf>
    <xf numFmtId="0" fontId="7" fillId="0" borderId="46" xfId="0" applyFont="1" applyBorder="1" applyAlignment="1">
      <alignment horizontal="center" vertical="center"/>
    </xf>
    <xf numFmtId="0" fontId="4" fillId="0" borderId="1" xfId="0" applyFont="1" applyBorder="1" applyAlignment="1">
      <alignment horizontal="center" vertical="center" wrapText="1"/>
    </xf>
    <xf numFmtId="0" fontId="48" fillId="0" borderId="1" xfId="0" applyFont="1" applyBorder="1" applyAlignment="1">
      <alignment horizontal="center" vertical="center" wrapText="1"/>
    </xf>
    <xf numFmtId="0" fontId="49"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51" fillId="0" borderId="1" xfId="0" applyFont="1" applyBorder="1" applyAlignment="1">
      <alignment horizontal="center" vertical="center" wrapText="1"/>
    </xf>
    <xf numFmtId="0" fontId="5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5" fillId="0" borderId="0" xfId="0" applyFont="1" applyAlignment="1">
      <alignment horizontal="center" vertical="center"/>
    </xf>
    <xf numFmtId="0" fontId="53" fillId="0" borderId="1" xfId="0" applyFont="1" applyBorder="1" applyAlignment="1">
      <alignment horizontal="center" vertical="center" wrapText="1"/>
    </xf>
    <xf numFmtId="0" fontId="54" fillId="0" borderId="1" xfId="0" applyFont="1" applyBorder="1" applyAlignment="1">
      <alignment horizontal="center" vertical="center" wrapText="1"/>
    </xf>
    <xf numFmtId="0" fontId="48" fillId="0" borderId="1" xfId="0" applyFont="1" applyBorder="1" applyAlignment="1">
      <alignment horizontal="justify" vertical="center" wrapText="1"/>
    </xf>
    <xf numFmtId="0" fontId="4" fillId="0" borderId="0" xfId="0" applyFont="1" applyAlignment="1">
      <alignment horizontal="justify" vertical="center" wrapText="1"/>
    </xf>
    <xf numFmtId="0" fontId="4" fillId="0" borderId="1" xfId="0" applyFont="1" applyBorder="1" applyAlignment="1">
      <alignment horizontal="left" vertical="top" wrapText="1"/>
    </xf>
    <xf numFmtId="0" fontId="8" fillId="0" borderId="3" xfId="0" applyFont="1" applyBorder="1" applyAlignment="1">
      <alignment horizontal="left" vertical="center"/>
    </xf>
    <xf numFmtId="0" fontId="8" fillId="7" borderId="11" xfId="0" applyFont="1" applyFill="1" applyBorder="1" applyAlignment="1">
      <alignment horizontal="left" vertical="center"/>
    </xf>
    <xf numFmtId="0" fontId="8" fillId="0" borderId="19" xfId="0" applyFont="1" applyBorder="1" applyAlignment="1">
      <alignment horizontal="left" vertical="center" wrapText="1"/>
    </xf>
    <xf numFmtId="0" fontId="8" fillId="0" borderId="3" xfId="0" applyFont="1" applyBorder="1" applyAlignment="1">
      <alignment horizontal="left" vertical="center" wrapText="1"/>
    </xf>
    <xf numFmtId="0" fontId="8" fillId="0" borderId="11" xfId="0" applyFont="1" applyBorder="1" applyAlignment="1">
      <alignment horizontal="left" vertical="center" wrapText="1"/>
    </xf>
    <xf numFmtId="0" fontId="42" fillId="0" borderId="0" xfId="0" applyFont="1" applyAlignment="1">
      <alignment horizontal="left" vertical="center" wrapText="1"/>
    </xf>
    <xf numFmtId="0" fontId="42" fillId="13" borderId="1" xfId="0" applyFont="1" applyFill="1" applyBorder="1" applyAlignment="1">
      <alignment horizontal="left" vertical="center" wrapText="1"/>
    </xf>
    <xf numFmtId="0" fontId="42" fillId="17" borderId="1" xfId="0" applyFont="1" applyFill="1" applyBorder="1" applyAlignment="1">
      <alignment horizontal="left" vertical="center" wrapText="1"/>
    </xf>
    <xf numFmtId="49" fontId="4" fillId="0" borderId="1" xfId="0" applyNumberFormat="1" applyFont="1" applyBorder="1" applyAlignment="1">
      <alignment horizontal="justify" vertical="center" wrapText="1"/>
    </xf>
    <xf numFmtId="0" fontId="11" fillId="0" borderId="0" xfId="0" applyFont="1" applyAlignment="1">
      <alignment horizontal="center" vertical="center" wrapText="1"/>
    </xf>
    <xf numFmtId="0" fontId="42" fillId="7" borderId="1" xfId="0" applyFont="1" applyFill="1" applyBorder="1" applyAlignment="1">
      <alignment horizontal="left" vertical="center" wrapText="1"/>
    </xf>
    <xf numFmtId="0" fontId="4" fillId="0" borderId="19" xfId="0" applyFont="1" applyBorder="1" applyAlignment="1">
      <alignment horizontal="justify" vertical="center" wrapText="1"/>
    </xf>
    <xf numFmtId="0" fontId="7" fillId="3" borderId="1" xfId="0" applyFont="1" applyFill="1" applyBorder="1" applyAlignment="1">
      <alignment horizontal="center" vertical="center" wrapText="1"/>
    </xf>
    <xf numFmtId="0" fontId="8" fillId="0" borderId="1" xfId="0" applyFont="1" applyBorder="1" applyAlignment="1">
      <alignment horizontal="center" vertical="top" wrapText="1"/>
    </xf>
    <xf numFmtId="0" fontId="0" fillId="0" borderId="12" xfId="0" applyBorder="1" applyAlignment="1">
      <alignment horizontal="center" vertical="center" wrapText="1"/>
    </xf>
    <xf numFmtId="0" fontId="2" fillId="5" borderId="1" xfId="0" applyFont="1" applyFill="1" applyBorder="1" applyAlignment="1">
      <alignment horizontal="center" vertical="center" wrapText="1"/>
    </xf>
    <xf numFmtId="0" fontId="6" fillId="2" borderId="0" xfId="0" applyFont="1" applyFill="1" applyAlignment="1">
      <alignment horizontal="justify" vertical="center" wrapText="1"/>
    </xf>
    <xf numFmtId="0" fontId="9" fillId="5"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50" fillId="0" borderId="1" xfId="0" applyFont="1" applyBorder="1" applyAlignment="1">
      <alignment horizontal="left" vertical="center" wrapText="1"/>
    </xf>
    <xf numFmtId="0" fontId="29" fillId="0" borderId="0" xfId="0" applyFont="1"/>
    <xf numFmtId="0" fontId="60" fillId="20" borderId="1" xfId="0" applyFont="1" applyFill="1" applyBorder="1" applyAlignment="1">
      <alignment horizontal="left" vertical="center" wrapText="1"/>
    </xf>
    <xf numFmtId="0" fontId="42" fillId="13" borderId="1" xfId="0" applyFont="1" applyFill="1" applyBorder="1" applyAlignment="1">
      <alignment horizontal="center" vertical="center" wrapText="1"/>
    </xf>
    <xf numFmtId="0" fontId="42" fillId="0" borderId="1" xfId="0" applyFont="1" applyBorder="1" applyAlignment="1">
      <alignment horizontal="center" vertical="center" wrapText="1"/>
    </xf>
    <xf numFmtId="0" fontId="42" fillId="0" borderId="19" xfId="0" applyFont="1" applyBorder="1" applyAlignment="1">
      <alignment horizontal="center" vertical="center" wrapText="1"/>
    </xf>
    <xf numFmtId="0" fontId="42" fillId="0" borderId="0" xfId="0" applyFont="1" applyAlignment="1">
      <alignment horizontal="center" vertical="center" wrapText="1"/>
    </xf>
    <xf numFmtId="0" fontId="42" fillId="17" borderId="1" xfId="0" applyFont="1" applyFill="1" applyBorder="1" applyAlignment="1">
      <alignment horizontal="center" vertical="center" wrapText="1"/>
    </xf>
    <xf numFmtId="0" fontId="60" fillId="20" borderId="1" xfId="0" applyFont="1" applyFill="1" applyBorder="1" applyAlignment="1">
      <alignment horizontal="center" vertical="center" wrapText="1"/>
    </xf>
    <xf numFmtId="0" fontId="60" fillId="20" borderId="1" xfId="0" applyFont="1" applyFill="1" applyBorder="1" applyAlignment="1">
      <alignment horizontal="left" vertical="center"/>
    </xf>
    <xf numFmtId="0" fontId="60" fillId="20" borderId="1" xfId="0" applyFont="1" applyFill="1" applyBorder="1" applyAlignment="1">
      <alignment horizontal="center" vertical="center"/>
    </xf>
    <xf numFmtId="0" fontId="16" fillId="0" borderId="3" xfId="0" applyFont="1" applyBorder="1" applyAlignment="1">
      <alignment horizontal="center" vertical="center"/>
    </xf>
    <xf numFmtId="0" fontId="11" fillId="0" borderId="0" xfId="0" applyFont="1" applyAlignment="1">
      <alignment horizontal="center" vertical="center"/>
    </xf>
    <xf numFmtId="0" fontId="55" fillId="0" borderId="1" xfId="0" applyFont="1" applyBorder="1" applyAlignment="1">
      <alignment horizontal="justify" vertical="center" wrapText="1"/>
    </xf>
    <xf numFmtId="0" fontId="11" fillId="7" borderId="11" xfId="0" applyFont="1" applyFill="1" applyBorder="1" applyAlignment="1">
      <alignment horizontal="left" vertical="center" wrapText="1"/>
    </xf>
    <xf numFmtId="0" fontId="4" fillId="0" borderId="1" xfId="0" applyFont="1" applyBorder="1" applyAlignment="1">
      <alignment horizontal="left" vertical="center" wrapText="1"/>
    </xf>
    <xf numFmtId="0" fontId="11" fillId="0" borderId="1" xfId="0" applyFont="1" applyBorder="1" applyAlignment="1">
      <alignment horizontal="left" vertical="center" wrapText="1"/>
    </xf>
    <xf numFmtId="0" fontId="61" fillId="0" borderId="1" xfId="0" applyFont="1" applyBorder="1" applyAlignment="1">
      <alignment horizontal="justify" wrapText="1"/>
    </xf>
    <xf numFmtId="0" fontId="5" fillId="3" borderId="13"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15" xfId="0" applyFont="1" applyFill="1" applyBorder="1" applyAlignment="1">
      <alignment horizontal="center" vertical="center"/>
    </xf>
    <xf numFmtId="0" fontId="5" fillId="0" borderId="16" xfId="0" applyFont="1" applyBorder="1" applyAlignment="1">
      <alignment horizontal="center" vertical="center"/>
    </xf>
    <xf numFmtId="0" fontId="3" fillId="0" borderId="17" xfId="0" applyFont="1" applyBorder="1" applyAlignment="1">
      <alignment horizontal="center" vertical="center"/>
    </xf>
    <xf numFmtId="0" fontId="22" fillId="0" borderId="3" xfId="0" applyFont="1" applyBorder="1"/>
    <xf numFmtId="0" fontId="22" fillId="0" borderId="4" xfId="0" applyFont="1" applyBorder="1"/>
    <xf numFmtId="49" fontId="8" fillId="0" borderId="1" xfId="0" applyNumberFormat="1" applyFont="1" applyBorder="1" applyAlignment="1">
      <alignment horizontal="center" vertical="top" wrapText="1"/>
    </xf>
    <xf numFmtId="49" fontId="8" fillId="0" borderId="1" xfId="0" applyNumberFormat="1" applyFont="1" applyBorder="1" applyAlignment="1">
      <alignment vertical="center" wrapText="1"/>
    </xf>
    <xf numFmtId="0" fontId="8" fillId="0" borderId="1" xfId="0" applyFont="1" applyBorder="1" applyAlignment="1">
      <alignment vertical="center" wrapText="1"/>
    </xf>
    <xf numFmtId="49" fontId="8" fillId="0" borderId="1" xfId="0" applyNumberFormat="1" applyFont="1" applyBorder="1" applyAlignment="1">
      <alignment horizontal="center" vertical="center" wrapText="1"/>
    </xf>
    <xf numFmtId="0" fontId="6" fillId="0" borderId="0" xfId="0" applyFont="1" applyAlignment="1">
      <alignment horizontal="left" vertical="top" wrapText="1"/>
    </xf>
    <xf numFmtId="0" fontId="6" fillId="0" borderId="0" xfId="0" applyFont="1" applyAlignment="1">
      <alignment horizontal="left" vertical="top"/>
    </xf>
    <xf numFmtId="14" fontId="3" fillId="0" borderId="1" xfId="0" applyNumberFormat="1" applyFont="1" applyBorder="1" applyAlignment="1">
      <alignment horizontal="center" vertical="center"/>
    </xf>
    <xf numFmtId="0" fontId="0" fillId="0" borderId="1" xfId="0" quotePrefix="1" applyBorder="1" applyAlignment="1">
      <alignment horizontal="center" vertical="center" wrapText="1"/>
    </xf>
    <xf numFmtId="0" fontId="20" fillId="0" borderId="0" xfId="0" applyFont="1" applyAlignment="1">
      <alignment horizontal="center" vertical="center" wrapText="1"/>
    </xf>
    <xf numFmtId="0" fontId="20" fillId="0" borderId="0" xfId="0" applyFont="1" applyAlignment="1">
      <alignment horizontal="left" vertical="top" wrapText="1"/>
    </xf>
    <xf numFmtId="0" fontId="0" fillId="0" borderId="1" xfId="0" applyBorder="1" applyAlignment="1">
      <alignment horizontal="center" vertical="center"/>
    </xf>
    <xf numFmtId="0" fontId="9" fillId="3" borderId="1" xfId="0" applyFont="1" applyFill="1" applyBorder="1" applyAlignment="1">
      <alignment horizontal="center" vertical="center"/>
    </xf>
    <xf numFmtId="0" fontId="0" fillId="0" borderId="1" xfId="0" quotePrefix="1" applyBorder="1" applyAlignment="1">
      <alignment horizontal="center" vertical="center"/>
    </xf>
    <xf numFmtId="0" fontId="15" fillId="0" borderId="1" xfId="0" applyFont="1" applyBorder="1" applyAlignment="1">
      <alignment horizontal="center" vertical="center" wrapText="1"/>
    </xf>
    <xf numFmtId="0" fontId="71" fillId="3" borderId="12" xfId="0" applyFont="1" applyFill="1" applyBorder="1" applyAlignment="1">
      <alignment vertical="center" wrapText="1"/>
    </xf>
    <xf numFmtId="0" fontId="0" fillId="0" borderId="1" xfId="0" applyBorder="1" applyAlignment="1">
      <alignment vertical="center" wrapText="1"/>
    </xf>
    <xf numFmtId="14" fontId="3" fillId="0" borderId="17" xfId="0" applyNumberFormat="1" applyFont="1" applyBorder="1" applyAlignment="1">
      <alignment horizontal="center" vertical="center"/>
    </xf>
    <xf numFmtId="0" fontId="0" fillId="0" borderId="57" xfId="0" applyBorder="1"/>
    <xf numFmtId="0" fontId="0" fillId="0" borderId="58" xfId="0" applyBorder="1"/>
    <xf numFmtId="0" fontId="21" fillId="0" borderId="0" xfId="0" applyFont="1" applyAlignment="1">
      <alignment horizontal="justify" vertical="center" wrapText="1"/>
    </xf>
    <xf numFmtId="0" fontId="75" fillId="0" borderId="0" xfId="0" applyFont="1" applyAlignment="1">
      <alignment horizontal="justify" vertical="center" wrapText="1"/>
    </xf>
    <xf numFmtId="0" fontId="6" fillId="0" borderId="0" xfId="0" applyFont="1" applyAlignment="1">
      <alignment horizontal="left" vertical="justify"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8" fillId="12" borderId="1" xfId="0" applyFont="1" applyFill="1" applyBorder="1" applyAlignment="1">
      <alignment horizontal="center" vertical="center" wrapText="1"/>
    </xf>
    <xf numFmtId="49" fontId="8" fillId="0" borderId="1" xfId="0" applyNumberFormat="1" applyFont="1" applyBorder="1" applyAlignment="1">
      <alignment horizontal="center" vertical="top" wrapText="1"/>
    </xf>
    <xf numFmtId="0" fontId="8" fillId="0" borderId="1" xfId="0" applyFont="1" applyBorder="1" applyAlignment="1">
      <alignment horizontal="center" vertical="top" wrapText="1"/>
    </xf>
    <xf numFmtId="0" fontId="7" fillId="3"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8" fillId="3" borderId="1" xfId="0" applyFont="1" applyFill="1" applyBorder="1" applyAlignment="1">
      <alignment horizontal="center" vertical="top" wrapText="1"/>
    </xf>
    <xf numFmtId="49" fontId="8" fillId="3" borderId="1" xfId="0" applyNumberFormat="1" applyFont="1" applyFill="1" applyBorder="1" applyAlignment="1">
      <alignment horizontal="center" vertical="top" wrapText="1"/>
    </xf>
    <xf numFmtId="0" fontId="24" fillId="0" borderId="0" xfId="0" applyFont="1" applyAlignment="1">
      <alignment horizontal="left" wrapText="1"/>
    </xf>
    <xf numFmtId="0" fontId="1" fillId="0" borderId="0" xfId="0" applyFont="1" applyAlignment="1">
      <alignment horizontal="left" wrapText="1"/>
    </xf>
    <xf numFmtId="0" fontId="6" fillId="0" borderId="0" xfId="0" applyFont="1" applyAlignment="1">
      <alignment horizontal="justify" vertical="center" wrapText="1"/>
    </xf>
    <xf numFmtId="0" fontId="41" fillId="0" borderId="0" xfId="0" applyFont="1" applyAlignment="1">
      <alignment horizontal="justify" vertical="center"/>
    </xf>
    <xf numFmtId="0" fontId="28" fillId="3" borderId="1" xfId="0" applyFont="1" applyFill="1" applyBorder="1" applyAlignment="1">
      <alignment horizontal="center" vertical="center"/>
    </xf>
    <xf numFmtId="0" fontId="15" fillId="4" borderId="2" xfId="0" applyFont="1" applyFill="1" applyBorder="1" applyAlignment="1">
      <alignment horizontal="center" vertical="center"/>
    </xf>
    <xf numFmtId="0" fontId="15" fillId="4" borderId="3" xfId="0" applyFont="1" applyFill="1" applyBorder="1" applyAlignment="1">
      <alignment horizontal="center" vertical="center"/>
    </xf>
    <xf numFmtId="0" fontId="15" fillId="4" borderId="4" xfId="0" applyFont="1" applyFill="1" applyBorder="1" applyAlignment="1">
      <alignment horizontal="center" vertical="center"/>
    </xf>
    <xf numFmtId="0" fontId="2" fillId="3" borderId="10" xfId="0" applyFont="1" applyFill="1" applyBorder="1" applyAlignment="1">
      <alignment horizontal="right" vertical="center"/>
    </xf>
    <xf numFmtId="0" fontId="0" fillId="3" borderId="12" xfId="0" applyFill="1" applyBorder="1" applyAlignment="1">
      <alignment horizontal="right" vertical="center"/>
    </xf>
    <xf numFmtId="0" fontId="6" fillId="3" borderId="1" xfId="0" applyFont="1" applyFill="1" applyBorder="1" applyAlignment="1">
      <alignment horizontal="left" vertical="center"/>
    </xf>
    <xf numFmtId="0" fontId="6" fillId="0" borderId="1" xfId="0" applyFont="1" applyBorder="1"/>
    <xf numFmtId="0" fontId="3" fillId="0" borderId="10" xfId="0" applyFont="1" applyBorder="1" applyAlignment="1">
      <alignment horizontal="left" vertical="center"/>
    </xf>
    <xf numFmtId="0" fontId="3" fillId="0" borderId="11" xfId="0" applyFont="1" applyBorder="1" applyAlignment="1">
      <alignment horizontal="left" vertical="center"/>
    </xf>
    <xf numFmtId="0" fontId="3" fillId="0" borderId="12" xfId="0" applyFont="1" applyBorder="1" applyAlignment="1">
      <alignment horizontal="left" vertical="center"/>
    </xf>
    <xf numFmtId="0" fontId="6" fillId="0" borderId="1" xfId="0" applyFont="1" applyBorder="1" applyAlignment="1">
      <alignment horizontal="left"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6" fillId="2" borderId="10" xfId="0" applyFont="1" applyFill="1" applyBorder="1" applyAlignment="1">
      <alignment horizontal="left" vertical="center"/>
    </xf>
    <xf numFmtId="0" fontId="0" fillId="0" borderId="11" xfId="0" applyBorder="1" applyAlignment="1">
      <alignment vertical="center"/>
    </xf>
    <xf numFmtId="0" fontId="0" fillId="0" borderId="12" xfId="0" applyBorder="1" applyAlignment="1">
      <alignment vertical="center"/>
    </xf>
    <xf numFmtId="0" fontId="0" fillId="0" borderId="1" xfId="0" applyBorder="1" applyAlignment="1">
      <alignment horizontal="left" vertical="center"/>
    </xf>
    <xf numFmtId="0" fontId="0" fillId="3" borderId="1" xfId="0" applyFill="1" applyBorder="1" applyAlignment="1">
      <alignment horizontal="left" vertical="center"/>
    </xf>
    <xf numFmtId="0" fontId="6" fillId="0" borderId="10" xfId="0" applyFont="1" applyBorder="1" applyAlignment="1">
      <alignment horizontal="left" vertical="center"/>
    </xf>
    <xf numFmtId="0" fontId="6" fillId="0" borderId="11" xfId="0" applyFont="1" applyBorder="1" applyAlignment="1">
      <alignment horizontal="left" vertical="center"/>
    </xf>
    <xf numFmtId="0" fontId="6" fillId="0" borderId="11" xfId="0" applyFont="1" applyBorder="1"/>
    <xf numFmtId="0" fontId="6" fillId="0" borderId="12" xfId="0" applyFont="1" applyBorder="1"/>
    <xf numFmtId="14" fontId="6" fillId="0" borderId="1" xfId="0" applyNumberFormat="1" applyFont="1" applyBorder="1" applyAlignment="1">
      <alignment horizontal="left" vertical="center"/>
    </xf>
    <xf numFmtId="0" fontId="6" fillId="0" borderId="10" xfId="0" applyFont="1" applyBorder="1"/>
    <xf numFmtId="0" fontId="1" fillId="0" borderId="22" xfId="0" applyFont="1" applyBorder="1"/>
    <xf numFmtId="0" fontId="0" fillId="0" borderId="0" xfId="0"/>
    <xf numFmtId="0" fontId="0" fillId="0" borderId="23" xfId="0" applyBorder="1"/>
    <xf numFmtId="0" fontId="15" fillId="4" borderId="27" xfId="0" applyFont="1" applyFill="1" applyBorder="1" applyAlignment="1">
      <alignment horizontal="center" vertical="center"/>
    </xf>
    <xf numFmtId="0" fontId="15" fillId="4" borderId="28" xfId="0" applyFont="1" applyFill="1" applyBorder="1" applyAlignment="1">
      <alignment horizontal="center" vertical="center"/>
    </xf>
    <xf numFmtId="0" fontId="15" fillId="4" borderId="29" xfId="0" applyFont="1" applyFill="1" applyBorder="1" applyAlignment="1">
      <alignment horizontal="center" vertical="center"/>
    </xf>
    <xf numFmtId="0" fontId="2" fillId="0" borderId="22" xfId="0" applyFont="1" applyBorder="1" applyAlignment="1">
      <alignment horizontal="center"/>
    </xf>
    <xf numFmtId="0" fontId="6" fillId="0" borderId="0" xfId="0" applyFont="1" applyAlignment="1">
      <alignment horizontal="left"/>
    </xf>
    <xf numFmtId="0" fontId="6" fillId="0" borderId="8" xfId="0" applyFont="1" applyBorder="1" applyAlignment="1">
      <alignment horizontal="left"/>
    </xf>
    <xf numFmtId="0" fontId="2" fillId="0" borderId="0" xfId="0" applyFont="1" applyAlignment="1">
      <alignment horizontal="center"/>
    </xf>
    <xf numFmtId="14" fontId="6" fillId="0" borderId="0" xfId="0" applyNumberFormat="1" applyFont="1" applyAlignment="1">
      <alignment horizontal="left"/>
    </xf>
    <xf numFmtId="0" fontId="2" fillId="0" borderId="0" xfId="0" applyFont="1"/>
    <xf numFmtId="0" fontId="2" fillId="0" borderId="23" xfId="0" applyFont="1" applyBorder="1"/>
    <xf numFmtId="0" fontId="2" fillId="0" borderId="21" xfId="0" applyFont="1" applyBorder="1"/>
    <xf numFmtId="0" fontId="2" fillId="0" borderId="30" xfId="0" applyFont="1" applyBorder="1"/>
    <xf numFmtId="0" fontId="6" fillId="0" borderId="1" xfId="0" quotePrefix="1" applyFont="1" applyBorder="1"/>
    <xf numFmtId="0" fontId="22" fillId="0" borderId="0" xfId="0" applyFont="1" applyAlignment="1">
      <alignment horizontal="left"/>
    </xf>
    <xf numFmtId="0" fontId="22" fillId="0" borderId="23" xfId="0" applyFont="1" applyBorder="1" applyAlignment="1">
      <alignment horizontal="left"/>
    </xf>
    <xf numFmtId="0" fontId="64" fillId="0" borderId="10" xfId="0" applyFont="1" applyBorder="1" applyAlignment="1">
      <alignment horizontal="center" vertical="center" wrapText="1"/>
    </xf>
    <xf numFmtId="0" fontId="64" fillId="0" borderId="11" xfId="0" applyFont="1" applyBorder="1" applyAlignment="1">
      <alignment horizontal="center" vertical="center"/>
    </xf>
    <xf numFmtId="0" fontId="64" fillId="0" borderId="12" xfId="0" applyFont="1" applyBorder="1" applyAlignment="1">
      <alignment horizontal="center" vertical="center"/>
    </xf>
    <xf numFmtId="0" fontId="15" fillId="4" borderId="0" xfId="0" applyFont="1" applyFill="1" applyAlignment="1">
      <alignment horizontal="left" vertical="center"/>
    </xf>
    <xf numFmtId="0" fontId="5" fillId="3" borderId="35" xfId="0" applyFont="1" applyFill="1" applyBorder="1" applyAlignment="1">
      <alignment horizontal="center" vertical="center"/>
    </xf>
    <xf numFmtId="0" fontId="5" fillId="3" borderId="37" xfId="0" applyFont="1" applyFill="1" applyBorder="1" applyAlignment="1">
      <alignment horizontal="center" vertical="center"/>
    </xf>
    <xf numFmtId="0" fontId="5" fillId="3" borderId="36" xfId="0" applyFont="1" applyFill="1" applyBorder="1" applyAlignment="1">
      <alignment horizontal="center" vertical="center"/>
    </xf>
    <xf numFmtId="0" fontId="6" fillId="0" borderId="10"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0" xfId="0" applyFont="1" applyBorder="1" applyAlignment="1">
      <alignment horizontal="center" vertical="center"/>
    </xf>
    <xf numFmtId="0" fontId="6" fillId="0" borderId="12" xfId="0" applyFont="1" applyBorder="1" applyAlignment="1">
      <alignment horizontal="center" vertical="center"/>
    </xf>
    <xf numFmtId="0" fontId="6" fillId="0" borderId="10" xfId="0" applyFont="1" applyBorder="1" applyAlignment="1">
      <alignment vertical="center" wrapText="1"/>
    </xf>
    <xf numFmtId="0" fontId="6" fillId="0" borderId="11" xfId="0" applyFont="1" applyBorder="1" applyAlignment="1">
      <alignment vertical="center" wrapText="1"/>
    </xf>
    <xf numFmtId="0" fontId="6" fillId="0" borderId="12" xfId="0" applyFont="1" applyBorder="1" applyAlignment="1">
      <alignment vertical="center" wrapText="1"/>
    </xf>
    <xf numFmtId="0" fontId="9" fillId="0" borderId="10" xfId="0" applyFont="1" applyBorder="1" applyAlignment="1">
      <alignment horizontal="justify" vertical="center" wrapText="1"/>
    </xf>
    <xf numFmtId="0" fontId="0" fillId="0" borderId="11" xfId="0" applyBorder="1" applyAlignment="1">
      <alignment horizontal="justify" vertical="center" wrapText="1"/>
    </xf>
    <xf numFmtId="0" fontId="0" fillId="0" borderId="12" xfId="0" applyBorder="1" applyAlignment="1">
      <alignment horizontal="justify" vertical="center" wrapText="1"/>
    </xf>
    <xf numFmtId="0" fontId="2" fillId="0" borderId="10"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0" fontId="6" fillId="0" borderId="12" xfId="0" applyFont="1" applyBorder="1" applyAlignment="1">
      <alignment horizontal="left" vertical="center"/>
    </xf>
    <xf numFmtId="0" fontId="3" fillId="0" borderId="10" xfId="0" applyFont="1" applyBorder="1" applyAlignment="1">
      <alignment horizontal="justify" vertical="center" wrapText="1"/>
    </xf>
    <xf numFmtId="0" fontId="3" fillId="0" borderId="11" xfId="0" applyFont="1" applyBorder="1" applyAlignment="1">
      <alignment horizontal="justify" vertical="center" wrapText="1"/>
    </xf>
    <xf numFmtId="0" fontId="3" fillId="0" borderId="12" xfId="0" applyFont="1" applyBorder="1" applyAlignment="1">
      <alignment horizontal="justify" vertical="center" wrapText="1"/>
    </xf>
    <xf numFmtId="0" fontId="1" fillId="4" borderId="10"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6" fillId="0" borderId="8" xfId="0" applyFont="1" applyBorder="1" applyAlignment="1">
      <alignment horizontal="justify" vertical="center" wrapText="1"/>
    </xf>
    <xf numFmtId="0" fontId="2" fillId="8" borderId="10" xfId="0" applyFont="1" applyFill="1" applyBorder="1" applyAlignment="1">
      <alignment horizontal="center" vertical="center" wrapText="1"/>
    </xf>
    <xf numFmtId="0" fontId="1" fillId="8" borderId="11" xfId="0" applyFont="1" applyFill="1" applyBorder="1" applyAlignment="1">
      <alignment horizontal="center" vertical="center" wrapText="1"/>
    </xf>
    <xf numFmtId="0" fontId="1" fillId="8" borderId="12" xfId="0" applyFont="1" applyFill="1" applyBorder="1" applyAlignment="1">
      <alignment horizontal="center" vertical="center" wrapText="1"/>
    </xf>
    <xf numFmtId="0" fontId="0" fillId="0" borderId="12" xfId="0" applyBorder="1" applyAlignment="1">
      <alignment horizontal="center" vertical="center" wrapText="1"/>
    </xf>
    <xf numFmtId="0" fontId="5" fillId="3" borderId="10" xfId="0" applyFont="1" applyFill="1" applyBorder="1" applyAlignment="1">
      <alignment horizontal="center" vertical="center"/>
    </xf>
    <xf numFmtId="0" fontId="1" fillId="3" borderId="12" xfId="0" applyFont="1" applyFill="1" applyBorder="1" applyAlignment="1">
      <alignment horizontal="center" vertical="center"/>
    </xf>
    <xf numFmtId="0" fontId="8" fillId="0" borderId="10" xfId="0" applyFont="1" applyBorder="1" applyAlignment="1">
      <alignment horizontal="center" vertical="center"/>
    </xf>
    <xf numFmtId="0" fontId="0" fillId="0" borderId="12" xfId="0" applyBorder="1" applyAlignment="1">
      <alignment horizontal="center" vertical="center"/>
    </xf>
    <xf numFmtId="0" fontId="2" fillId="3" borderId="10"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32" fillId="0" borderId="0" xfId="0" applyFont="1" applyAlignment="1">
      <alignment horizontal="justify" vertical="center" wrapText="1"/>
    </xf>
    <xf numFmtId="0" fontId="31" fillId="0" borderId="0" xfId="0" applyFont="1"/>
    <xf numFmtId="0" fontId="30" fillId="14" borderId="0" xfId="0" applyFont="1" applyFill="1" applyAlignment="1">
      <alignment horizontal="left" vertical="center"/>
    </xf>
    <xf numFmtId="0" fontId="6" fillId="0" borderId="0" xfId="0" applyFont="1" applyAlignment="1">
      <alignment vertical="center" wrapText="1"/>
    </xf>
    <xf numFmtId="0" fontId="6" fillId="0" borderId="0" xfId="0" applyFont="1" applyAlignment="1">
      <alignment vertical="center"/>
    </xf>
    <xf numFmtId="0" fontId="0" fillId="0" borderId="0" xfId="0" applyAlignment="1">
      <alignment vertical="center"/>
    </xf>
    <xf numFmtId="0" fontId="6" fillId="0" borderId="10" xfId="0" applyFont="1" applyBorder="1" applyAlignment="1">
      <alignment horizontal="justify" vertical="center" wrapText="1"/>
    </xf>
    <xf numFmtId="0" fontId="5" fillId="8" borderId="10" xfId="0" applyFont="1" applyFill="1" applyBorder="1" applyAlignment="1">
      <alignment horizontal="center" vertical="center"/>
    </xf>
    <xf numFmtId="0" fontId="1" fillId="8" borderId="12" xfId="0" applyFont="1" applyFill="1" applyBorder="1" applyAlignment="1">
      <alignment horizontal="center" vertical="center"/>
    </xf>
    <xf numFmtId="0" fontId="6" fillId="0" borderId="0" xfId="0" applyFont="1" applyAlignment="1">
      <alignment horizontal="justify" vertical="center"/>
    </xf>
    <xf numFmtId="0" fontId="1" fillId="0" borderId="0" xfId="0" applyFont="1" applyAlignment="1">
      <alignment horizontal="left" vertical="center"/>
    </xf>
    <xf numFmtId="0" fontId="2" fillId="6" borderId="0" xfId="0" applyFont="1" applyFill="1" applyAlignment="1">
      <alignment horizontal="center" vertical="center"/>
    </xf>
    <xf numFmtId="0" fontId="6" fillId="6" borderId="0" xfId="0" applyFont="1" applyFill="1" applyAlignment="1">
      <alignment horizontal="center" vertical="center"/>
    </xf>
    <xf numFmtId="0" fontId="1" fillId="4" borderId="10" xfId="0" applyFont="1" applyFill="1" applyBorder="1" applyAlignment="1">
      <alignment horizontal="center" vertical="center"/>
    </xf>
    <xf numFmtId="0" fontId="1" fillId="4" borderId="11" xfId="0" applyFont="1" applyFill="1" applyBorder="1" applyAlignment="1">
      <alignment horizontal="center" vertical="center"/>
    </xf>
    <xf numFmtId="0" fontId="1" fillId="4" borderId="12"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6" fillId="0" borderId="11" xfId="0" applyFont="1" applyBorder="1" applyAlignment="1">
      <alignment horizontal="center" vertical="center"/>
    </xf>
    <xf numFmtId="0" fontId="6" fillId="0" borderId="8" xfId="0" applyFont="1" applyBorder="1" applyAlignment="1">
      <alignment vertical="center" wrapText="1"/>
    </xf>
    <xf numFmtId="0" fontId="1" fillId="9" borderId="10" xfId="0" applyFont="1" applyFill="1" applyBorder="1" applyAlignment="1">
      <alignment horizontal="center" vertical="center"/>
    </xf>
    <xf numFmtId="0" fontId="1" fillId="9" borderId="11" xfId="0" applyFont="1" applyFill="1" applyBorder="1" applyAlignment="1">
      <alignment horizontal="center" vertical="center"/>
    </xf>
    <xf numFmtId="0" fontId="1" fillId="9" borderId="12" xfId="0" applyFont="1" applyFill="1" applyBorder="1" applyAlignment="1">
      <alignment horizontal="center" vertical="center"/>
    </xf>
    <xf numFmtId="0" fontId="24" fillId="0" borderId="0" xfId="0" applyFont="1"/>
    <xf numFmtId="0" fontId="6" fillId="0" borderId="8" xfId="0" applyFont="1" applyBorder="1" applyAlignment="1">
      <alignment horizontal="left" vertical="center"/>
    </xf>
    <xf numFmtId="0" fontId="0" fillId="0" borderId="0" xfId="0" applyAlignment="1">
      <alignment horizontal="justify" vertical="center"/>
    </xf>
    <xf numFmtId="0" fontId="6" fillId="11" borderId="33" xfId="0" applyFont="1" applyFill="1" applyBorder="1" applyAlignment="1">
      <alignment horizontal="center" vertical="center"/>
    </xf>
    <xf numFmtId="0" fontId="6" fillId="11" borderId="50" xfId="0" applyFont="1" applyFill="1" applyBorder="1" applyAlignment="1">
      <alignment horizontal="center" vertical="center"/>
    </xf>
    <xf numFmtId="0" fontId="6" fillId="11" borderId="31" xfId="0" applyFont="1" applyFill="1" applyBorder="1" applyAlignment="1">
      <alignment horizontal="center" vertical="center"/>
    </xf>
    <xf numFmtId="0" fontId="6" fillId="11" borderId="32" xfId="0" applyFont="1" applyFill="1" applyBorder="1" applyAlignment="1">
      <alignment horizontal="center" vertical="center"/>
    </xf>
    <xf numFmtId="0" fontId="3" fillId="11" borderId="31" xfId="0" applyFont="1" applyFill="1" applyBorder="1" applyAlignment="1">
      <alignment horizontal="left" vertical="center" wrapText="1"/>
    </xf>
    <xf numFmtId="0" fontId="3" fillId="11" borderId="38" xfId="0" applyFont="1" applyFill="1" applyBorder="1" applyAlignment="1">
      <alignment horizontal="left" vertical="center" wrapText="1"/>
    </xf>
    <xf numFmtId="0" fontId="3" fillId="11" borderId="32" xfId="0" applyFont="1" applyFill="1" applyBorder="1" applyAlignment="1">
      <alignment horizontal="left" vertical="center" wrapText="1"/>
    </xf>
    <xf numFmtId="0" fontId="8" fillId="11" borderId="48" xfId="0" applyFont="1" applyFill="1" applyBorder="1" applyAlignment="1">
      <alignment horizontal="center" vertical="center" wrapText="1"/>
    </xf>
    <xf numFmtId="0" fontId="8" fillId="11" borderId="49" xfId="0" applyFont="1" applyFill="1" applyBorder="1" applyAlignment="1">
      <alignment horizontal="center" vertical="center" wrapText="1"/>
    </xf>
    <xf numFmtId="0" fontId="3" fillId="11" borderId="48" xfId="0" applyFont="1" applyFill="1" applyBorder="1" applyAlignment="1">
      <alignment horizontal="left" vertical="center" wrapText="1"/>
    </xf>
    <xf numFmtId="0" fontId="3" fillId="11" borderId="34" xfId="0" applyFont="1" applyFill="1" applyBorder="1" applyAlignment="1">
      <alignment horizontal="left" vertical="center" wrapText="1"/>
    </xf>
    <xf numFmtId="0" fontId="3" fillId="11" borderId="50" xfId="0" applyFont="1" applyFill="1" applyBorder="1" applyAlignment="1">
      <alignment horizontal="left" vertical="center" wrapText="1"/>
    </xf>
    <xf numFmtId="0" fontId="40" fillId="0" borderId="1" xfId="0" applyFont="1" applyBorder="1" applyAlignment="1">
      <alignment horizontal="center" vertical="center" wrapText="1"/>
    </xf>
    <xf numFmtId="0" fontId="40" fillId="0" borderId="1" xfId="0" applyFont="1" applyBorder="1" applyAlignment="1">
      <alignment horizontal="center" vertical="center"/>
    </xf>
    <xf numFmtId="0" fontId="40" fillId="0" borderId="1" xfId="0" applyFont="1" applyBorder="1" applyAlignment="1">
      <alignment horizontal="center"/>
    </xf>
    <xf numFmtId="0" fontId="2" fillId="11" borderId="10" xfId="0" applyFont="1" applyFill="1" applyBorder="1" applyAlignment="1">
      <alignment vertical="center" wrapText="1"/>
    </xf>
    <xf numFmtId="0" fontId="2" fillId="11" borderId="11" xfId="0" applyFont="1" applyFill="1" applyBorder="1" applyAlignment="1">
      <alignment vertical="center" wrapText="1"/>
    </xf>
    <xf numFmtId="0" fontId="2" fillId="11" borderId="12" xfId="0" applyFont="1" applyFill="1" applyBorder="1" applyAlignment="1">
      <alignment vertical="center" wrapText="1"/>
    </xf>
    <xf numFmtId="0" fontId="8" fillId="3" borderId="0" xfId="0" applyFont="1" applyFill="1" applyAlignment="1">
      <alignment horizontal="center" vertical="center"/>
    </xf>
    <xf numFmtId="0" fontId="6" fillId="6" borderId="0" xfId="0" applyFont="1" applyFill="1" applyAlignment="1">
      <alignment vertical="center"/>
    </xf>
    <xf numFmtId="0" fontId="0" fillId="6" borderId="0" xfId="0" applyFill="1" applyAlignment="1">
      <alignment vertical="center"/>
    </xf>
    <xf numFmtId="0" fontId="0" fillId="3" borderId="1" xfId="0" applyFill="1" applyBorder="1" applyAlignment="1">
      <alignment horizontal="center" vertical="top" wrapText="1"/>
    </xf>
    <xf numFmtId="0" fontId="1" fillId="3" borderId="1" xfId="0" applyFont="1" applyFill="1" applyBorder="1" applyAlignment="1">
      <alignment horizontal="center" vertical="top" wrapText="1"/>
    </xf>
    <xf numFmtId="0" fontId="0" fillId="0" borderId="1" xfId="0" applyBorder="1" applyAlignment="1">
      <alignment horizontal="center" vertical="top" wrapText="1"/>
    </xf>
    <xf numFmtId="0" fontId="1" fillId="0" borderId="1" xfId="0" applyFont="1" applyBorder="1" applyAlignment="1">
      <alignment horizontal="center" vertical="top" wrapText="1"/>
    </xf>
    <xf numFmtId="0" fontId="20" fillId="0" borderId="8" xfId="0" applyFont="1" applyBorder="1" applyAlignment="1">
      <alignment horizontal="justify" vertical="center" wrapText="1"/>
    </xf>
    <xf numFmtId="0" fontId="1" fillId="10" borderId="19" xfId="0" applyFont="1" applyFill="1" applyBorder="1" applyAlignment="1">
      <alignment vertical="center" wrapText="1"/>
    </xf>
    <xf numFmtId="0" fontId="1" fillId="10" borderId="20" xfId="0" applyFont="1" applyFill="1" applyBorder="1" applyAlignment="1">
      <alignment vertical="center" wrapText="1"/>
    </xf>
    <xf numFmtId="0" fontId="1" fillId="10" borderId="18" xfId="0" applyFont="1" applyFill="1" applyBorder="1" applyAlignment="1">
      <alignment vertical="center" wrapText="1"/>
    </xf>
    <xf numFmtId="0" fontId="6" fillId="0" borderId="11" xfId="0" applyFont="1" applyBorder="1" applyAlignment="1">
      <alignment horizontal="justify" vertical="center" wrapText="1"/>
    </xf>
    <xf numFmtId="0" fontId="6" fillId="0" borderId="12" xfId="0" applyFont="1" applyBorder="1" applyAlignment="1">
      <alignment horizontal="justify" vertical="center" wrapText="1"/>
    </xf>
    <xf numFmtId="49" fontId="8" fillId="0" borderId="19" xfId="0" applyNumberFormat="1" applyFont="1" applyBorder="1" applyAlignment="1">
      <alignment horizontal="center" vertical="center" wrapText="1"/>
    </xf>
    <xf numFmtId="49" fontId="8" fillId="0" borderId="20" xfId="0" applyNumberFormat="1" applyFont="1" applyBorder="1" applyAlignment="1">
      <alignment horizontal="center" vertical="center" wrapText="1"/>
    </xf>
    <xf numFmtId="49" fontId="8" fillId="0" borderId="18" xfId="0" applyNumberFormat="1" applyFont="1" applyBorder="1" applyAlignment="1">
      <alignment horizontal="center" vertical="center" wrapText="1"/>
    </xf>
    <xf numFmtId="0" fontId="15" fillId="4" borderId="3" xfId="0" applyFont="1" applyFill="1" applyBorder="1" applyAlignment="1">
      <alignment horizontal="left" vertical="center"/>
    </xf>
    <xf numFmtId="0" fontId="6" fillId="0" borderId="0" xfId="0" applyFont="1" applyAlignment="1">
      <alignment wrapText="1"/>
    </xf>
    <xf numFmtId="0" fontId="6" fillId="0" borderId="0" xfId="0" applyFont="1"/>
    <xf numFmtId="0" fontId="8" fillId="11" borderId="31" xfId="0" applyFont="1" applyFill="1" applyBorder="1" applyAlignment="1">
      <alignment horizontal="center" vertical="center" wrapText="1"/>
    </xf>
    <xf numFmtId="0" fontId="8" fillId="11" borderId="32" xfId="0" applyFont="1" applyFill="1" applyBorder="1" applyAlignment="1">
      <alignment horizontal="center" vertical="center" wrapText="1"/>
    </xf>
    <xf numFmtId="0" fontId="28" fillId="3" borderId="0" xfId="0" applyFont="1" applyFill="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15" fillId="0" borderId="0" xfId="0" applyFont="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11" xfId="0" applyFont="1" applyFill="1" applyBorder="1" applyAlignment="1">
      <alignment horizontal="center" vertical="center"/>
    </xf>
    <xf numFmtId="0" fontId="2" fillId="4" borderId="12" xfId="0" applyFont="1" applyFill="1" applyBorder="1" applyAlignment="1">
      <alignment horizontal="center" vertical="center"/>
    </xf>
    <xf numFmtId="0" fontId="2" fillId="0" borderId="5"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6" xfId="0" applyFont="1" applyBorder="1"/>
    <xf numFmtId="0" fontId="2" fillId="0" borderId="8" xfId="0" applyFont="1" applyBorder="1"/>
    <xf numFmtId="0" fontId="2" fillId="0" borderId="9" xfId="0" applyFont="1" applyBorder="1"/>
    <xf numFmtId="0" fontId="21" fillId="0" borderId="1" xfId="0" applyFont="1" applyBorder="1" applyAlignment="1">
      <alignment horizontal="center" vertical="center"/>
    </xf>
    <xf numFmtId="0" fontId="6" fillId="0" borderId="11" xfId="0" applyFont="1" applyBorder="1" applyAlignment="1">
      <alignment horizontal="center" vertical="center" wrapText="1"/>
    </xf>
    <xf numFmtId="0" fontId="6" fillId="0" borderId="51" xfId="0" applyFont="1" applyBorder="1" applyAlignment="1">
      <alignment horizontal="center" vertical="top" wrapText="1"/>
    </xf>
    <xf numFmtId="0" fontId="6" fillId="0" borderId="52" xfId="0" applyFont="1" applyBorder="1" applyAlignment="1">
      <alignment horizontal="center" vertical="top" wrapText="1"/>
    </xf>
    <xf numFmtId="0" fontId="6" fillId="0" borderId="53" xfId="0" applyFont="1" applyBorder="1" applyAlignment="1">
      <alignment horizontal="center" vertical="top" wrapText="1"/>
    </xf>
    <xf numFmtId="0" fontId="6" fillId="0" borderId="47" xfId="0" applyFont="1" applyBorder="1" applyAlignment="1">
      <alignment horizontal="left" vertical="center"/>
    </xf>
    <xf numFmtId="0" fontId="2" fillId="3" borderId="1" xfId="0" applyFont="1" applyFill="1" applyBorder="1" applyAlignment="1">
      <alignment horizontal="center" vertical="center" wrapText="1"/>
    </xf>
    <xf numFmtId="0" fontId="3" fillId="0" borderId="1" xfId="0" applyFont="1" applyBorder="1" applyAlignment="1">
      <alignment horizontal="justify" vertical="center" wrapText="1"/>
    </xf>
    <xf numFmtId="0" fontId="6" fillId="0" borderId="10" xfId="0" applyFont="1" applyBorder="1" applyAlignment="1">
      <alignment horizontal="left" vertical="top" wrapText="1"/>
    </xf>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3" fillId="0" borderId="1" xfId="0" applyFont="1" applyBorder="1" applyAlignment="1">
      <alignment horizontal="justify" vertical="center"/>
    </xf>
    <xf numFmtId="0" fontId="66" fillId="0" borderId="1" xfId="0" applyFont="1" applyBorder="1" applyAlignment="1">
      <alignment horizontal="justify" vertical="center"/>
    </xf>
    <xf numFmtId="0" fontId="15" fillId="0" borderId="0" xfId="0" applyFont="1" applyAlignment="1">
      <alignment horizontal="left" vertical="center"/>
    </xf>
    <xf numFmtId="0" fontId="0" fillId="0" borderId="0" xfId="0" applyAlignment="1">
      <alignment horizontal="left" vertical="center"/>
    </xf>
    <xf numFmtId="0" fontId="3" fillId="0" borderId="1" xfId="0" applyFont="1" applyBorder="1" applyAlignment="1">
      <alignment horizontal="justify" vertical="top" wrapText="1"/>
    </xf>
    <xf numFmtId="0" fontId="6" fillId="0" borderId="1" xfId="0" applyFont="1" applyBorder="1" applyAlignment="1">
      <alignment vertical="top" wrapText="1"/>
    </xf>
    <xf numFmtId="0" fontId="6" fillId="0" borderId="1" xfId="0" applyFont="1" applyBorder="1" applyAlignment="1">
      <alignment vertical="top"/>
    </xf>
    <xf numFmtId="0" fontId="6" fillId="0" borderId="1" xfId="0" applyFont="1" applyBorder="1" applyAlignment="1">
      <alignment horizontal="justify" vertical="center" wrapText="1"/>
    </xf>
    <xf numFmtId="0" fontId="2" fillId="0" borderId="1" xfId="0" applyFont="1" applyBorder="1" applyAlignment="1">
      <alignment vertical="center" wrapText="1"/>
    </xf>
    <xf numFmtId="0" fontId="2" fillId="15" borderId="1" xfId="0" applyFont="1" applyFill="1" applyBorder="1" applyAlignment="1">
      <alignment horizontal="left" vertical="center"/>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47" xfId="0" applyFont="1" applyBorder="1" applyAlignment="1">
      <alignment horizontal="center" vertical="center"/>
    </xf>
    <xf numFmtId="0" fontId="6" fillId="0" borderId="47" xfId="0" applyFont="1" applyBorder="1" applyAlignment="1">
      <alignment horizontal="left" vertical="center" wrapText="1"/>
    </xf>
    <xf numFmtId="0" fontId="3" fillId="0" borderId="10" xfId="0" quotePrefix="1" applyFont="1" applyBorder="1" applyAlignment="1">
      <alignment horizontal="center" vertical="center"/>
    </xf>
    <xf numFmtId="0" fontId="5" fillId="4" borderId="10" xfId="0" applyFont="1" applyFill="1" applyBorder="1" applyAlignment="1">
      <alignment horizontal="center" vertical="center"/>
    </xf>
    <xf numFmtId="0" fontId="0" fillId="0" borderId="11" xfId="0" applyBorder="1" applyAlignment="1">
      <alignment horizontal="center" vertical="center"/>
    </xf>
    <xf numFmtId="0" fontId="1" fillId="0" borderId="0" xfId="0" applyFont="1" applyAlignment="1">
      <alignment horizontal="center" vertical="center"/>
    </xf>
    <xf numFmtId="0" fontId="1" fillId="4" borderId="1" xfId="0" applyFont="1" applyFill="1" applyBorder="1" applyAlignment="1">
      <alignment horizontal="center" vertical="center"/>
    </xf>
    <xf numFmtId="0" fontId="6"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xf>
    <xf numFmtId="0" fontId="5" fillId="3" borderId="1" xfId="0" applyFont="1" applyFill="1" applyBorder="1" applyAlignment="1">
      <alignment horizontal="center" vertical="center"/>
    </xf>
    <xf numFmtId="14" fontId="3" fillId="0" borderId="10" xfId="0" applyNumberFormat="1" applyFont="1" applyBorder="1" applyAlignment="1">
      <alignment horizontal="center" vertical="center"/>
    </xf>
    <xf numFmtId="0" fontId="32" fillId="0" borderId="10" xfId="0" applyFont="1" applyBorder="1" applyAlignment="1">
      <alignment horizontal="left" vertical="center" wrapText="1"/>
    </xf>
    <xf numFmtId="0" fontId="32" fillId="0" borderId="11" xfId="0" applyFont="1" applyBorder="1" applyAlignment="1">
      <alignment horizontal="left" vertical="center" wrapText="1"/>
    </xf>
    <xf numFmtId="0" fontId="32" fillId="0" borderId="12" xfId="0" applyFont="1" applyBorder="1" applyAlignment="1">
      <alignment horizontal="left" vertical="center" wrapText="1"/>
    </xf>
    <xf numFmtId="0" fontId="32" fillId="0" borderId="10" xfId="0" applyFont="1" applyBorder="1" applyAlignment="1">
      <alignment horizontal="justify" vertical="center"/>
    </xf>
    <xf numFmtId="0" fontId="32" fillId="0" borderId="11" xfId="0" applyFont="1" applyBorder="1" applyAlignment="1">
      <alignment horizontal="justify" vertical="center"/>
    </xf>
    <xf numFmtId="0" fontId="32" fillId="0" borderId="12" xfId="0" applyFont="1" applyBorder="1" applyAlignment="1">
      <alignment horizontal="justify" vertical="center"/>
    </xf>
    <xf numFmtId="0" fontId="6" fillId="4" borderId="11" xfId="0" applyFont="1" applyFill="1" applyBorder="1"/>
    <xf numFmtId="0" fontId="6" fillId="4" borderId="12" xfId="0" applyFont="1" applyFill="1" applyBorder="1"/>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12" xfId="0" applyFont="1" applyFill="1" applyBorder="1" applyAlignment="1">
      <alignment horizontal="center" vertical="center"/>
    </xf>
    <xf numFmtId="0" fontId="7" fillId="0" borderId="10" xfId="0" applyFont="1" applyBorder="1" applyAlignment="1">
      <alignment horizontal="center" vertical="center"/>
    </xf>
    <xf numFmtId="0" fontId="0" fillId="0" borderId="1" xfId="0" applyBorder="1"/>
    <xf numFmtId="0" fontId="1" fillId="9" borderId="1" xfId="0" applyFont="1" applyFill="1" applyBorder="1" applyAlignment="1">
      <alignment horizontal="center"/>
    </xf>
    <xf numFmtId="0" fontId="2" fillId="4" borderId="1" xfId="0" applyFont="1" applyFill="1" applyBorder="1" applyAlignment="1">
      <alignment horizontal="center"/>
    </xf>
    <xf numFmtId="0" fontId="67" fillId="0" borderId="19" xfId="0" applyFont="1" applyBorder="1" applyAlignment="1">
      <alignment horizontal="center" vertical="center" textRotation="90"/>
    </xf>
    <xf numFmtId="0" fontId="13" fillId="0" borderId="20" xfId="0" applyFont="1" applyBorder="1" applyAlignment="1">
      <alignment horizontal="center" vertical="center" textRotation="90"/>
    </xf>
    <xf numFmtId="0" fontId="13" fillId="0" borderId="18" xfId="0" applyFont="1" applyBorder="1" applyAlignment="1">
      <alignment horizontal="center" vertical="center" textRotation="90"/>
    </xf>
    <xf numFmtId="0" fontId="11" fillId="0" borderId="1" xfId="0" applyFont="1" applyBorder="1" applyAlignment="1">
      <alignment horizontal="center" vertical="center" wrapText="1"/>
    </xf>
    <xf numFmtId="0" fontId="32" fillId="0" borderId="2" xfId="0" applyFont="1" applyBorder="1" applyAlignment="1">
      <alignment horizontal="justify" vertical="center" wrapText="1"/>
    </xf>
    <xf numFmtId="0" fontId="32" fillId="0" borderId="3" xfId="0" applyFont="1" applyBorder="1" applyAlignment="1">
      <alignment horizontal="justify" vertical="center" wrapText="1"/>
    </xf>
    <xf numFmtId="0" fontId="32" fillId="0" borderId="4" xfId="0" applyFont="1" applyBorder="1" applyAlignment="1">
      <alignment horizontal="justify" vertical="center" wrapText="1"/>
    </xf>
    <xf numFmtId="0" fontId="67" fillId="0" borderId="1" xfId="0" applyFont="1" applyBorder="1" applyAlignment="1">
      <alignment horizontal="center" vertical="center" textRotation="90"/>
    </xf>
    <xf numFmtId="0" fontId="2" fillId="3" borderId="1" xfId="0" applyFont="1" applyFill="1" applyBorder="1" applyAlignment="1">
      <alignment horizontal="center"/>
    </xf>
    <xf numFmtId="0" fontId="6" fillId="0" borderId="1" xfId="0" applyFont="1" applyBorder="1" applyAlignment="1">
      <alignment horizontal="left" vertical="center" wrapText="1"/>
    </xf>
    <xf numFmtId="0" fontId="6" fillId="0" borderId="1" xfId="0" applyFont="1" applyBorder="1" applyAlignment="1">
      <alignment horizontal="justify" vertical="center"/>
    </xf>
    <xf numFmtId="0" fontId="6" fillId="0" borderId="5" xfId="0" applyFont="1" applyBorder="1" applyAlignment="1">
      <alignment horizontal="justify" vertical="top" wrapText="1"/>
    </xf>
    <xf numFmtId="0" fontId="6" fillId="0" borderId="0" xfId="0" applyFont="1" applyAlignment="1">
      <alignment horizontal="justify" vertical="top" wrapText="1"/>
    </xf>
    <xf numFmtId="0" fontId="6" fillId="0" borderId="6" xfId="0" applyFont="1" applyBorder="1" applyAlignment="1">
      <alignment horizontal="justify" vertical="top" wrapText="1"/>
    </xf>
    <xf numFmtId="0" fontId="25" fillId="3" borderId="2" xfId="0" applyFont="1" applyFill="1" applyBorder="1" applyAlignment="1">
      <alignment horizontal="justify" wrapText="1"/>
    </xf>
    <xf numFmtId="0" fontId="25" fillId="3" borderId="3" xfId="0" applyFont="1" applyFill="1" applyBorder="1" applyAlignment="1">
      <alignment horizontal="justify" wrapText="1"/>
    </xf>
    <xf numFmtId="0" fontId="25" fillId="3" borderId="4" xfId="0" applyFont="1" applyFill="1" applyBorder="1" applyAlignment="1">
      <alignment horizontal="justify" wrapText="1"/>
    </xf>
    <xf numFmtId="0" fontId="15" fillId="4" borderId="0" xfId="0" applyFont="1" applyFill="1" applyAlignment="1">
      <alignment horizontal="justify" vertical="center"/>
    </xf>
    <xf numFmtId="0" fontId="41" fillId="0" borderId="5" xfId="0" applyFont="1" applyBorder="1" applyAlignment="1">
      <alignment horizontal="justify" wrapText="1"/>
    </xf>
    <xf numFmtId="0" fontId="2" fillId="0" borderId="0" xfId="0" applyFont="1" applyAlignment="1">
      <alignment horizontal="justify" wrapText="1"/>
    </xf>
    <xf numFmtId="0" fontId="2" fillId="0" borderId="6" xfId="0" applyFont="1" applyBorder="1" applyAlignment="1">
      <alignment horizontal="justify" wrapText="1"/>
    </xf>
    <xf numFmtId="0" fontId="6" fillId="0" borderId="7" xfId="0" applyFont="1" applyBorder="1" applyAlignment="1">
      <alignment horizontal="justify" vertical="top" wrapText="1"/>
    </xf>
    <xf numFmtId="0" fontId="0" fillId="0" borderId="8" xfId="0" applyBorder="1" applyAlignment="1">
      <alignment horizontal="justify" vertical="top" wrapText="1"/>
    </xf>
    <xf numFmtId="0" fontId="0" fillId="0" borderId="9" xfId="0" applyBorder="1" applyAlignment="1">
      <alignment horizontal="justify" vertical="top" wrapText="1"/>
    </xf>
    <xf numFmtId="0" fontId="15" fillId="2" borderId="8" xfId="0" applyFont="1" applyFill="1" applyBorder="1" applyAlignment="1">
      <alignment horizontal="justify" vertical="center"/>
    </xf>
    <xf numFmtId="0" fontId="0" fillId="2" borderId="8" xfId="0" applyFill="1" applyBorder="1" applyAlignment="1">
      <alignment horizontal="justify" vertical="center"/>
    </xf>
    <xf numFmtId="0" fontId="15" fillId="2" borderId="5" xfId="0" applyFont="1" applyFill="1" applyBorder="1" applyAlignment="1">
      <alignment horizontal="justify" vertical="center"/>
    </xf>
    <xf numFmtId="0" fontId="0" fillId="2" borderId="0" xfId="0" applyFill="1" applyAlignment="1">
      <alignment horizontal="justify" vertical="center"/>
    </xf>
    <xf numFmtId="0" fontId="0" fillId="2" borderId="6" xfId="0" applyFill="1" applyBorder="1" applyAlignment="1">
      <alignment horizontal="justify" vertical="center"/>
    </xf>
    <xf numFmtId="0" fontId="38" fillId="3" borderId="2" xfId="0" applyFont="1" applyFill="1" applyBorder="1" applyAlignment="1">
      <alignment horizontal="justify" wrapText="1"/>
    </xf>
    <xf numFmtId="0" fontId="38" fillId="3" borderId="3" xfId="0" applyFont="1" applyFill="1" applyBorder="1" applyAlignment="1">
      <alignment horizontal="justify" wrapText="1"/>
    </xf>
    <xf numFmtId="0" fontId="38" fillId="3" borderId="4" xfId="0" applyFont="1" applyFill="1" applyBorder="1" applyAlignment="1">
      <alignment horizontal="justify" wrapText="1"/>
    </xf>
    <xf numFmtId="0" fontId="25"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0" fillId="2" borderId="1" xfId="0" applyFont="1" applyFill="1" applyBorder="1" applyAlignment="1">
      <alignment horizontal="left" vertical="center" wrapText="1"/>
    </xf>
    <xf numFmtId="0" fontId="20" fillId="0" borderId="1" xfId="0" applyFont="1" applyBorder="1" applyAlignment="1">
      <alignment horizontal="center" vertical="top" wrapText="1"/>
    </xf>
    <xf numFmtId="0" fontId="20" fillId="0" borderId="1" xfId="0" applyFont="1" applyBorder="1" applyAlignment="1">
      <alignment horizontal="left" vertical="top" wrapText="1"/>
    </xf>
    <xf numFmtId="0" fontId="20" fillId="0" borderId="10"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54" xfId="0" applyFont="1" applyBorder="1" applyAlignment="1">
      <alignment horizontal="left" vertical="top" wrapText="1"/>
    </xf>
    <xf numFmtId="0" fontId="20" fillId="0" borderId="55" xfId="0" applyFont="1" applyBorder="1" applyAlignment="1">
      <alignment horizontal="left" vertical="top" wrapText="1"/>
    </xf>
    <xf numFmtId="0" fontId="20" fillId="0" borderId="56" xfId="0" applyFont="1" applyBorder="1" applyAlignment="1">
      <alignment horizontal="left" vertical="top" wrapText="1"/>
    </xf>
    <xf numFmtId="0" fontId="20" fillId="0" borderId="1" xfId="0" applyFont="1" applyBorder="1" applyAlignment="1">
      <alignment horizontal="left" vertical="center" wrapText="1"/>
    </xf>
    <xf numFmtId="0" fontId="25" fillId="5" borderId="10" xfId="0" applyFont="1" applyFill="1" applyBorder="1" applyAlignment="1">
      <alignment horizontal="left" vertical="center" wrapText="1"/>
    </xf>
    <xf numFmtId="0" fontId="25" fillId="5" borderId="11" xfId="0" applyFont="1" applyFill="1" applyBorder="1" applyAlignment="1">
      <alignment horizontal="left" vertical="center" wrapText="1"/>
    </xf>
    <xf numFmtId="0" fontId="25" fillId="5" borderId="12" xfId="0" applyFont="1" applyFill="1" applyBorder="1" applyAlignment="1">
      <alignment horizontal="left" vertical="center" wrapText="1"/>
    </xf>
    <xf numFmtId="0" fontId="0" fillId="0" borderId="8" xfId="0" applyBorder="1" applyAlignment="1">
      <alignment vertical="center" wrapText="1"/>
    </xf>
    <xf numFmtId="0" fontId="9" fillId="5" borderId="10" xfId="0" applyFont="1" applyFill="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0" fillId="0" borderId="0" xfId="0" applyAlignment="1">
      <alignment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15" fillId="0" borderId="8" xfId="0" applyFont="1" applyBorder="1" applyAlignment="1">
      <alignment horizontal="left" vertical="center"/>
    </xf>
    <xf numFmtId="0" fontId="0" fillId="0" borderId="8" xfId="0" applyBorder="1" applyAlignment="1">
      <alignment horizontal="left" vertical="center"/>
    </xf>
    <xf numFmtId="0" fontId="0" fillId="0" borderId="8" xfId="0" applyBorder="1"/>
    <xf numFmtId="0" fontId="0" fillId="0" borderId="11" xfId="0" applyBorder="1"/>
    <xf numFmtId="0" fontId="0" fillId="0" borderId="12" xfId="0" applyBorder="1"/>
    <xf numFmtId="0" fontId="0" fillId="0" borderId="10" xfId="0" applyBorder="1" applyAlignment="1">
      <alignment vertical="center"/>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2" fillId="5" borderId="1" xfId="0" applyFont="1" applyFill="1" applyBorder="1" applyAlignment="1">
      <alignment horizontal="center" vertical="center" wrapText="1"/>
    </xf>
    <xf numFmtId="0" fontId="5" fillId="5" borderId="1" xfId="0" applyFont="1" applyFill="1" applyBorder="1" applyAlignment="1">
      <alignment horizontal="center" vertical="center"/>
    </xf>
    <xf numFmtId="0" fontId="5" fillId="5" borderId="10" xfId="0" applyFont="1" applyFill="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vertical="center"/>
    </xf>
    <xf numFmtId="0" fontId="3" fillId="3" borderId="1" xfId="0" applyFont="1" applyFill="1" applyBorder="1" applyAlignment="1">
      <alignment horizontal="left" vertical="center"/>
    </xf>
    <xf numFmtId="0" fontId="3" fillId="3" borderId="1" xfId="0" applyFont="1" applyFill="1" applyBorder="1" applyAlignment="1">
      <alignment vertical="center"/>
    </xf>
    <xf numFmtId="0" fontId="7" fillId="3" borderId="2" xfId="0" applyFont="1" applyFill="1" applyBorder="1" applyAlignment="1">
      <alignment horizontal="justify" vertical="center" wrapText="1"/>
    </xf>
    <xf numFmtId="0" fontId="7" fillId="3" borderId="3" xfId="0" applyFont="1" applyFill="1" applyBorder="1" applyAlignment="1">
      <alignment horizontal="justify" wrapText="1"/>
    </xf>
    <xf numFmtId="0" fontId="7" fillId="3" borderId="4" xfId="0" applyFont="1" applyFill="1" applyBorder="1" applyAlignment="1">
      <alignment horizontal="justify" wrapText="1"/>
    </xf>
    <xf numFmtId="0" fontId="7" fillId="3" borderId="5" xfId="0" applyFont="1" applyFill="1" applyBorder="1" applyAlignment="1">
      <alignment horizontal="justify" wrapText="1"/>
    </xf>
    <xf numFmtId="0" fontId="7" fillId="3" borderId="0" xfId="0" applyFont="1" applyFill="1" applyAlignment="1">
      <alignment horizontal="justify" wrapText="1"/>
    </xf>
    <xf numFmtId="0" fontId="7" fillId="3" borderId="6" xfId="0" applyFont="1" applyFill="1" applyBorder="1" applyAlignment="1">
      <alignment horizontal="justify" wrapText="1"/>
    </xf>
    <xf numFmtId="0" fontId="7" fillId="3" borderId="7" xfId="0" applyFont="1" applyFill="1" applyBorder="1" applyAlignment="1">
      <alignment horizontal="justify" wrapText="1"/>
    </xf>
    <xf numFmtId="0" fontId="7" fillId="3" borderId="8" xfId="0" applyFont="1" applyFill="1" applyBorder="1" applyAlignment="1">
      <alignment horizontal="justify" wrapText="1"/>
    </xf>
    <xf numFmtId="0" fontId="7" fillId="3" borderId="9" xfId="0" applyFont="1" applyFill="1" applyBorder="1" applyAlignment="1">
      <alignment horizontal="justify" wrapText="1"/>
    </xf>
    <xf numFmtId="0" fontId="3" fillId="0" borderId="2" xfId="0" applyFont="1" applyBorder="1" applyAlignment="1">
      <alignment horizontal="justify" vertical="center" wrapText="1"/>
    </xf>
    <xf numFmtId="0" fontId="0" fillId="0" borderId="3" xfId="0" applyBorder="1" applyAlignment="1">
      <alignment horizontal="justify" wrapText="1"/>
    </xf>
    <xf numFmtId="0" fontId="0" fillId="0" borderId="4" xfId="0" applyBorder="1" applyAlignment="1">
      <alignment horizontal="justify" wrapText="1"/>
    </xf>
    <xf numFmtId="0" fontId="0" fillId="0" borderId="5" xfId="0" applyBorder="1" applyAlignment="1">
      <alignment horizontal="justify" wrapText="1"/>
    </xf>
    <xf numFmtId="0" fontId="0" fillId="0" borderId="0" xfId="0" applyAlignment="1">
      <alignment horizontal="justify" wrapText="1"/>
    </xf>
    <xf numFmtId="0" fontId="0" fillId="0" borderId="6" xfId="0" applyBorder="1" applyAlignment="1">
      <alignment horizontal="justify" wrapText="1"/>
    </xf>
    <xf numFmtId="0" fontId="0" fillId="0" borderId="7" xfId="0" applyBorder="1" applyAlignment="1">
      <alignment horizontal="justify" wrapText="1"/>
    </xf>
    <xf numFmtId="0" fontId="0" fillId="0" borderId="8" xfId="0" applyBorder="1" applyAlignment="1">
      <alignment horizontal="justify" wrapText="1"/>
    </xf>
    <xf numFmtId="0" fontId="0" fillId="0" borderId="9" xfId="0" applyBorder="1" applyAlignment="1">
      <alignment horizontal="justify" wrapText="1"/>
    </xf>
    <xf numFmtId="0" fontId="10" fillId="0" borderId="10" xfId="0" applyFont="1" applyBorder="1" applyAlignment="1">
      <alignment horizontal="left" vertical="center" wrapText="1"/>
    </xf>
    <xf numFmtId="0" fontId="10" fillId="0" borderId="11" xfId="0" applyFont="1" applyBorder="1" applyAlignment="1">
      <alignment horizontal="left" vertical="center" wrapText="1"/>
    </xf>
    <xf numFmtId="0" fontId="10" fillId="0" borderId="12" xfId="0" applyFont="1" applyBorder="1" applyAlignment="1">
      <alignment horizontal="left" vertical="center" wrapText="1"/>
    </xf>
    <xf numFmtId="0" fontId="2" fillId="5" borderId="10" xfId="0" applyFont="1" applyFill="1" applyBorder="1" applyAlignment="1">
      <alignment horizontal="right" vertical="center"/>
    </xf>
    <xf numFmtId="0" fontId="0" fillId="0" borderId="11" xfId="0" applyBorder="1" applyAlignment="1">
      <alignment horizontal="right" vertical="center"/>
    </xf>
    <xf numFmtId="0" fontId="2" fillId="5" borderId="11" xfId="0" applyFont="1" applyFill="1" applyBorder="1" applyAlignment="1">
      <alignment horizontal="left" vertical="center"/>
    </xf>
    <xf numFmtId="0" fontId="0" fillId="0" borderId="11" xfId="0" applyBorder="1" applyAlignment="1">
      <alignment horizontal="left" vertical="center"/>
    </xf>
    <xf numFmtId="0" fontId="5" fillId="3" borderId="11" xfId="0" applyFont="1" applyFill="1" applyBorder="1" applyAlignment="1">
      <alignment horizontal="center" vertical="center"/>
    </xf>
    <xf numFmtId="0" fontId="7" fillId="0" borderId="1" xfId="0" applyFont="1" applyBorder="1" applyAlignment="1">
      <alignment horizontal="center" vertical="center"/>
    </xf>
    <xf numFmtId="0" fontId="5"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6"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6" fillId="0" borderId="1" xfId="0" applyFont="1" applyBorder="1" applyAlignment="1">
      <alignment horizontal="center" vertical="center" wrapText="1"/>
    </xf>
    <xf numFmtId="0" fontId="6" fillId="2" borderId="1" xfId="0" applyFont="1" applyFill="1" applyBorder="1" applyAlignment="1">
      <alignment horizontal="justify" vertical="center" wrapText="1"/>
    </xf>
    <xf numFmtId="0" fontId="0" fillId="0" borderId="1" xfId="0" applyBorder="1" applyAlignment="1">
      <alignment horizontal="center" vertical="center" wrapText="1"/>
    </xf>
    <xf numFmtId="0" fontId="7" fillId="0" borderId="1" xfId="0" applyFont="1" applyBorder="1" applyAlignment="1">
      <alignment horizontal="justify" vertical="center" wrapText="1"/>
    </xf>
    <xf numFmtId="0" fontId="7" fillId="0" borderId="1" xfId="0" applyFont="1" applyBorder="1" applyAlignment="1">
      <alignment horizontal="justify" vertical="center"/>
    </xf>
    <xf numFmtId="0" fontId="21" fillId="0" borderId="1" xfId="0" applyFont="1" applyBorder="1" applyAlignment="1">
      <alignment vertical="center" wrapText="1"/>
    </xf>
    <xf numFmtId="0" fontId="21" fillId="0" borderId="1" xfId="0" applyFont="1" applyBorder="1" applyAlignment="1">
      <alignment vertical="center"/>
    </xf>
    <xf numFmtId="0" fontId="6" fillId="0" borderId="1" xfId="0" applyFont="1" applyBorder="1" applyAlignment="1">
      <alignment vertical="center" wrapText="1"/>
    </xf>
    <xf numFmtId="0" fontId="6" fillId="0" borderId="1" xfId="0" applyFont="1" applyBorder="1" applyAlignment="1">
      <alignment vertical="center"/>
    </xf>
    <xf numFmtId="0" fontId="7" fillId="0" borderId="1" xfId="0" applyFont="1" applyBorder="1"/>
    <xf numFmtId="0" fontId="0" fillId="0" borderId="10" xfId="0" applyBorder="1"/>
    <xf numFmtId="0" fontId="5" fillId="5" borderId="1" xfId="0" applyFont="1" applyFill="1" applyBorder="1" applyAlignment="1">
      <alignment horizontal="justify" vertical="center"/>
    </xf>
    <xf numFmtId="0" fontId="62" fillId="3" borderId="0" xfId="0" applyFont="1" applyFill="1" applyAlignment="1">
      <alignment horizontal="center" vertical="center"/>
    </xf>
    <xf numFmtId="0" fontId="63" fillId="3" borderId="0" xfId="0" applyFont="1" applyFill="1" applyAlignment="1">
      <alignment horizontal="center" vertical="center"/>
    </xf>
    <xf numFmtId="0" fontId="7" fillId="0" borderId="0" xfId="0" applyFont="1" applyAlignment="1">
      <alignment horizontal="center" vertical="center"/>
    </xf>
    <xf numFmtId="0" fontId="0" fillId="0" borderId="0" xfId="0" applyAlignment="1">
      <alignment horizontal="center" vertical="center"/>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20" fillId="0" borderId="10" xfId="0" applyFont="1" applyBorder="1" applyAlignment="1">
      <alignment horizontal="left" vertical="center" wrapText="1"/>
    </xf>
    <xf numFmtId="0" fontId="20" fillId="0" borderId="11" xfId="0" applyFont="1" applyBorder="1" applyAlignment="1">
      <alignment horizontal="left" vertical="center" wrapText="1"/>
    </xf>
    <xf numFmtId="0" fontId="20" fillId="0" borderId="12" xfId="0" applyFont="1" applyBorder="1" applyAlignment="1">
      <alignment horizontal="left" vertical="center" wrapText="1"/>
    </xf>
    <xf numFmtId="0" fontId="1" fillId="3" borderId="1" xfId="0" applyFont="1" applyFill="1" applyBorder="1" applyAlignment="1">
      <alignment horizontal="left" vertical="center"/>
    </xf>
    <xf numFmtId="0" fontId="1" fillId="3" borderId="1" xfId="0" applyFont="1" applyFill="1" applyBorder="1" applyAlignment="1">
      <alignment horizontal="center" vertical="center"/>
    </xf>
    <xf numFmtId="0" fontId="1" fillId="0" borderId="1" xfId="0" applyFont="1" applyBorder="1" applyAlignment="1">
      <alignment horizontal="center" vertical="center"/>
    </xf>
    <xf numFmtId="0" fontId="5" fillId="3" borderId="0" xfId="0" applyFont="1" applyFill="1" applyAlignment="1">
      <alignment horizontal="center" vertical="center"/>
    </xf>
    <xf numFmtId="0" fontId="3" fillId="0" borderId="0" xfId="0" applyFont="1" applyAlignment="1">
      <alignment vertical="center"/>
    </xf>
    <xf numFmtId="0" fontId="9" fillId="17" borderId="10" xfId="0" applyFont="1" applyFill="1" applyBorder="1" applyAlignment="1">
      <alignment horizontal="left" vertical="center" wrapText="1"/>
    </xf>
    <xf numFmtId="0" fontId="6" fillId="17" borderId="12" xfId="0" applyFont="1" applyFill="1" applyBorder="1" applyAlignment="1">
      <alignment horizontal="left" vertical="center" wrapText="1"/>
    </xf>
    <xf numFmtId="0" fontId="9" fillId="7" borderId="1" xfId="0" applyFont="1" applyFill="1" applyBorder="1" applyAlignment="1">
      <alignment horizontal="left" vertical="center" wrapText="1"/>
    </xf>
    <xf numFmtId="0" fontId="46" fillId="0" borderId="1" xfId="0" applyFont="1" applyBorder="1" applyAlignment="1">
      <alignment horizontal="left" vertical="center" wrapText="1"/>
    </xf>
    <xf numFmtId="0" fontId="59" fillId="20" borderId="10" xfId="0" applyFont="1" applyFill="1" applyBorder="1" applyAlignment="1">
      <alignment horizontal="left" vertical="center" wrapText="1"/>
    </xf>
    <xf numFmtId="0" fontId="58" fillId="20" borderId="12" xfId="0" applyFont="1" applyFill="1" applyBorder="1" applyAlignment="1">
      <alignment horizontal="left"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0" xfId="0" applyFont="1" applyBorder="1" applyAlignment="1">
      <alignment horizontal="left" vertical="top" wrapText="1"/>
    </xf>
    <xf numFmtId="0" fontId="3" fillId="0" borderId="12" xfId="0" applyFont="1" applyBorder="1" applyAlignment="1">
      <alignment horizontal="left" vertical="top" wrapText="1"/>
    </xf>
    <xf numFmtId="0" fontId="0" fillId="0" borderId="0" xfId="0" applyAlignment="1">
      <alignment horizontal="justify"/>
    </xf>
    <xf numFmtId="0" fontId="3" fillId="0" borderId="1" xfId="0" applyFont="1" applyBorder="1" applyAlignment="1">
      <alignment horizontal="center" vertical="center" wrapText="1"/>
    </xf>
    <xf numFmtId="0" fontId="3" fillId="0" borderId="10" xfId="0" applyFont="1" applyBorder="1" applyAlignment="1">
      <alignment horizontal="center" vertical="top" wrapText="1"/>
    </xf>
    <xf numFmtId="0" fontId="3" fillId="0" borderId="12" xfId="0" applyFont="1" applyBorder="1" applyAlignment="1">
      <alignment horizontal="center" vertical="top"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16" borderId="1" xfId="0" applyFont="1" applyFill="1" applyBorder="1" applyAlignment="1">
      <alignment vertical="center" wrapText="1"/>
    </xf>
    <xf numFmtId="0" fontId="3" fillId="16" borderId="1" xfId="0" applyFont="1" applyFill="1" applyBorder="1"/>
    <xf numFmtId="0" fontId="69" fillId="0" borderId="10" xfId="0" applyFont="1" applyBorder="1" applyAlignment="1">
      <alignment horizontal="center" vertical="center"/>
    </xf>
    <xf numFmtId="0" fontId="69" fillId="0" borderId="12" xfId="0" applyFont="1" applyBorder="1" applyAlignment="1">
      <alignment horizontal="center" vertical="center"/>
    </xf>
    <xf numFmtId="0" fontId="3" fillId="16" borderId="1" xfId="0" applyFont="1" applyFill="1" applyBorder="1" applyAlignment="1">
      <alignment horizontal="left" vertical="center" wrapText="1"/>
    </xf>
    <xf numFmtId="0" fontId="3" fillId="0" borderId="1" xfId="0" applyFont="1" applyBorder="1" applyAlignment="1">
      <alignment vertical="center" wrapText="1"/>
    </xf>
    <xf numFmtId="0" fontId="3" fillId="0" borderId="1" xfId="0" applyFont="1" applyBorder="1"/>
    <xf numFmtId="0" fontId="3" fillId="0" borderId="1" xfId="0" applyFont="1" applyBorder="1" applyAlignment="1">
      <alignment horizontal="left"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2" fillId="5" borderId="11" xfId="0" applyFont="1" applyFill="1" applyBorder="1" applyAlignment="1">
      <alignment horizontal="center" vertical="center" wrapText="1"/>
    </xf>
    <xf numFmtId="0" fontId="0" fillId="5" borderId="12" xfId="0" applyFill="1" applyBorder="1" applyAlignment="1">
      <alignment horizontal="center" vertical="center"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9" xfId="0" applyBorder="1"/>
    <xf numFmtId="0" fontId="9" fillId="5" borderId="10"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6" fillId="2" borderId="0" xfId="0" applyFont="1" applyFill="1" applyAlignment="1">
      <alignment horizontal="justify" vertical="center" wrapText="1"/>
    </xf>
    <xf numFmtId="0" fontId="8" fillId="4" borderId="0" xfId="0" applyFont="1" applyFill="1" applyAlignment="1">
      <alignment horizontal="left" vertical="center"/>
    </xf>
    <xf numFmtId="0" fontId="6" fillId="2" borderId="8" xfId="0" applyFont="1" applyFill="1" applyBorder="1" applyAlignment="1">
      <alignment horizontal="justify" vertical="center" wrapText="1"/>
    </xf>
    <xf numFmtId="0" fontId="0" fillId="0" borderId="8" xfId="0" applyBorder="1" applyAlignment="1">
      <alignment horizontal="justify" vertical="center" wrapText="1"/>
    </xf>
    <xf numFmtId="0" fontId="0" fillId="5" borderId="11" xfId="0" applyFill="1" applyBorder="1" applyAlignment="1">
      <alignment horizontal="center" vertical="center" wrapText="1"/>
    </xf>
    <xf numFmtId="0" fontId="47" fillId="18" borderId="1" xfId="0" applyFont="1" applyFill="1" applyBorder="1" applyAlignment="1">
      <alignment horizontal="center" vertical="center" wrapText="1"/>
    </xf>
    <xf numFmtId="0" fontId="9" fillId="18" borderId="1" xfId="0" applyFont="1" applyFill="1" applyBorder="1" applyAlignment="1">
      <alignment horizontal="center" vertical="center"/>
    </xf>
    <xf numFmtId="0" fontId="70" fillId="16" borderId="1" xfId="0" applyFont="1" applyFill="1" applyBorder="1" applyAlignment="1">
      <alignment horizontal="center" vertical="center"/>
    </xf>
    <xf numFmtId="0" fontId="57" fillId="0" borderId="2" xfId="0" applyFont="1" applyBorder="1" applyAlignment="1">
      <alignment horizontal="center" vertical="center" wrapText="1"/>
    </xf>
    <xf numFmtId="0" fontId="57" fillId="0" borderId="3" xfId="0" applyFont="1" applyBorder="1" applyAlignment="1">
      <alignment horizontal="center" vertical="center"/>
    </xf>
    <xf numFmtId="0" fontId="57" fillId="0" borderId="4" xfId="0" applyFont="1" applyBorder="1" applyAlignment="1">
      <alignment horizontal="center" vertical="center"/>
    </xf>
    <xf numFmtId="0" fontId="57" fillId="0" borderId="5" xfId="0" applyFont="1" applyBorder="1" applyAlignment="1">
      <alignment horizontal="center" vertical="center"/>
    </xf>
    <xf numFmtId="0" fontId="57" fillId="0" borderId="0" xfId="0" applyFont="1" applyAlignment="1">
      <alignment horizontal="center" vertical="center"/>
    </xf>
    <xf numFmtId="0" fontId="57" fillId="0" borderId="6" xfId="0" applyFont="1" applyBorder="1" applyAlignment="1">
      <alignment horizontal="center" vertical="center"/>
    </xf>
    <xf numFmtId="0" fontId="57" fillId="0" borderId="7" xfId="0" applyFont="1" applyBorder="1" applyAlignment="1">
      <alignment horizontal="center" vertical="center"/>
    </xf>
    <xf numFmtId="0" fontId="57" fillId="0" borderId="8" xfId="0" applyFont="1" applyBorder="1" applyAlignment="1">
      <alignment horizontal="center" vertical="center"/>
    </xf>
    <xf numFmtId="0" fontId="57" fillId="0" borderId="9" xfId="0" applyFont="1" applyBorder="1" applyAlignment="1">
      <alignment horizontal="center" vertical="center"/>
    </xf>
    <xf numFmtId="0" fontId="2" fillId="3" borderId="10" xfId="0" applyFont="1" applyFill="1" applyBorder="1" applyAlignment="1">
      <alignment horizontal="left" vertical="center" wrapText="1"/>
    </xf>
    <xf numFmtId="0" fontId="2" fillId="3" borderId="12" xfId="0" applyFont="1" applyFill="1" applyBorder="1" applyAlignment="1">
      <alignment horizontal="left" vertical="center" wrapText="1"/>
    </xf>
    <xf numFmtId="0" fontId="1" fillId="3" borderId="1" xfId="0" applyFont="1" applyFill="1" applyBorder="1" applyAlignment="1">
      <alignment horizontal="left" vertical="center" wrapText="1"/>
    </xf>
    <xf numFmtId="0" fontId="0" fillId="0" borderId="1" xfId="0" applyBorder="1" applyAlignment="1">
      <alignment horizontal="left" vertical="center" wrapText="1"/>
    </xf>
    <xf numFmtId="0" fontId="6" fillId="0" borderId="10" xfId="0" quotePrefix="1" applyFont="1" applyBorder="1" applyAlignment="1">
      <alignment horizontal="left" vertical="center" wrapText="1"/>
    </xf>
    <xf numFmtId="0" fontId="2" fillId="3" borderId="10" xfId="0" applyFont="1" applyFill="1" applyBorder="1" applyAlignment="1">
      <alignment horizontal="left" vertical="center"/>
    </xf>
    <xf numFmtId="0" fontId="2" fillId="3" borderId="12" xfId="0" applyFont="1" applyFill="1" applyBorder="1" applyAlignment="1">
      <alignment horizontal="left" vertical="center"/>
    </xf>
    <xf numFmtId="0" fontId="29" fillId="19" borderId="10" xfId="0" applyFont="1" applyFill="1" applyBorder="1" applyAlignment="1">
      <alignment horizontal="center" vertical="center"/>
    </xf>
    <xf numFmtId="0" fontId="29" fillId="19" borderId="11" xfId="0" applyFont="1" applyFill="1" applyBorder="1" applyAlignment="1">
      <alignment horizontal="center" vertical="center"/>
    </xf>
    <xf numFmtId="9" fontId="6" fillId="0" borderId="10" xfId="0" applyNumberFormat="1" applyFont="1" applyBorder="1" applyAlignment="1">
      <alignment horizontal="left" vertical="center" wrapText="1"/>
    </xf>
    <xf numFmtId="0" fontId="29" fillId="12" borderId="11" xfId="0" applyFont="1" applyFill="1" applyBorder="1" applyAlignment="1">
      <alignment horizontal="center"/>
    </xf>
    <xf numFmtId="0" fontId="29" fillId="12" borderId="12" xfId="0" applyFont="1" applyFill="1" applyBorder="1" applyAlignment="1">
      <alignment horizontal="center"/>
    </xf>
    <xf numFmtId="0" fontId="28" fillId="19" borderId="2" xfId="0" applyFont="1" applyFill="1" applyBorder="1" applyAlignment="1">
      <alignment horizontal="left" vertical="center"/>
    </xf>
    <xf numFmtId="0" fontId="28" fillId="19" borderId="3" xfId="0" applyFont="1" applyFill="1" applyBorder="1" applyAlignment="1">
      <alignment horizontal="left" vertical="center"/>
    </xf>
    <xf numFmtId="0" fontId="28" fillId="19" borderId="4" xfId="0" applyFont="1" applyFill="1" applyBorder="1" applyAlignment="1">
      <alignment horizontal="left" vertical="center"/>
    </xf>
    <xf numFmtId="0" fontId="6" fillId="3" borderId="1" xfId="0" applyFont="1" applyFill="1" applyBorder="1" applyAlignment="1">
      <alignment horizontal="center" vertical="center"/>
    </xf>
    <xf numFmtId="0" fontId="7" fillId="0" borderId="1" xfId="0" applyFont="1" applyBorder="1" applyAlignment="1">
      <alignment vertical="center"/>
    </xf>
    <xf numFmtId="0" fontId="2" fillId="3" borderId="19" xfId="0" applyFont="1" applyFill="1" applyBorder="1" applyAlignment="1">
      <alignment horizontal="center" vertical="center" wrapText="1"/>
    </xf>
    <xf numFmtId="0" fontId="1" fillId="13" borderId="1" xfId="0" applyFont="1" applyFill="1" applyBorder="1" applyAlignment="1">
      <alignment horizontal="center" vertical="center"/>
    </xf>
    <xf numFmtId="0" fontId="1" fillId="13" borderId="8" xfId="0" applyFont="1" applyFill="1" applyBorder="1" applyAlignment="1">
      <alignment horizontal="center" vertical="center"/>
    </xf>
    <xf numFmtId="0" fontId="2" fillId="12" borderId="1" xfId="0" applyFont="1" applyFill="1" applyBorder="1" applyAlignment="1">
      <alignment horizontal="center" vertical="center"/>
    </xf>
    <xf numFmtId="0" fontId="68" fillId="0" borderId="1" xfId="4" applyBorder="1" applyAlignment="1">
      <alignment horizontal="center" vertical="center"/>
    </xf>
    <xf numFmtId="0" fontId="68" fillId="0" borderId="10" xfId="4" applyBorder="1" applyAlignment="1">
      <alignment horizontal="center" vertical="center"/>
    </xf>
    <xf numFmtId="0" fontId="68" fillId="0" borderId="11" xfId="4" applyBorder="1" applyAlignment="1">
      <alignment horizontal="center" vertical="center"/>
    </xf>
    <xf numFmtId="0" fontId="68" fillId="0" borderId="12" xfId="4" applyBorder="1" applyAlignment="1">
      <alignment horizontal="center" vertical="center"/>
    </xf>
    <xf numFmtId="0" fontId="68" fillId="0" borderId="10" xfId="4" applyBorder="1" applyAlignment="1">
      <alignment horizontal="center" vertical="top" wrapText="1"/>
    </xf>
    <xf numFmtId="0" fontId="68" fillId="0" borderId="11" xfId="4" applyBorder="1" applyAlignment="1">
      <alignment horizontal="center" vertical="top" wrapText="1"/>
    </xf>
    <xf numFmtId="0" fontId="68" fillId="0" borderId="12" xfId="4" applyBorder="1" applyAlignment="1">
      <alignment horizontal="center" vertical="top" wrapText="1"/>
    </xf>
    <xf numFmtId="0" fontId="2" fillId="0" borderId="11" xfId="0" applyFont="1" applyBorder="1" applyAlignment="1">
      <alignment horizontal="left"/>
    </xf>
    <xf numFmtId="0" fontId="1" fillId="0" borderId="11" xfId="0" applyFont="1" applyBorder="1" applyAlignment="1">
      <alignment horizontal="left"/>
    </xf>
    <xf numFmtId="0" fontId="72" fillId="0" borderId="0" xfId="0" applyFont="1" applyAlignment="1">
      <alignment horizontal="center" vertical="center" wrapText="1"/>
    </xf>
    <xf numFmtId="0" fontId="0" fillId="0" borderId="0" xfId="0" applyAlignment="1">
      <alignment horizontal="center"/>
    </xf>
    <xf numFmtId="0" fontId="73" fillId="0" borderId="0" xfId="0" applyFont="1" applyAlignment="1">
      <alignment horizontal="center" vertical="center"/>
    </xf>
    <xf numFmtId="0" fontId="15" fillId="0" borderId="1"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11" xfId="0" quotePrefix="1" applyFont="1" applyBorder="1" applyAlignment="1">
      <alignment horizontal="center" vertical="center" wrapText="1"/>
    </xf>
    <xf numFmtId="0" fontId="15" fillId="0" borderId="12" xfId="0" quotePrefix="1" applyFont="1" applyBorder="1" applyAlignment="1">
      <alignment horizontal="center" vertical="center" wrapText="1"/>
    </xf>
    <xf numFmtId="0" fontId="71" fillId="3" borderId="10" xfId="0" applyFont="1" applyFill="1" applyBorder="1" applyAlignment="1">
      <alignment horizontal="center" vertical="center" wrapText="1"/>
    </xf>
    <xf numFmtId="0" fontId="71" fillId="3" borderId="11" xfId="0" applyFont="1" applyFill="1" applyBorder="1" applyAlignment="1">
      <alignment horizontal="center" vertical="center" wrapText="1"/>
    </xf>
    <xf numFmtId="0" fontId="71" fillId="3" borderId="12" xfId="0" applyFont="1" applyFill="1" applyBorder="1" applyAlignment="1">
      <alignment horizontal="center" vertical="center" wrapText="1"/>
    </xf>
    <xf numFmtId="0" fontId="0" fillId="0" borderId="0" xfId="0" applyAlignment="1">
      <alignment horizontal="left" vertical="top" wrapText="1"/>
    </xf>
    <xf numFmtId="0" fontId="15" fillId="0" borderId="10" xfId="0" applyFont="1" applyBorder="1" applyAlignment="1">
      <alignment horizontal="left" vertical="center" wrapText="1"/>
    </xf>
    <xf numFmtId="0" fontId="15" fillId="0" borderId="11" xfId="0" applyFont="1" applyBorder="1" applyAlignment="1">
      <alignment horizontal="left" vertical="center" wrapText="1"/>
    </xf>
    <xf numFmtId="0" fontId="15" fillId="0" borderId="12" xfId="0" applyFont="1" applyBorder="1" applyAlignment="1">
      <alignment horizontal="left" vertical="center" wrapText="1"/>
    </xf>
    <xf numFmtId="0" fontId="15" fillId="0" borderId="10" xfId="0" applyFont="1" applyBorder="1" applyAlignment="1">
      <alignment horizontal="left" vertical="center"/>
    </xf>
    <xf numFmtId="0" fontId="15" fillId="0" borderId="11" xfId="0" applyFont="1" applyBorder="1" applyAlignment="1">
      <alignment horizontal="left" vertical="center"/>
    </xf>
    <xf numFmtId="0" fontId="15" fillId="0" borderId="12" xfId="0" applyFont="1" applyBorder="1" applyAlignment="1">
      <alignment horizontal="left" vertical="center"/>
    </xf>
    <xf numFmtId="0" fontId="0" fillId="0" borderId="1" xfId="0" applyBorder="1" applyAlignment="1">
      <alignment vertical="center" wrapText="1"/>
    </xf>
    <xf numFmtId="0" fontId="20" fillId="0" borderId="10" xfId="0" applyFont="1" applyBorder="1" applyAlignment="1">
      <alignment horizontal="justify" vertical="center" wrapText="1"/>
    </xf>
    <xf numFmtId="0" fontId="46" fillId="0" borderId="11" xfId="0" applyFont="1" applyBorder="1" applyAlignment="1">
      <alignment horizontal="justify" vertical="center" wrapText="1"/>
    </xf>
    <xf numFmtId="0" fontId="46" fillId="0" borderId="12" xfId="0" applyFont="1" applyBorder="1" applyAlignment="1">
      <alignment horizontal="justify" vertical="center" wrapText="1"/>
    </xf>
    <xf numFmtId="0" fontId="15" fillId="4" borderId="0" xfId="0" applyFont="1" applyFill="1" applyAlignment="1">
      <alignment horizontal="justify"/>
    </xf>
    <xf numFmtId="0" fontId="0" fillId="0" borderId="0" xfId="0" applyAlignment="1">
      <alignment horizontal="justify" vertical="center" wrapText="1"/>
    </xf>
    <xf numFmtId="0" fontId="15" fillId="21" borderId="1" xfId="0" applyFont="1" applyFill="1" applyBorder="1" applyAlignment="1">
      <alignment horizontal="justify" vertical="center" wrapText="1"/>
    </xf>
    <xf numFmtId="0" fontId="2" fillId="5" borderId="10" xfId="0" applyFont="1" applyFill="1" applyBorder="1" applyAlignment="1">
      <alignment horizontal="justify" vertical="center" wrapText="1"/>
    </xf>
    <xf numFmtId="0" fontId="1" fillId="5" borderId="11" xfId="0" applyFont="1" applyFill="1" applyBorder="1" applyAlignment="1">
      <alignment horizontal="justify" vertical="center" wrapText="1"/>
    </xf>
    <xf numFmtId="0" fontId="0" fillId="5" borderId="11" xfId="0" applyFill="1" applyBorder="1" applyAlignment="1">
      <alignment horizontal="justify" vertical="center" wrapText="1"/>
    </xf>
    <xf numFmtId="0" fontId="0" fillId="5" borderId="12" xfId="0" applyFill="1" applyBorder="1" applyAlignment="1">
      <alignment horizontal="justify" vertical="center" wrapText="1"/>
    </xf>
    <xf numFmtId="0" fontId="0" fillId="0" borderId="1" xfId="0" applyBorder="1" applyAlignment="1">
      <alignment horizontal="justify" vertical="center" wrapText="1"/>
    </xf>
    <xf numFmtId="0" fontId="21" fillId="0" borderId="1" xfId="0" applyFont="1" applyBorder="1" applyAlignment="1">
      <alignment horizontal="justify" vertical="center" wrapText="1"/>
    </xf>
    <xf numFmtId="0" fontId="75" fillId="0" borderId="1" xfId="0" applyFont="1" applyBorder="1" applyAlignment="1">
      <alignment horizontal="justify" vertical="center" wrapText="1"/>
    </xf>
    <xf numFmtId="0" fontId="21" fillId="0" borderId="10" xfId="0" applyFont="1" applyBorder="1" applyAlignment="1">
      <alignment horizontal="justify" vertical="center" wrapText="1"/>
    </xf>
    <xf numFmtId="0" fontId="21" fillId="0" borderId="11" xfId="0" applyFont="1" applyBorder="1" applyAlignment="1">
      <alignment horizontal="justify" vertical="center" wrapText="1"/>
    </xf>
    <xf numFmtId="0" fontId="21" fillId="0" borderId="12" xfId="0" applyFont="1" applyBorder="1" applyAlignment="1">
      <alignment horizontal="justify" vertical="center" wrapText="1"/>
    </xf>
    <xf numFmtId="0" fontId="6" fillId="0" borderId="57" xfId="0" applyFont="1" applyBorder="1" applyAlignment="1">
      <alignment horizontal="justify" vertical="center" wrapText="1"/>
    </xf>
    <xf numFmtId="0" fontId="0" fillId="0" borderId="58" xfId="0" applyBorder="1" applyAlignment="1">
      <alignment horizontal="justify" vertical="center" wrapText="1"/>
    </xf>
    <xf numFmtId="0" fontId="2" fillId="6" borderId="10" xfId="0" applyFont="1" applyFill="1" applyBorder="1" applyAlignment="1">
      <alignment horizontal="justify" vertical="center" wrapText="1"/>
    </xf>
    <xf numFmtId="0" fontId="1" fillId="6" borderId="11" xfId="0" applyFont="1" applyFill="1" applyBorder="1" applyAlignment="1">
      <alignment horizontal="justify" vertical="center" wrapText="1"/>
    </xf>
    <xf numFmtId="0" fontId="0" fillId="6" borderId="11" xfId="0" applyFill="1" applyBorder="1" applyAlignment="1">
      <alignment horizontal="justify" vertical="center" wrapText="1"/>
    </xf>
    <xf numFmtId="0" fontId="0" fillId="6" borderId="12" xfId="0" applyFill="1" applyBorder="1" applyAlignment="1">
      <alignment horizontal="justify" vertical="center" wrapText="1"/>
    </xf>
    <xf numFmtId="0" fontId="15" fillId="22" borderId="1" xfId="0" applyFont="1" applyFill="1" applyBorder="1" applyAlignment="1">
      <alignment horizontal="justify" vertical="center" wrapText="1"/>
    </xf>
    <xf numFmtId="0" fontId="20" fillId="0" borderId="1" xfId="0" applyFont="1" applyBorder="1" applyAlignment="1">
      <alignment horizontal="justify" vertical="center" wrapText="1"/>
    </xf>
    <xf numFmtId="0" fontId="46" fillId="0" borderId="1" xfId="0" applyFont="1" applyBorder="1" applyAlignment="1">
      <alignment horizontal="justify" vertical="center" wrapText="1"/>
    </xf>
    <xf numFmtId="0" fontId="9" fillId="6" borderId="10" xfId="0" applyFont="1" applyFill="1" applyBorder="1" applyAlignment="1">
      <alignment horizontal="justify" vertical="center" wrapText="1"/>
    </xf>
    <xf numFmtId="0" fontId="25" fillId="6" borderId="11" xfId="0" applyFont="1" applyFill="1" applyBorder="1" applyAlignment="1">
      <alignment horizontal="justify" vertical="center" wrapText="1"/>
    </xf>
    <xf numFmtId="0" fontId="46" fillId="6" borderId="11" xfId="0" applyFont="1" applyFill="1" applyBorder="1" applyAlignment="1">
      <alignment horizontal="justify" vertical="center" wrapText="1"/>
    </xf>
    <xf numFmtId="0" fontId="46" fillId="6" borderId="12" xfId="0" applyFont="1" applyFill="1" applyBorder="1" applyAlignment="1">
      <alignment horizontal="justify" vertical="center" wrapText="1"/>
    </xf>
    <xf numFmtId="0" fontId="74" fillId="0" borderId="1" xfId="0" applyFont="1" applyBorder="1" applyAlignment="1">
      <alignment horizontal="justify" vertical="center" wrapText="1"/>
    </xf>
    <xf numFmtId="0" fontId="76" fillId="0" borderId="1" xfId="0" applyFont="1" applyBorder="1" applyAlignment="1">
      <alignment horizontal="justify" vertical="center" wrapText="1"/>
    </xf>
    <xf numFmtId="0" fontId="26" fillId="0" borderId="0" xfId="0" applyFont="1" applyAlignment="1">
      <alignment horizontal="center" vertical="center"/>
    </xf>
    <xf numFmtId="0" fontId="64" fillId="0" borderId="11" xfId="0" applyFont="1" applyBorder="1" applyAlignment="1">
      <alignment horizontal="center" vertical="center" wrapText="1"/>
    </xf>
    <xf numFmtId="0" fontId="64" fillId="0" borderId="12" xfId="0" applyFont="1" applyBorder="1" applyAlignment="1">
      <alignment horizontal="center" vertical="center" wrapText="1"/>
    </xf>
  </cellXfs>
  <cellStyles count="5">
    <cellStyle name="Hyperlink" xfId="4" builtinId="8"/>
    <cellStyle name="Normal" xfId="0" builtinId="0"/>
    <cellStyle name="Standard 10" xfId="1" xr:uid="{8682CBDC-CD9E-4C5D-B060-6E606BE722C8}"/>
    <cellStyle name="Standard 2" xfId="2" xr:uid="{83DBE483-7FAD-42C9-B0D3-B7D29C99559C}"/>
    <cellStyle name="Standard 2 2" xfId="3" xr:uid="{DBF3E192-39E2-49E1-9062-F6F9AC12F031}"/>
  </cellStyles>
  <dxfs count="106">
    <dxf>
      <fill>
        <patternFill>
          <bgColor theme="7" tint="0.39994506668294322"/>
        </patternFill>
      </fill>
    </dxf>
    <dxf>
      <fill>
        <patternFill>
          <bgColor theme="7" tint="0.39994506668294322"/>
        </patternFill>
      </fill>
    </dxf>
    <dxf>
      <font>
        <color theme="0"/>
      </font>
    </dxf>
    <dxf>
      <fill>
        <patternFill>
          <bgColor theme="7" tint="0.39994506668294322"/>
        </patternFill>
      </fill>
    </dxf>
    <dxf>
      <font>
        <color theme="0"/>
      </font>
    </dxf>
    <dxf>
      <fill>
        <patternFill>
          <bgColor theme="7" tint="0.39994506668294322"/>
        </patternFill>
      </fill>
    </dxf>
    <dxf>
      <font>
        <color theme="0"/>
      </font>
    </dxf>
    <dxf>
      <fill>
        <patternFill>
          <bgColor theme="7" tint="0.39994506668294322"/>
        </patternFill>
      </fill>
    </dxf>
    <dxf>
      <font>
        <color theme="0"/>
      </font>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color theme="0"/>
      </font>
    </dxf>
    <dxf>
      <fill>
        <patternFill>
          <bgColor theme="7" tint="0.39994506668294322"/>
        </patternFill>
      </fill>
    </dxf>
    <dxf>
      <fill>
        <patternFill>
          <bgColor theme="7" tint="0.39994506668294322"/>
        </patternFill>
      </fill>
    </dxf>
    <dxf>
      <fill>
        <patternFill>
          <bgColor theme="7" tint="0.39994506668294322"/>
        </patternFill>
      </fill>
    </dxf>
    <dxf>
      <font>
        <color auto="1"/>
      </font>
      <fill>
        <patternFill>
          <bgColor theme="7" tint="0.39994506668294322"/>
        </patternFill>
      </fill>
    </dxf>
    <dxf>
      <fill>
        <patternFill>
          <bgColor theme="7" tint="0.39994506668294322"/>
        </patternFill>
      </fill>
    </dxf>
    <dxf>
      <font>
        <color rgb="FFFFFFFF"/>
      </font>
    </dxf>
    <dxf>
      <fill>
        <patternFill patternType="darkUp">
          <fgColor rgb="FFC00000"/>
          <bgColor rgb="FFF2F2F2"/>
        </patternFill>
      </fill>
    </dxf>
    <dxf>
      <font>
        <color rgb="FFFFFFFF"/>
      </font>
    </dxf>
    <dxf>
      <fill>
        <patternFill patternType="darkUp">
          <fgColor rgb="FFC00000"/>
          <bgColor rgb="FFF2F2F2"/>
        </patternFill>
      </fill>
    </dxf>
    <dxf>
      <font>
        <color rgb="FFFFFFFF"/>
      </font>
    </dxf>
    <dxf>
      <fill>
        <patternFill patternType="darkUp">
          <fgColor rgb="FFC00000"/>
          <bgColor rgb="FFF2F2F2"/>
        </patternFill>
      </fill>
    </dxf>
    <dxf>
      <font>
        <color rgb="FFFFFFFF"/>
      </font>
    </dxf>
    <dxf>
      <fill>
        <patternFill patternType="darkUp">
          <fgColor rgb="FFC00000"/>
          <bgColor rgb="FFF2F2F2"/>
        </patternFill>
      </fill>
    </dxf>
    <dxf>
      <font>
        <color rgb="FFFFFFFF"/>
      </font>
    </dxf>
    <dxf>
      <fill>
        <patternFill patternType="darkUp">
          <fgColor rgb="FFC00000"/>
          <bgColor rgb="FFF2F2F2"/>
        </patternFill>
      </fill>
    </dxf>
    <dxf>
      <font>
        <color theme="0"/>
      </font>
    </dxf>
    <dxf>
      <fill>
        <patternFill patternType="darkUp">
          <fgColor rgb="FFC00000"/>
          <bgColor theme="0" tint="-4.9989318521683403E-2"/>
        </patternFill>
      </fill>
    </dxf>
    <dxf>
      <fill>
        <patternFill patternType="darkUp">
          <fgColor rgb="FFC00000"/>
          <bgColor rgb="FFF2F2F2"/>
        </patternFill>
      </fill>
    </dxf>
    <dxf>
      <fill>
        <patternFill patternType="darkUp">
          <fgColor rgb="FFC00000"/>
          <bgColor rgb="FFF2F2F2"/>
        </patternFill>
      </fill>
    </dxf>
    <dxf>
      <fill>
        <patternFill patternType="darkUp">
          <fgColor rgb="FFC00000"/>
          <bgColor rgb="FFF2F2F2"/>
        </patternFill>
      </fill>
    </dxf>
    <dxf>
      <font>
        <color rgb="FFFFFFFF"/>
      </font>
    </dxf>
    <dxf>
      <fill>
        <patternFill patternType="darkUp">
          <fgColor rgb="FFC00000"/>
          <bgColor rgb="FFF2F2F2"/>
        </patternFill>
      </fill>
    </dxf>
    <dxf>
      <font>
        <color rgb="FFFFFFFF"/>
      </font>
    </dxf>
    <dxf>
      <fill>
        <patternFill patternType="darkUp">
          <fgColor rgb="FFC00000"/>
          <bgColor rgb="FFF2F2F2"/>
        </patternFill>
      </fill>
    </dxf>
    <dxf>
      <font>
        <color rgb="FFFFFFFF"/>
      </font>
    </dxf>
    <dxf>
      <fill>
        <patternFill patternType="darkUp">
          <fgColor rgb="FFC00000"/>
          <bgColor rgb="FFF2F2F2"/>
        </patternFill>
      </fill>
    </dxf>
    <dxf>
      <font>
        <color rgb="FFFFFFFF"/>
      </font>
    </dxf>
    <dxf>
      <fill>
        <patternFill patternType="darkUp">
          <fgColor rgb="FFC00000"/>
          <bgColor rgb="FFF2F2F2"/>
        </patternFill>
      </fill>
    </dxf>
    <dxf>
      <font>
        <color rgb="FFFFFFFF"/>
      </font>
    </dxf>
    <dxf>
      <fill>
        <patternFill patternType="darkUp">
          <fgColor rgb="FFC00000"/>
          <bgColor rgb="FFF2F2F2"/>
        </patternFill>
      </fill>
    </dxf>
    <dxf>
      <font>
        <color theme="0"/>
      </font>
    </dxf>
    <dxf>
      <fill>
        <patternFill patternType="darkUp">
          <fgColor rgb="FFC00000"/>
          <bgColor theme="0" tint="-4.9989318521683403E-2"/>
        </patternFill>
      </fill>
    </dxf>
    <dxf>
      <fill>
        <patternFill>
          <bgColor theme="7" tint="0.39994506668294322"/>
        </patternFill>
      </fill>
    </dxf>
    <dxf>
      <fill>
        <patternFill patternType="darkUp">
          <fgColor rgb="FFC00000"/>
          <bgColor theme="0" tint="-4.9989318521683403E-2"/>
        </patternFill>
      </fill>
    </dxf>
    <dxf>
      <fill>
        <patternFill patternType="darkUp">
          <fgColor rgb="FFC00000"/>
          <bgColor theme="0" tint="-4.9989318521683403E-2"/>
        </patternFill>
      </fill>
    </dxf>
    <dxf>
      <fill>
        <patternFill patternType="darkUp">
          <fgColor rgb="FFC00000"/>
          <bgColor theme="0" tint="-4.9989318521683403E-2"/>
        </patternFill>
      </fill>
    </dxf>
    <dxf>
      <fill>
        <patternFill patternType="darkUp">
          <fgColor rgb="FFC00000"/>
          <bgColor theme="0" tint="-4.9989318521683403E-2"/>
        </patternFill>
      </fill>
    </dxf>
    <dxf>
      <fill>
        <patternFill patternType="darkUp">
          <fgColor rgb="FFC00000"/>
          <bgColor theme="0" tint="-4.9989318521683403E-2"/>
        </patternFill>
      </fill>
    </dxf>
    <dxf>
      <fill>
        <patternFill patternType="darkUp">
          <fgColor rgb="FFC00000"/>
          <bgColor theme="0" tint="-4.9989318521683403E-2"/>
        </patternFill>
      </fill>
    </dxf>
    <dxf>
      <fill>
        <patternFill patternType="darkUp">
          <fgColor rgb="FFC00000"/>
          <bgColor theme="0" tint="-4.9989318521683403E-2"/>
        </patternFill>
      </fill>
    </dxf>
    <dxf>
      <fill>
        <patternFill patternType="darkUp">
          <fgColor rgb="FFC00000"/>
          <bgColor theme="0" tint="-4.9989318521683403E-2"/>
        </patternFill>
      </fill>
    </dxf>
    <dxf>
      <font>
        <color theme="0"/>
      </font>
    </dxf>
    <dxf>
      <font>
        <color theme="0"/>
      </font>
    </dxf>
    <dxf>
      <fill>
        <patternFill>
          <bgColor theme="7" tint="0.39994506668294322"/>
        </patternFill>
      </fill>
    </dxf>
    <dxf>
      <font>
        <color theme="0"/>
      </font>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color theme="0"/>
      </font>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color theme="0"/>
      </font>
    </dxf>
    <dxf>
      <fill>
        <patternFill>
          <bgColor theme="7" tint="0.39994506668294322"/>
        </patternFill>
      </fill>
    </dxf>
    <dxf>
      <font>
        <color theme="0"/>
      </font>
    </dxf>
    <dxf>
      <fill>
        <patternFill>
          <bgColor theme="7" tint="0.39994506668294322"/>
        </patternFill>
      </fill>
    </dxf>
    <dxf>
      <fill>
        <patternFill>
          <bgColor theme="7" tint="0.39994506668294322"/>
        </patternFill>
      </fill>
    </dxf>
    <dxf>
      <fill>
        <patternFill>
          <bgColor theme="7" tint="0.39994506668294322"/>
        </patternFill>
      </fill>
    </dxf>
    <dxf>
      <font>
        <color theme="0"/>
      </font>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ont>
        <color theme="0"/>
      </font>
    </dxf>
    <dxf>
      <fill>
        <patternFill>
          <bgColor theme="7" tint="0.39994506668294322"/>
        </patternFill>
      </fill>
    </dxf>
    <dxf>
      <fill>
        <patternFill>
          <bgColor theme="7" tint="0.39994506668294322"/>
        </patternFill>
      </fill>
    </dxf>
    <dxf>
      <font>
        <color theme="0"/>
      </font>
    </dxf>
  </dxfs>
  <tableStyles count="0" defaultTableStyle="TableStyleMedium2" defaultPivotStyle="PivotStyleLight16"/>
  <colors>
    <mruColors>
      <color rgb="FFFF0066"/>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 Target="richData/rdrichvalue.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11</xdr:col>
      <xdr:colOff>53340</xdr:colOff>
      <xdr:row>20</xdr:row>
      <xdr:rowOff>1</xdr:rowOff>
    </xdr:from>
    <xdr:ext cx="6776085" cy="4732019"/>
    <xdr:sp macro="" textlink="">
      <xdr:nvSpPr>
        <xdr:cNvPr id="2" name="TextBox 1">
          <a:extLst>
            <a:ext uri="{FF2B5EF4-FFF2-40B4-BE49-F238E27FC236}">
              <a16:creationId xmlns:a16="http://schemas.microsoft.com/office/drawing/2014/main" id="{8FB7CBF4-AF82-4F5F-96CE-1A3758542E42}"/>
            </a:ext>
          </a:extLst>
        </xdr:cNvPr>
        <xdr:cNvSpPr txBox="1"/>
      </xdr:nvSpPr>
      <xdr:spPr>
        <a:xfrm>
          <a:off x="7094220" y="4038601"/>
          <a:ext cx="6776085" cy="4732019"/>
        </a:xfrm>
        <a:prstGeom prst="rect">
          <a:avLst/>
        </a:prstGeom>
        <a:solidFill>
          <a:schemeClr val="accent5">
            <a:lumMod val="50000"/>
          </a:schemeClr>
        </a:solidFill>
        <a:ln w="38100">
          <a:solidFill>
            <a:srgbClr val="FFC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600" b="1" baseline="0">
              <a:solidFill>
                <a:schemeClr val="bg1"/>
              </a:solidFill>
            </a:rPr>
            <a:t>READ THIS BEFORE USING THE STATEMENT OF WORK TEMPLATE</a:t>
          </a:r>
        </a:p>
        <a:p>
          <a:pPr algn="ctr"/>
          <a:r>
            <a:rPr lang="en-GB" sz="1100" b="1" baseline="0">
              <a:solidFill>
                <a:srgbClr val="FFFF00"/>
              </a:solidFill>
            </a:rPr>
            <a:t>YOU MUST READ, UNDERSTAND AND APPLY THE PROCEDURES, GUIDANCE AND RESPONSIBILITIES DEFINED IN</a:t>
          </a:r>
        </a:p>
        <a:p>
          <a:pPr algn="ctr"/>
          <a:endParaRPr lang="en-GB" sz="1100" b="1" baseline="0">
            <a:solidFill>
              <a:srgbClr val="FFFF00"/>
            </a:solidFill>
          </a:endParaRPr>
        </a:p>
        <a:p>
          <a:pPr algn="ctr"/>
          <a:r>
            <a:rPr lang="en-GB" sz="1100" b="1" baseline="0">
              <a:solidFill>
                <a:srgbClr val="FFFF00"/>
              </a:solidFill>
            </a:rPr>
            <a:t>STATEMENT OF WORK - RESPONSIBILITIES AND OPERATING PROCEDURE</a:t>
          </a:r>
        </a:p>
        <a:p>
          <a:pPr algn="ctr"/>
          <a:r>
            <a:rPr lang="en-GB" sz="1800" b="1" baseline="0">
              <a:solidFill>
                <a:srgbClr val="FFFF00"/>
              </a:solidFill>
            </a:rPr>
            <a:t>JLR-PRD-570407</a:t>
          </a:r>
        </a:p>
        <a:p>
          <a:r>
            <a:rPr lang="en-GB" sz="1100" baseline="0">
              <a:solidFill>
                <a:schemeClr val="bg1"/>
              </a:solidFill>
            </a:rPr>
            <a:t>This document is a generic template for all CoCs. If you wish to use a different eSOW (Not JLR-TMP-557249) you must discuss with your buyer and obtain permission form the GSP Team before you begin your Sourcing Board Events. You may be required to raise a waiver against GSP Processes and Procedures.</a:t>
          </a:r>
        </a:p>
        <a:p>
          <a:endParaRPr lang="en-GB" sz="1100" baseline="0">
            <a:solidFill>
              <a:schemeClr val="bg1"/>
            </a:solidFill>
          </a:endParaRPr>
        </a:p>
        <a:p>
          <a:r>
            <a:rPr lang="en-GB" sz="1100" b="1" baseline="0">
              <a:solidFill>
                <a:schemeClr val="bg1"/>
              </a:solidFill>
            </a:rPr>
            <a:t>Before you complete the eSOW you must complete the following;</a:t>
          </a:r>
        </a:p>
        <a:p>
          <a:r>
            <a:rPr lang="en-GB" sz="1100" b="0" baseline="0">
              <a:solidFill>
                <a:schemeClr val="bg1"/>
              </a:solidFill>
            </a:rPr>
            <a:t>1. Read and Understand JLR-PRD-570407 Statement of Work Responsibilities and Operating Procedure.</a:t>
          </a:r>
        </a:p>
        <a:p>
          <a:r>
            <a:rPr lang="en-GB" sz="1100" baseline="0">
              <a:solidFill>
                <a:schemeClr val="bg1"/>
              </a:solidFill>
            </a:rPr>
            <a:t>2. Complete necessary GSP Training module E-Learning </a:t>
          </a:r>
          <a:r>
            <a:rPr lang="en-GB" sz="1100" b="0" i="0">
              <a:solidFill>
                <a:schemeClr val="bg1"/>
              </a:solidFill>
              <a:effectLst/>
              <a:latin typeface="+mn-lt"/>
              <a:ea typeface="+mn-ea"/>
              <a:cs typeface="+mn-cs"/>
            </a:rPr>
            <a:t>536002.</a:t>
          </a:r>
          <a:endParaRPr lang="en-GB" sz="1100" baseline="0">
            <a:solidFill>
              <a:schemeClr val="bg1"/>
            </a:solidFill>
          </a:endParaRPr>
        </a:p>
        <a:p>
          <a:r>
            <a:rPr lang="en-GB" sz="1100" baseline="0">
              <a:solidFill>
                <a:schemeClr val="bg1"/>
              </a:solidFill>
            </a:rPr>
            <a:t>3. Confirm you have a GSPID Code and identify the correct buyer for your Sourcing Project.</a:t>
          </a:r>
        </a:p>
        <a:p>
          <a:endParaRPr lang="en-GB" sz="1100" baseline="0"/>
        </a:p>
        <a:p>
          <a:r>
            <a:rPr lang="en-GB" sz="1100" baseline="0">
              <a:solidFill>
                <a:schemeClr val="bg1"/>
              </a:solidFill>
            </a:rPr>
            <a:t>This Statement of Work Template is modular, and not every tab will be applicable to your sourcing project. </a:t>
          </a:r>
        </a:p>
        <a:p>
          <a:r>
            <a:rPr lang="en-GB" sz="1100" baseline="0">
              <a:solidFill>
                <a:schemeClr val="bg1"/>
              </a:solidFill>
            </a:rPr>
            <a:t>Delete tabs which are not applicable to help keep this document light, clear and relevant to you and your suppliers. </a:t>
          </a:r>
        </a:p>
        <a:p>
          <a:endParaRPr lang="en-GB" sz="1100" baseline="0"/>
        </a:p>
        <a:p>
          <a:r>
            <a:rPr lang="en-GB" sz="1100" baseline="0">
              <a:solidFill>
                <a:schemeClr val="bg1"/>
              </a:solidFill>
            </a:rPr>
            <a:t>TAB with a </a:t>
          </a:r>
          <a:r>
            <a:rPr lang="en-GB" sz="1100" b="1" baseline="0">
              <a:solidFill>
                <a:srgbClr val="FF7C80"/>
              </a:solidFill>
            </a:rPr>
            <a:t>RED</a:t>
          </a:r>
          <a:r>
            <a:rPr lang="en-GB" sz="1100" baseline="0">
              <a:solidFill>
                <a:schemeClr val="bg1"/>
              </a:solidFill>
            </a:rPr>
            <a:t> background are </a:t>
          </a:r>
          <a:r>
            <a:rPr lang="en-GB" sz="1100" b="1" baseline="0">
              <a:solidFill>
                <a:srgbClr val="FF7C80"/>
              </a:solidFill>
            </a:rPr>
            <a:t>MANDATORY</a:t>
          </a:r>
          <a:r>
            <a:rPr lang="en-GB" sz="1100" b="1" baseline="0">
              <a:solidFill>
                <a:schemeClr val="bg1"/>
              </a:solidFill>
            </a:rPr>
            <a:t> </a:t>
          </a:r>
          <a:r>
            <a:rPr lang="en-GB" sz="1100" b="0" baseline="0">
              <a:solidFill>
                <a:schemeClr val="bg1"/>
              </a:solidFill>
            </a:rPr>
            <a:t>and must be completed</a:t>
          </a:r>
        </a:p>
        <a:p>
          <a:endParaRPr lang="en-GB" sz="1100" baseline="0">
            <a:solidFill>
              <a:schemeClr val="bg1"/>
            </a:solidFill>
          </a:endParaRPr>
        </a:p>
        <a:p>
          <a:r>
            <a:rPr lang="en-GB" sz="1100" baseline="0">
              <a:solidFill>
                <a:schemeClr val="bg1"/>
              </a:solidFill>
            </a:rPr>
            <a:t>TABS with a </a:t>
          </a:r>
          <a:r>
            <a:rPr lang="en-GB" sz="1100" b="1" baseline="0">
              <a:solidFill>
                <a:schemeClr val="accent5">
                  <a:lumMod val="40000"/>
                  <a:lumOff val="60000"/>
                </a:schemeClr>
              </a:solidFill>
            </a:rPr>
            <a:t>BLUE</a:t>
          </a:r>
          <a:r>
            <a:rPr lang="en-GB" sz="1100" baseline="0">
              <a:solidFill>
                <a:schemeClr val="bg1"/>
              </a:solidFill>
            </a:rPr>
            <a:t> Background are </a:t>
          </a:r>
          <a:r>
            <a:rPr lang="en-GB" sz="1100" b="1" baseline="0">
              <a:solidFill>
                <a:schemeClr val="accent5">
                  <a:lumMod val="40000"/>
                  <a:lumOff val="60000"/>
                </a:schemeClr>
              </a:solidFill>
            </a:rPr>
            <a:t>OPTIONAL</a:t>
          </a:r>
        </a:p>
        <a:p>
          <a:endParaRPr lang="en-GB" sz="1100" b="1" baseline="0">
            <a:solidFill>
              <a:schemeClr val="accent5">
                <a:lumMod val="40000"/>
                <a:lumOff val="60000"/>
              </a:schemeClr>
            </a:solidFill>
          </a:endParaRPr>
        </a:p>
        <a:p>
          <a:r>
            <a:rPr lang="en-GB" sz="1100" b="1" baseline="0">
              <a:solidFill>
                <a:schemeClr val="bg1"/>
              </a:solidFill>
            </a:rPr>
            <a:t>BOXES/FIELDS WITH A </a:t>
          </a:r>
          <a:r>
            <a:rPr lang="en-GB" sz="1100" b="1" baseline="0">
              <a:solidFill>
                <a:schemeClr val="accent4">
                  <a:lumMod val="40000"/>
                  <a:lumOff val="60000"/>
                </a:schemeClr>
              </a:solidFill>
            </a:rPr>
            <a:t>YELLOW BACKGROUND </a:t>
          </a:r>
          <a:r>
            <a:rPr lang="en-GB" sz="1100" b="1" baseline="0">
              <a:solidFill>
                <a:schemeClr val="bg1"/>
              </a:solidFill>
            </a:rPr>
            <a:t>ARE MANDATORY AND MUST BE COMPLETED</a:t>
          </a:r>
        </a:p>
        <a:p>
          <a:endParaRPr lang="en-GB" sz="1100" baseline="0">
            <a:solidFill>
              <a:schemeClr val="bg1"/>
            </a:solidFill>
          </a:endParaRPr>
        </a:p>
        <a:p>
          <a:r>
            <a:rPr lang="en-GB" sz="1100" baseline="0">
              <a:solidFill>
                <a:schemeClr val="bg1"/>
              </a:solidFill>
            </a:rPr>
            <a:t>This document is designed to be </a:t>
          </a:r>
          <a:r>
            <a:rPr lang="en-GB" sz="1100" b="1" baseline="0">
              <a:solidFill>
                <a:schemeClr val="bg1"/>
              </a:solidFill>
            </a:rPr>
            <a:t>PRINTED TO PDF </a:t>
          </a:r>
          <a:r>
            <a:rPr lang="en-GB" sz="1100" baseline="0">
              <a:solidFill>
                <a:schemeClr val="bg1"/>
              </a:solidFill>
            </a:rPr>
            <a:t>when you add to your RFQ Pack. Once your eSOW is complete, press CRTL+P and select "PRINT TO PDF". Do Not submit an excel version of this eSOW in your RFQ pack. </a:t>
          </a:r>
        </a:p>
        <a:p>
          <a:r>
            <a:rPr lang="en-GB" sz="1100" i="1" baseline="0">
              <a:solidFill>
                <a:schemeClr val="bg1"/>
              </a:solidFill>
            </a:rPr>
            <a:t>Do not issue this eSOW as an excel or word document.</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56</xdr:row>
      <xdr:rowOff>0</xdr:rowOff>
    </xdr:from>
    <xdr:to>
      <xdr:col>10</xdr:col>
      <xdr:colOff>455713</xdr:colOff>
      <xdr:row>56</xdr:row>
      <xdr:rowOff>2612572</xdr:rowOff>
    </xdr:to>
    <xdr:pic>
      <xdr:nvPicPr>
        <xdr:cNvPr id="2" name="Picture 1">
          <a:extLst>
            <a:ext uri="{FF2B5EF4-FFF2-40B4-BE49-F238E27FC236}">
              <a16:creationId xmlns:a16="http://schemas.microsoft.com/office/drawing/2014/main" id="{83C4BEE4-6038-4FA7-A899-52A41B24250A}"/>
            </a:ext>
            <a:ext uri="{147F2762-F138-4A5C-976F-8EAC2B608ADB}">
              <a16:predDERef xmlns:a16="http://schemas.microsoft.com/office/drawing/2014/main" pred="{7DE6001B-908E-4542-B5A7-86123677D0DF}"/>
            </a:ext>
          </a:extLst>
        </xdr:cNvPr>
        <xdr:cNvPicPr>
          <a:picLocks noChangeAspect="1"/>
        </xdr:cNvPicPr>
      </xdr:nvPicPr>
      <xdr:blipFill>
        <a:blip xmlns:r="http://schemas.openxmlformats.org/officeDocument/2006/relationships" r:embed="rId1"/>
        <a:stretch>
          <a:fillRect/>
        </a:stretch>
      </xdr:blipFill>
      <xdr:spPr>
        <a:xfrm>
          <a:off x="0" y="22355175"/>
          <a:ext cx="6361213" cy="2612572"/>
        </a:xfrm>
        <a:prstGeom prst="rect">
          <a:avLst/>
        </a:prstGeom>
      </xdr:spPr>
    </xdr:pic>
    <xdr:clientData/>
  </xdr:twoCellAnchor>
  <xdr:twoCellAnchor editAs="oneCell">
    <xdr:from>
      <xdr:col>1</xdr:col>
      <xdr:colOff>514350</xdr:colOff>
      <xdr:row>53</xdr:row>
      <xdr:rowOff>66675</xdr:rowOff>
    </xdr:from>
    <xdr:to>
      <xdr:col>8</xdr:col>
      <xdr:colOff>567690</xdr:colOff>
      <xdr:row>53</xdr:row>
      <xdr:rowOff>3450269</xdr:rowOff>
    </xdr:to>
    <xdr:pic>
      <xdr:nvPicPr>
        <xdr:cNvPr id="3" name="Picture 2">
          <a:extLst>
            <a:ext uri="{FF2B5EF4-FFF2-40B4-BE49-F238E27FC236}">
              <a16:creationId xmlns:a16="http://schemas.microsoft.com/office/drawing/2014/main" id="{5C7B5B9C-235C-4B7A-8018-46AB18D54D14}"/>
            </a:ext>
            <a:ext uri="{147F2762-F138-4A5C-976F-8EAC2B608ADB}">
              <a16:predDERef xmlns:a16="http://schemas.microsoft.com/office/drawing/2014/main" pred="{83C4BEE4-6038-4FA7-A899-52A41B24250A}"/>
            </a:ext>
          </a:extLst>
        </xdr:cNvPr>
        <xdr:cNvPicPr>
          <a:picLocks noChangeAspect="1"/>
        </xdr:cNvPicPr>
      </xdr:nvPicPr>
      <xdr:blipFill>
        <a:blip xmlns:r="http://schemas.openxmlformats.org/officeDocument/2006/relationships" r:embed="rId2"/>
        <a:stretch>
          <a:fillRect/>
        </a:stretch>
      </xdr:blipFill>
      <xdr:spPr>
        <a:xfrm>
          <a:off x="1104900" y="18573750"/>
          <a:ext cx="4187190" cy="339311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129540</xdr:colOff>
      <xdr:row>33</xdr:row>
      <xdr:rowOff>144780</xdr:rowOff>
    </xdr:from>
    <xdr:to>
      <xdr:col>1</xdr:col>
      <xdr:colOff>289560</xdr:colOff>
      <xdr:row>36</xdr:row>
      <xdr:rowOff>22860</xdr:rowOff>
    </xdr:to>
    <xdr:sp macro="" textlink="">
      <xdr:nvSpPr>
        <xdr:cNvPr id="2" name="TextBox 1">
          <a:extLst>
            <a:ext uri="{FF2B5EF4-FFF2-40B4-BE49-F238E27FC236}">
              <a16:creationId xmlns:a16="http://schemas.microsoft.com/office/drawing/2014/main" id="{FB38E5E9-F208-4DAD-A135-07621237E763}"/>
            </a:ext>
          </a:extLst>
        </xdr:cNvPr>
        <xdr:cNvSpPr txBox="1"/>
      </xdr:nvSpPr>
      <xdr:spPr>
        <a:xfrm>
          <a:off x="129540" y="14249400"/>
          <a:ext cx="800100" cy="42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a:t>TEST BOX</a:t>
          </a:r>
        </a:p>
      </xdr:txBody>
    </xdr:sp>
    <xdr:clientData/>
  </xdr:twoCellAnchor>
  <xdr:twoCellAnchor>
    <xdr:from>
      <xdr:col>0</xdr:col>
      <xdr:colOff>129540</xdr:colOff>
      <xdr:row>70</xdr:row>
      <xdr:rowOff>144780</xdr:rowOff>
    </xdr:from>
    <xdr:to>
      <xdr:col>1</xdr:col>
      <xdr:colOff>289560</xdr:colOff>
      <xdr:row>73</xdr:row>
      <xdr:rowOff>22860</xdr:rowOff>
    </xdr:to>
    <xdr:sp macro="" textlink="">
      <xdr:nvSpPr>
        <xdr:cNvPr id="3" name="TextBox 2">
          <a:extLst>
            <a:ext uri="{FF2B5EF4-FFF2-40B4-BE49-F238E27FC236}">
              <a16:creationId xmlns:a16="http://schemas.microsoft.com/office/drawing/2014/main" id="{E88E0101-6140-4423-A54A-2789FA1A6C63}"/>
            </a:ext>
          </a:extLst>
        </xdr:cNvPr>
        <xdr:cNvSpPr txBox="1"/>
      </xdr:nvSpPr>
      <xdr:spPr>
        <a:xfrm>
          <a:off x="129540" y="14249400"/>
          <a:ext cx="800100" cy="42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a:t>TEST BOX</a:t>
          </a:r>
        </a:p>
      </xdr:txBody>
    </xdr: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vmlDrawing" Target="../drawings/vmlDrawing6.v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xml"/><Relationship Id="rId1" Type="http://schemas.openxmlformats.org/officeDocument/2006/relationships/printerSettings" Target="../printerSettings/printerSettings7.bin"/><Relationship Id="rId5" Type="http://schemas.openxmlformats.org/officeDocument/2006/relationships/comments" Target="../comments4.xml"/><Relationship Id="rId4" Type="http://schemas.openxmlformats.org/officeDocument/2006/relationships/vmlDrawing" Target="../drawings/vmlDrawing10.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vmlDrawing" Target="../drawings/vmlDrawing11.v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vmlDrawing" Target="../drawings/vmlDrawing13.vml"/><Relationship Id="rId1" Type="http://schemas.openxmlformats.org/officeDocument/2006/relationships/printerSettings" Target="../printerSettings/printerSettings9.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vmlDrawing" Target="../drawings/vmlDrawing15.vml"/><Relationship Id="rId1" Type="http://schemas.openxmlformats.org/officeDocument/2006/relationships/printerSettings" Target="../printerSettings/printerSettings12.bin"/><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8" Type="http://schemas.openxmlformats.org/officeDocument/2006/relationships/hyperlink" Target="mailto:jteasda1@jaguarlandrover.com" TargetMode="External"/><Relationship Id="rId13" Type="http://schemas.openxmlformats.org/officeDocument/2006/relationships/printerSettings" Target="../printerSettings/printerSettings15.bin"/><Relationship Id="rId3" Type="http://schemas.openxmlformats.org/officeDocument/2006/relationships/hyperlink" Target="mailto:mcrouch7@jaguarlandrover.com" TargetMode="External"/><Relationship Id="rId7" Type="http://schemas.openxmlformats.org/officeDocument/2006/relationships/hyperlink" Target="mailto:lspensl1@jaguarlandrover.com" TargetMode="External"/><Relationship Id="rId12" Type="http://schemas.openxmlformats.org/officeDocument/2006/relationships/hyperlink" Target="mailto:amitroi@partner.jaguarlandrover.com" TargetMode="External"/><Relationship Id="rId17" Type="http://schemas.openxmlformats.org/officeDocument/2006/relationships/comments" Target="../comments8.xml"/><Relationship Id="rId2" Type="http://schemas.openxmlformats.org/officeDocument/2006/relationships/hyperlink" Target="mailto:gkuber1@jaguarlandrover.com" TargetMode="External"/><Relationship Id="rId16" Type="http://schemas.openxmlformats.org/officeDocument/2006/relationships/vmlDrawing" Target="../drawings/vmlDrawing20.vml"/><Relationship Id="rId1" Type="http://schemas.openxmlformats.org/officeDocument/2006/relationships/hyperlink" Target="mailto:jteasda1@jaguarlandrover.com" TargetMode="External"/><Relationship Id="rId6" Type="http://schemas.openxmlformats.org/officeDocument/2006/relationships/hyperlink" Target="mailto:sbrown58@jaguarlandrover.com" TargetMode="External"/><Relationship Id="rId11" Type="http://schemas.openxmlformats.org/officeDocument/2006/relationships/hyperlink" Target="mailto:mminda1@jaguarlandrover.com" TargetMode="External"/><Relationship Id="rId5" Type="http://schemas.openxmlformats.org/officeDocument/2006/relationships/hyperlink" Target="mailto:mpyka@jaguarlandrover.com" TargetMode="External"/><Relationship Id="rId15" Type="http://schemas.openxmlformats.org/officeDocument/2006/relationships/vmlDrawing" Target="../drawings/vmlDrawing19.vml"/><Relationship Id="rId10" Type="http://schemas.openxmlformats.org/officeDocument/2006/relationships/hyperlink" Target="mailto:gkuber1@jaguarlandrover.com" TargetMode="External"/><Relationship Id="rId4" Type="http://schemas.openxmlformats.org/officeDocument/2006/relationships/hyperlink" Target="mailto:jellis3@jaguarlandrover.com" TargetMode="External"/><Relationship Id="rId9" Type="http://schemas.openxmlformats.org/officeDocument/2006/relationships/hyperlink" Target="mailto:mcrouch7@jaguarlandrover.com" TargetMode="External"/><Relationship Id="rId14"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81F5D-EEA0-4CC5-B128-9F3C93FE30F6}">
  <sheetPr codeName="Sheet1">
    <tabColor rgb="FFFF0000"/>
    <pageSetUpPr fitToPage="1"/>
  </sheetPr>
  <dimension ref="A1:K239"/>
  <sheetViews>
    <sheetView tabSelected="1" view="pageLayout" zoomScaleNormal="100" zoomScaleSheetLayoutView="100" workbookViewId="0">
      <selection activeCell="G25" sqref="G25"/>
    </sheetView>
  </sheetViews>
  <sheetFormatPr defaultColWidth="8.88671875" defaultRowHeight="14.4" x14ac:dyDescent="0.3"/>
  <cols>
    <col min="1" max="1" width="8.88671875" customWidth="1"/>
    <col min="7" max="7" width="10.5546875" bestFit="1" customWidth="1"/>
  </cols>
  <sheetData>
    <row r="1" spans="1:11" ht="27.6" customHeight="1" x14ac:dyDescent="0.3">
      <c r="A1" s="259" t="s">
        <v>0</v>
      </c>
      <c r="B1" s="259"/>
      <c r="C1" s="259"/>
      <c r="D1" s="259"/>
      <c r="E1" s="259"/>
      <c r="F1" s="259"/>
      <c r="G1" s="259"/>
      <c r="H1" s="259"/>
      <c r="I1" s="259"/>
      <c r="J1" s="259"/>
      <c r="K1" s="259"/>
    </row>
    <row r="2" spans="1:11" ht="19.95" customHeight="1" x14ac:dyDescent="0.3">
      <c r="A2" s="352" t="s">
        <v>1</v>
      </c>
      <c r="B2" s="286"/>
      <c r="C2" s="286"/>
      <c r="D2" s="286"/>
      <c r="E2" s="286"/>
      <c r="F2" s="85"/>
      <c r="G2" s="85"/>
      <c r="H2" s="105" t="s">
        <v>2</v>
      </c>
      <c r="I2" s="106" cm="1">
        <f t="array" ref="I2">LOOKUP(2,1/(A108:A118&lt;&gt;""),A108:A118)</f>
        <v>2</v>
      </c>
      <c r="J2" s="353" t="str" cm="1">
        <f t="array" ref="J2">LOOKUP(2,1/(B108:B118&lt;&gt;""),B108:B118)</f>
        <v>Third Submission</v>
      </c>
      <c r="K2" s="354"/>
    </row>
    <row r="3" spans="1:11" ht="6" customHeight="1" x14ac:dyDescent="0.3"/>
    <row r="4" spans="1:11" ht="15.6" x14ac:dyDescent="0.3">
      <c r="A4" s="260" t="s">
        <v>3</v>
      </c>
      <c r="B4" s="261"/>
      <c r="C4" s="261"/>
      <c r="D4" s="261"/>
      <c r="E4" s="261"/>
      <c r="F4" s="261"/>
      <c r="G4" s="261"/>
      <c r="H4" s="261"/>
      <c r="I4" s="261"/>
      <c r="J4" s="261"/>
      <c r="K4" s="262"/>
    </row>
    <row r="5" spans="1:11" x14ac:dyDescent="0.3">
      <c r="A5" s="52" t="s">
        <v>4</v>
      </c>
      <c r="B5" s="48" t="s">
        <v>5</v>
      </c>
      <c r="C5" s="48"/>
      <c r="D5" s="45"/>
      <c r="E5" s="263" t="s">
        <v>6</v>
      </c>
      <c r="F5" s="264"/>
      <c r="G5" s="48" t="s">
        <v>7</v>
      </c>
      <c r="H5" s="46"/>
      <c r="I5" s="53" t="s">
        <v>8</v>
      </c>
      <c r="J5" s="49" t="s">
        <v>9</v>
      </c>
      <c r="K5" s="44"/>
    </row>
    <row r="6" spans="1:11" x14ac:dyDescent="0.3">
      <c r="A6" s="53" t="s">
        <v>10</v>
      </c>
      <c r="B6" s="274" t="s">
        <v>11</v>
      </c>
      <c r="C6" s="275"/>
      <c r="D6" s="276"/>
      <c r="E6" s="263" t="s">
        <v>12</v>
      </c>
      <c r="F6" s="264"/>
      <c r="G6" s="49" t="s">
        <v>13</v>
      </c>
      <c r="H6" s="47"/>
      <c r="I6" s="54" t="s">
        <v>14</v>
      </c>
      <c r="J6" s="49" t="s">
        <v>15</v>
      </c>
      <c r="K6" s="44"/>
    </row>
    <row r="7" spans="1:11" ht="57" customHeight="1" x14ac:dyDescent="0.3">
      <c r="A7" s="257" t="s">
        <v>16</v>
      </c>
      <c r="B7" s="257"/>
      <c r="C7" s="257"/>
      <c r="D7" s="257"/>
      <c r="E7" s="257"/>
      <c r="F7" s="257"/>
      <c r="G7" s="257"/>
      <c r="H7" s="257"/>
      <c r="I7" s="257"/>
      <c r="J7" s="257"/>
      <c r="K7" s="257"/>
    </row>
    <row r="8" spans="1:11" s="50" customFormat="1" x14ac:dyDescent="0.3">
      <c r="A8" s="265" t="s">
        <v>17</v>
      </c>
      <c r="B8" s="278"/>
      <c r="C8" s="270" t="s">
        <v>1706</v>
      </c>
      <c r="D8" s="277"/>
      <c r="E8" s="277"/>
      <c r="F8" s="277"/>
      <c r="G8" s="265" t="s">
        <v>18</v>
      </c>
      <c r="H8" s="278"/>
      <c r="I8" s="271" t="s">
        <v>19</v>
      </c>
      <c r="J8" s="272"/>
      <c r="K8" s="273"/>
    </row>
    <row r="9" spans="1:11" ht="14.4" customHeight="1" x14ac:dyDescent="0.3">
      <c r="A9" s="265" t="s">
        <v>20</v>
      </c>
      <c r="B9" s="265"/>
      <c r="C9" s="270" t="s">
        <v>21</v>
      </c>
      <c r="D9" s="270"/>
      <c r="E9" s="270"/>
      <c r="F9" s="270"/>
      <c r="G9" s="265" t="s">
        <v>22</v>
      </c>
      <c r="H9" s="265"/>
      <c r="I9" s="267" t="s">
        <v>23</v>
      </c>
      <c r="J9" s="268"/>
      <c r="K9" s="269"/>
    </row>
    <row r="10" spans="1:11" ht="14.4" customHeight="1" x14ac:dyDescent="0.3">
      <c r="A10" s="265" t="s">
        <v>24</v>
      </c>
      <c r="B10" s="265"/>
      <c r="C10" s="270" t="s">
        <v>25</v>
      </c>
      <c r="D10" s="270"/>
      <c r="E10" s="270"/>
      <c r="F10" s="270"/>
      <c r="G10" s="265" t="s">
        <v>26</v>
      </c>
      <c r="H10" s="265"/>
      <c r="I10" s="284" t="s">
        <v>27</v>
      </c>
      <c r="J10" s="281"/>
      <c r="K10" s="282"/>
    </row>
    <row r="11" spans="1:11" ht="14.4" customHeight="1" x14ac:dyDescent="0.3">
      <c r="A11" s="265" t="s">
        <v>28</v>
      </c>
      <c r="B11" s="265"/>
      <c r="C11" s="283">
        <v>47126</v>
      </c>
      <c r="D11" s="270"/>
      <c r="E11" s="270"/>
      <c r="F11" s="270"/>
      <c r="G11" s="265" t="s">
        <v>29</v>
      </c>
      <c r="H11" s="265"/>
      <c r="I11" s="284" t="s">
        <v>30</v>
      </c>
      <c r="J11" s="281"/>
      <c r="K11" s="282"/>
    </row>
    <row r="12" spans="1:11" ht="14.4" customHeight="1" x14ac:dyDescent="0.3">
      <c r="A12" s="265" t="s">
        <v>31</v>
      </c>
      <c r="B12" s="265"/>
      <c r="C12" s="270"/>
      <c r="D12" s="270"/>
      <c r="E12" s="270"/>
      <c r="F12" s="270"/>
      <c r="G12" s="265" t="s">
        <v>32</v>
      </c>
      <c r="H12" s="265"/>
      <c r="I12" s="266"/>
      <c r="J12" s="266"/>
      <c r="K12" s="266"/>
    </row>
    <row r="13" spans="1:11" ht="4.95" customHeight="1" x14ac:dyDescent="0.3">
      <c r="A13" s="279"/>
      <c r="B13" s="280"/>
      <c r="C13" s="281"/>
      <c r="D13" s="281"/>
      <c r="E13" s="281"/>
      <c r="F13" s="281"/>
      <c r="G13" s="281"/>
      <c r="H13" s="281"/>
      <c r="I13" s="281"/>
      <c r="J13" s="281"/>
      <c r="K13" s="282"/>
    </row>
    <row r="14" spans="1:11" ht="14.4" customHeight="1" x14ac:dyDescent="0.3">
      <c r="A14" s="265" t="s">
        <v>33</v>
      </c>
      <c r="B14" s="265"/>
      <c r="C14" s="266" t="s">
        <v>1703</v>
      </c>
      <c r="D14" s="266"/>
      <c r="E14" s="120" t="s">
        <v>34</v>
      </c>
      <c r="F14" s="51" t="s">
        <v>1704</v>
      </c>
      <c r="G14" s="265" t="s">
        <v>36</v>
      </c>
      <c r="H14" s="265"/>
      <c r="I14" s="266" t="s">
        <v>37</v>
      </c>
      <c r="J14" s="266"/>
      <c r="K14" s="266"/>
    </row>
    <row r="15" spans="1:11" ht="14.4" customHeight="1" x14ac:dyDescent="0.3">
      <c r="A15" s="265" t="s">
        <v>38</v>
      </c>
      <c r="B15" s="265"/>
      <c r="C15" s="266" t="s">
        <v>1568</v>
      </c>
      <c r="D15" s="266"/>
      <c r="E15" s="120" t="s">
        <v>34</v>
      </c>
      <c r="F15" s="51" t="s">
        <v>1569</v>
      </c>
      <c r="G15" s="265" t="s">
        <v>41</v>
      </c>
      <c r="H15" s="265"/>
      <c r="I15" s="266" t="s">
        <v>1707</v>
      </c>
      <c r="J15" s="266"/>
      <c r="K15" s="266"/>
    </row>
    <row r="16" spans="1:11" ht="14.4" customHeight="1" x14ac:dyDescent="0.3">
      <c r="A16" s="265" t="s">
        <v>42</v>
      </c>
      <c r="B16" s="265"/>
      <c r="C16" s="266" t="s">
        <v>43</v>
      </c>
      <c r="D16" s="266"/>
      <c r="E16" s="120" t="s">
        <v>34</v>
      </c>
      <c r="F16" s="51" t="s">
        <v>44</v>
      </c>
      <c r="G16" s="265" t="s">
        <v>45</v>
      </c>
      <c r="H16" s="265"/>
      <c r="I16" s="266" t="s">
        <v>46</v>
      </c>
      <c r="J16" s="266"/>
      <c r="K16" s="266"/>
    </row>
    <row r="17" spans="1:11" ht="14.4" customHeight="1" x14ac:dyDescent="0.3">
      <c r="A17" s="265" t="s">
        <v>47</v>
      </c>
      <c r="B17" s="265"/>
      <c r="C17" s="266" t="s">
        <v>48</v>
      </c>
      <c r="D17" s="266"/>
      <c r="E17" s="120" t="s">
        <v>34</v>
      </c>
      <c r="F17" s="51" t="s">
        <v>49</v>
      </c>
      <c r="G17" s="265" t="s">
        <v>50</v>
      </c>
      <c r="H17" s="265"/>
      <c r="I17" s="266" t="s">
        <v>51</v>
      </c>
      <c r="J17" s="266"/>
      <c r="K17" s="266"/>
    </row>
    <row r="18" spans="1:11" x14ac:dyDescent="0.3">
      <c r="A18" s="265" t="s">
        <v>52</v>
      </c>
      <c r="B18" s="265"/>
      <c r="C18" s="266" t="s">
        <v>53</v>
      </c>
      <c r="D18" s="266"/>
      <c r="E18" s="120" t="s">
        <v>34</v>
      </c>
      <c r="F18" s="51" t="s">
        <v>54</v>
      </c>
      <c r="G18" s="265" t="s">
        <v>55</v>
      </c>
      <c r="H18" s="265"/>
      <c r="I18" s="300" t="s">
        <v>56</v>
      </c>
      <c r="J18" s="266"/>
      <c r="K18" s="266"/>
    </row>
    <row r="19" spans="1:11" ht="7.2" customHeight="1" x14ac:dyDescent="0.3"/>
    <row r="20" spans="1:11" ht="7.2" customHeight="1" thickBot="1" x14ac:dyDescent="0.35"/>
    <row r="21" spans="1:11" ht="15.6" x14ac:dyDescent="0.3">
      <c r="A21" s="288" t="s">
        <v>57</v>
      </c>
      <c r="B21" s="289"/>
      <c r="C21" s="289"/>
      <c r="D21" s="289"/>
      <c r="E21" s="289"/>
      <c r="F21" s="289"/>
      <c r="G21" s="289"/>
      <c r="H21" s="289"/>
      <c r="I21" s="289"/>
      <c r="J21" s="289"/>
      <c r="K21" s="290"/>
    </row>
    <row r="22" spans="1:11" x14ac:dyDescent="0.3">
      <c r="A22" s="124" t="s">
        <v>58</v>
      </c>
      <c r="E22" s="301"/>
      <c r="F22" s="301"/>
      <c r="G22" s="301"/>
      <c r="H22" s="301"/>
      <c r="I22" s="301"/>
      <c r="J22" s="301"/>
      <c r="K22" s="302"/>
    </row>
    <row r="23" spans="1:11" x14ac:dyDescent="0.3">
      <c r="A23" s="291" t="s">
        <v>59</v>
      </c>
      <c r="B23" s="292" t="str">
        <f>C14</f>
        <v>Marton Minda</v>
      </c>
      <c r="C23" s="292"/>
      <c r="D23" s="294" t="s">
        <v>34</v>
      </c>
      <c r="E23" s="292" t="str">
        <f>F14</f>
        <v>mminda1</v>
      </c>
      <c r="F23" s="294" t="s">
        <v>60</v>
      </c>
      <c r="G23" s="295"/>
      <c r="H23" s="294" t="s">
        <v>61</v>
      </c>
      <c r="I23" s="296"/>
      <c r="J23" s="296"/>
      <c r="K23" s="297"/>
    </row>
    <row r="24" spans="1:11" ht="29.4" customHeight="1" x14ac:dyDescent="0.3">
      <c r="A24" s="291"/>
      <c r="B24" s="293"/>
      <c r="C24" s="293"/>
      <c r="D24" s="294"/>
      <c r="E24" s="293"/>
      <c r="F24" s="294"/>
      <c r="G24" s="293"/>
      <c r="H24" s="294"/>
      <c r="I24" s="298"/>
      <c r="J24" s="298"/>
      <c r="K24" s="299"/>
    </row>
    <row r="25" spans="1:11" x14ac:dyDescent="0.3">
      <c r="A25" s="125"/>
      <c r="K25" s="126"/>
    </row>
    <row r="26" spans="1:11" x14ac:dyDescent="0.3">
      <c r="A26" s="124" t="s">
        <v>62</v>
      </c>
      <c r="E26" s="301"/>
      <c r="F26" s="301"/>
      <c r="G26" s="301"/>
      <c r="H26" s="301"/>
      <c r="I26" s="301"/>
      <c r="J26" s="301"/>
      <c r="K26" s="302"/>
    </row>
    <row r="27" spans="1:11" x14ac:dyDescent="0.3">
      <c r="A27" s="291" t="s">
        <v>59</v>
      </c>
      <c r="B27" s="292" t="str">
        <f>C16</f>
        <v>Mark Croucher</v>
      </c>
      <c r="C27" s="292"/>
      <c r="D27" s="294" t="s">
        <v>34</v>
      </c>
      <c r="E27" s="292" t="str">
        <f>F16</f>
        <v>mcrouch7</v>
      </c>
      <c r="F27" s="294" t="s">
        <v>60</v>
      </c>
      <c r="G27" s="295"/>
      <c r="H27" s="294" t="s">
        <v>61</v>
      </c>
      <c r="I27" s="296"/>
      <c r="J27" s="296"/>
      <c r="K27" s="297"/>
    </row>
    <row r="28" spans="1:11" ht="36" customHeight="1" x14ac:dyDescent="0.3">
      <c r="A28" s="291"/>
      <c r="B28" s="293"/>
      <c r="C28" s="293"/>
      <c r="D28" s="294"/>
      <c r="E28" s="293"/>
      <c r="F28" s="294"/>
      <c r="G28" s="293"/>
      <c r="H28" s="294"/>
      <c r="I28" s="298"/>
      <c r="J28" s="298"/>
      <c r="K28" s="299"/>
    </row>
    <row r="29" spans="1:11" x14ac:dyDescent="0.3">
      <c r="A29" s="125"/>
      <c r="K29" s="126"/>
    </row>
    <row r="30" spans="1:11" ht="18.600000000000001" customHeight="1" x14ac:dyDescent="0.3">
      <c r="A30" s="285" t="s">
        <v>63</v>
      </c>
      <c r="B30" s="286"/>
      <c r="C30" s="286"/>
      <c r="D30" s="286"/>
      <c r="E30" s="286"/>
      <c r="F30" s="286"/>
      <c r="G30" s="286"/>
      <c r="H30" s="286"/>
      <c r="I30" s="286"/>
      <c r="J30" s="286"/>
      <c r="K30" s="287"/>
    </row>
    <row r="31" spans="1:11" ht="18.600000000000001" customHeight="1" x14ac:dyDescent="0.3">
      <c r="A31" s="291" t="s">
        <v>59</v>
      </c>
      <c r="B31" s="292" t="str">
        <f>C18</f>
        <v>Mark Hardy</v>
      </c>
      <c r="C31" s="292"/>
      <c r="D31" s="294" t="s">
        <v>34</v>
      </c>
      <c r="E31" s="292" t="str">
        <f>F18</f>
        <v>mhardy28</v>
      </c>
      <c r="F31" s="294" t="s">
        <v>60</v>
      </c>
      <c r="G31" s="295"/>
      <c r="H31" s="294" t="s">
        <v>61</v>
      </c>
      <c r="I31" s="296"/>
      <c r="J31" s="296"/>
      <c r="K31" s="297"/>
    </row>
    <row r="32" spans="1:11" ht="37.200000000000003" customHeight="1" x14ac:dyDescent="0.3">
      <c r="A32" s="291"/>
      <c r="B32" s="293"/>
      <c r="C32" s="293"/>
      <c r="D32" s="294"/>
      <c r="E32" s="293"/>
      <c r="F32" s="294"/>
      <c r="G32" s="293"/>
      <c r="H32" s="294"/>
      <c r="I32" s="298"/>
      <c r="J32" s="298"/>
      <c r="K32" s="299"/>
    </row>
    <row r="33" spans="1:11" ht="10.95" customHeight="1" x14ac:dyDescent="0.3">
      <c r="A33" s="131"/>
      <c r="B33" s="123"/>
      <c r="H33" s="121"/>
      <c r="I33" s="122"/>
      <c r="J33" s="122"/>
      <c r="K33" s="127"/>
    </row>
    <row r="34" spans="1:11" x14ac:dyDescent="0.3">
      <c r="A34" s="124" t="s">
        <v>64</v>
      </c>
      <c r="E34" s="301"/>
      <c r="F34" s="301"/>
      <c r="G34" s="301"/>
      <c r="H34" s="301"/>
      <c r="I34" s="301"/>
      <c r="J34" s="301"/>
      <c r="K34" s="302"/>
    </row>
    <row r="35" spans="1:11" x14ac:dyDescent="0.3">
      <c r="A35" s="291" t="s">
        <v>59</v>
      </c>
      <c r="B35" s="292"/>
      <c r="C35" s="292"/>
      <c r="D35" s="294" t="s">
        <v>65</v>
      </c>
      <c r="E35" s="292"/>
      <c r="F35" s="294" t="s">
        <v>60</v>
      </c>
      <c r="G35" s="292"/>
      <c r="H35" s="294" t="s">
        <v>61</v>
      </c>
      <c r="I35" s="296"/>
      <c r="J35" s="296"/>
      <c r="K35" s="297"/>
    </row>
    <row r="36" spans="1:11" ht="43.2" customHeight="1" x14ac:dyDescent="0.3">
      <c r="A36" s="291"/>
      <c r="B36" s="293"/>
      <c r="C36" s="293"/>
      <c r="D36" s="294"/>
      <c r="E36" s="293"/>
      <c r="F36" s="294"/>
      <c r="G36" s="293"/>
      <c r="H36" s="294"/>
      <c r="I36" s="298"/>
      <c r="J36" s="298"/>
      <c r="K36" s="299"/>
    </row>
    <row r="37" spans="1:11" ht="15" thickBot="1" x14ac:dyDescent="0.35">
      <c r="A37" s="128"/>
      <c r="B37" s="129"/>
      <c r="C37" s="129"/>
      <c r="D37" s="129"/>
      <c r="E37" s="129"/>
      <c r="F37" s="129"/>
      <c r="G37" s="129"/>
      <c r="H37" s="129"/>
      <c r="I37" s="129"/>
      <c r="J37" s="129"/>
      <c r="K37" s="130"/>
    </row>
    <row r="40" spans="1:11" ht="43.2" customHeight="1" x14ac:dyDescent="0.3"/>
    <row r="41" spans="1:11" ht="15.45" customHeight="1" x14ac:dyDescent="0.3">
      <c r="A41" s="306" t="s">
        <v>66</v>
      </c>
      <c r="B41" s="306"/>
      <c r="C41" s="306"/>
      <c r="D41" s="306"/>
      <c r="E41" s="306"/>
      <c r="F41" s="306"/>
      <c r="G41" s="306"/>
      <c r="H41" s="306"/>
      <c r="I41" s="306"/>
      <c r="J41" s="306"/>
      <c r="K41" s="306"/>
    </row>
    <row r="42" spans="1:11" ht="46.5" customHeight="1" x14ac:dyDescent="0.3">
      <c r="A42" s="257" t="s">
        <v>67</v>
      </c>
      <c r="B42" s="257"/>
      <c r="C42" s="257"/>
      <c r="D42" s="257"/>
      <c r="E42" s="257"/>
      <c r="F42" s="257"/>
      <c r="G42" s="257"/>
      <c r="H42" s="257"/>
      <c r="I42" s="257"/>
      <c r="J42" s="257"/>
      <c r="K42" s="257"/>
    </row>
    <row r="43" spans="1:11" s="118" customFormat="1" ht="29.25" customHeight="1" x14ac:dyDescent="0.3">
      <c r="A43" s="198" t="s">
        <v>68</v>
      </c>
      <c r="B43" s="198" t="s">
        <v>69</v>
      </c>
      <c r="C43" s="198" t="s">
        <v>70</v>
      </c>
      <c r="D43" s="248" t="s">
        <v>71</v>
      </c>
      <c r="E43" s="248"/>
      <c r="F43" s="248" t="s">
        <v>72</v>
      </c>
      <c r="G43" s="248"/>
      <c r="H43" s="248"/>
      <c r="I43" s="248"/>
      <c r="J43" s="248"/>
      <c r="K43" s="248"/>
    </row>
    <row r="44" spans="1:11" s="118" customFormat="1" ht="22.95" customHeight="1" x14ac:dyDescent="0.3">
      <c r="A44" s="224" t="s">
        <v>73</v>
      </c>
      <c r="B44" s="193" t="s">
        <v>74</v>
      </c>
      <c r="C44" s="33" t="s">
        <v>75</v>
      </c>
      <c r="D44" s="246" t="s">
        <v>76</v>
      </c>
      <c r="E44" s="246"/>
      <c r="F44" s="247" t="s">
        <v>77</v>
      </c>
      <c r="G44" s="247"/>
      <c r="H44" s="247"/>
      <c r="I44" s="247"/>
      <c r="J44" s="247"/>
      <c r="K44" s="247"/>
    </row>
    <row r="45" spans="1:11" s="118" customFormat="1" ht="22.95" customHeight="1" x14ac:dyDescent="0.3">
      <c r="A45" s="254" t="s">
        <v>78</v>
      </c>
      <c r="B45" s="253" t="s">
        <v>79</v>
      </c>
      <c r="C45" s="192" t="s">
        <v>80</v>
      </c>
      <c r="D45" s="251" t="s">
        <v>76</v>
      </c>
      <c r="E45" s="251"/>
      <c r="F45" s="252" t="s">
        <v>81</v>
      </c>
      <c r="G45" s="252"/>
      <c r="H45" s="252"/>
      <c r="I45" s="252"/>
      <c r="J45" s="252"/>
      <c r="K45" s="252"/>
    </row>
    <row r="46" spans="1:11" s="118" customFormat="1" ht="16.2" customHeight="1" x14ac:dyDescent="0.3">
      <c r="A46" s="389"/>
      <c r="B46" s="390"/>
      <c r="C46" s="192" t="s">
        <v>80</v>
      </c>
      <c r="D46" s="251" t="s">
        <v>82</v>
      </c>
      <c r="E46" s="251"/>
      <c r="F46" s="252" t="s">
        <v>83</v>
      </c>
      <c r="G46" s="252"/>
      <c r="H46" s="252"/>
      <c r="I46" s="252"/>
      <c r="J46" s="252"/>
      <c r="K46" s="252"/>
    </row>
    <row r="47" spans="1:11" s="118" customFormat="1" ht="16.95" customHeight="1" x14ac:dyDescent="0.3">
      <c r="A47" s="249" t="s">
        <v>84</v>
      </c>
      <c r="B47" s="250" t="s">
        <v>79</v>
      </c>
      <c r="C47" s="33" t="s">
        <v>85</v>
      </c>
      <c r="D47" s="246" t="s">
        <v>86</v>
      </c>
      <c r="E47" s="246"/>
      <c r="F47" s="247" t="s">
        <v>87</v>
      </c>
      <c r="G47" s="247"/>
      <c r="H47" s="247"/>
      <c r="I47" s="247"/>
      <c r="J47" s="247"/>
      <c r="K47" s="247"/>
    </row>
    <row r="48" spans="1:11" s="118" customFormat="1" ht="16.95" customHeight="1" x14ac:dyDescent="0.3">
      <c r="A48" s="391"/>
      <c r="B48" s="392"/>
      <c r="C48" s="33" t="s">
        <v>85</v>
      </c>
      <c r="D48" s="246" t="s">
        <v>86</v>
      </c>
      <c r="E48" s="246"/>
      <c r="F48" s="247" t="s">
        <v>88</v>
      </c>
      <c r="G48" s="247"/>
      <c r="H48" s="247"/>
      <c r="I48" s="247"/>
      <c r="J48" s="247"/>
      <c r="K48" s="247"/>
    </row>
    <row r="49" spans="1:11" s="118" customFormat="1" ht="16.95" customHeight="1" x14ac:dyDescent="0.3">
      <c r="A49" s="254" t="s">
        <v>89</v>
      </c>
      <c r="B49" s="253" t="s">
        <v>79</v>
      </c>
      <c r="C49" s="192" t="s">
        <v>80</v>
      </c>
      <c r="D49" s="251" t="s">
        <v>90</v>
      </c>
      <c r="E49" s="251"/>
      <c r="F49" s="252" t="s">
        <v>91</v>
      </c>
      <c r="G49" s="252"/>
      <c r="H49" s="252"/>
      <c r="I49" s="252"/>
      <c r="J49" s="252"/>
      <c r="K49" s="252"/>
    </row>
    <row r="50" spans="1:11" s="118" customFormat="1" ht="22.95" customHeight="1" x14ac:dyDescent="0.3">
      <c r="A50" s="389"/>
      <c r="B50" s="390"/>
      <c r="C50" s="192" t="s">
        <v>85</v>
      </c>
      <c r="D50" s="251" t="s">
        <v>92</v>
      </c>
      <c r="E50" s="251"/>
      <c r="F50" s="252" t="s">
        <v>93</v>
      </c>
      <c r="G50" s="252"/>
      <c r="H50" s="252"/>
      <c r="I50" s="252"/>
      <c r="J50" s="252"/>
      <c r="K50" s="252"/>
    </row>
    <row r="51" spans="1:11" s="118" customFormat="1" ht="22.95" customHeight="1" x14ac:dyDescent="0.3">
      <c r="A51" s="389"/>
      <c r="B51" s="390"/>
      <c r="C51" s="192" t="s">
        <v>85</v>
      </c>
      <c r="D51" s="251" t="s">
        <v>82</v>
      </c>
      <c r="E51" s="251"/>
      <c r="F51" s="252" t="s">
        <v>94</v>
      </c>
      <c r="G51" s="252"/>
      <c r="H51" s="252"/>
      <c r="I51" s="252"/>
      <c r="J51" s="252"/>
      <c r="K51" s="252"/>
    </row>
    <row r="52" spans="1:11" s="118" customFormat="1" ht="22.95" customHeight="1" x14ac:dyDescent="0.3">
      <c r="A52" s="249" t="s">
        <v>95</v>
      </c>
      <c r="B52" s="250" t="s">
        <v>79</v>
      </c>
      <c r="C52" s="33" t="s">
        <v>85</v>
      </c>
      <c r="D52" s="246" t="s">
        <v>86</v>
      </c>
      <c r="E52" s="246"/>
      <c r="F52" s="247" t="s">
        <v>96</v>
      </c>
      <c r="G52" s="247"/>
      <c r="H52" s="247"/>
      <c r="I52" s="247"/>
      <c r="J52" s="247"/>
      <c r="K52" s="247"/>
    </row>
    <row r="53" spans="1:11" s="118" customFormat="1" ht="22.95" customHeight="1" x14ac:dyDescent="0.3">
      <c r="A53" s="391"/>
      <c r="B53" s="392"/>
      <c r="C53" s="33" t="s">
        <v>97</v>
      </c>
      <c r="D53" s="246" t="s">
        <v>86</v>
      </c>
      <c r="E53" s="246"/>
      <c r="F53" s="247" t="s">
        <v>98</v>
      </c>
      <c r="G53" s="247"/>
      <c r="H53" s="247"/>
      <c r="I53" s="247"/>
      <c r="J53" s="247"/>
      <c r="K53" s="247"/>
    </row>
    <row r="54" spans="1:11" s="118" customFormat="1" ht="16.95" customHeight="1" x14ac:dyDescent="0.3">
      <c r="A54" s="254" t="s">
        <v>99</v>
      </c>
      <c r="B54" s="253" t="s">
        <v>79</v>
      </c>
      <c r="C54" s="192" t="s">
        <v>80</v>
      </c>
      <c r="D54" s="251" t="s">
        <v>86</v>
      </c>
      <c r="E54" s="251"/>
      <c r="F54" s="252" t="s">
        <v>100</v>
      </c>
      <c r="G54" s="252"/>
      <c r="H54" s="252"/>
      <c r="I54" s="252"/>
      <c r="J54" s="252"/>
      <c r="K54" s="252"/>
    </row>
    <row r="55" spans="1:11" s="118" customFormat="1" ht="22.95" customHeight="1" x14ac:dyDescent="0.3">
      <c r="A55" s="254"/>
      <c r="B55" s="253"/>
      <c r="C55" s="192" t="s">
        <v>80</v>
      </c>
      <c r="D55" s="251" t="s">
        <v>86</v>
      </c>
      <c r="E55" s="251"/>
      <c r="F55" s="252" t="s">
        <v>101</v>
      </c>
      <c r="G55" s="252"/>
      <c r="H55" s="252"/>
      <c r="I55" s="252"/>
      <c r="J55" s="252"/>
      <c r="K55" s="252"/>
    </row>
    <row r="56" spans="1:11" s="118" customFormat="1" ht="22.95" customHeight="1" x14ac:dyDescent="0.3">
      <c r="A56" s="389"/>
      <c r="B56" s="390"/>
      <c r="C56" s="192" t="s">
        <v>85</v>
      </c>
      <c r="D56" s="251" t="s">
        <v>76</v>
      </c>
      <c r="E56" s="251"/>
      <c r="F56" s="252" t="s">
        <v>102</v>
      </c>
      <c r="G56" s="252"/>
      <c r="H56" s="252"/>
      <c r="I56" s="252"/>
      <c r="J56" s="252"/>
      <c r="K56" s="252"/>
    </row>
    <row r="57" spans="1:11" s="118" customFormat="1" ht="22.95" customHeight="1" x14ac:dyDescent="0.3">
      <c r="A57" s="389"/>
      <c r="B57" s="390"/>
      <c r="C57" s="192" t="s">
        <v>97</v>
      </c>
      <c r="D57" s="251" t="s">
        <v>103</v>
      </c>
      <c r="E57" s="251"/>
      <c r="F57" s="252" t="s">
        <v>104</v>
      </c>
      <c r="G57" s="252"/>
      <c r="H57" s="252"/>
      <c r="I57" s="252"/>
      <c r="J57" s="252"/>
      <c r="K57" s="252"/>
    </row>
    <row r="58" spans="1:11" s="118" customFormat="1" ht="16.95" customHeight="1" x14ac:dyDescent="0.3">
      <c r="A58" s="249" t="s">
        <v>105</v>
      </c>
      <c r="B58" s="250" t="s">
        <v>79</v>
      </c>
      <c r="C58" s="33" t="s">
        <v>80</v>
      </c>
      <c r="D58" s="246" t="s">
        <v>106</v>
      </c>
      <c r="E58" s="246"/>
      <c r="F58" s="247" t="s">
        <v>107</v>
      </c>
      <c r="G58" s="247"/>
      <c r="H58" s="247"/>
      <c r="I58" s="247"/>
      <c r="J58" s="247"/>
      <c r="K58" s="247"/>
    </row>
    <row r="59" spans="1:11" s="118" customFormat="1" ht="16.95" customHeight="1" x14ac:dyDescent="0.3">
      <c r="A59" s="391"/>
      <c r="B59" s="392"/>
      <c r="C59" s="33" t="s">
        <v>80</v>
      </c>
      <c r="D59" s="246" t="s">
        <v>108</v>
      </c>
      <c r="E59" s="246"/>
      <c r="F59" s="247" t="s">
        <v>109</v>
      </c>
      <c r="G59" s="247"/>
      <c r="H59" s="247"/>
      <c r="I59" s="247"/>
      <c r="J59" s="247"/>
      <c r="K59" s="247"/>
    </row>
    <row r="60" spans="1:11" s="118" customFormat="1" ht="16.95" customHeight="1" x14ac:dyDescent="0.3">
      <c r="A60" s="391"/>
      <c r="B60" s="392"/>
      <c r="C60" s="33" t="s">
        <v>85</v>
      </c>
      <c r="D60" s="246" t="s">
        <v>82</v>
      </c>
      <c r="E60" s="246"/>
      <c r="F60" s="247" t="s">
        <v>110</v>
      </c>
      <c r="G60" s="247"/>
      <c r="H60" s="247"/>
      <c r="I60" s="247"/>
      <c r="J60" s="247"/>
      <c r="K60" s="247"/>
    </row>
    <row r="61" spans="1:11" s="118" customFormat="1" ht="16.95" customHeight="1" x14ac:dyDescent="0.3">
      <c r="A61" s="254" t="s">
        <v>111</v>
      </c>
      <c r="B61" s="253" t="s">
        <v>79</v>
      </c>
      <c r="C61" s="192" t="s">
        <v>80</v>
      </c>
      <c r="D61" s="251" t="s">
        <v>112</v>
      </c>
      <c r="E61" s="251"/>
      <c r="F61" s="252" t="s">
        <v>113</v>
      </c>
      <c r="G61" s="252"/>
      <c r="H61" s="252"/>
      <c r="I61" s="252"/>
      <c r="J61" s="252"/>
      <c r="K61" s="252"/>
    </row>
    <row r="62" spans="1:11" s="118" customFormat="1" ht="16.95" customHeight="1" x14ac:dyDescent="0.3">
      <c r="A62" s="254"/>
      <c r="B62" s="253"/>
      <c r="C62" s="192" t="s">
        <v>85</v>
      </c>
      <c r="D62" s="251" t="s">
        <v>108</v>
      </c>
      <c r="E62" s="251"/>
      <c r="F62" s="252" t="s">
        <v>114</v>
      </c>
      <c r="G62" s="252"/>
      <c r="H62" s="252"/>
      <c r="I62" s="252"/>
      <c r="J62" s="252"/>
      <c r="K62" s="252"/>
    </row>
    <row r="63" spans="1:11" s="118" customFormat="1" ht="16.95" customHeight="1" x14ac:dyDescent="0.3">
      <c r="A63" s="249" t="s">
        <v>115</v>
      </c>
      <c r="B63" s="250" t="s">
        <v>79</v>
      </c>
      <c r="C63" s="33" t="s">
        <v>80</v>
      </c>
      <c r="D63" s="246" t="s">
        <v>86</v>
      </c>
      <c r="E63" s="246"/>
      <c r="F63" s="247" t="s">
        <v>116</v>
      </c>
      <c r="G63" s="247"/>
      <c r="H63" s="247"/>
      <c r="I63" s="247"/>
      <c r="J63" s="247"/>
      <c r="K63" s="247"/>
    </row>
    <row r="64" spans="1:11" s="118" customFormat="1" ht="16.95" customHeight="1" x14ac:dyDescent="0.3">
      <c r="A64" s="391"/>
      <c r="B64" s="391"/>
      <c r="C64" s="33" t="s">
        <v>80</v>
      </c>
      <c r="D64" s="246" t="s">
        <v>117</v>
      </c>
      <c r="E64" s="246"/>
      <c r="F64" s="247" t="s">
        <v>118</v>
      </c>
      <c r="G64" s="247"/>
      <c r="H64" s="247"/>
      <c r="I64" s="247"/>
      <c r="J64" s="247"/>
      <c r="K64" s="247"/>
    </row>
    <row r="65" spans="1:11" s="118" customFormat="1" ht="16.95" customHeight="1" x14ac:dyDescent="0.3">
      <c r="A65" s="391"/>
      <c r="B65" s="391"/>
      <c r="C65" s="33" t="s">
        <v>80</v>
      </c>
      <c r="D65" s="246" t="s">
        <v>119</v>
      </c>
      <c r="E65" s="246"/>
      <c r="F65" s="247" t="s">
        <v>120</v>
      </c>
      <c r="G65" s="247"/>
      <c r="H65" s="247"/>
      <c r="I65" s="247"/>
      <c r="J65" s="247"/>
      <c r="K65" s="247"/>
    </row>
    <row r="66" spans="1:11" s="118" customFormat="1" ht="16.95" customHeight="1" x14ac:dyDescent="0.3">
      <c r="A66" s="391"/>
      <c r="B66" s="391"/>
      <c r="C66" s="33" t="s">
        <v>80</v>
      </c>
      <c r="D66" s="246" t="s">
        <v>86</v>
      </c>
      <c r="E66" s="246"/>
      <c r="F66" s="247" t="s">
        <v>121</v>
      </c>
      <c r="G66" s="247"/>
      <c r="H66" s="247"/>
      <c r="I66" s="247"/>
      <c r="J66" s="247"/>
      <c r="K66" s="247"/>
    </row>
    <row r="67" spans="1:11" s="118" customFormat="1" ht="16.95" customHeight="1" x14ac:dyDescent="0.3">
      <c r="A67" s="391"/>
      <c r="B67" s="391"/>
      <c r="C67" s="33" t="s">
        <v>80</v>
      </c>
      <c r="D67" s="246" t="s">
        <v>86</v>
      </c>
      <c r="E67" s="246"/>
      <c r="F67" s="247" t="s">
        <v>122</v>
      </c>
      <c r="G67" s="247"/>
      <c r="H67" s="247"/>
      <c r="I67" s="247"/>
      <c r="J67" s="247"/>
      <c r="K67" s="247"/>
    </row>
    <row r="68" spans="1:11" s="118" customFormat="1" ht="16.95" customHeight="1" x14ac:dyDescent="0.3">
      <c r="A68" s="391"/>
      <c r="B68" s="391"/>
      <c r="C68" s="33" t="s">
        <v>85</v>
      </c>
      <c r="D68" s="246" t="s">
        <v>76</v>
      </c>
      <c r="E68" s="246"/>
      <c r="F68" s="247" t="s">
        <v>123</v>
      </c>
      <c r="G68" s="247"/>
      <c r="H68" s="247"/>
      <c r="I68" s="247"/>
      <c r="J68" s="247"/>
      <c r="K68" s="247"/>
    </row>
    <row r="69" spans="1:11" s="118" customFormat="1" ht="22.95" customHeight="1" x14ac:dyDescent="0.3">
      <c r="A69" s="391"/>
      <c r="B69" s="391"/>
      <c r="C69" s="33" t="s">
        <v>85</v>
      </c>
      <c r="D69" s="246" t="s">
        <v>124</v>
      </c>
      <c r="E69" s="246"/>
      <c r="F69" s="247" t="s">
        <v>125</v>
      </c>
      <c r="G69" s="247"/>
      <c r="H69" s="247"/>
      <c r="I69" s="247"/>
      <c r="J69" s="247"/>
      <c r="K69" s="247"/>
    </row>
    <row r="70" spans="1:11" s="118" customFormat="1" ht="22.95" customHeight="1" x14ac:dyDescent="0.3">
      <c r="A70" s="391"/>
      <c r="B70" s="391"/>
      <c r="C70" s="33" t="s">
        <v>85</v>
      </c>
      <c r="D70" s="246" t="s">
        <v>126</v>
      </c>
      <c r="E70" s="246"/>
      <c r="F70" s="247" t="s">
        <v>127</v>
      </c>
      <c r="G70" s="247"/>
      <c r="H70" s="247"/>
      <c r="I70" s="247"/>
      <c r="J70" s="247"/>
      <c r="K70" s="247"/>
    </row>
    <row r="71" spans="1:11" s="118" customFormat="1" ht="16.95" customHeight="1" x14ac:dyDescent="0.3">
      <c r="A71" s="391"/>
      <c r="B71" s="391"/>
      <c r="C71" s="33" t="s">
        <v>85</v>
      </c>
      <c r="D71" s="246" t="s">
        <v>128</v>
      </c>
      <c r="E71" s="246"/>
      <c r="F71" s="247" t="s">
        <v>129</v>
      </c>
      <c r="G71" s="247"/>
      <c r="H71" s="247"/>
      <c r="I71" s="247"/>
      <c r="J71" s="247"/>
      <c r="K71" s="247"/>
    </row>
    <row r="72" spans="1:11" s="118" customFormat="1" ht="22.95" customHeight="1" x14ac:dyDescent="0.3">
      <c r="A72" s="391"/>
      <c r="B72" s="391"/>
      <c r="C72" s="33" t="s">
        <v>85</v>
      </c>
      <c r="D72" s="246" t="s">
        <v>128</v>
      </c>
      <c r="E72" s="246"/>
      <c r="F72" s="247" t="s">
        <v>130</v>
      </c>
      <c r="G72" s="247"/>
      <c r="H72" s="247"/>
      <c r="I72" s="247"/>
      <c r="J72" s="247"/>
      <c r="K72" s="247"/>
    </row>
    <row r="73" spans="1:11" s="118" customFormat="1" ht="22.95" customHeight="1" x14ac:dyDescent="0.3">
      <c r="A73" s="198" t="s">
        <v>68</v>
      </c>
      <c r="B73" s="198" t="s">
        <v>69</v>
      </c>
      <c r="C73" s="198" t="s">
        <v>70</v>
      </c>
      <c r="D73" s="248" t="s">
        <v>71</v>
      </c>
      <c r="E73" s="248"/>
      <c r="F73" s="248" t="s">
        <v>72</v>
      </c>
      <c r="G73" s="248"/>
      <c r="H73" s="248"/>
      <c r="I73" s="248"/>
      <c r="J73" s="248"/>
      <c r="K73" s="248"/>
    </row>
    <row r="74" spans="1:11" s="118" customFormat="1" ht="16.95" customHeight="1" x14ac:dyDescent="0.3">
      <c r="A74" s="253">
        <v>3.9</v>
      </c>
      <c r="B74" s="253" t="s">
        <v>79</v>
      </c>
      <c r="C74" s="192" t="s">
        <v>80</v>
      </c>
      <c r="D74" s="251" t="s">
        <v>131</v>
      </c>
      <c r="E74" s="251"/>
      <c r="F74" s="252" t="s">
        <v>132</v>
      </c>
      <c r="G74" s="252"/>
      <c r="H74" s="252"/>
      <c r="I74" s="252"/>
      <c r="J74" s="252"/>
      <c r="K74" s="252"/>
    </row>
    <row r="75" spans="1:11" s="118" customFormat="1" ht="16.95" customHeight="1" x14ac:dyDescent="0.3">
      <c r="A75" s="253"/>
      <c r="B75" s="253"/>
      <c r="C75" s="192" t="s">
        <v>80</v>
      </c>
      <c r="D75" s="251" t="s">
        <v>133</v>
      </c>
      <c r="E75" s="251"/>
      <c r="F75" s="252" t="s">
        <v>134</v>
      </c>
      <c r="G75" s="252"/>
      <c r="H75" s="252"/>
      <c r="I75" s="252"/>
      <c r="J75" s="252"/>
      <c r="K75" s="252"/>
    </row>
    <row r="76" spans="1:11" s="118" customFormat="1" ht="16.95" customHeight="1" x14ac:dyDescent="0.3">
      <c r="A76" s="253"/>
      <c r="B76" s="253"/>
      <c r="C76" s="192" t="s">
        <v>80</v>
      </c>
      <c r="D76" s="251" t="s">
        <v>135</v>
      </c>
      <c r="E76" s="251"/>
      <c r="F76" s="252" t="s">
        <v>136</v>
      </c>
      <c r="G76" s="252"/>
      <c r="H76" s="252"/>
      <c r="I76" s="252"/>
      <c r="J76" s="252"/>
      <c r="K76" s="252"/>
    </row>
    <row r="77" spans="1:11" s="118" customFormat="1" ht="14.4" customHeight="1" x14ac:dyDescent="0.3">
      <c r="A77" s="253"/>
      <c r="B77" s="253"/>
      <c r="C77" s="192" t="s">
        <v>80</v>
      </c>
      <c r="D77" s="251" t="s">
        <v>137</v>
      </c>
      <c r="E77" s="251"/>
      <c r="F77" s="252" t="s">
        <v>138</v>
      </c>
      <c r="G77" s="252"/>
      <c r="H77" s="252"/>
      <c r="I77" s="252"/>
      <c r="J77" s="252"/>
      <c r="K77" s="252"/>
    </row>
    <row r="78" spans="1:11" s="118" customFormat="1" ht="16.95" customHeight="1" x14ac:dyDescent="0.3">
      <c r="A78" s="253"/>
      <c r="B78" s="253"/>
      <c r="C78" s="192" t="s">
        <v>85</v>
      </c>
      <c r="D78" s="251" t="s">
        <v>128</v>
      </c>
      <c r="E78" s="251"/>
      <c r="F78" s="252" t="s">
        <v>139</v>
      </c>
      <c r="G78" s="252"/>
      <c r="H78" s="252"/>
      <c r="I78" s="252"/>
      <c r="J78" s="252"/>
      <c r="K78" s="252"/>
    </row>
    <row r="79" spans="1:11" s="118" customFormat="1" ht="23.4" customHeight="1" x14ac:dyDescent="0.3">
      <c r="A79" s="249" t="s">
        <v>140</v>
      </c>
      <c r="B79" s="250" t="s">
        <v>74</v>
      </c>
      <c r="C79" s="33" t="s">
        <v>80</v>
      </c>
      <c r="D79" s="246" t="s">
        <v>141</v>
      </c>
      <c r="E79" s="246"/>
      <c r="F79" s="247" t="s">
        <v>142</v>
      </c>
      <c r="G79" s="247"/>
      <c r="H79" s="247"/>
      <c r="I79" s="247"/>
      <c r="J79" s="247"/>
      <c r="K79" s="247"/>
    </row>
    <row r="80" spans="1:11" s="118" customFormat="1" ht="17.399999999999999" customHeight="1" x14ac:dyDescent="0.3">
      <c r="A80" s="249"/>
      <c r="B80" s="250"/>
      <c r="C80" s="33" t="s">
        <v>80</v>
      </c>
      <c r="D80" s="246" t="s">
        <v>143</v>
      </c>
      <c r="E80" s="246"/>
      <c r="F80" s="247" t="s">
        <v>144</v>
      </c>
      <c r="G80" s="247"/>
      <c r="H80" s="247"/>
      <c r="I80" s="247"/>
      <c r="J80" s="247"/>
      <c r="K80" s="247"/>
    </row>
    <row r="81" spans="1:11" s="118" customFormat="1" ht="19.95" customHeight="1" x14ac:dyDescent="0.3">
      <c r="A81" s="249"/>
      <c r="B81" s="250"/>
      <c r="C81" s="33" t="s">
        <v>85</v>
      </c>
      <c r="D81" s="246" t="s">
        <v>117</v>
      </c>
      <c r="E81" s="246"/>
      <c r="F81" s="247" t="s">
        <v>145</v>
      </c>
      <c r="G81" s="247"/>
      <c r="H81" s="247"/>
      <c r="I81" s="247"/>
      <c r="J81" s="247"/>
      <c r="K81" s="247"/>
    </row>
    <row r="82" spans="1:11" s="118" customFormat="1" ht="21.6" customHeight="1" x14ac:dyDescent="0.3">
      <c r="A82" s="254" t="s">
        <v>146</v>
      </c>
      <c r="B82" s="253" t="s">
        <v>79</v>
      </c>
      <c r="C82" s="192" t="s">
        <v>85</v>
      </c>
      <c r="D82" s="251" t="s">
        <v>147</v>
      </c>
      <c r="E82" s="251"/>
      <c r="F82" s="252" t="s">
        <v>148</v>
      </c>
      <c r="G82" s="252"/>
      <c r="H82" s="252"/>
      <c r="I82" s="252"/>
      <c r="J82" s="252"/>
      <c r="K82" s="252"/>
    </row>
    <row r="83" spans="1:11" s="118" customFormat="1" ht="64.95" customHeight="1" x14ac:dyDescent="0.3">
      <c r="A83" s="254"/>
      <c r="B83" s="253"/>
      <c r="C83" s="192"/>
      <c r="D83" s="251" t="s">
        <v>147</v>
      </c>
      <c r="E83" s="251"/>
      <c r="F83" s="252" t="s">
        <v>149</v>
      </c>
      <c r="G83" s="252"/>
      <c r="H83" s="252"/>
      <c r="I83" s="252"/>
      <c r="J83" s="252"/>
      <c r="K83" s="252"/>
    </row>
    <row r="84" spans="1:11" s="118" customFormat="1" ht="17.399999999999999" customHeight="1" x14ac:dyDescent="0.3">
      <c r="A84" s="254"/>
      <c r="B84" s="253"/>
      <c r="C84" s="192" t="s">
        <v>85</v>
      </c>
      <c r="D84" s="251" t="s">
        <v>82</v>
      </c>
      <c r="E84" s="251"/>
      <c r="F84" s="252" t="s">
        <v>150</v>
      </c>
      <c r="G84" s="252"/>
      <c r="H84" s="252"/>
      <c r="I84" s="252"/>
      <c r="J84" s="252"/>
      <c r="K84" s="252"/>
    </row>
    <row r="85" spans="1:11" s="118" customFormat="1" ht="21.75" customHeight="1" x14ac:dyDescent="0.3">
      <c r="A85" s="227" t="s">
        <v>151</v>
      </c>
      <c r="B85" s="144" t="s">
        <v>152</v>
      </c>
      <c r="C85" s="33" t="s">
        <v>152</v>
      </c>
      <c r="D85" s="246" t="s">
        <v>153</v>
      </c>
      <c r="E85" s="246"/>
      <c r="F85" s="247" t="s">
        <v>154</v>
      </c>
      <c r="G85" s="247"/>
      <c r="H85" s="247"/>
      <c r="I85" s="247"/>
      <c r="J85" s="247"/>
      <c r="K85" s="247"/>
    </row>
    <row r="86" spans="1:11" s="118" customFormat="1" ht="17.399999999999999" customHeight="1" x14ac:dyDescent="0.3">
      <c r="A86" s="227" t="s">
        <v>155</v>
      </c>
      <c r="B86" s="144" t="s">
        <v>152</v>
      </c>
      <c r="C86" s="33" t="s">
        <v>152</v>
      </c>
      <c r="D86" s="246" t="s">
        <v>153</v>
      </c>
      <c r="E86" s="246"/>
      <c r="F86" s="247" t="s">
        <v>156</v>
      </c>
      <c r="G86" s="247"/>
      <c r="H86" s="247"/>
      <c r="I86" s="247"/>
      <c r="J86" s="247"/>
      <c r="K86" s="247"/>
    </row>
    <row r="87" spans="1:11" s="118" customFormat="1" ht="17.399999999999999" customHeight="1" x14ac:dyDescent="0.3">
      <c r="A87" s="227" t="s">
        <v>157</v>
      </c>
      <c r="B87" s="144" t="s">
        <v>158</v>
      </c>
      <c r="C87" s="33" t="s">
        <v>158</v>
      </c>
      <c r="D87" s="246" t="s">
        <v>158</v>
      </c>
      <c r="E87" s="246"/>
      <c r="F87" s="247" t="s">
        <v>159</v>
      </c>
      <c r="G87" s="247"/>
      <c r="H87" s="247"/>
      <c r="I87" s="247"/>
      <c r="J87" s="247"/>
      <c r="K87" s="247"/>
    </row>
    <row r="88" spans="1:11" s="118" customFormat="1" ht="17.399999999999999" customHeight="1" x14ac:dyDescent="0.3">
      <c r="A88" s="399" t="s">
        <v>160</v>
      </c>
      <c r="B88" s="144" t="s">
        <v>152</v>
      </c>
      <c r="C88" s="33" t="s">
        <v>152</v>
      </c>
      <c r="D88" s="246" t="s">
        <v>86</v>
      </c>
      <c r="E88" s="246"/>
      <c r="F88" s="247" t="s">
        <v>161</v>
      </c>
      <c r="G88" s="247"/>
      <c r="H88" s="247"/>
      <c r="I88" s="247"/>
      <c r="J88" s="247"/>
      <c r="K88" s="247"/>
    </row>
    <row r="89" spans="1:11" s="118" customFormat="1" ht="22.95" customHeight="1" x14ac:dyDescent="0.3">
      <c r="A89" s="400"/>
      <c r="B89" s="144" t="s">
        <v>152</v>
      </c>
      <c r="C89" s="33" t="s">
        <v>152</v>
      </c>
      <c r="D89" s="246" t="s">
        <v>86</v>
      </c>
      <c r="E89" s="246"/>
      <c r="F89" s="247" t="s">
        <v>162</v>
      </c>
      <c r="G89" s="247"/>
      <c r="H89" s="247"/>
      <c r="I89" s="247"/>
      <c r="J89" s="247"/>
      <c r="K89" s="247"/>
    </row>
    <row r="90" spans="1:11" s="118" customFormat="1" ht="17.399999999999999" customHeight="1" x14ac:dyDescent="0.3">
      <c r="A90" s="400"/>
      <c r="B90" s="144" t="s">
        <v>152</v>
      </c>
      <c r="C90" s="33" t="s">
        <v>152</v>
      </c>
      <c r="D90" s="246" t="s">
        <v>112</v>
      </c>
      <c r="E90" s="246"/>
      <c r="F90" s="247" t="s">
        <v>163</v>
      </c>
      <c r="G90" s="247"/>
      <c r="H90" s="247"/>
      <c r="I90" s="247"/>
      <c r="J90" s="247"/>
      <c r="K90" s="247"/>
    </row>
    <row r="91" spans="1:11" s="118" customFormat="1" ht="17.399999999999999" customHeight="1" x14ac:dyDescent="0.3">
      <c r="A91" s="400"/>
      <c r="B91" s="144" t="s">
        <v>152</v>
      </c>
      <c r="C91" s="33" t="s">
        <v>152</v>
      </c>
      <c r="D91" s="246" t="s">
        <v>164</v>
      </c>
      <c r="E91" s="246"/>
      <c r="F91" s="247" t="s">
        <v>165</v>
      </c>
      <c r="G91" s="247"/>
      <c r="H91" s="247"/>
      <c r="I91" s="247"/>
      <c r="J91" s="247"/>
      <c r="K91" s="247"/>
    </row>
    <row r="92" spans="1:11" s="118" customFormat="1" ht="17.399999999999999" customHeight="1" x14ac:dyDescent="0.3">
      <c r="A92" s="401"/>
      <c r="B92" s="144" t="s">
        <v>152</v>
      </c>
      <c r="C92" s="33" t="s">
        <v>152</v>
      </c>
      <c r="D92" s="246" t="s">
        <v>106</v>
      </c>
      <c r="E92" s="246"/>
      <c r="F92" s="247" t="s">
        <v>166</v>
      </c>
      <c r="G92" s="247"/>
      <c r="H92" s="247"/>
      <c r="I92" s="247"/>
      <c r="J92" s="247"/>
      <c r="K92" s="247"/>
    </row>
    <row r="93" spans="1:11" s="118" customFormat="1" ht="17.399999999999999" customHeight="1" x14ac:dyDescent="0.3">
      <c r="A93" s="227" t="s">
        <v>167</v>
      </c>
      <c r="B93" s="144" t="s">
        <v>152</v>
      </c>
      <c r="C93" s="33" t="s">
        <v>152</v>
      </c>
      <c r="D93" s="246" t="s">
        <v>168</v>
      </c>
      <c r="E93" s="246"/>
      <c r="F93" s="247" t="s">
        <v>169</v>
      </c>
      <c r="G93" s="247"/>
      <c r="H93" s="247"/>
      <c r="I93" s="247"/>
      <c r="J93" s="247"/>
      <c r="K93" s="247"/>
    </row>
    <row r="94" spans="1:11" s="118" customFormat="1" ht="17.399999999999999" customHeight="1" x14ac:dyDescent="0.3">
      <c r="A94" s="227" t="s">
        <v>170</v>
      </c>
      <c r="B94" s="144" t="s">
        <v>152</v>
      </c>
      <c r="C94" s="33" t="s">
        <v>152</v>
      </c>
      <c r="D94" s="246" t="s">
        <v>171</v>
      </c>
      <c r="E94" s="246"/>
      <c r="F94" s="247" t="s">
        <v>172</v>
      </c>
      <c r="G94" s="247"/>
      <c r="H94" s="247"/>
      <c r="I94" s="247"/>
      <c r="J94" s="247"/>
      <c r="K94" s="247"/>
    </row>
    <row r="95" spans="1:11" s="118" customFormat="1" ht="17.399999999999999" customHeight="1" x14ac:dyDescent="0.3">
      <c r="A95" s="227" t="s">
        <v>173</v>
      </c>
      <c r="B95" s="144" t="s">
        <v>152</v>
      </c>
      <c r="C95" s="33" t="s">
        <v>152</v>
      </c>
      <c r="D95" s="246" t="s">
        <v>174</v>
      </c>
      <c r="E95" s="246"/>
      <c r="F95" s="247" t="s">
        <v>175</v>
      </c>
      <c r="G95" s="247"/>
      <c r="H95" s="247"/>
      <c r="I95" s="247"/>
      <c r="J95" s="247"/>
      <c r="K95" s="247"/>
    </row>
    <row r="96" spans="1:11" s="118" customFormat="1" ht="17.399999999999999" customHeight="1" x14ac:dyDescent="0.3">
      <c r="A96" s="399" t="s">
        <v>176</v>
      </c>
      <c r="B96" s="144" t="s">
        <v>177</v>
      </c>
      <c r="C96" s="33" t="s">
        <v>152</v>
      </c>
      <c r="D96" s="246" t="s">
        <v>178</v>
      </c>
      <c r="E96" s="246"/>
      <c r="F96" s="247" t="s">
        <v>179</v>
      </c>
      <c r="G96" s="247"/>
      <c r="H96" s="247"/>
      <c r="I96" s="247"/>
      <c r="J96" s="247"/>
      <c r="K96" s="247"/>
    </row>
    <row r="97" spans="1:11" s="118" customFormat="1" ht="17.399999999999999" customHeight="1" x14ac:dyDescent="0.3">
      <c r="A97" s="400"/>
      <c r="B97" s="144" t="s">
        <v>152</v>
      </c>
      <c r="C97" s="33" t="s">
        <v>152</v>
      </c>
      <c r="D97" s="246" t="s">
        <v>180</v>
      </c>
      <c r="E97" s="246"/>
      <c r="F97" s="247" t="s">
        <v>181</v>
      </c>
      <c r="G97" s="247"/>
      <c r="H97" s="247"/>
      <c r="I97" s="247"/>
      <c r="J97" s="247"/>
      <c r="K97" s="247"/>
    </row>
    <row r="98" spans="1:11" s="118" customFormat="1" ht="17.399999999999999" customHeight="1" x14ac:dyDescent="0.3">
      <c r="A98" s="400"/>
      <c r="B98" s="144" t="s">
        <v>152</v>
      </c>
      <c r="C98" s="33" t="s">
        <v>152</v>
      </c>
      <c r="D98" s="246" t="s">
        <v>180</v>
      </c>
      <c r="E98" s="246"/>
      <c r="F98" s="247" t="s">
        <v>182</v>
      </c>
      <c r="G98" s="247"/>
      <c r="H98" s="247"/>
      <c r="I98" s="247"/>
      <c r="J98" s="247"/>
      <c r="K98" s="247"/>
    </row>
    <row r="99" spans="1:11" s="118" customFormat="1" ht="17.399999999999999" customHeight="1" x14ac:dyDescent="0.3">
      <c r="A99" s="400"/>
      <c r="B99" s="144" t="s">
        <v>152</v>
      </c>
      <c r="C99" s="33" t="s">
        <v>152</v>
      </c>
      <c r="D99" s="246" t="s">
        <v>108</v>
      </c>
      <c r="E99" s="246"/>
      <c r="F99" s="247" t="s">
        <v>183</v>
      </c>
      <c r="G99" s="247"/>
      <c r="H99" s="247"/>
      <c r="I99" s="247"/>
      <c r="J99" s="247"/>
      <c r="K99" s="247"/>
    </row>
    <row r="100" spans="1:11" s="118" customFormat="1" ht="17.399999999999999" customHeight="1" x14ac:dyDescent="0.3">
      <c r="A100" s="400"/>
      <c r="B100" s="144" t="s">
        <v>152</v>
      </c>
      <c r="C100" s="33" t="s">
        <v>152</v>
      </c>
      <c r="D100" s="246" t="s">
        <v>106</v>
      </c>
      <c r="E100" s="246"/>
      <c r="F100" s="247" t="s">
        <v>184</v>
      </c>
      <c r="G100" s="247"/>
      <c r="H100" s="247"/>
      <c r="I100" s="247"/>
      <c r="J100" s="247"/>
      <c r="K100" s="247"/>
    </row>
    <row r="101" spans="1:11" s="118" customFormat="1" ht="17.399999999999999" customHeight="1" x14ac:dyDescent="0.3">
      <c r="A101" s="401"/>
      <c r="B101" s="226" t="s">
        <v>152</v>
      </c>
      <c r="C101" s="33" t="s">
        <v>152</v>
      </c>
      <c r="D101" s="246" t="s">
        <v>185</v>
      </c>
      <c r="E101" s="246"/>
      <c r="F101" s="247" t="s">
        <v>186</v>
      </c>
      <c r="G101" s="247"/>
      <c r="H101" s="247"/>
      <c r="I101" s="247"/>
      <c r="J101" s="247"/>
      <c r="K101" s="247"/>
    </row>
    <row r="102" spans="1:11" s="118" customFormat="1" ht="17.399999999999999" customHeight="1" x14ac:dyDescent="0.3">
      <c r="A102" s="225" t="s">
        <v>187</v>
      </c>
      <c r="B102" s="226" t="s">
        <v>188</v>
      </c>
      <c r="C102" s="33" t="s">
        <v>152</v>
      </c>
      <c r="D102" s="246" t="s">
        <v>189</v>
      </c>
      <c r="E102" s="246"/>
      <c r="F102" s="247" t="s">
        <v>190</v>
      </c>
      <c r="G102" s="247"/>
      <c r="H102" s="247"/>
      <c r="I102" s="247"/>
      <c r="J102" s="247"/>
      <c r="K102" s="247"/>
    </row>
    <row r="103" spans="1:11" s="118" customFormat="1" ht="17.399999999999999" customHeight="1" x14ac:dyDescent="0.3">
      <c r="A103" s="225" t="s">
        <v>191</v>
      </c>
      <c r="B103" s="226" t="s">
        <v>188</v>
      </c>
      <c r="C103" s="33" t="s">
        <v>152</v>
      </c>
      <c r="D103" s="246" t="s">
        <v>192</v>
      </c>
      <c r="E103" s="246"/>
      <c r="F103" s="247" t="s">
        <v>193</v>
      </c>
      <c r="G103" s="247"/>
      <c r="H103" s="247"/>
      <c r="I103" s="247"/>
      <c r="J103" s="247"/>
      <c r="K103" s="247"/>
    </row>
    <row r="104" spans="1:11" s="118" customFormat="1" ht="17.399999999999999" customHeight="1" x14ac:dyDescent="0.3">
      <c r="A104" s="225" t="s">
        <v>194</v>
      </c>
      <c r="B104" s="226" t="s">
        <v>188</v>
      </c>
      <c r="C104" s="33" t="s">
        <v>152</v>
      </c>
      <c r="D104" s="246" t="s">
        <v>192</v>
      </c>
      <c r="E104" s="246"/>
      <c r="F104" s="247" t="s">
        <v>195</v>
      </c>
      <c r="G104" s="247"/>
      <c r="H104" s="247"/>
      <c r="I104" s="247"/>
      <c r="J104" s="247"/>
      <c r="K104" s="247"/>
    </row>
    <row r="105" spans="1:11" s="118" customFormat="1" ht="17.399999999999999" customHeight="1" x14ac:dyDescent="0.3">
      <c r="A105" s="225"/>
      <c r="B105" s="226"/>
      <c r="C105" s="33"/>
      <c r="D105" s="246"/>
      <c r="E105" s="246"/>
      <c r="F105" s="247"/>
      <c r="G105" s="247"/>
      <c r="H105" s="247"/>
      <c r="I105" s="247"/>
      <c r="J105" s="247"/>
      <c r="K105" s="247"/>
    </row>
    <row r="106" spans="1:11" ht="15.45" customHeight="1" thickBot="1" x14ac:dyDescent="0.35">
      <c r="A106" s="306" t="s">
        <v>196</v>
      </c>
      <c r="B106" s="306"/>
      <c r="C106" s="306"/>
      <c r="D106" s="306"/>
      <c r="E106" s="306"/>
      <c r="F106" s="306"/>
      <c r="G106" s="306"/>
      <c r="H106" s="306"/>
      <c r="I106" s="306"/>
      <c r="J106" s="306"/>
      <c r="K106" s="306"/>
    </row>
    <row r="107" spans="1:11" ht="14.4" customHeight="1" x14ac:dyDescent="0.3">
      <c r="A107" s="217" t="s">
        <v>197</v>
      </c>
      <c r="B107" s="307" t="s">
        <v>198</v>
      </c>
      <c r="C107" s="309"/>
      <c r="D107" s="307" t="s">
        <v>199</v>
      </c>
      <c r="E107" s="308"/>
      <c r="F107" s="308"/>
      <c r="G107" s="308"/>
      <c r="H107" s="309"/>
      <c r="I107" s="218" t="s">
        <v>200</v>
      </c>
      <c r="J107" s="218" t="s">
        <v>201</v>
      </c>
      <c r="K107" s="219" t="s">
        <v>202</v>
      </c>
    </row>
    <row r="108" spans="1:11" ht="28.95" customHeight="1" x14ac:dyDescent="0.3">
      <c r="A108" s="220">
        <v>0</v>
      </c>
      <c r="B108" s="271" t="s">
        <v>203</v>
      </c>
      <c r="C108" s="273"/>
      <c r="D108" s="271" t="s">
        <v>75</v>
      </c>
      <c r="E108" s="272"/>
      <c r="F108" s="272"/>
      <c r="G108" s="272"/>
      <c r="H108" s="273"/>
      <c r="I108" s="37" t="s">
        <v>35</v>
      </c>
      <c r="J108" s="37" t="str">
        <f>E27</f>
        <v>mcrouch7</v>
      </c>
      <c r="K108" s="240">
        <f>G23</f>
        <v>0</v>
      </c>
    </row>
    <row r="109" spans="1:11" ht="58.2" customHeight="1" x14ac:dyDescent="0.3">
      <c r="A109" s="220">
        <v>1</v>
      </c>
      <c r="B109" s="271" t="s">
        <v>204</v>
      </c>
      <c r="C109" s="273"/>
      <c r="D109" s="303" t="s">
        <v>205</v>
      </c>
      <c r="E109" s="746"/>
      <c r="F109" s="746"/>
      <c r="G109" s="746"/>
      <c r="H109" s="747"/>
      <c r="I109" s="37"/>
      <c r="J109" s="37"/>
      <c r="K109" s="240"/>
    </row>
    <row r="110" spans="1:11" ht="58.2" customHeight="1" x14ac:dyDescent="0.3">
      <c r="A110" s="220">
        <v>2</v>
      </c>
      <c r="B110" s="271" t="s">
        <v>347</v>
      </c>
      <c r="C110" s="273"/>
      <c r="D110" s="303" t="s">
        <v>1713</v>
      </c>
      <c r="E110" s="304"/>
      <c r="F110" s="304"/>
      <c r="G110" s="304"/>
      <c r="H110" s="305"/>
      <c r="I110" s="37"/>
      <c r="J110" s="37"/>
      <c r="K110" s="221"/>
    </row>
    <row r="111" spans="1:11" ht="58.2" customHeight="1" x14ac:dyDescent="0.3">
      <c r="A111" s="220"/>
      <c r="B111" s="271"/>
      <c r="C111" s="273"/>
      <c r="D111" s="271"/>
      <c r="E111" s="272"/>
      <c r="F111" s="272"/>
      <c r="G111" s="272"/>
      <c r="H111" s="273"/>
      <c r="I111" s="37"/>
      <c r="J111" s="37"/>
      <c r="K111" s="221"/>
    </row>
    <row r="112" spans="1:11" ht="58.2" customHeight="1" x14ac:dyDescent="0.3">
      <c r="A112" s="220"/>
      <c r="B112" s="271"/>
      <c r="C112" s="273"/>
      <c r="D112" s="271"/>
      <c r="E112" s="272"/>
      <c r="F112" s="272"/>
      <c r="G112" s="272"/>
      <c r="H112" s="273"/>
      <c r="I112" s="37"/>
      <c r="J112" s="37"/>
      <c r="K112" s="221"/>
    </row>
    <row r="113" spans="1:11" ht="58.2" customHeight="1" x14ac:dyDescent="0.3">
      <c r="A113" s="220"/>
      <c r="B113" s="271"/>
      <c r="C113" s="273"/>
      <c r="D113" s="271"/>
      <c r="E113" s="272"/>
      <c r="F113" s="272"/>
      <c r="G113" s="272"/>
      <c r="H113" s="273"/>
      <c r="I113" s="37"/>
      <c r="J113" s="37"/>
      <c r="K113" s="221"/>
    </row>
    <row r="114" spans="1:11" ht="58.2" customHeight="1" x14ac:dyDescent="0.3">
      <c r="A114" s="220"/>
      <c r="B114" s="271"/>
      <c r="C114" s="273"/>
      <c r="D114" s="271"/>
      <c r="E114" s="272"/>
      <c r="F114" s="272"/>
      <c r="G114" s="272"/>
      <c r="H114" s="273"/>
      <c r="I114" s="37"/>
      <c r="J114" s="37"/>
      <c r="K114" s="221"/>
    </row>
    <row r="115" spans="1:11" ht="58.2" customHeight="1" x14ac:dyDescent="0.3">
      <c r="A115" s="220"/>
      <c r="B115" s="271"/>
      <c r="C115" s="273"/>
      <c r="D115" s="271"/>
      <c r="E115" s="272"/>
      <c r="F115" s="272"/>
      <c r="G115" s="272"/>
      <c r="H115" s="273"/>
      <c r="I115" s="37"/>
      <c r="J115" s="37"/>
      <c r="K115" s="221"/>
    </row>
    <row r="116" spans="1:11" ht="58.2" customHeight="1" x14ac:dyDescent="0.3">
      <c r="A116" s="220"/>
      <c r="B116" s="271"/>
      <c r="C116" s="273"/>
      <c r="D116" s="271"/>
      <c r="E116" s="272"/>
      <c r="F116" s="272"/>
      <c r="G116" s="272"/>
      <c r="H116" s="273"/>
      <c r="I116" s="37"/>
      <c r="J116" s="37"/>
      <c r="K116" s="221"/>
    </row>
    <row r="117" spans="1:11" ht="58.2" customHeight="1" x14ac:dyDescent="0.3">
      <c r="A117" s="220"/>
      <c r="B117" s="271"/>
      <c r="C117" s="273"/>
      <c r="D117" s="271"/>
      <c r="E117" s="272"/>
      <c r="F117" s="272"/>
      <c r="G117" s="272"/>
      <c r="H117" s="273"/>
      <c r="I117" s="37"/>
      <c r="J117" s="37"/>
      <c r="K117" s="221"/>
    </row>
    <row r="118" spans="1:11" ht="58.2" customHeight="1" x14ac:dyDescent="0.3">
      <c r="A118" s="220"/>
      <c r="B118" s="271"/>
      <c r="C118" s="273"/>
      <c r="D118" s="271"/>
      <c r="E118" s="272"/>
      <c r="F118" s="272"/>
      <c r="G118" s="272"/>
      <c r="H118" s="273"/>
      <c r="I118" s="37"/>
      <c r="J118" s="37"/>
      <c r="K118" s="221"/>
    </row>
    <row r="119" spans="1:11" x14ac:dyDescent="0.3">
      <c r="A119" s="89"/>
      <c r="B119" s="89"/>
      <c r="C119" s="89"/>
      <c r="D119" s="89"/>
      <c r="E119" s="89"/>
      <c r="F119" s="89"/>
      <c r="G119" s="89"/>
      <c r="H119" s="89"/>
      <c r="I119" s="89"/>
      <c r="J119" s="89"/>
      <c r="K119" s="89"/>
    </row>
    <row r="120" spans="1:11" ht="15.45" customHeight="1" x14ac:dyDescent="0.3">
      <c r="A120" s="306" t="s">
        <v>206</v>
      </c>
      <c r="B120" s="306"/>
      <c r="C120" s="306"/>
      <c r="D120" s="306"/>
      <c r="E120" s="306"/>
      <c r="F120" s="306"/>
      <c r="G120" s="306"/>
      <c r="H120" s="306"/>
      <c r="I120" s="306"/>
      <c r="J120" s="306"/>
      <c r="K120" s="306"/>
    </row>
    <row r="121" spans="1:11" ht="30" customHeight="1" x14ac:dyDescent="0.3">
      <c r="A121" s="361" t="s">
        <v>207</v>
      </c>
      <c r="B121" s="361"/>
      <c r="C121" s="361"/>
      <c r="D121" s="361"/>
      <c r="E121" s="361"/>
      <c r="F121" s="361"/>
      <c r="G121" s="361"/>
      <c r="H121" s="361"/>
      <c r="I121" s="361"/>
      <c r="J121" s="361"/>
      <c r="K121" s="361"/>
    </row>
    <row r="122" spans="1:11" x14ac:dyDescent="0.3">
      <c r="A122" s="358" t="s">
        <v>137</v>
      </c>
      <c r="B122" s="359"/>
      <c r="C122" s="359"/>
      <c r="D122" s="336"/>
      <c r="E122" s="358" t="s">
        <v>208</v>
      </c>
      <c r="F122" s="359"/>
      <c r="G122" s="359"/>
      <c r="H122" s="359"/>
      <c r="I122" s="359"/>
      <c r="J122" s="359"/>
      <c r="K122" s="336"/>
    </row>
    <row r="123" spans="1:11" s="31" customFormat="1" ht="22.2" customHeight="1" x14ac:dyDescent="0.3">
      <c r="A123" s="320" t="s">
        <v>209</v>
      </c>
      <c r="B123" s="321"/>
      <c r="C123" s="321"/>
      <c r="D123" s="322"/>
      <c r="E123" s="279" t="s">
        <v>210</v>
      </c>
      <c r="F123" s="280"/>
      <c r="G123" s="280"/>
      <c r="H123" s="280"/>
      <c r="I123" s="280"/>
      <c r="J123" s="280"/>
      <c r="K123" s="323"/>
    </row>
    <row r="124" spans="1:11" s="31" customFormat="1" ht="22.2" customHeight="1" x14ac:dyDescent="0.3">
      <c r="A124" s="320" t="s">
        <v>211</v>
      </c>
      <c r="B124" s="321"/>
      <c r="C124" s="321"/>
      <c r="D124" s="322"/>
      <c r="E124" s="279" t="s">
        <v>212</v>
      </c>
      <c r="F124" s="280"/>
      <c r="G124" s="280"/>
      <c r="H124" s="280"/>
      <c r="I124" s="280"/>
      <c r="J124" s="280"/>
      <c r="K124" s="323"/>
    </row>
    <row r="125" spans="1:11" s="31" customFormat="1" ht="22.2" customHeight="1" x14ac:dyDescent="0.3">
      <c r="A125" s="320" t="s">
        <v>213</v>
      </c>
      <c r="B125" s="321"/>
      <c r="C125" s="321"/>
      <c r="D125" s="322"/>
      <c r="E125" s="279" t="s">
        <v>212</v>
      </c>
      <c r="F125" s="280"/>
      <c r="G125" s="280"/>
      <c r="H125" s="280"/>
      <c r="I125" s="280"/>
      <c r="J125" s="280"/>
      <c r="K125" s="323"/>
    </row>
    <row r="126" spans="1:11" s="31" customFormat="1" ht="22.2" customHeight="1" x14ac:dyDescent="0.3">
      <c r="A126" s="320" t="s">
        <v>214</v>
      </c>
      <c r="B126" s="321"/>
      <c r="C126" s="321"/>
      <c r="D126" s="322"/>
      <c r="E126" s="279" t="s">
        <v>215</v>
      </c>
      <c r="F126" s="280"/>
      <c r="G126" s="280"/>
      <c r="H126" s="280"/>
      <c r="I126" s="280"/>
      <c r="J126" s="280"/>
      <c r="K126" s="323"/>
    </row>
    <row r="127" spans="1:11" s="31" customFormat="1" ht="22.2" customHeight="1" x14ac:dyDescent="0.3">
      <c r="A127" s="320" t="s">
        <v>216</v>
      </c>
      <c r="B127" s="321"/>
      <c r="C127" s="321"/>
      <c r="D127" s="322"/>
      <c r="E127" s="279" t="s">
        <v>217</v>
      </c>
      <c r="F127" s="280"/>
      <c r="G127" s="280"/>
      <c r="H127" s="280"/>
      <c r="I127" s="280"/>
      <c r="J127" s="280"/>
      <c r="K127" s="323"/>
    </row>
    <row r="128" spans="1:11" ht="6" customHeight="1" x14ac:dyDescent="0.3"/>
    <row r="129" spans="1:11" ht="15.6" x14ac:dyDescent="0.3">
      <c r="A129" s="306" t="s">
        <v>218</v>
      </c>
      <c r="B129" s="306"/>
      <c r="C129" s="306"/>
      <c r="D129" s="306"/>
      <c r="E129" s="306"/>
      <c r="F129" s="306"/>
      <c r="G129" s="306"/>
      <c r="H129" s="306"/>
      <c r="I129" s="306"/>
      <c r="J129" s="306"/>
      <c r="K129" s="306"/>
    </row>
    <row r="130" spans="1:11" ht="89.4" customHeight="1" x14ac:dyDescent="0.3">
      <c r="A130" s="257" t="s">
        <v>219</v>
      </c>
      <c r="B130" s="257"/>
      <c r="C130" s="257"/>
      <c r="D130" s="257"/>
      <c r="E130" s="257"/>
      <c r="F130" s="257"/>
      <c r="G130" s="257"/>
      <c r="H130" s="257"/>
      <c r="I130" s="257"/>
      <c r="J130" s="257"/>
      <c r="K130" s="257"/>
    </row>
    <row r="131" spans="1:11" ht="97.2" customHeight="1" x14ac:dyDescent="0.3">
      <c r="A131" s="393" t="s">
        <v>220</v>
      </c>
      <c r="B131" s="393"/>
      <c r="C131" s="393"/>
      <c r="D131" s="393"/>
      <c r="E131" s="393"/>
      <c r="F131" s="393"/>
      <c r="G131" s="393"/>
      <c r="H131" s="393"/>
      <c r="I131" s="393"/>
      <c r="J131" s="393"/>
      <c r="K131" s="393"/>
    </row>
    <row r="132" spans="1:11" ht="3.6" customHeight="1" x14ac:dyDescent="0.3">
      <c r="A132" s="317"/>
      <c r="B132" s="318"/>
      <c r="C132" s="318"/>
      <c r="D132" s="318"/>
      <c r="E132" s="318"/>
      <c r="F132" s="318"/>
      <c r="G132" s="318"/>
      <c r="H132" s="318"/>
      <c r="I132" s="318"/>
      <c r="J132" s="318"/>
      <c r="K132" s="319"/>
    </row>
    <row r="133" spans="1:11" x14ac:dyDescent="0.3">
      <c r="A133" s="362" t="s">
        <v>221</v>
      </c>
      <c r="B133" s="363"/>
      <c r="C133" s="363"/>
      <c r="D133" s="363"/>
      <c r="E133" s="363"/>
      <c r="F133" s="363"/>
      <c r="G133" s="363"/>
      <c r="H133" s="363"/>
      <c r="I133" s="363"/>
      <c r="J133" s="363"/>
      <c r="K133" s="364"/>
    </row>
    <row r="134" spans="1:11" x14ac:dyDescent="0.3">
      <c r="A134" s="355" t="s">
        <v>137</v>
      </c>
      <c r="B134" s="356"/>
      <c r="C134" s="356"/>
      <c r="D134" s="357"/>
      <c r="E134" s="312" t="str">
        <f>I8</f>
        <v>Make to Print</v>
      </c>
      <c r="F134" s="360"/>
      <c r="G134" s="360"/>
      <c r="H134" s="360"/>
      <c r="I134" s="360"/>
      <c r="J134" s="360"/>
      <c r="K134" s="313"/>
    </row>
    <row r="135" spans="1:11" x14ac:dyDescent="0.3">
      <c r="A135" s="358" t="s">
        <v>222</v>
      </c>
      <c r="B135" s="336"/>
      <c r="C135" s="358" t="s">
        <v>223</v>
      </c>
      <c r="D135" s="336"/>
      <c r="E135" s="358" t="s">
        <v>224</v>
      </c>
      <c r="F135" s="359"/>
      <c r="G135" s="359"/>
      <c r="H135" s="359"/>
      <c r="I135" s="359"/>
      <c r="J135" s="359"/>
      <c r="K135" s="336"/>
    </row>
    <row r="136" spans="1:11" ht="22.2" customHeight="1" x14ac:dyDescent="0.3">
      <c r="A136" s="310" t="s">
        <v>225</v>
      </c>
      <c r="B136" s="311"/>
      <c r="C136" s="312" t="str">
        <f>IF($I$8="Assembly or Component Provider",DATA_NEW!E11,IF($I$8="Consultancy Component Provider",DATA_NEW!F11,IF($I$8="Make to Print",DATA_NEW!G11,IF($I$8="Engineering Service Provider",DATA_NEW!C11,IF($I$8="Full System Provider",DATA_NEW!D11,IF($I$8="Early Supplier Involvement",DATA_NEW!B11,IF($I$8="ESP_DOOR TRIM",DATA_NEW!H11,"")))))))</f>
        <v>MANDATORY</v>
      </c>
      <c r="D136" s="313"/>
      <c r="E136" s="314" t="s">
        <v>226</v>
      </c>
      <c r="F136" s="315"/>
      <c r="G136" s="315"/>
      <c r="H136" s="315"/>
      <c r="I136" s="315"/>
      <c r="J136" s="315"/>
      <c r="K136" s="316"/>
    </row>
    <row r="137" spans="1:11" ht="22.2" customHeight="1" x14ac:dyDescent="0.3">
      <c r="A137" s="310" t="s">
        <v>227</v>
      </c>
      <c r="B137" s="311"/>
      <c r="C137" s="312" t="str">
        <f>IF($I$8="Assembly or Component Provider",DATA_NEW!E12,IF($I$8="Consultancy Component Provider",DATA_NEW!F12,IF($I$8="Make to Print",DATA_NEW!G12,IF($I$8="Engineering Service Provider",DATA_NEW!C12,IF($I$8="Full System Provider",DATA_NEW!D12,IF($I$8="Early Supplier Involvement",DATA_NEW!B12,IF($I$8="ESP_DOOR TRIM",DATA_NEW!H12,"")))))))</f>
        <v>MANDATORY</v>
      </c>
      <c r="D137" s="313"/>
      <c r="E137" s="314" t="s">
        <v>228</v>
      </c>
      <c r="F137" s="315"/>
      <c r="G137" s="315"/>
      <c r="H137" s="315"/>
      <c r="I137" s="315"/>
      <c r="J137" s="315"/>
      <c r="K137" s="316"/>
    </row>
    <row r="138" spans="1:11" ht="22.2" customHeight="1" x14ac:dyDescent="0.3">
      <c r="A138" s="310" t="s">
        <v>229</v>
      </c>
      <c r="B138" s="311"/>
      <c r="C138" s="312" t="str">
        <f>IF($I$8="Assembly or Component Provider",DATA_NEW!E13,IF($I$8="Consultancy Component Provider",DATA_NEW!F13,IF($I$8="Make to Print",DATA_NEW!G13,IF($I$8="Engineering Service Provider",DATA_NEW!C13,IF($I$8="Full System Provider",DATA_NEW!D13,IF($I$8="Early Supplier Involvement",DATA_NEW!B13,IF($I$8="ESP_DOOR TRIM",DATA_NEW!H13,"")))))))</f>
        <v>MANDATORY</v>
      </c>
      <c r="D138" s="313"/>
      <c r="E138" s="314" t="s">
        <v>230</v>
      </c>
      <c r="F138" s="315"/>
      <c r="G138" s="315"/>
      <c r="H138" s="315"/>
      <c r="I138" s="315"/>
      <c r="J138" s="315"/>
      <c r="K138" s="316"/>
    </row>
    <row r="139" spans="1:11" ht="22.2" customHeight="1" x14ac:dyDescent="0.3">
      <c r="A139" s="310" t="s">
        <v>231</v>
      </c>
      <c r="B139" s="311"/>
      <c r="C139" s="312" t="str">
        <f>IF($I$8="Assembly or Component Provider",DATA_NEW!E14,IF($I$8="Consultancy Component Provider",DATA_NEW!F14,IF($I$8="Make to Print",DATA_NEW!G14,IF($I$8="Engineering Service Provider",DATA_NEW!C14,IF($I$8="Full System Provider",DATA_NEW!D14,IF($I$8="Early Supplier Involvement",DATA_NEW!B14,IF($I$8="ESP_DOOR TRIM",DATA_NEW!H14,"")))))))</f>
        <v>MANDATORY</v>
      </c>
      <c r="D139" s="313"/>
      <c r="E139" s="314" t="s">
        <v>232</v>
      </c>
      <c r="F139" s="315"/>
      <c r="G139" s="315"/>
      <c r="H139" s="315"/>
      <c r="I139" s="315"/>
      <c r="J139" s="315"/>
      <c r="K139" s="316"/>
    </row>
    <row r="140" spans="1:11" ht="22.2" customHeight="1" x14ac:dyDescent="0.3">
      <c r="A140" s="310" t="s">
        <v>233</v>
      </c>
      <c r="B140" s="311"/>
      <c r="C140" s="312" t="str">
        <f>IF($I$8="Assembly or Component Provider",DATA_NEW!E15,IF($I$8="Consultancy Component Provider",DATA_NEW!F15,IF($I$8="Make to Print",DATA_NEW!G15,IF($I$8="Engineering Service Provider",DATA_NEW!C15,IF($I$8="Full System Provider",DATA_NEW!D15,IF($I$8="Early Supplier Involvement",DATA_NEW!B15,IF($I$8="ESP_DOOR TRIM",DATA_NEW!H15,"")))))))</f>
        <v>MANDATORY</v>
      </c>
      <c r="D140" s="313"/>
      <c r="E140" s="314" t="s">
        <v>234</v>
      </c>
      <c r="F140" s="315"/>
      <c r="G140" s="315"/>
      <c r="H140" s="315"/>
      <c r="I140" s="315"/>
      <c r="J140" s="315"/>
      <c r="K140" s="316"/>
    </row>
    <row r="141" spans="1:11" ht="22.2" customHeight="1" x14ac:dyDescent="0.3">
      <c r="A141" s="310" t="s">
        <v>235</v>
      </c>
      <c r="B141" s="311"/>
      <c r="C141" s="312" t="str">
        <f>IF($I$8="Assembly or Component Provider",DATA_NEW!E16,IF($I$8="Consultancy Component Provider",DATA_NEW!F16,IF($I$8="Make to Print",DATA_NEW!G16,IF($I$8="Engineering Service Provider",DATA_NEW!C16,IF($I$8="Full System Provider",DATA_NEW!D16,IF($I$8="Early Supplier Involvement",DATA_NEW!B16,IF($I$8="ESP_DOOR TRIM",DATA_NEW!H16,"")))))))</f>
        <v>NOT APPLIC.</v>
      </c>
      <c r="D141" s="313"/>
      <c r="E141" s="314" t="s">
        <v>236</v>
      </c>
      <c r="F141" s="315"/>
      <c r="G141" s="315"/>
      <c r="H141" s="315"/>
      <c r="I141" s="315"/>
      <c r="J141" s="315"/>
      <c r="K141" s="316"/>
    </row>
    <row r="142" spans="1:11" ht="22.2" customHeight="1" x14ac:dyDescent="0.3">
      <c r="A142" s="310" t="s">
        <v>237</v>
      </c>
      <c r="B142" s="311"/>
      <c r="C142" s="312" t="str">
        <f>IF($I$8="Assembly or Component Provider",DATA_NEW!E17,IF($I$8="Consultancy Component Provider",DATA_NEW!F17,IF($I$8="Make to Print",DATA_NEW!G17,IF($I$8="Engineering Service Provider",DATA_NEW!C17,IF($I$8="Full System Provider",DATA_NEW!D17,IF($I$8="Early Supplier Involvement",DATA_NEW!B17,IF($I$8="ESP_DOOR TRIM",DATA_NEW!H17,"")))))))</f>
        <v>MANDATORY</v>
      </c>
      <c r="D142" s="313"/>
      <c r="E142" s="314" t="s">
        <v>238</v>
      </c>
      <c r="F142" s="315"/>
      <c r="G142" s="315"/>
      <c r="H142" s="315"/>
      <c r="I142" s="315"/>
      <c r="J142" s="315"/>
      <c r="K142" s="316"/>
    </row>
    <row r="143" spans="1:11" ht="22.2" customHeight="1" x14ac:dyDescent="0.3">
      <c r="A143" s="310" t="s">
        <v>239</v>
      </c>
      <c r="B143" s="311"/>
      <c r="C143" s="312" t="str">
        <f>IF($I$8="Assembly or Component Provider",DATA_NEW!E18,IF($I$8="Consultancy Component Provider",DATA_NEW!F18,IF($I$8="Make to Print",DATA_NEW!G18,IF($I$8="Engineering Service Provider",DATA_NEW!C18,IF($I$8="Full System Provider",DATA_NEW!D18,IF($I$8="Early Supplier Involvement",DATA_NEW!B18,IF($I$8="ESP_DOOR TRIM",DATA_NEW!H18,"")))))))</f>
        <v>MANDATORY</v>
      </c>
      <c r="D143" s="313"/>
      <c r="E143" s="314" t="s">
        <v>240</v>
      </c>
      <c r="F143" s="315"/>
      <c r="G143" s="315"/>
      <c r="H143" s="315"/>
      <c r="I143" s="315"/>
      <c r="J143" s="315"/>
      <c r="K143" s="316"/>
    </row>
    <row r="144" spans="1:11" ht="36.75" customHeight="1" x14ac:dyDescent="0.3">
      <c r="A144" s="405" t="s">
        <v>241</v>
      </c>
      <c r="B144" s="406"/>
      <c r="C144" s="370"/>
      <c r="D144" s="371"/>
      <c r="E144" s="372" t="s">
        <v>242</v>
      </c>
      <c r="F144" s="373"/>
      <c r="G144" s="373"/>
      <c r="H144" s="373"/>
      <c r="I144" s="373"/>
      <c r="J144" s="373"/>
      <c r="K144" s="374"/>
    </row>
    <row r="145" spans="1:11" ht="36.75" customHeight="1" x14ac:dyDescent="0.3">
      <c r="A145" s="375" t="s">
        <v>243</v>
      </c>
      <c r="B145" s="376"/>
      <c r="C145" s="368"/>
      <c r="D145" s="369"/>
      <c r="E145" s="377" t="s">
        <v>244</v>
      </c>
      <c r="F145" s="378"/>
      <c r="G145" s="378"/>
      <c r="H145" s="378"/>
      <c r="I145" s="378"/>
      <c r="J145" s="378"/>
      <c r="K145" s="379"/>
    </row>
    <row r="146" spans="1:11" ht="18.600000000000001" customHeight="1" x14ac:dyDescent="0.3">
      <c r="A146" s="380" t="s">
        <v>245</v>
      </c>
      <c r="B146" s="381"/>
      <c r="C146" s="381"/>
      <c r="D146" s="381"/>
      <c r="E146" s="381"/>
      <c r="F146" s="381"/>
      <c r="G146" s="381"/>
      <c r="H146" s="381"/>
      <c r="I146" s="381"/>
      <c r="J146" s="381"/>
      <c r="K146" s="382"/>
    </row>
    <row r="147" spans="1:11" ht="22.2" customHeight="1" x14ac:dyDescent="0.3">
      <c r="A147" s="306" t="s">
        <v>246</v>
      </c>
      <c r="B147" s="306"/>
      <c r="C147" s="306"/>
      <c r="D147" s="306"/>
      <c r="E147" s="306"/>
      <c r="F147" s="306"/>
      <c r="G147" s="306"/>
      <c r="H147" s="306"/>
      <c r="I147" s="306"/>
      <c r="J147" s="306"/>
      <c r="K147" s="306"/>
    </row>
    <row r="148" spans="1:11" ht="46.2" customHeight="1" x14ac:dyDescent="0.3">
      <c r="A148" s="257" t="s">
        <v>247</v>
      </c>
      <c r="B148" s="367"/>
      <c r="C148" s="367"/>
      <c r="D148" s="367"/>
      <c r="E148" s="367"/>
      <c r="F148" s="367"/>
      <c r="G148" s="367"/>
      <c r="H148" s="367"/>
      <c r="I148" s="367"/>
      <c r="J148" s="286"/>
      <c r="K148" s="286"/>
    </row>
    <row r="149" spans="1:11" ht="15.6" x14ac:dyDescent="0.3">
      <c r="A149" s="306" t="s">
        <v>248</v>
      </c>
      <c r="B149" s="306"/>
      <c r="C149" s="306"/>
      <c r="D149" s="306"/>
      <c r="E149" s="306"/>
      <c r="F149" s="306"/>
      <c r="G149" s="306"/>
      <c r="H149" s="306"/>
      <c r="I149" s="306"/>
      <c r="J149" s="306"/>
      <c r="K149" s="306"/>
    </row>
    <row r="150" spans="1:11" ht="51.6" customHeight="1" x14ac:dyDescent="0.3">
      <c r="A150" s="330" t="s">
        <v>249</v>
      </c>
      <c r="B150" s="330"/>
      <c r="C150" s="330"/>
      <c r="D150" s="330"/>
      <c r="E150" s="330"/>
      <c r="F150" s="330"/>
      <c r="G150" s="330"/>
      <c r="H150" s="330"/>
      <c r="I150" s="330"/>
      <c r="J150" s="330"/>
      <c r="K150" s="330"/>
    </row>
    <row r="151" spans="1:11" ht="25.2" customHeight="1" x14ac:dyDescent="0.3">
      <c r="A151" s="394" t="s">
        <v>250</v>
      </c>
      <c r="B151" s="383" t="s">
        <v>251</v>
      </c>
      <c r="C151" s="384"/>
      <c r="D151" s="385"/>
      <c r="E151" s="314" t="s">
        <v>252</v>
      </c>
      <c r="F151" s="315"/>
      <c r="G151" s="315"/>
      <c r="H151" s="315"/>
      <c r="I151" s="315"/>
      <c r="J151" s="315"/>
      <c r="K151" s="316"/>
    </row>
    <row r="152" spans="1:11" ht="25.2" customHeight="1" x14ac:dyDescent="0.3">
      <c r="A152" s="395"/>
      <c r="B152" s="383" t="s">
        <v>253</v>
      </c>
      <c r="C152" s="384"/>
      <c r="D152" s="385"/>
      <c r="E152" s="314" t="s">
        <v>254</v>
      </c>
      <c r="F152" s="315"/>
      <c r="G152" s="315"/>
      <c r="H152" s="315"/>
      <c r="I152" s="315"/>
      <c r="J152" s="315"/>
      <c r="K152" s="316"/>
    </row>
    <row r="153" spans="1:11" ht="126.6" customHeight="1" x14ac:dyDescent="0.3">
      <c r="A153" s="396"/>
      <c r="B153" s="383" t="s">
        <v>255</v>
      </c>
      <c r="C153" s="384"/>
      <c r="D153" s="385"/>
      <c r="E153" s="348" t="s">
        <v>256</v>
      </c>
      <c r="F153" s="397"/>
      <c r="G153" s="397"/>
      <c r="H153" s="397"/>
      <c r="I153" s="397"/>
      <c r="J153" s="397"/>
      <c r="K153" s="398"/>
    </row>
    <row r="154" spans="1:11" ht="20.399999999999999" customHeight="1" x14ac:dyDescent="0.3">
      <c r="A154" s="57" t="s">
        <v>257</v>
      </c>
    </row>
    <row r="155" spans="1:11" x14ac:dyDescent="0.3">
      <c r="A155" s="403" t="s">
        <v>258</v>
      </c>
      <c r="B155" s="404"/>
      <c r="C155" s="404"/>
      <c r="D155" s="404"/>
      <c r="E155" s="404"/>
      <c r="F155" s="404"/>
      <c r="G155" s="404"/>
      <c r="H155" s="404"/>
      <c r="I155" s="404"/>
      <c r="J155" s="404"/>
      <c r="K155" s="404"/>
    </row>
    <row r="156" spans="1:11" ht="103.2" customHeight="1" x14ac:dyDescent="0.3">
      <c r="A156" s="345" t="s">
        <v>259</v>
      </c>
      <c r="B156" s="346"/>
      <c r="C156" s="346"/>
      <c r="D156" s="346"/>
      <c r="E156" s="346"/>
      <c r="F156" s="346"/>
      <c r="G156" s="346"/>
      <c r="H156" s="346"/>
      <c r="I156" s="346"/>
      <c r="J156" s="346"/>
      <c r="K156" s="346"/>
    </row>
    <row r="157" spans="1:11" ht="22.2" customHeight="1" x14ac:dyDescent="0.3">
      <c r="A157" s="136"/>
      <c r="B157" s="50"/>
      <c r="C157" s="50"/>
      <c r="D157" s="50"/>
      <c r="E157" s="50"/>
      <c r="F157" s="50"/>
      <c r="G157" s="50"/>
      <c r="H157" s="50"/>
      <c r="I157" s="50"/>
      <c r="J157" s="50"/>
      <c r="K157" s="50"/>
    </row>
    <row r="158" spans="1:11" ht="14.4" customHeight="1" x14ac:dyDescent="0.3">
      <c r="A158" s="306" t="s">
        <v>260</v>
      </c>
      <c r="B158" s="306"/>
      <c r="C158" s="306"/>
      <c r="D158" s="306"/>
      <c r="E158" s="306"/>
      <c r="F158" s="306"/>
      <c r="G158" s="306"/>
      <c r="H158" s="306"/>
      <c r="I158" s="306"/>
      <c r="J158" s="306"/>
      <c r="K158" s="306"/>
    </row>
    <row r="159" spans="1:11" ht="22.2" customHeight="1" x14ac:dyDescent="0.3">
      <c r="A159" s="366" t="s">
        <v>261</v>
      </c>
      <c r="B159" s="366"/>
      <c r="C159" s="366"/>
      <c r="D159" s="366"/>
      <c r="E159" s="366"/>
      <c r="F159" s="366"/>
      <c r="G159" s="366"/>
      <c r="H159" s="366"/>
      <c r="I159" s="366"/>
      <c r="J159" s="366"/>
      <c r="K159" s="366"/>
    </row>
    <row r="160" spans="1:11" ht="169.2" customHeight="1" x14ac:dyDescent="0.3">
      <c r="A160" s="279"/>
      <c r="B160" s="280"/>
      <c r="C160" s="280"/>
      <c r="D160" s="280"/>
      <c r="E160" s="280"/>
      <c r="F160" s="280"/>
      <c r="G160" s="280"/>
      <c r="H160" s="280"/>
      <c r="I160" s="280"/>
      <c r="J160" s="280"/>
      <c r="K160" s="323"/>
    </row>
    <row r="161" spans="1:11" ht="15.6" x14ac:dyDescent="0.3">
      <c r="A161" s="402" t="s">
        <v>262</v>
      </c>
      <c r="B161" s="402"/>
      <c r="C161" s="402"/>
      <c r="D161" s="402"/>
      <c r="E161" s="402"/>
      <c r="F161" s="402"/>
      <c r="G161" s="402"/>
      <c r="H161" s="402"/>
      <c r="I161" s="402"/>
      <c r="J161" s="402"/>
      <c r="K161" s="402"/>
    </row>
    <row r="162" spans="1:11" ht="64.2" customHeight="1" x14ac:dyDescent="0.3">
      <c r="A162" s="257" t="s">
        <v>263</v>
      </c>
      <c r="B162" s="257"/>
      <c r="C162" s="257"/>
      <c r="D162" s="257"/>
      <c r="E162" s="257"/>
      <c r="F162" s="257"/>
      <c r="G162" s="257"/>
      <c r="H162" s="257"/>
      <c r="I162" s="257"/>
      <c r="J162" s="257"/>
      <c r="K162" s="257"/>
    </row>
    <row r="163" spans="1:11" x14ac:dyDescent="0.3">
      <c r="A163" s="365" t="s">
        <v>264</v>
      </c>
      <c r="B163" s="365"/>
      <c r="C163" s="365"/>
      <c r="D163" s="365"/>
      <c r="E163" s="365"/>
      <c r="F163" s="365"/>
      <c r="G163" s="365"/>
      <c r="H163" s="365"/>
      <c r="I163" s="365"/>
      <c r="J163" s="365"/>
      <c r="K163" s="365"/>
    </row>
    <row r="164" spans="1:11" ht="220.95" customHeight="1" x14ac:dyDescent="0.3">
      <c r="A164" s="257" t="s">
        <v>265</v>
      </c>
      <c r="B164" s="351"/>
      <c r="C164" s="351"/>
      <c r="D164" s="351"/>
      <c r="E164" s="351"/>
      <c r="F164" s="351"/>
      <c r="G164" s="351"/>
      <c r="H164" s="351"/>
      <c r="I164" s="351"/>
      <c r="J164" s="351"/>
      <c r="K164" s="351"/>
    </row>
    <row r="165" spans="1:11" ht="27" customHeight="1" x14ac:dyDescent="0.3">
      <c r="A165" s="365" t="s">
        <v>266</v>
      </c>
      <c r="B165" s="365"/>
      <c r="C165" s="365"/>
      <c r="D165" s="365"/>
      <c r="E165" s="365"/>
      <c r="F165" s="365"/>
      <c r="G165" s="365"/>
      <c r="H165" s="365"/>
      <c r="I165" s="365"/>
      <c r="J165" s="365"/>
      <c r="K165" s="365"/>
    </row>
    <row r="166" spans="1:11" ht="48.6" customHeight="1" x14ac:dyDescent="0.3">
      <c r="A166" s="257" t="s">
        <v>267</v>
      </c>
      <c r="B166" s="258"/>
      <c r="C166" s="258"/>
      <c r="D166" s="258"/>
      <c r="E166" s="258"/>
      <c r="F166" s="258"/>
      <c r="G166" s="258"/>
      <c r="H166" s="258"/>
      <c r="I166" s="258"/>
      <c r="J166" s="258"/>
      <c r="K166" s="258"/>
    </row>
    <row r="167" spans="1:11" ht="24.6" customHeight="1" x14ac:dyDescent="0.3">
      <c r="A167" s="255" t="s">
        <v>268</v>
      </c>
      <c r="B167" s="256"/>
      <c r="C167" s="256"/>
      <c r="D167" s="256"/>
      <c r="E167" s="256"/>
      <c r="F167" s="256"/>
      <c r="G167" s="256"/>
      <c r="H167" s="256"/>
      <c r="I167" s="256"/>
      <c r="J167" s="256"/>
      <c r="K167" s="256"/>
    </row>
    <row r="168" spans="1:11" ht="31.95" customHeight="1" x14ac:dyDescent="0.3">
      <c r="A168" s="245" t="s">
        <v>269</v>
      </c>
      <c r="B168" s="245"/>
      <c r="C168" s="245"/>
      <c r="D168" s="245"/>
      <c r="E168" s="245"/>
      <c r="F168" s="245"/>
      <c r="G168" s="245"/>
      <c r="H168" s="245"/>
      <c r="I168" s="245"/>
      <c r="J168" s="245"/>
      <c r="K168" s="245"/>
    </row>
    <row r="169" spans="1:11" ht="78" customHeight="1" x14ac:dyDescent="0.3">
      <c r="A169" s="245"/>
      <c r="B169" s="245"/>
      <c r="C169" s="245"/>
      <c r="D169" s="245"/>
      <c r="E169" s="245"/>
      <c r="F169" s="245"/>
      <c r="G169" s="245"/>
      <c r="H169" s="245"/>
      <c r="I169" s="245"/>
      <c r="J169" s="245"/>
      <c r="K169" s="245"/>
    </row>
    <row r="170" spans="1:11" ht="16.2" hidden="1" customHeight="1" x14ac:dyDescent="0.3">
      <c r="A170" s="306" t="s">
        <v>270</v>
      </c>
      <c r="B170" s="306"/>
      <c r="C170" s="306"/>
      <c r="D170" s="306"/>
      <c r="E170" s="306"/>
      <c r="F170" s="306"/>
      <c r="G170" s="306"/>
      <c r="H170" s="306"/>
      <c r="I170" s="306"/>
      <c r="J170" s="306"/>
      <c r="K170" s="306"/>
    </row>
    <row r="171" spans="1:11" ht="29.4" hidden="1" customHeight="1" x14ac:dyDescent="0.3">
      <c r="A171" s="365" t="s">
        <v>271</v>
      </c>
      <c r="B171" s="365"/>
      <c r="C171" s="365"/>
      <c r="D171" s="365"/>
      <c r="E171" s="365"/>
      <c r="F171" s="365"/>
      <c r="G171" s="365"/>
      <c r="H171" s="365"/>
      <c r="I171" s="365"/>
      <c r="J171" s="365"/>
      <c r="K171" s="365"/>
    </row>
    <row r="172" spans="1:11" ht="36.6" hidden="1" customHeight="1" x14ac:dyDescent="0.3">
      <c r="A172" s="257" t="s">
        <v>272</v>
      </c>
      <c r="B172" s="257"/>
      <c r="C172" s="257"/>
      <c r="D172" s="257"/>
      <c r="E172" s="257"/>
      <c r="F172" s="257"/>
      <c r="G172" s="257"/>
      <c r="H172" s="257"/>
      <c r="I172" s="257"/>
      <c r="J172" s="257"/>
      <c r="K172" s="257"/>
    </row>
    <row r="173" spans="1:11" ht="84.6" hidden="1" customHeight="1" x14ac:dyDescent="0.3">
      <c r="A173" s="330" t="s">
        <v>273</v>
      </c>
      <c r="B173" s="330"/>
      <c r="C173" s="330"/>
      <c r="D173" s="330"/>
      <c r="E173" s="330"/>
      <c r="F173" s="330"/>
      <c r="G173" s="330"/>
      <c r="H173" s="330"/>
      <c r="I173" s="330"/>
      <c r="J173" s="330"/>
      <c r="K173" s="330"/>
    </row>
    <row r="174" spans="1:11" ht="14.4" hidden="1" customHeight="1" x14ac:dyDescent="0.3">
      <c r="A174" s="327" t="s">
        <v>274</v>
      </c>
      <c r="B174" s="328"/>
      <c r="C174" s="328"/>
      <c r="D174" s="328"/>
      <c r="E174" s="328"/>
      <c r="F174" s="328"/>
      <c r="G174" s="328"/>
      <c r="H174" s="328"/>
      <c r="I174" s="328"/>
      <c r="J174" s="328"/>
      <c r="K174" s="329"/>
    </row>
    <row r="175" spans="1:11" ht="17.399999999999999" hidden="1" customHeight="1" x14ac:dyDescent="0.3">
      <c r="A175" s="339" t="s">
        <v>275</v>
      </c>
      <c r="B175" s="341"/>
      <c r="C175" s="339" t="s">
        <v>72</v>
      </c>
      <c r="D175" s="340"/>
      <c r="E175" s="340"/>
      <c r="F175" s="340"/>
      <c r="G175" s="340"/>
      <c r="H175" s="340"/>
      <c r="I175" s="341"/>
      <c r="J175" s="335" t="s">
        <v>276</v>
      </c>
      <c r="K175" s="336"/>
    </row>
    <row r="176" spans="1:11" ht="77.400000000000006" hidden="1" customHeight="1" x14ac:dyDescent="0.3">
      <c r="A176" s="337" t="s">
        <v>277</v>
      </c>
      <c r="B176" s="338"/>
      <c r="C176" s="324" t="s">
        <v>278</v>
      </c>
      <c r="D176" s="325"/>
      <c r="E176" s="325"/>
      <c r="F176" s="325"/>
      <c r="G176" s="325"/>
      <c r="H176" s="325"/>
      <c r="I176" s="326"/>
      <c r="J176" s="310"/>
      <c r="K176" s="334"/>
    </row>
    <row r="177" spans="1:11" ht="77.400000000000006" hidden="1" customHeight="1" x14ac:dyDescent="0.3">
      <c r="A177" s="337" t="s">
        <v>279</v>
      </c>
      <c r="B177" s="338"/>
      <c r="C177" s="324" t="s">
        <v>280</v>
      </c>
      <c r="D177" s="325"/>
      <c r="E177" s="325"/>
      <c r="F177" s="325"/>
      <c r="G177" s="325"/>
      <c r="H177" s="325"/>
      <c r="I177" s="326"/>
      <c r="J177" s="310"/>
      <c r="K177" s="334"/>
    </row>
    <row r="178" spans="1:11" ht="62.4" hidden="1" customHeight="1" x14ac:dyDescent="0.3">
      <c r="A178" s="337" t="s">
        <v>281</v>
      </c>
      <c r="B178" s="338"/>
      <c r="C178" s="324" t="s">
        <v>282</v>
      </c>
      <c r="D178" s="325"/>
      <c r="E178" s="325"/>
      <c r="F178" s="325"/>
      <c r="G178" s="325"/>
      <c r="H178" s="325"/>
      <c r="I178" s="326"/>
      <c r="J178" s="310"/>
      <c r="K178" s="334"/>
    </row>
    <row r="179" spans="1:11" ht="44.4" hidden="1" customHeight="1" x14ac:dyDescent="0.3">
      <c r="A179" s="337" t="s">
        <v>283</v>
      </c>
      <c r="B179" s="338"/>
      <c r="C179" s="324" t="s">
        <v>284</v>
      </c>
      <c r="D179" s="325"/>
      <c r="E179" s="325"/>
      <c r="F179" s="325"/>
      <c r="G179" s="325"/>
      <c r="H179" s="325"/>
      <c r="I179" s="326"/>
      <c r="J179" s="310"/>
      <c r="K179" s="334"/>
    </row>
    <row r="180" spans="1:11" ht="62.4" hidden="1" customHeight="1" x14ac:dyDescent="0.3">
      <c r="A180" s="337" t="s">
        <v>285</v>
      </c>
      <c r="B180" s="338"/>
      <c r="C180" s="324" t="s">
        <v>286</v>
      </c>
      <c r="D180" s="325"/>
      <c r="E180" s="325"/>
      <c r="F180" s="325"/>
      <c r="G180" s="325"/>
      <c r="H180" s="325"/>
      <c r="I180" s="326"/>
      <c r="J180" s="310"/>
      <c r="K180" s="334"/>
    </row>
    <row r="181" spans="1:11" hidden="1" x14ac:dyDescent="0.3">
      <c r="A181" s="84"/>
      <c r="B181" s="103"/>
      <c r="C181" s="84"/>
      <c r="D181" s="103"/>
      <c r="E181" s="103"/>
      <c r="F181" s="103"/>
      <c r="G181" s="103"/>
      <c r="H181" s="103"/>
      <c r="I181" s="103"/>
      <c r="J181" s="104"/>
      <c r="K181" s="3"/>
    </row>
    <row r="182" spans="1:11" ht="14.4" hidden="1" customHeight="1" x14ac:dyDescent="0.3">
      <c r="A182" s="327" t="s">
        <v>287</v>
      </c>
      <c r="B182" s="328"/>
      <c r="C182" s="328"/>
      <c r="D182" s="328"/>
      <c r="E182" s="328"/>
      <c r="F182" s="328"/>
      <c r="G182" s="328"/>
      <c r="H182" s="328"/>
      <c r="I182" s="328"/>
      <c r="J182" s="328"/>
      <c r="K182" s="329"/>
    </row>
    <row r="183" spans="1:11" ht="17.399999999999999" hidden="1" customHeight="1" x14ac:dyDescent="0.3">
      <c r="A183" s="331" t="s">
        <v>275</v>
      </c>
      <c r="B183" s="333"/>
      <c r="C183" s="331" t="s">
        <v>72</v>
      </c>
      <c r="D183" s="332"/>
      <c r="E183" s="332"/>
      <c r="F183" s="332"/>
      <c r="G183" s="332"/>
      <c r="H183" s="332"/>
      <c r="I183" s="333"/>
      <c r="J183" s="349" t="s">
        <v>276</v>
      </c>
      <c r="K183" s="350"/>
    </row>
    <row r="184" spans="1:11" ht="40.200000000000003" hidden="1" customHeight="1" x14ac:dyDescent="0.3">
      <c r="A184" s="348"/>
      <c r="B184" s="319"/>
      <c r="C184" s="348"/>
      <c r="D184" s="318"/>
      <c r="E184" s="318"/>
      <c r="F184" s="318"/>
      <c r="G184" s="318"/>
      <c r="H184" s="318"/>
      <c r="I184" s="319"/>
      <c r="J184" s="310"/>
      <c r="K184" s="334"/>
    </row>
    <row r="185" spans="1:11" ht="40.200000000000003" hidden="1" customHeight="1" x14ac:dyDescent="0.3">
      <c r="A185" s="348"/>
      <c r="B185" s="319"/>
      <c r="C185" s="348"/>
      <c r="D185" s="318"/>
      <c r="E185" s="318"/>
      <c r="F185" s="318"/>
      <c r="G185" s="318"/>
      <c r="H185" s="318"/>
      <c r="I185" s="319"/>
      <c r="J185" s="310"/>
      <c r="K185" s="334"/>
    </row>
    <row r="186" spans="1:11" ht="40.200000000000003" hidden="1" customHeight="1" x14ac:dyDescent="0.3">
      <c r="A186" s="348"/>
      <c r="B186" s="319"/>
      <c r="C186" s="348"/>
      <c r="D186" s="318"/>
      <c r="E186" s="318"/>
      <c r="F186" s="318"/>
      <c r="G186" s="318"/>
      <c r="H186" s="318"/>
      <c r="I186" s="319"/>
      <c r="J186" s="310"/>
      <c r="K186" s="334"/>
    </row>
    <row r="187" spans="1:11" ht="17.399999999999999" hidden="1" customHeight="1" x14ac:dyDescent="0.3"/>
    <row r="188" spans="1:11" ht="15.6" x14ac:dyDescent="0.3">
      <c r="A188" s="306" t="s">
        <v>288</v>
      </c>
      <c r="B188" s="306"/>
      <c r="C188" s="306"/>
      <c r="D188" s="306"/>
      <c r="E188" s="306"/>
      <c r="F188" s="306"/>
      <c r="G188" s="306"/>
      <c r="H188" s="306"/>
      <c r="I188" s="306"/>
      <c r="J188" s="306"/>
      <c r="K188" s="306"/>
    </row>
    <row r="189" spans="1:11" ht="175.95" customHeight="1" x14ac:dyDescent="0.3">
      <c r="A189" s="257" t="s">
        <v>289</v>
      </c>
      <c r="B189" s="351"/>
      <c r="C189" s="351"/>
      <c r="D189" s="351"/>
      <c r="E189" s="351"/>
      <c r="F189" s="351"/>
      <c r="G189" s="351"/>
      <c r="H189" s="351"/>
      <c r="I189" s="351"/>
      <c r="J189" s="351"/>
      <c r="K189" s="351"/>
    </row>
    <row r="190" spans="1:11" ht="15.6" x14ac:dyDescent="0.3">
      <c r="A190" s="306" t="s">
        <v>290</v>
      </c>
      <c r="B190" s="306"/>
      <c r="C190" s="306"/>
      <c r="D190" s="306"/>
      <c r="E190" s="306"/>
      <c r="F190" s="306"/>
      <c r="G190" s="306"/>
      <c r="H190" s="306"/>
      <c r="I190" s="306"/>
      <c r="J190" s="306"/>
      <c r="K190" s="306"/>
    </row>
    <row r="191" spans="1:11" ht="175.95" customHeight="1" x14ac:dyDescent="0.3">
      <c r="A191" s="257" t="s">
        <v>291</v>
      </c>
      <c r="B191" s="351"/>
      <c r="C191" s="351"/>
      <c r="D191" s="351"/>
      <c r="E191" s="351"/>
      <c r="F191" s="351"/>
      <c r="G191" s="351"/>
      <c r="H191" s="351"/>
      <c r="I191" s="351"/>
      <c r="J191" s="351"/>
      <c r="K191" s="351"/>
    </row>
    <row r="192" spans="1:11" ht="15.6" x14ac:dyDescent="0.3">
      <c r="A192" s="306" t="s">
        <v>292</v>
      </c>
      <c r="B192" s="306"/>
      <c r="C192" s="306"/>
      <c r="D192" s="306"/>
      <c r="E192" s="306"/>
      <c r="F192" s="306"/>
      <c r="G192" s="306"/>
      <c r="H192" s="306"/>
      <c r="I192" s="306"/>
      <c r="J192" s="306"/>
      <c r="K192" s="306"/>
    </row>
    <row r="193" spans="1:11" ht="105.6" customHeight="1" x14ac:dyDescent="0.3">
      <c r="A193" s="257" t="s">
        <v>293</v>
      </c>
      <c r="B193" s="257"/>
      <c r="C193" s="257"/>
      <c r="D193" s="257"/>
      <c r="E193" s="257"/>
      <c r="F193" s="257"/>
      <c r="G193" s="257"/>
      <c r="H193" s="257"/>
      <c r="I193" s="257"/>
      <c r="J193" s="257"/>
      <c r="K193" s="257"/>
    </row>
    <row r="194" spans="1:11" ht="15.6" x14ac:dyDescent="0.3">
      <c r="A194" s="306" t="s">
        <v>294</v>
      </c>
      <c r="B194" s="306"/>
      <c r="C194" s="306"/>
      <c r="D194" s="306"/>
      <c r="E194" s="306"/>
      <c r="F194" s="306"/>
      <c r="G194" s="306"/>
      <c r="H194" s="306"/>
      <c r="I194" s="306"/>
      <c r="J194" s="306"/>
      <c r="K194" s="306"/>
    </row>
    <row r="195" spans="1:11" ht="48" customHeight="1" x14ac:dyDescent="0.3">
      <c r="A195" s="345" t="s">
        <v>295</v>
      </c>
      <c r="B195" s="345"/>
      <c r="C195" s="345"/>
      <c r="D195" s="345"/>
      <c r="E195" s="345"/>
      <c r="F195" s="345"/>
      <c r="G195" s="345"/>
      <c r="H195" s="345"/>
      <c r="I195" s="345"/>
      <c r="J195" s="345"/>
      <c r="K195" s="345"/>
    </row>
    <row r="196" spans="1:11" ht="15.6" customHeight="1" x14ac:dyDescent="0.3">
      <c r="A196" s="87" t="s">
        <v>296</v>
      </c>
      <c r="B196" s="346" t="s">
        <v>297</v>
      </c>
      <c r="C196" s="346"/>
      <c r="D196" s="346"/>
      <c r="E196" s="346"/>
      <c r="F196" s="347"/>
      <c r="G196" s="347"/>
      <c r="H196" s="347"/>
      <c r="I196" s="347"/>
      <c r="J196" s="347"/>
      <c r="K196" s="347"/>
    </row>
    <row r="197" spans="1:11" ht="15.6" customHeight="1" x14ac:dyDescent="0.3">
      <c r="A197" s="87" t="s">
        <v>298</v>
      </c>
      <c r="B197" s="346" t="s">
        <v>299</v>
      </c>
      <c r="C197" s="346"/>
      <c r="D197" s="346"/>
      <c r="E197" s="346"/>
      <c r="F197" s="347"/>
      <c r="G197" s="347"/>
      <c r="H197" s="347"/>
      <c r="I197" s="347"/>
      <c r="J197" s="347"/>
      <c r="K197" s="347"/>
    </row>
    <row r="198" spans="1:11" ht="15.6" customHeight="1" x14ac:dyDescent="0.3">
      <c r="A198" s="87" t="s">
        <v>300</v>
      </c>
      <c r="B198" s="346" t="s">
        <v>301</v>
      </c>
      <c r="C198" s="346"/>
      <c r="D198" s="346"/>
      <c r="E198" s="346"/>
      <c r="F198" s="347"/>
      <c r="G198" s="347"/>
      <c r="H198" s="347"/>
      <c r="I198" s="347"/>
      <c r="J198" s="347"/>
      <c r="K198" s="347"/>
    </row>
    <row r="199" spans="1:11" ht="15.6" customHeight="1" x14ac:dyDescent="0.3">
      <c r="A199" s="105" t="s">
        <v>302</v>
      </c>
      <c r="B199" s="387" t="s">
        <v>303</v>
      </c>
      <c r="C199" s="387"/>
      <c r="D199" s="387"/>
      <c r="E199" s="387"/>
      <c r="F199" s="388"/>
      <c r="G199" s="388"/>
      <c r="H199" s="388"/>
      <c r="I199" s="388"/>
      <c r="J199" s="388"/>
      <c r="K199" s="388"/>
    </row>
    <row r="200" spans="1:11" ht="15.6" customHeight="1" x14ac:dyDescent="0.3">
      <c r="A200" s="87" t="s">
        <v>304</v>
      </c>
      <c r="B200" s="346" t="s">
        <v>305</v>
      </c>
      <c r="C200" s="346"/>
      <c r="D200" s="346"/>
      <c r="E200" s="346"/>
      <c r="F200" s="347"/>
      <c r="G200" s="347"/>
      <c r="H200" s="347"/>
      <c r="I200" s="347"/>
      <c r="J200" s="347"/>
      <c r="K200" s="347"/>
    </row>
    <row r="201" spans="1:11" ht="15.6" customHeight="1" x14ac:dyDescent="0.3">
      <c r="A201" s="87" t="s">
        <v>306</v>
      </c>
      <c r="B201" s="346" t="s">
        <v>307</v>
      </c>
      <c r="C201" s="346"/>
      <c r="D201" s="346"/>
      <c r="E201" s="346"/>
      <c r="F201" s="346"/>
      <c r="G201" s="346"/>
      <c r="H201" s="346"/>
      <c r="I201" s="346"/>
      <c r="J201" s="346"/>
      <c r="K201" s="346"/>
    </row>
    <row r="202" spans="1:11" ht="15.6" customHeight="1" x14ac:dyDescent="0.3">
      <c r="A202" s="87" t="s">
        <v>308</v>
      </c>
      <c r="B202" s="346" t="s">
        <v>309</v>
      </c>
      <c r="C202" s="346"/>
      <c r="D202" s="346"/>
      <c r="E202" s="346"/>
      <c r="F202" s="346"/>
      <c r="G202" s="346"/>
      <c r="H202" s="346"/>
      <c r="I202" s="346"/>
      <c r="J202" s="346"/>
      <c r="K202" s="346"/>
    </row>
    <row r="203" spans="1:11" x14ac:dyDescent="0.3">
      <c r="A203" s="87" t="s">
        <v>310</v>
      </c>
      <c r="B203" s="346" t="s">
        <v>311</v>
      </c>
      <c r="C203" s="346"/>
      <c r="D203" s="346"/>
      <c r="E203" s="346"/>
      <c r="F203" s="347"/>
      <c r="G203" s="347"/>
      <c r="H203" s="347"/>
      <c r="I203" s="347"/>
      <c r="J203" s="347"/>
      <c r="K203" s="347"/>
    </row>
    <row r="204" spans="1:11" ht="21" customHeight="1" x14ac:dyDescent="0.3">
      <c r="A204" s="306" t="s">
        <v>312</v>
      </c>
      <c r="B204" s="306"/>
      <c r="C204" s="306"/>
      <c r="D204" s="306"/>
      <c r="E204" s="306"/>
      <c r="F204" s="306"/>
      <c r="G204" s="306"/>
      <c r="H204" s="306"/>
      <c r="I204" s="306"/>
      <c r="J204" s="306"/>
      <c r="K204" s="306"/>
    </row>
    <row r="205" spans="1:11" ht="19.95" customHeight="1" x14ac:dyDescent="0.3">
      <c r="A205" s="365" t="s">
        <v>313</v>
      </c>
      <c r="B205" s="365"/>
      <c r="C205" s="365"/>
      <c r="D205" s="365"/>
      <c r="E205" s="365"/>
      <c r="F205" s="365"/>
      <c r="G205" s="365"/>
      <c r="H205" s="365"/>
      <c r="I205" s="365"/>
      <c r="J205" s="365"/>
      <c r="K205" s="365"/>
    </row>
    <row r="206" spans="1:11" ht="372" customHeight="1" x14ac:dyDescent="0.3">
      <c r="A206" s="257" t="s">
        <v>314</v>
      </c>
      <c r="B206" s="351"/>
      <c r="C206" s="351"/>
      <c r="D206" s="351"/>
      <c r="E206" s="351"/>
      <c r="F206" s="351"/>
      <c r="G206" s="351"/>
      <c r="H206" s="351"/>
      <c r="I206" s="351"/>
      <c r="J206" s="351"/>
      <c r="K206" s="351"/>
    </row>
    <row r="207" spans="1:11" x14ac:dyDescent="0.3">
      <c r="A207" s="365" t="s">
        <v>315</v>
      </c>
      <c r="B207" s="365"/>
      <c r="C207" s="365"/>
      <c r="D207" s="365"/>
      <c r="E207" s="365"/>
      <c r="F207" s="365"/>
      <c r="G207" s="365"/>
      <c r="H207" s="365"/>
      <c r="I207" s="365"/>
      <c r="J207" s="365"/>
      <c r="K207" s="365"/>
    </row>
    <row r="208" spans="1:11" ht="252.6" customHeight="1" x14ac:dyDescent="0.3">
      <c r="A208" s="257" t="s">
        <v>316</v>
      </c>
      <c r="B208" s="351"/>
      <c r="C208" s="351"/>
      <c r="D208" s="351"/>
      <c r="E208" s="351"/>
      <c r="F208" s="351"/>
      <c r="G208" s="351"/>
      <c r="H208" s="351"/>
      <c r="I208" s="351"/>
      <c r="J208" s="351"/>
      <c r="K208" s="351"/>
    </row>
    <row r="209" spans="1:11" ht="15.6" x14ac:dyDescent="0.3">
      <c r="A209" s="344" t="s">
        <v>317</v>
      </c>
      <c r="B209" s="344"/>
      <c r="C209" s="344"/>
      <c r="D209" s="344"/>
      <c r="E209" s="344"/>
      <c r="F209" s="344"/>
      <c r="G209" s="344"/>
      <c r="H209" s="344"/>
      <c r="I209" s="344"/>
      <c r="J209" s="344"/>
      <c r="K209" s="344"/>
    </row>
    <row r="210" spans="1:11" x14ac:dyDescent="0.3">
      <c r="A210" s="343" t="s">
        <v>318</v>
      </c>
      <c r="B210" s="343"/>
      <c r="C210" s="343"/>
      <c r="D210" s="343"/>
      <c r="E210" s="343"/>
      <c r="F210" s="343"/>
      <c r="G210" s="343"/>
      <c r="H210" s="343"/>
      <c r="I210" s="343"/>
      <c r="J210" s="343"/>
      <c r="K210" s="343"/>
    </row>
    <row r="211" spans="1:11" ht="33" customHeight="1" x14ac:dyDescent="0.3">
      <c r="A211" s="342" t="s">
        <v>319</v>
      </c>
      <c r="B211" s="342"/>
      <c r="C211" s="342"/>
      <c r="D211" s="342"/>
      <c r="E211" s="342"/>
      <c r="F211" s="342"/>
      <c r="G211" s="342"/>
      <c r="H211" s="342"/>
      <c r="I211" s="342"/>
      <c r="J211" s="342"/>
      <c r="K211" s="342"/>
    </row>
    <row r="212" spans="1:11" ht="61.95" customHeight="1" x14ac:dyDescent="0.3">
      <c r="A212" s="342" t="s">
        <v>320</v>
      </c>
      <c r="B212" s="342"/>
      <c r="C212" s="342"/>
      <c r="D212" s="342"/>
      <c r="E212" s="342"/>
      <c r="F212" s="342"/>
      <c r="G212" s="342"/>
      <c r="H212" s="342"/>
      <c r="I212" s="342"/>
      <c r="J212" s="342"/>
      <c r="K212" s="342"/>
    </row>
    <row r="213" spans="1:11" ht="60.6" customHeight="1" x14ac:dyDescent="0.3">
      <c r="A213" s="342" t="s">
        <v>321</v>
      </c>
      <c r="B213" s="342"/>
      <c r="C213" s="342"/>
      <c r="D213" s="342"/>
      <c r="E213" s="342"/>
      <c r="F213" s="342"/>
      <c r="G213" s="342"/>
      <c r="H213" s="342"/>
      <c r="I213" s="342"/>
      <c r="J213" s="342"/>
      <c r="K213" s="342"/>
    </row>
    <row r="214" spans="1:11" x14ac:dyDescent="0.3">
      <c r="A214" s="132"/>
      <c r="B214" s="132"/>
      <c r="C214" s="132"/>
      <c r="D214" s="132"/>
      <c r="E214" s="132"/>
      <c r="F214" s="132"/>
      <c r="G214" s="132"/>
      <c r="H214" s="132"/>
      <c r="I214" s="132"/>
      <c r="J214" s="132"/>
      <c r="K214" s="132"/>
    </row>
    <row r="215" spans="1:11" x14ac:dyDescent="0.3">
      <c r="A215" s="343" t="s">
        <v>322</v>
      </c>
      <c r="B215" s="343"/>
      <c r="C215" s="343"/>
      <c r="D215" s="343"/>
      <c r="E215" s="343"/>
      <c r="F215" s="343"/>
      <c r="G215" s="343"/>
      <c r="H215" s="343"/>
      <c r="I215" s="343"/>
      <c r="J215" s="343"/>
      <c r="K215" s="343"/>
    </row>
    <row r="216" spans="1:11" ht="103.95" customHeight="1" x14ac:dyDescent="0.3">
      <c r="A216" s="342" t="s">
        <v>323</v>
      </c>
      <c r="B216" s="342"/>
      <c r="C216" s="342"/>
      <c r="D216" s="342"/>
      <c r="E216" s="342"/>
      <c r="F216" s="342"/>
      <c r="G216" s="342"/>
      <c r="H216" s="342"/>
      <c r="I216" s="342"/>
      <c r="J216" s="342"/>
      <c r="K216" s="342"/>
    </row>
    <row r="217" spans="1:11" x14ac:dyDescent="0.3">
      <c r="A217" s="132"/>
      <c r="B217" s="132"/>
      <c r="C217" s="132"/>
      <c r="D217" s="132"/>
      <c r="E217" s="132"/>
      <c r="F217" s="132"/>
      <c r="G217" s="132"/>
      <c r="H217" s="132"/>
      <c r="I217" s="132"/>
      <c r="J217" s="132"/>
      <c r="K217" s="132"/>
    </row>
    <row r="218" spans="1:11" x14ac:dyDescent="0.3">
      <c r="A218" s="343" t="s">
        <v>324</v>
      </c>
      <c r="B218" s="343"/>
      <c r="C218" s="343"/>
      <c r="D218" s="343"/>
      <c r="E218" s="343"/>
      <c r="F218" s="343"/>
      <c r="G218" s="343"/>
      <c r="H218" s="343"/>
      <c r="I218" s="343"/>
      <c r="J218" s="343"/>
      <c r="K218" s="343"/>
    </row>
    <row r="219" spans="1:11" ht="79.5" customHeight="1" x14ac:dyDescent="0.3">
      <c r="A219" s="342" t="s">
        <v>325</v>
      </c>
      <c r="B219" s="342"/>
      <c r="C219" s="342"/>
      <c r="D219" s="342"/>
      <c r="E219" s="342"/>
      <c r="F219" s="342"/>
      <c r="G219" s="342"/>
      <c r="H219" s="342"/>
      <c r="I219" s="342"/>
      <c r="J219" s="342"/>
      <c r="K219" s="342"/>
    </row>
    <row r="220" spans="1:11" ht="33" customHeight="1" x14ac:dyDescent="0.3">
      <c r="A220" s="342" t="s">
        <v>326</v>
      </c>
      <c r="B220" s="342"/>
      <c r="C220" s="342"/>
      <c r="D220" s="342"/>
      <c r="E220" s="342"/>
      <c r="F220" s="342"/>
      <c r="G220" s="342"/>
      <c r="H220" s="342"/>
      <c r="I220" s="342"/>
      <c r="J220" s="342"/>
      <c r="K220" s="342"/>
    </row>
    <row r="221" spans="1:11" ht="60.6" customHeight="1" x14ac:dyDescent="0.3">
      <c r="A221" s="342" t="s">
        <v>327</v>
      </c>
      <c r="B221" s="342"/>
      <c r="C221" s="342"/>
      <c r="D221" s="342"/>
      <c r="E221" s="342"/>
      <c r="F221" s="342"/>
      <c r="G221" s="342"/>
      <c r="H221" s="342"/>
      <c r="I221" s="342"/>
      <c r="J221" s="342"/>
      <c r="K221" s="342"/>
    </row>
    <row r="222" spans="1:11" ht="15.6" x14ac:dyDescent="0.3">
      <c r="A222" s="344" t="s">
        <v>328</v>
      </c>
      <c r="B222" s="344"/>
      <c r="C222" s="344"/>
      <c r="D222" s="344"/>
      <c r="E222" s="344"/>
      <c r="F222" s="344"/>
      <c r="G222" s="344"/>
      <c r="H222" s="344"/>
      <c r="I222" s="344"/>
      <c r="J222" s="344"/>
      <c r="K222" s="344"/>
    </row>
    <row r="223" spans="1:11" x14ac:dyDescent="0.3">
      <c r="A223" s="343" t="s">
        <v>318</v>
      </c>
      <c r="B223" s="343"/>
      <c r="C223" s="343"/>
      <c r="D223" s="343"/>
      <c r="E223" s="343"/>
      <c r="F223" s="343"/>
      <c r="G223" s="343"/>
      <c r="H223" s="343"/>
      <c r="I223" s="343"/>
      <c r="J223" s="343"/>
      <c r="K223" s="343"/>
    </row>
    <row r="224" spans="1:11" ht="30" customHeight="1" x14ac:dyDescent="0.3">
      <c r="A224" s="342" t="s">
        <v>319</v>
      </c>
      <c r="B224" s="342"/>
      <c r="C224" s="342"/>
      <c r="D224" s="342"/>
      <c r="E224" s="342"/>
      <c r="F224" s="342"/>
      <c r="G224" s="342"/>
      <c r="H224" s="342"/>
      <c r="I224" s="342"/>
      <c r="J224" s="342"/>
      <c r="K224" s="342"/>
    </row>
    <row r="225" spans="1:11" ht="112.5" customHeight="1" x14ac:dyDescent="0.3">
      <c r="A225" s="342" t="s">
        <v>329</v>
      </c>
      <c r="B225" s="342"/>
      <c r="C225" s="342"/>
      <c r="D225" s="342"/>
      <c r="E225" s="342"/>
      <c r="F225" s="342"/>
      <c r="G225" s="342"/>
      <c r="H225" s="342"/>
      <c r="I225" s="342"/>
      <c r="J225" s="342"/>
      <c r="K225" s="342"/>
    </row>
    <row r="226" spans="1:11" ht="56.25" customHeight="1" x14ac:dyDescent="0.3">
      <c r="A226" s="342" t="s">
        <v>321</v>
      </c>
      <c r="B226" s="342"/>
      <c r="C226" s="342"/>
      <c r="D226" s="342"/>
      <c r="E226" s="342"/>
      <c r="F226" s="342"/>
      <c r="G226" s="342"/>
      <c r="H226" s="342"/>
      <c r="I226" s="342"/>
      <c r="J226" s="342"/>
      <c r="K226" s="342"/>
    </row>
    <row r="227" spans="1:11" x14ac:dyDescent="0.3">
      <c r="A227" s="132"/>
      <c r="B227" s="132"/>
      <c r="C227" s="132"/>
      <c r="D227" s="132"/>
      <c r="E227" s="132"/>
      <c r="F227" s="132"/>
      <c r="G227" s="132"/>
      <c r="H227" s="132"/>
      <c r="I227" s="132"/>
      <c r="J227" s="132"/>
      <c r="K227" s="132"/>
    </row>
    <row r="228" spans="1:11" x14ac:dyDescent="0.3">
      <c r="A228" s="343" t="s">
        <v>330</v>
      </c>
      <c r="B228" s="343"/>
      <c r="C228" s="343"/>
      <c r="D228" s="343"/>
      <c r="E228" s="343"/>
      <c r="F228" s="343"/>
      <c r="G228" s="343"/>
      <c r="H228" s="343"/>
      <c r="I228" s="343"/>
      <c r="J228" s="343"/>
      <c r="K228" s="343"/>
    </row>
    <row r="229" spans="1:11" ht="51.75" customHeight="1" x14ac:dyDescent="0.3">
      <c r="A229" s="342" t="s">
        <v>331</v>
      </c>
      <c r="B229" s="342"/>
      <c r="C229" s="342"/>
      <c r="D229" s="342"/>
      <c r="E229" s="342"/>
      <c r="F229" s="342"/>
      <c r="G229" s="342"/>
      <c r="H229" s="342"/>
      <c r="I229" s="342"/>
      <c r="J229" s="342"/>
      <c r="K229" s="342"/>
    </row>
    <row r="230" spans="1:11" ht="46.5" customHeight="1" x14ac:dyDescent="0.3">
      <c r="A230" s="342" t="s">
        <v>332</v>
      </c>
      <c r="B230" s="342"/>
      <c r="C230" s="342"/>
      <c r="D230" s="342"/>
      <c r="E230" s="342"/>
      <c r="F230" s="342"/>
      <c r="G230" s="342"/>
      <c r="H230" s="342"/>
      <c r="I230" s="342"/>
      <c r="J230" s="342"/>
      <c r="K230" s="342"/>
    </row>
    <row r="231" spans="1:11" x14ac:dyDescent="0.3">
      <c r="A231" s="132"/>
      <c r="B231" s="132"/>
      <c r="C231" s="132"/>
      <c r="D231" s="132"/>
      <c r="E231" s="132"/>
      <c r="F231" s="132"/>
      <c r="G231" s="132"/>
      <c r="H231" s="132"/>
      <c r="I231" s="132"/>
      <c r="J231" s="132"/>
      <c r="K231" s="132"/>
    </row>
    <row r="232" spans="1:11" x14ac:dyDescent="0.3">
      <c r="A232" s="343" t="s">
        <v>324</v>
      </c>
      <c r="B232" s="343"/>
      <c r="C232" s="343"/>
      <c r="D232" s="343"/>
      <c r="E232" s="343"/>
      <c r="F232" s="343"/>
      <c r="G232" s="343"/>
      <c r="H232" s="343"/>
      <c r="I232" s="343"/>
      <c r="J232" s="343"/>
      <c r="K232" s="343"/>
    </row>
    <row r="233" spans="1:11" ht="78" customHeight="1" x14ac:dyDescent="0.3">
      <c r="A233" s="342" t="s">
        <v>333</v>
      </c>
      <c r="B233" s="342"/>
      <c r="C233" s="342"/>
      <c r="D233" s="342"/>
      <c r="E233" s="342"/>
      <c r="F233" s="342"/>
      <c r="G233" s="342"/>
      <c r="H233" s="342"/>
      <c r="I233" s="342"/>
      <c r="J233" s="342"/>
      <c r="K233" s="342"/>
    </row>
    <row r="234" spans="1:11" ht="81.75" customHeight="1" x14ac:dyDescent="0.3">
      <c r="A234" s="342" t="s">
        <v>334</v>
      </c>
      <c r="B234" s="342"/>
      <c r="C234" s="342"/>
      <c r="D234" s="342"/>
      <c r="E234" s="342"/>
      <c r="F234" s="342"/>
      <c r="G234" s="342"/>
      <c r="H234" s="342"/>
      <c r="I234" s="342"/>
      <c r="J234" s="342"/>
      <c r="K234" s="342"/>
    </row>
    <row r="235" spans="1:11" ht="29.25" customHeight="1" x14ac:dyDescent="0.3">
      <c r="A235" s="342" t="s">
        <v>335</v>
      </c>
      <c r="B235" s="342"/>
      <c r="C235" s="342"/>
      <c r="D235" s="342"/>
      <c r="E235" s="342"/>
      <c r="F235" s="342"/>
      <c r="G235" s="342"/>
      <c r="H235" s="342"/>
      <c r="I235" s="342"/>
      <c r="J235" s="342"/>
      <c r="K235" s="342"/>
    </row>
    <row r="236" spans="1:11" x14ac:dyDescent="0.3">
      <c r="A236" s="132"/>
      <c r="B236" s="132"/>
      <c r="C236" s="132"/>
      <c r="D236" s="132"/>
      <c r="E236" s="132"/>
      <c r="F236" s="132"/>
      <c r="G236" s="132"/>
      <c r="H236" s="132"/>
      <c r="I236" s="132"/>
      <c r="J236" s="132"/>
      <c r="K236" s="132"/>
    </row>
    <row r="237" spans="1:11" ht="15.6" x14ac:dyDescent="0.3">
      <c r="A237" s="344" t="s">
        <v>336</v>
      </c>
      <c r="B237" s="344"/>
      <c r="C237" s="344"/>
      <c r="D237" s="344"/>
      <c r="E237" s="344"/>
      <c r="F237" s="344"/>
      <c r="G237" s="344"/>
      <c r="H237" s="344"/>
      <c r="I237" s="344"/>
      <c r="J237" s="344"/>
      <c r="K237" s="344"/>
    </row>
    <row r="238" spans="1:11" ht="95.4" customHeight="1" x14ac:dyDescent="0.3">
      <c r="A238" s="342" t="s">
        <v>337</v>
      </c>
      <c r="B238" s="342"/>
      <c r="C238" s="342"/>
      <c r="D238" s="342"/>
      <c r="E238" s="342"/>
      <c r="F238" s="342"/>
      <c r="G238" s="342"/>
      <c r="H238" s="342"/>
      <c r="I238" s="342"/>
      <c r="J238" s="342"/>
      <c r="K238" s="342"/>
    </row>
    <row r="239" spans="1:11" x14ac:dyDescent="0.3">
      <c r="E239" s="386" t="s">
        <v>338</v>
      </c>
      <c r="F239" s="386"/>
      <c r="G239" s="386"/>
    </row>
  </sheetData>
  <mergeCells count="425">
    <mergeCell ref="A96:A101"/>
    <mergeCell ref="A237:K237"/>
    <mergeCell ref="A238:K238"/>
    <mergeCell ref="D79:E79"/>
    <mergeCell ref="F79:K79"/>
    <mergeCell ref="D76:E76"/>
    <mergeCell ref="F76:K76"/>
    <mergeCell ref="F77:K77"/>
    <mergeCell ref="D77:E77"/>
    <mergeCell ref="A160:K160"/>
    <mergeCell ref="A190:K190"/>
    <mergeCell ref="A189:K189"/>
    <mergeCell ref="A194:K194"/>
    <mergeCell ref="A172:K172"/>
    <mergeCell ref="A161:K161"/>
    <mergeCell ref="A170:K170"/>
    <mergeCell ref="A164:K164"/>
    <mergeCell ref="A163:K163"/>
    <mergeCell ref="A156:K156"/>
    <mergeCell ref="A155:K155"/>
    <mergeCell ref="E152:K152"/>
    <mergeCell ref="C141:D141"/>
    <mergeCell ref="A141:B141"/>
    <mergeCell ref="A144:B144"/>
    <mergeCell ref="A88:A92"/>
    <mergeCell ref="A54:A57"/>
    <mergeCell ref="B54:B57"/>
    <mergeCell ref="F75:K75"/>
    <mergeCell ref="D74:E74"/>
    <mergeCell ref="F74:K74"/>
    <mergeCell ref="A74:A78"/>
    <mergeCell ref="B74:B78"/>
    <mergeCell ref="F64:K64"/>
    <mergeCell ref="A58:A60"/>
    <mergeCell ref="B58:B60"/>
    <mergeCell ref="A61:A62"/>
    <mergeCell ref="B61:B62"/>
    <mergeCell ref="D72:E72"/>
    <mergeCell ref="F72:K72"/>
    <mergeCell ref="A63:A72"/>
    <mergeCell ref="B63:B72"/>
    <mergeCell ref="D67:E67"/>
    <mergeCell ref="F67:K67"/>
    <mergeCell ref="D55:E55"/>
    <mergeCell ref="F55:K55"/>
    <mergeCell ref="D70:E70"/>
    <mergeCell ref="F70:K70"/>
    <mergeCell ref="D71:E71"/>
    <mergeCell ref="F71:K71"/>
    <mergeCell ref="D51:E51"/>
    <mergeCell ref="F51:K51"/>
    <mergeCell ref="D53:E53"/>
    <mergeCell ref="F53:K53"/>
    <mergeCell ref="F49:K49"/>
    <mergeCell ref="F52:K52"/>
    <mergeCell ref="D57:E57"/>
    <mergeCell ref="F57:K57"/>
    <mergeCell ref="D64:E64"/>
    <mergeCell ref="D69:E69"/>
    <mergeCell ref="F69:K69"/>
    <mergeCell ref="D68:E68"/>
    <mergeCell ref="D66:E66"/>
    <mergeCell ref="F66:K66"/>
    <mergeCell ref="D60:E60"/>
    <mergeCell ref="F60:K60"/>
    <mergeCell ref="D59:E59"/>
    <mergeCell ref="F59:K59"/>
    <mergeCell ref="D62:E62"/>
    <mergeCell ref="F62:K62"/>
    <mergeCell ref="D65:E65"/>
    <mergeCell ref="F65:K65"/>
    <mergeCell ref="F68:K68"/>
    <mergeCell ref="A45:A46"/>
    <mergeCell ref="B45:B46"/>
    <mergeCell ref="A47:A48"/>
    <mergeCell ref="B47:B48"/>
    <mergeCell ref="A49:A51"/>
    <mergeCell ref="B49:B51"/>
    <mergeCell ref="A52:A53"/>
    <mergeCell ref="B52:B53"/>
    <mergeCell ref="A158:K158"/>
    <mergeCell ref="F54:K54"/>
    <mergeCell ref="F58:K58"/>
    <mergeCell ref="F61:K61"/>
    <mergeCell ref="F63:K63"/>
    <mergeCell ref="A130:K130"/>
    <mergeCell ref="A131:K131"/>
    <mergeCell ref="C140:D140"/>
    <mergeCell ref="B152:D152"/>
    <mergeCell ref="A151:A153"/>
    <mergeCell ref="A150:K150"/>
    <mergeCell ref="E153:K153"/>
    <mergeCell ref="E151:K151"/>
    <mergeCell ref="B153:D153"/>
    <mergeCell ref="E141:K141"/>
    <mergeCell ref="A142:B142"/>
    <mergeCell ref="E239:G239"/>
    <mergeCell ref="C178:I178"/>
    <mergeCell ref="A210:K210"/>
    <mergeCell ref="A205:K205"/>
    <mergeCell ref="A204:K204"/>
    <mergeCell ref="A208:K208"/>
    <mergeCell ref="A207:K207"/>
    <mergeCell ref="A206:K206"/>
    <mergeCell ref="J186:K186"/>
    <mergeCell ref="C186:I186"/>
    <mergeCell ref="A186:B186"/>
    <mergeCell ref="B202:K202"/>
    <mergeCell ref="A216:K216"/>
    <mergeCell ref="A215:K215"/>
    <mergeCell ref="A213:K213"/>
    <mergeCell ref="A212:K212"/>
    <mergeCell ref="A185:B185"/>
    <mergeCell ref="A233:K233"/>
    <mergeCell ref="B199:K199"/>
    <mergeCell ref="A218:K218"/>
    <mergeCell ref="B203:K203"/>
    <mergeCell ref="B201:K201"/>
    <mergeCell ref="B200:K200"/>
    <mergeCell ref="A211:K211"/>
    <mergeCell ref="A41:K41"/>
    <mergeCell ref="A42:K42"/>
    <mergeCell ref="F43:K43"/>
    <mergeCell ref="F44:K44"/>
    <mergeCell ref="F45:K45"/>
    <mergeCell ref="F47:K47"/>
    <mergeCell ref="F78:K78"/>
    <mergeCell ref="D43:E43"/>
    <mergeCell ref="D44:E44"/>
    <mergeCell ref="D45:E45"/>
    <mergeCell ref="D47:E47"/>
    <mergeCell ref="D49:E49"/>
    <mergeCell ref="D52:E52"/>
    <mergeCell ref="D54:E54"/>
    <mergeCell ref="D58:E58"/>
    <mergeCell ref="D61:E61"/>
    <mergeCell ref="D63:E63"/>
    <mergeCell ref="D78:E78"/>
    <mergeCell ref="D46:E46"/>
    <mergeCell ref="F46:K46"/>
    <mergeCell ref="D48:E48"/>
    <mergeCell ref="F48:K48"/>
    <mergeCell ref="D50:E50"/>
    <mergeCell ref="F50:K50"/>
    <mergeCell ref="A147:K147"/>
    <mergeCell ref="A165:K165"/>
    <mergeCell ref="A162:K162"/>
    <mergeCell ref="A171:K171"/>
    <mergeCell ref="D75:E75"/>
    <mergeCell ref="A159:K159"/>
    <mergeCell ref="A148:K148"/>
    <mergeCell ref="C142:D142"/>
    <mergeCell ref="E142:K142"/>
    <mergeCell ref="C145:D145"/>
    <mergeCell ref="C144:D144"/>
    <mergeCell ref="A140:B140"/>
    <mergeCell ref="E140:K140"/>
    <mergeCell ref="E144:K144"/>
    <mergeCell ref="A145:B145"/>
    <mergeCell ref="A149:K149"/>
    <mergeCell ref="E145:K145"/>
    <mergeCell ref="A146:K146"/>
    <mergeCell ref="B151:D151"/>
    <mergeCell ref="A126:D126"/>
    <mergeCell ref="A127:D127"/>
    <mergeCell ref="A143:B143"/>
    <mergeCell ref="C143:D143"/>
    <mergeCell ref="E143:K143"/>
    <mergeCell ref="A2:E2"/>
    <mergeCell ref="J2:K2"/>
    <mergeCell ref="A134:D134"/>
    <mergeCell ref="E136:K136"/>
    <mergeCell ref="A135:B135"/>
    <mergeCell ref="C135:D135"/>
    <mergeCell ref="E135:K135"/>
    <mergeCell ref="A136:B136"/>
    <mergeCell ref="C136:D136"/>
    <mergeCell ref="E134:K134"/>
    <mergeCell ref="A121:K121"/>
    <mergeCell ref="E122:K122"/>
    <mergeCell ref="A122:D122"/>
    <mergeCell ref="E123:K123"/>
    <mergeCell ref="E124:K124"/>
    <mergeCell ref="E125:K125"/>
    <mergeCell ref="A133:K133"/>
    <mergeCell ref="D56:E56"/>
    <mergeCell ref="F56:K56"/>
    <mergeCell ref="A124:D124"/>
    <mergeCell ref="G31:G32"/>
    <mergeCell ref="H31:H32"/>
    <mergeCell ref="I31:K32"/>
    <mergeCell ref="A129:K129"/>
    <mergeCell ref="A209:K209"/>
    <mergeCell ref="A220:K220"/>
    <mergeCell ref="A219:K219"/>
    <mergeCell ref="A183:B183"/>
    <mergeCell ref="A195:K195"/>
    <mergeCell ref="J184:K184"/>
    <mergeCell ref="B197:K197"/>
    <mergeCell ref="B196:K196"/>
    <mergeCell ref="A188:K188"/>
    <mergeCell ref="A193:K193"/>
    <mergeCell ref="A192:K192"/>
    <mergeCell ref="A184:B184"/>
    <mergeCell ref="C184:I184"/>
    <mergeCell ref="C185:I185"/>
    <mergeCell ref="B198:K198"/>
    <mergeCell ref="J183:K183"/>
    <mergeCell ref="A191:K191"/>
    <mergeCell ref="J185:K185"/>
    <mergeCell ref="A235:K235"/>
    <mergeCell ref="A228:K228"/>
    <mergeCell ref="A229:K229"/>
    <mergeCell ref="A230:K230"/>
    <mergeCell ref="A232:K232"/>
    <mergeCell ref="A234:K234"/>
    <mergeCell ref="A226:K226"/>
    <mergeCell ref="A225:K225"/>
    <mergeCell ref="A221:K221"/>
    <mergeCell ref="A224:K224"/>
    <mergeCell ref="A223:K223"/>
    <mergeCell ref="A222:K222"/>
    <mergeCell ref="C180:I180"/>
    <mergeCell ref="A174:K174"/>
    <mergeCell ref="A182:K182"/>
    <mergeCell ref="A173:K173"/>
    <mergeCell ref="C183:I183"/>
    <mergeCell ref="J179:K179"/>
    <mergeCell ref="J180:K180"/>
    <mergeCell ref="J176:K176"/>
    <mergeCell ref="J175:K175"/>
    <mergeCell ref="J178:K178"/>
    <mergeCell ref="C179:I179"/>
    <mergeCell ref="A179:B179"/>
    <mergeCell ref="A178:B178"/>
    <mergeCell ref="C177:I177"/>
    <mergeCell ref="A177:B177"/>
    <mergeCell ref="C176:I176"/>
    <mergeCell ref="A176:B176"/>
    <mergeCell ref="C175:I175"/>
    <mergeCell ref="A175:B175"/>
    <mergeCell ref="A180:B180"/>
    <mergeCell ref="J177:K177"/>
    <mergeCell ref="B117:C117"/>
    <mergeCell ref="D117:H117"/>
    <mergeCell ref="B118:C118"/>
    <mergeCell ref="D118:H118"/>
    <mergeCell ref="A125:D125"/>
    <mergeCell ref="E126:K126"/>
    <mergeCell ref="E127:K127"/>
    <mergeCell ref="C138:D138"/>
    <mergeCell ref="E138:K138"/>
    <mergeCell ref="A139:B139"/>
    <mergeCell ref="C139:D139"/>
    <mergeCell ref="A137:B137"/>
    <mergeCell ref="C137:D137"/>
    <mergeCell ref="E137:K137"/>
    <mergeCell ref="A138:B138"/>
    <mergeCell ref="E139:K139"/>
    <mergeCell ref="A132:K132"/>
    <mergeCell ref="A120:K120"/>
    <mergeCell ref="A123:D123"/>
    <mergeCell ref="B114:C114"/>
    <mergeCell ref="D114:H114"/>
    <mergeCell ref="B115:C115"/>
    <mergeCell ref="D115:H115"/>
    <mergeCell ref="B116:C116"/>
    <mergeCell ref="D116:H116"/>
    <mergeCell ref="B110:C110"/>
    <mergeCell ref="B111:C111"/>
    <mergeCell ref="B112:C112"/>
    <mergeCell ref="B113:C113"/>
    <mergeCell ref="D109:H109"/>
    <mergeCell ref="D110:H110"/>
    <mergeCell ref="D111:H111"/>
    <mergeCell ref="D112:H112"/>
    <mergeCell ref="D113:H113"/>
    <mergeCell ref="A106:K106"/>
    <mergeCell ref="D107:H107"/>
    <mergeCell ref="B107:C107"/>
    <mergeCell ref="B108:C108"/>
    <mergeCell ref="D108:H108"/>
    <mergeCell ref="B109:C109"/>
    <mergeCell ref="H35:H36"/>
    <mergeCell ref="I35:K36"/>
    <mergeCell ref="E22:K22"/>
    <mergeCell ref="E26:K26"/>
    <mergeCell ref="E34:K34"/>
    <mergeCell ref="A35:A36"/>
    <mergeCell ref="B35:C36"/>
    <mergeCell ref="D35:D36"/>
    <mergeCell ref="E35:E36"/>
    <mergeCell ref="F35:F36"/>
    <mergeCell ref="G35:G36"/>
    <mergeCell ref="H27:H28"/>
    <mergeCell ref="I27:K28"/>
    <mergeCell ref="A27:A28"/>
    <mergeCell ref="B27:C28"/>
    <mergeCell ref="D27:D28"/>
    <mergeCell ref="E27:E28"/>
    <mergeCell ref="F27:F28"/>
    <mergeCell ref="G27:G28"/>
    <mergeCell ref="A31:A32"/>
    <mergeCell ref="B31:C32"/>
    <mergeCell ref="D31:D32"/>
    <mergeCell ref="E31:E32"/>
    <mergeCell ref="F31:F32"/>
    <mergeCell ref="A30:K30"/>
    <mergeCell ref="G17:H17"/>
    <mergeCell ref="G18:H18"/>
    <mergeCell ref="C14:D14"/>
    <mergeCell ref="C15:D15"/>
    <mergeCell ref="C16:D16"/>
    <mergeCell ref="C17:D17"/>
    <mergeCell ref="C18:D18"/>
    <mergeCell ref="A15:B15"/>
    <mergeCell ref="A16:B16"/>
    <mergeCell ref="A17:B17"/>
    <mergeCell ref="G15:H15"/>
    <mergeCell ref="A14:B14"/>
    <mergeCell ref="A21:K21"/>
    <mergeCell ref="A23:A24"/>
    <mergeCell ref="B23:C24"/>
    <mergeCell ref="D23:D24"/>
    <mergeCell ref="E23:E24"/>
    <mergeCell ref="F23:F24"/>
    <mergeCell ref="G23:G24"/>
    <mergeCell ref="H23:H24"/>
    <mergeCell ref="I23:K24"/>
    <mergeCell ref="I17:K17"/>
    <mergeCell ref="I18:K18"/>
    <mergeCell ref="G8:H8"/>
    <mergeCell ref="G9:H9"/>
    <mergeCell ref="G12:H12"/>
    <mergeCell ref="G14:H14"/>
    <mergeCell ref="A13:K13"/>
    <mergeCell ref="A10:B10"/>
    <mergeCell ref="C10:F10"/>
    <mergeCell ref="A11:B11"/>
    <mergeCell ref="C11:F11"/>
    <mergeCell ref="G10:H10"/>
    <mergeCell ref="G11:H11"/>
    <mergeCell ref="I10:K10"/>
    <mergeCell ref="I11:K11"/>
    <mergeCell ref="A167:K167"/>
    <mergeCell ref="A166:K166"/>
    <mergeCell ref="D80:E80"/>
    <mergeCell ref="F80:K80"/>
    <mergeCell ref="A1:K1"/>
    <mergeCell ref="A7:K7"/>
    <mergeCell ref="A4:K4"/>
    <mergeCell ref="E5:F5"/>
    <mergeCell ref="E6:F6"/>
    <mergeCell ref="A18:B18"/>
    <mergeCell ref="G16:H16"/>
    <mergeCell ref="I15:K15"/>
    <mergeCell ref="I16:K16"/>
    <mergeCell ref="I14:K14"/>
    <mergeCell ref="I9:K9"/>
    <mergeCell ref="I12:K12"/>
    <mergeCell ref="A9:B9"/>
    <mergeCell ref="C9:F9"/>
    <mergeCell ref="I8:K8"/>
    <mergeCell ref="A12:B12"/>
    <mergeCell ref="C12:F12"/>
    <mergeCell ref="B6:D6"/>
    <mergeCell ref="C8:F8"/>
    <mergeCell ref="A8:B8"/>
    <mergeCell ref="D73:E73"/>
    <mergeCell ref="F73:K73"/>
    <mergeCell ref="F81:K81"/>
    <mergeCell ref="D81:E81"/>
    <mergeCell ref="A79:A81"/>
    <mergeCell ref="B79:B81"/>
    <mergeCell ref="D82:E82"/>
    <mergeCell ref="F82:K82"/>
    <mergeCell ref="D84:E84"/>
    <mergeCell ref="F84:K84"/>
    <mergeCell ref="B82:B84"/>
    <mergeCell ref="A82:A84"/>
    <mergeCell ref="D83:E83"/>
    <mergeCell ref="F83:K83"/>
    <mergeCell ref="D85:E85"/>
    <mergeCell ref="D86:E86"/>
    <mergeCell ref="D87:E87"/>
    <mergeCell ref="D88:E88"/>
    <mergeCell ref="D89:E89"/>
    <mergeCell ref="D90:E90"/>
    <mergeCell ref="D91:E91"/>
    <mergeCell ref="D92:E92"/>
    <mergeCell ref="D93:E93"/>
    <mergeCell ref="F105:K105"/>
    <mergeCell ref="D94:E94"/>
    <mergeCell ref="D95:E95"/>
    <mergeCell ref="D96:E96"/>
    <mergeCell ref="D97:E97"/>
    <mergeCell ref="D98:E98"/>
    <mergeCell ref="D99:E99"/>
    <mergeCell ref="D100:E100"/>
    <mergeCell ref="D101:E101"/>
    <mergeCell ref="D102:E102"/>
    <mergeCell ref="A168:K169"/>
    <mergeCell ref="D103:E103"/>
    <mergeCell ref="D104:E104"/>
    <mergeCell ref="D105:E105"/>
    <mergeCell ref="F85:K85"/>
    <mergeCell ref="F86:K86"/>
    <mergeCell ref="F87:K87"/>
    <mergeCell ref="F88:K88"/>
    <mergeCell ref="F89:K89"/>
    <mergeCell ref="F90:K90"/>
    <mergeCell ref="F91:K91"/>
    <mergeCell ref="F92:K92"/>
    <mergeCell ref="F93:K93"/>
    <mergeCell ref="F94:K94"/>
    <mergeCell ref="F95:K95"/>
    <mergeCell ref="F96:K96"/>
    <mergeCell ref="F97:K97"/>
    <mergeCell ref="F98:K98"/>
    <mergeCell ref="F99:K99"/>
    <mergeCell ref="F100:K100"/>
    <mergeCell ref="F101:K101"/>
    <mergeCell ref="F102:K102"/>
    <mergeCell ref="F103:K103"/>
    <mergeCell ref="F104:K104"/>
  </mergeCells>
  <phoneticPr fontId="11" type="noConversion"/>
  <conditionalFormatting sqref="B23:C24 E23:E24 B27:C28 E27:E28">
    <cfRule type="cellIs" dxfId="105" priority="30" operator="equal">
      <formula>0</formula>
    </cfRule>
  </conditionalFormatting>
  <conditionalFormatting sqref="B23:C24 E23:E24 G23:G24 B27:C28 E27:E28 G27:G28 G31:G32">
    <cfRule type="containsBlanks" dxfId="104" priority="12">
      <formula>LEN(TRIM(B23))=0</formula>
    </cfRule>
  </conditionalFormatting>
  <conditionalFormatting sqref="B31:C32 E31:E32">
    <cfRule type="containsBlanks" dxfId="103" priority="14">
      <formula>LEN(TRIM(B31))=0</formula>
    </cfRule>
    <cfRule type="cellIs" dxfId="102" priority="16" operator="equal">
      <formula>0</formula>
    </cfRule>
  </conditionalFormatting>
  <conditionalFormatting sqref="C14:D18 F14:F18">
    <cfRule type="containsBlanks" dxfId="101" priority="1">
      <formula>LEN(TRIM(C14))=0</formula>
    </cfRule>
  </conditionalFormatting>
  <conditionalFormatting sqref="C136:D145">
    <cfRule type="containsBlanks" dxfId="100" priority="24">
      <formula>LEN(TRIM(C136))=0</formula>
    </cfRule>
  </conditionalFormatting>
  <conditionalFormatting sqref="C8:F12">
    <cfRule type="containsBlanks" dxfId="99" priority="3">
      <formula>LEN(TRIM(C8))=0</formula>
    </cfRule>
  </conditionalFormatting>
  <conditionalFormatting sqref="E239">
    <cfRule type="containsBlanks" dxfId="98" priority="17">
      <formula>LEN(TRIM(E239))=0</formula>
    </cfRule>
  </conditionalFormatting>
  <conditionalFormatting sqref="E134:K134">
    <cfRule type="cellIs" dxfId="97" priority="27" operator="equal">
      <formula>0</formula>
    </cfRule>
  </conditionalFormatting>
  <conditionalFormatting sqref="I8:K12">
    <cfRule type="containsBlanks" dxfId="96" priority="4">
      <formula>LEN(TRIM(I8))=0</formula>
    </cfRule>
  </conditionalFormatting>
  <conditionalFormatting sqref="I14:K18">
    <cfRule type="containsBlanks" dxfId="95" priority="28">
      <formula>LEN(TRIM(I14))=0</formula>
    </cfRule>
  </conditionalFormatting>
  <conditionalFormatting sqref="I108:K108">
    <cfRule type="containsBlanks" dxfId="94" priority="20">
      <formula>LEN(TRIM(I108))=0</formula>
    </cfRule>
    <cfRule type="cellIs" dxfId="93" priority="31" operator="equal">
      <formula>0</formula>
    </cfRule>
  </conditionalFormatting>
  <conditionalFormatting sqref="J176:K180">
    <cfRule type="containsBlanks" dxfId="92" priority="22">
      <formula>LEN(TRIM(J176))=0</formula>
    </cfRule>
  </conditionalFormatting>
  <pageMargins left="0.25" right="0.25" top="0.86458333333333337" bottom="0.75" header="0.3" footer="0.3"/>
  <pageSetup paperSize="9" scale="50" fitToHeight="0" orientation="portrait" r:id="rId1"/>
  <headerFooter>
    <oddHeader>&amp;LStatement of Work
(eSOW/Hardware) - JLR-TMP-557249&amp;C&amp;G&amp;RIssue Level 5.3
Effective Date: 9th June 2025</oddHeader>
    <oddFooter>&amp;L&amp;"JLR Emeric,Regular"&amp;10
Front Matter&amp;C&amp;"JLR Emeric,Bold"&amp;10&amp;KFF0000PRINTED COPIES ARE UNCONTROLLED&amp;R&amp;"JLR Emeric,Regular"&amp;10&amp;P</oddFooter>
  </headerFooter>
  <rowBreaks count="11" manualBreakCount="11">
    <brk id="40" max="16383" man="1"/>
    <brk id="72" max="16383" man="1"/>
    <brk id="105" max="16383" man="1"/>
    <brk id="119" max="16383" man="1"/>
    <brk id="146" max="16383" man="1"/>
    <brk id="160" max="16383" man="1"/>
    <brk id="166" max="16383" man="1"/>
    <brk id="187" max="16383" man="1"/>
    <brk id="203" max="16383" man="1"/>
    <brk id="208" max="16383" man="1"/>
    <brk id="221" max="16383" man="1"/>
  </rowBreaks>
  <ignoredErrors>
    <ignoredError sqref="J108" formula="1"/>
    <ignoredError sqref="A63 A54 A44:A45 A47 A49 A52 A58 A61 A79 A82" numberStoredAsText="1"/>
  </ignoredErrors>
  <drawing r:id="rId2"/>
  <legacyDrawing r:id="rId3"/>
  <legacyDrawingHF r:id="rId4"/>
  <extLst>
    <ext xmlns:x14="http://schemas.microsoft.com/office/spreadsheetml/2009/9/main" uri="{CCE6A557-97BC-4b89-ADB6-D9C93CAAB3DF}">
      <x14:dataValidations xmlns:xm="http://schemas.microsoft.com/office/excel/2006/main" count="22">
        <x14:dataValidation type="list" allowBlank="1" showInputMessage="1" showErrorMessage="1" xr:uid="{C4779D55-2003-4D7E-89A4-FDA393EB1F05}">
          <x14:formula1>
            <xm:f>DATA_NEW!$A$2:$A$7</xm:f>
          </x14:formula1>
          <xm:sqref>I8:K8</xm:sqref>
        </x14:dataValidation>
        <x14:dataValidation type="list" allowBlank="1" showInputMessage="1" showErrorMessage="1" xr:uid="{BCC0B27A-E170-49A9-B892-BE499B2EB2F8}">
          <x14:formula1>
            <xm:f>DATA_NEW!$A$21:$A$22</xm:f>
          </x14:formula1>
          <xm:sqref>J184:J186 J176:J181 C136:D145</xm:sqref>
        </x14:dataValidation>
        <x14:dataValidation type="list" allowBlank="1" showInputMessage="1" showErrorMessage="1" xr:uid="{17DF82B9-9FBF-44F3-9668-771D289DA4BE}">
          <x14:formula1>
            <xm:f>DATA_NEW!$O$2</xm:f>
          </x14:formula1>
          <xm:sqref>A109</xm:sqref>
        </x14:dataValidation>
        <x14:dataValidation type="list" allowBlank="1" showInputMessage="1" showErrorMessage="1" xr:uid="{0EEF988E-3271-4235-B5F7-41EB95416960}">
          <x14:formula1>
            <xm:f>DATA_NEW!$O$3</xm:f>
          </x14:formula1>
          <xm:sqref>A110</xm:sqref>
        </x14:dataValidation>
        <x14:dataValidation type="list" allowBlank="1" showInputMessage="1" showErrorMessage="1" xr:uid="{1D22B717-39E2-4ECF-9A73-C755E1F74B1C}">
          <x14:formula1>
            <xm:f>DATA_NEW!$O$4</xm:f>
          </x14:formula1>
          <xm:sqref>A111</xm:sqref>
        </x14:dataValidation>
        <x14:dataValidation type="list" allowBlank="1" showInputMessage="1" showErrorMessage="1" xr:uid="{1E48960D-C106-40DC-96C6-552E97029FA7}">
          <x14:formula1>
            <xm:f>DATA_NEW!$O$5</xm:f>
          </x14:formula1>
          <xm:sqref>A112</xm:sqref>
        </x14:dataValidation>
        <x14:dataValidation type="list" allowBlank="1" showInputMessage="1" showErrorMessage="1" xr:uid="{C67790DB-BF9D-416C-B09D-3D1C1041921B}">
          <x14:formula1>
            <xm:f>DATA_NEW!$O$6</xm:f>
          </x14:formula1>
          <xm:sqref>A113</xm:sqref>
        </x14:dataValidation>
        <x14:dataValidation type="list" allowBlank="1" showInputMessage="1" showErrorMessage="1" xr:uid="{AB9A79C8-7577-48EA-BCF8-B8D1C5117905}">
          <x14:formula1>
            <xm:f>DATA_NEW!$O$7</xm:f>
          </x14:formula1>
          <xm:sqref>A114</xm:sqref>
        </x14:dataValidation>
        <x14:dataValidation type="list" allowBlank="1" showInputMessage="1" showErrorMessage="1" xr:uid="{066B97A4-59C9-4503-BDF8-54A35D09154A}">
          <x14:formula1>
            <xm:f>DATA_NEW!$O$8</xm:f>
          </x14:formula1>
          <xm:sqref>A115</xm:sqref>
        </x14:dataValidation>
        <x14:dataValidation type="list" allowBlank="1" showInputMessage="1" showErrorMessage="1" xr:uid="{025A4027-3EE5-45E2-B4EB-7EA2E8EA6FF1}">
          <x14:formula1>
            <xm:f>DATA_NEW!$O$9</xm:f>
          </x14:formula1>
          <xm:sqref>A116</xm:sqref>
        </x14:dataValidation>
        <x14:dataValidation type="list" allowBlank="1" showInputMessage="1" showErrorMessage="1" xr:uid="{0071B062-14D6-4F9C-BE25-A66E364C9D20}">
          <x14:formula1>
            <xm:f>DATA_NEW!$O$10</xm:f>
          </x14:formula1>
          <xm:sqref>A117</xm:sqref>
        </x14:dataValidation>
        <x14:dataValidation type="list" allowBlank="1" showInputMessage="1" showErrorMessage="1" xr:uid="{45EEAAC7-5423-404F-BAF8-C8059029D5E3}">
          <x14:formula1>
            <xm:f>DATA_NEW!$O$11</xm:f>
          </x14:formula1>
          <xm:sqref>A118</xm:sqref>
        </x14:dataValidation>
        <x14:dataValidation type="list" allowBlank="1" showInputMessage="1" showErrorMessage="1" xr:uid="{A07E4E57-2B71-4CD0-8D57-95A2E034455A}">
          <x14:formula1>
            <xm:f>DATA_NEW!$P$2</xm:f>
          </x14:formula1>
          <xm:sqref>B109:C109</xm:sqref>
        </x14:dataValidation>
        <x14:dataValidation type="list" allowBlank="1" showInputMessage="1" showErrorMessage="1" xr:uid="{24C00855-B737-45ED-8B5B-997D95352625}">
          <x14:formula1>
            <xm:f>DATA_NEW!$P$3</xm:f>
          </x14:formula1>
          <xm:sqref>B110:C110</xm:sqref>
        </x14:dataValidation>
        <x14:dataValidation type="list" allowBlank="1" showInputMessage="1" showErrorMessage="1" xr:uid="{661BD2F3-E470-4A47-B6E6-605AFDA95303}">
          <x14:formula1>
            <xm:f>DATA_NEW!$P$4</xm:f>
          </x14:formula1>
          <xm:sqref>B111:C111</xm:sqref>
        </x14:dataValidation>
        <x14:dataValidation type="list" allowBlank="1" showInputMessage="1" showErrorMessage="1" xr:uid="{E1E18D9A-C9D2-4BDA-ADB3-1F5E244917EF}">
          <x14:formula1>
            <xm:f>DATA_NEW!$P$5</xm:f>
          </x14:formula1>
          <xm:sqref>B112:C112</xm:sqref>
        </x14:dataValidation>
        <x14:dataValidation type="list" allowBlank="1" showInputMessage="1" showErrorMessage="1" xr:uid="{A663D330-E9ED-4EBE-B637-0A2122D2DD4D}">
          <x14:formula1>
            <xm:f>DATA_NEW!$P$6</xm:f>
          </x14:formula1>
          <xm:sqref>B113:C113</xm:sqref>
        </x14:dataValidation>
        <x14:dataValidation type="list" allowBlank="1" showInputMessage="1" showErrorMessage="1" xr:uid="{50460064-2C9A-42A0-9CB0-09C41FE74BE3}">
          <x14:formula1>
            <xm:f>DATA_NEW!$P$7</xm:f>
          </x14:formula1>
          <xm:sqref>B114:C114</xm:sqref>
        </x14:dataValidation>
        <x14:dataValidation type="list" allowBlank="1" showInputMessage="1" showErrorMessage="1" xr:uid="{446B770C-7978-4BEE-B35F-EF7080CF9436}">
          <x14:formula1>
            <xm:f>DATA_NEW!$P$8</xm:f>
          </x14:formula1>
          <xm:sqref>B115:C115</xm:sqref>
        </x14:dataValidation>
        <x14:dataValidation type="list" allowBlank="1" showInputMessage="1" showErrorMessage="1" xr:uid="{99D4F2F6-C1A6-48D8-8C01-517F35DB77C5}">
          <x14:formula1>
            <xm:f>DATA_NEW!$P$9</xm:f>
          </x14:formula1>
          <xm:sqref>B116:C116</xm:sqref>
        </x14:dataValidation>
        <x14:dataValidation type="list" allowBlank="1" showInputMessage="1" showErrorMessage="1" xr:uid="{33EB0D6B-C17F-4499-A2B1-DD767CA38DC7}">
          <x14:formula1>
            <xm:f>DATA_NEW!$P$10</xm:f>
          </x14:formula1>
          <xm:sqref>B117:C117</xm:sqref>
        </x14:dataValidation>
        <x14:dataValidation type="list" allowBlank="1" showInputMessage="1" showErrorMessage="1" xr:uid="{A53CAAEF-A586-4E37-9AA5-2B8D8B175701}">
          <x14:formula1>
            <xm:f>DATA_NEW!$P$11</xm:f>
          </x14:formula1>
          <xm:sqref>B118:C118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16086-B985-45F0-8E34-50BEFDCEE951}">
  <sheetPr codeName="Sheet2"/>
  <dimension ref="A1:Q120"/>
  <sheetViews>
    <sheetView zoomScale="145" zoomScaleNormal="145" workbookViewId="0">
      <selection activeCell="I12" sqref="I12"/>
    </sheetView>
  </sheetViews>
  <sheetFormatPr defaultColWidth="9.88671875" defaultRowHeight="16.95" customHeight="1" x14ac:dyDescent="0.3"/>
  <cols>
    <col min="13" max="13" width="41.109375" style="41" customWidth="1"/>
  </cols>
  <sheetData>
    <row r="1" spans="1:17" ht="16.95" customHeight="1" x14ac:dyDescent="0.3">
      <c r="A1" s="42" t="s">
        <v>339</v>
      </c>
      <c r="B1" s="58"/>
      <c r="C1" s="58"/>
      <c r="D1" s="58"/>
      <c r="E1" s="58"/>
      <c r="F1" s="58"/>
      <c r="G1" s="59"/>
      <c r="I1" s="42" t="s">
        <v>340</v>
      </c>
      <c r="J1" s="58"/>
      <c r="K1" s="59"/>
      <c r="M1" s="71" t="s">
        <v>341</v>
      </c>
      <c r="O1" s="42" t="s">
        <v>197</v>
      </c>
      <c r="P1" s="107" t="s">
        <v>198</v>
      </c>
      <c r="Q1" s="59"/>
    </row>
    <row r="2" spans="1:17" ht="16.95" customHeight="1" x14ac:dyDescent="0.3">
      <c r="A2" s="63" t="s">
        <v>209</v>
      </c>
      <c r="G2" s="61"/>
      <c r="I2" s="67" t="s">
        <v>342</v>
      </c>
      <c r="J2" s="68"/>
      <c r="K2" s="69"/>
      <c r="M2" s="72" t="s">
        <v>343</v>
      </c>
      <c r="O2" s="108">
        <v>1</v>
      </c>
      <c r="P2" s="68" t="s">
        <v>204</v>
      </c>
      <c r="Q2" s="61"/>
    </row>
    <row r="3" spans="1:17" ht="16.95" customHeight="1" x14ac:dyDescent="0.3">
      <c r="A3" s="63" t="s">
        <v>344</v>
      </c>
      <c r="G3" s="61"/>
      <c r="I3" s="67" t="s">
        <v>345</v>
      </c>
      <c r="J3" s="68"/>
      <c r="K3" s="69"/>
      <c r="M3" s="72" t="s">
        <v>346</v>
      </c>
      <c r="O3" s="108">
        <v>2</v>
      </c>
      <c r="P3" s="68" t="s">
        <v>347</v>
      </c>
      <c r="Q3" s="61"/>
    </row>
    <row r="4" spans="1:17" ht="16.95" customHeight="1" x14ac:dyDescent="0.3">
      <c r="A4" s="63" t="s">
        <v>348</v>
      </c>
      <c r="G4" s="61"/>
      <c r="I4" s="67" t="s">
        <v>349</v>
      </c>
      <c r="J4" s="68"/>
      <c r="K4" s="69"/>
      <c r="M4" s="72" t="s">
        <v>350</v>
      </c>
      <c r="O4" s="108">
        <v>3</v>
      </c>
      <c r="P4" s="68" t="s">
        <v>351</v>
      </c>
      <c r="Q4" s="61"/>
    </row>
    <row r="5" spans="1:17" ht="16.95" customHeight="1" x14ac:dyDescent="0.3">
      <c r="A5" s="63" t="s">
        <v>214</v>
      </c>
      <c r="G5" s="61"/>
      <c r="I5" s="67" t="s">
        <v>352</v>
      </c>
      <c r="J5" s="68"/>
      <c r="K5" s="69"/>
      <c r="M5" s="72" t="s">
        <v>353</v>
      </c>
      <c r="O5" s="108">
        <v>4</v>
      </c>
      <c r="P5" s="68" t="s">
        <v>354</v>
      </c>
      <c r="Q5" s="61"/>
    </row>
    <row r="6" spans="1:17" ht="16.95" customHeight="1" x14ac:dyDescent="0.3">
      <c r="A6" s="64" t="s">
        <v>19</v>
      </c>
      <c r="G6" s="61"/>
      <c r="I6" s="67" t="s">
        <v>355</v>
      </c>
      <c r="J6" s="68"/>
      <c r="K6" s="69"/>
      <c r="M6" s="72" t="s">
        <v>356</v>
      </c>
      <c r="O6" s="108">
        <v>5</v>
      </c>
      <c r="P6" s="68" t="s">
        <v>357</v>
      </c>
      <c r="Q6" s="61"/>
    </row>
    <row r="7" spans="1:17" ht="16.95" customHeight="1" x14ac:dyDescent="0.3">
      <c r="A7" s="64" t="s">
        <v>358</v>
      </c>
      <c r="B7" s="32"/>
      <c r="C7" s="32"/>
      <c r="D7" s="32"/>
      <c r="E7" s="32"/>
      <c r="F7" s="32"/>
      <c r="G7" s="62"/>
      <c r="I7" s="67" t="s">
        <v>359</v>
      </c>
      <c r="J7" s="68"/>
      <c r="K7" s="69"/>
      <c r="M7" s="72" t="s">
        <v>227</v>
      </c>
      <c r="O7" s="108">
        <v>6</v>
      </c>
      <c r="P7" s="68" t="s">
        <v>360</v>
      </c>
      <c r="Q7" s="61"/>
    </row>
    <row r="8" spans="1:17" ht="16.95" customHeight="1" thickBot="1" x14ac:dyDescent="0.35">
      <c r="A8" s="63"/>
      <c r="I8" s="68" t="s">
        <v>361</v>
      </c>
      <c r="J8" s="68"/>
      <c r="K8" s="69"/>
      <c r="M8" s="72" t="s">
        <v>362</v>
      </c>
      <c r="O8" s="108">
        <v>7</v>
      </c>
      <c r="P8" s="68" t="s">
        <v>363</v>
      </c>
      <c r="Q8" s="61"/>
    </row>
    <row r="9" spans="1:17" ht="16.95" customHeight="1" x14ac:dyDescent="0.3">
      <c r="A9" s="157" t="s">
        <v>364</v>
      </c>
      <c r="B9" s="158"/>
      <c r="C9" s="158"/>
      <c r="D9" s="158"/>
      <c r="E9" s="158"/>
      <c r="F9" s="158"/>
      <c r="G9" s="158"/>
      <c r="H9" s="159"/>
      <c r="I9" s="68" t="s">
        <v>365</v>
      </c>
      <c r="J9" s="68"/>
      <c r="K9" s="69"/>
      <c r="M9" s="72" t="s">
        <v>366</v>
      </c>
      <c r="O9" s="108">
        <v>8</v>
      </c>
      <c r="P9" s="68" t="s">
        <v>367</v>
      </c>
      <c r="Q9" s="61"/>
    </row>
    <row r="10" spans="1:17" ht="16.95" customHeight="1" x14ac:dyDescent="0.3">
      <c r="A10" s="160" t="s">
        <v>368</v>
      </c>
      <c r="B10" s="152" t="s">
        <v>369</v>
      </c>
      <c r="C10" s="152" t="s">
        <v>370</v>
      </c>
      <c r="D10" s="152" t="s">
        <v>371</v>
      </c>
      <c r="E10" s="152" t="s">
        <v>372</v>
      </c>
      <c r="F10" s="152" t="s">
        <v>373</v>
      </c>
      <c r="G10" s="152" t="s">
        <v>374</v>
      </c>
      <c r="H10" s="161" t="s">
        <v>358</v>
      </c>
      <c r="I10" s="68" t="s">
        <v>375</v>
      </c>
      <c r="J10" s="68"/>
      <c r="K10" s="69"/>
      <c r="M10" s="72" t="s">
        <v>376</v>
      </c>
      <c r="O10" s="108">
        <v>9</v>
      </c>
      <c r="P10" s="68" t="s">
        <v>377</v>
      </c>
      <c r="Q10" s="61"/>
    </row>
    <row r="11" spans="1:17" ht="16.95" customHeight="1" x14ac:dyDescent="0.3">
      <c r="A11" s="162" t="s">
        <v>225</v>
      </c>
      <c r="B11" s="7" t="s">
        <v>378</v>
      </c>
      <c r="C11" s="7" t="s">
        <v>378</v>
      </c>
      <c r="D11" s="7" t="s">
        <v>378</v>
      </c>
      <c r="E11" s="7" t="s">
        <v>378</v>
      </c>
      <c r="F11" s="7" t="s">
        <v>378</v>
      </c>
      <c r="G11" s="7" t="s">
        <v>378</v>
      </c>
      <c r="H11" s="163" t="s">
        <v>378</v>
      </c>
      <c r="I11" s="68" t="s">
        <v>379</v>
      </c>
      <c r="J11" s="68"/>
      <c r="K11" s="69"/>
      <c r="M11" s="72" t="s">
        <v>380</v>
      </c>
      <c r="O11" s="109">
        <v>10</v>
      </c>
      <c r="P11" s="110" t="s">
        <v>381</v>
      </c>
      <c r="Q11" s="62"/>
    </row>
    <row r="12" spans="1:17" ht="16.95" customHeight="1" x14ac:dyDescent="0.3">
      <c r="A12" s="162" t="s">
        <v>227</v>
      </c>
      <c r="B12" s="7" t="s">
        <v>378</v>
      </c>
      <c r="C12" s="7" t="s">
        <v>378</v>
      </c>
      <c r="D12" s="7" t="s">
        <v>378</v>
      </c>
      <c r="E12" s="7" t="s">
        <v>378</v>
      </c>
      <c r="F12" s="7" t="s">
        <v>378</v>
      </c>
      <c r="G12" s="7" t="s">
        <v>378</v>
      </c>
      <c r="H12" s="163" t="s">
        <v>378</v>
      </c>
      <c r="I12" s="68" t="s">
        <v>382</v>
      </c>
      <c r="J12" s="68"/>
      <c r="K12" s="69"/>
      <c r="M12" s="72" t="s">
        <v>383</v>
      </c>
    </row>
    <row r="13" spans="1:17" ht="16.95" customHeight="1" x14ac:dyDescent="0.3">
      <c r="A13" s="162" t="s">
        <v>229</v>
      </c>
      <c r="B13" s="7" t="s">
        <v>384</v>
      </c>
      <c r="C13" s="7" t="s">
        <v>384</v>
      </c>
      <c r="D13" s="7" t="s">
        <v>378</v>
      </c>
      <c r="E13" s="7" t="s">
        <v>378</v>
      </c>
      <c r="F13" s="7" t="s">
        <v>378</v>
      </c>
      <c r="G13" s="7" t="s">
        <v>378</v>
      </c>
      <c r="H13" s="163" t="s">
        <v>378</v>
      </c>
      <c r="I13" s="68" t="s">
        <v>385</v>
      </c>
      <c r="J13" s="68"/>
      <c r="K13" s="69"/>
      <c r="M13" s="72" t="s">
        <v>386</v>
      </c>
      <c r="O13" s="133" t="s">
        <v>387</v>
      </c>
      <c r="P13" s="58"/>
      <c r="Q13" s="59"/>
    </row>
    <row r="14" spans="1:17" ht="16.95" customHeight="1" x14ac:dyDescent="0.3">
      <c r="A14" s="162" t="s">
        <v>388</v>
      </c>
      <c r="B14" s="7" t="s">
        <v>378</v>
      </c>
      <c r="C14" s="7" t="s">
        <v>378</v>
      </c>
      <c r="D14" s="7" t="s">
        <v>378</v>
      </c>
      <c r="E14" s="7" t="s">
        <v>378</v>
      </c>
      <c r="F14" s="7" t="s">
        <v>378</v>
      </c>
      <c r="G14" s="7" t="s">
        <v>378</v>
      </c>
      <c r="H14" s="163" t="s">
        <v>378</v>
      </c>
      <c r="I14" s="68" t="s">
        <v>389</v>
      </c>
      <c r="J14" s="68"/>
      <c r="K14" s="69"/>
      <c r="M14" s="72" t="s">
        <v>390</v>
      </c>
      <c r="O14" s="134" t="s">
        <v>391</v>
      </c>
      <c r="Q14" s="61"/>
    </row>
    <row r="15" spans="1:17" ht="16.95" customHeight="1" x14ac:dyDescent="0.3">
      <c r="A15" s="162" t="s">
        <v>233</v>
      </c>
      <c r="B15" s="7" t="s">
        <v>384</v>
      </c>
      <c r="C15" s="7" t="s">
        <v>384</v>
      </c>
      <c r="D15" s="7" t="s">
        <v>378</v>
      </c>
      <c r="E15" s="7" t="s">
        <v>378</v>
      </c>
      <c r="F15" s="7" t="s">
        <v>378</v>
      </c>
      <c r="G15" s="7" t="s">
        <v>378</v>
      </c>
      <c r="H15" s="163" t="s">
        <v>378</v>
      </c>
      <c r="I15" s="68" t="s">
        <v>392</v>
      </c>
      <c r="J15" s="68"/>
      <c r="K15" s="69"/>
      <c r="M15" s="72" t="s">
        <v>393</v>
      </c>
      <c r="O15" s="67" t="s">
        <v>394</v>
      </c>
      <c r="Q15" s="61"/>
    </row>
    <row r="16" spans="1:17" ht="16.95" customHeight="1" x14ac:dyDescent="0.3">
      <c r="A16" s="162" t="s">
        <v>235</v>
      </c>
      <c r="B16" s="7" t="s">
        <v>378</v>
      </c>
      <c r="C16" s="7" t="s">
        <v>378</v>
      </c>
      <c r="D16" s="7" t="s">
        <v>378</v>
      </c>
      <c r="E16" s="7" t="s">
        <v>384</v>
      </c>
      <c r="F16" s="7" t="s">
        <v>384</v>
      </c>
      <c r="G16" s="7" t="s">
        <v>384</v>
      </c>
      <c r="H16" s="163" t="s">
        <v>384</v>
      </c>
      <c r="J16" s="68"/>
      <c r="K16" s="69"/>
      <c r="M16" s="72" t="s">
        <v>395</v>
      </c>
      <c r="O16" s="67" t="s">
        <v>396</v>
      </c>
      <c r="Q16" s="61"/>
    </row>
    <row r="17" spans="1:17" ht="16.95" customHeight="1" x14ac:dyDescent="0.3">
      <c r="A17" s="162" t="s">
        <v>237</v>
      </c>
      <c r="B17" s="7" t="s">
        <v>378</v>
      </c>
      <c r="C17" s="7" t="s">
        <v>378</v>
      </c>
      <c r="D17" s="7" t="s">
        <v>378</v>
      </c>
      <c r="E17" s="7" t="s">
        <v>378</v>
      </c>
      <c r="F17" s="7" t="s">
        <v>378</v>
      </c>
      <c r="G17" s="7" t="s">
        <v>378</v>
      </c>
      <c r="H17" s="163" t="s">
        <v>378</v>
      </c>
      <c r="K17" s="61"/>
      <c r="M17" s="72" t="s">
        <v>397</v>
      </c>
      <c r="O17" s="134" t="s">
        <v>398</v>
      </c>
      <c r="Q17" s="61"/>
    </row>
    <row r="18" spans="1:17" ht="16.95" customHeight="1" thickBot="1" x14ac:dyDescent="0.35">
      <c r="A18" s="164" t="s">
        <v>399</v>
      </c>
      <c r="B18" s="165" t="s">
        <v>378</v>
      </c>
      <c r="C18" s="165" t="s">
        <v>378</v>
      </c>
      <c r="D18" s="165" t="s">
        <v>378</v>
      </c>
      <c r="E18" s="165" t="s">
        <v>378</v>
      </c>
      <c r="F18" s="165" t="s">
        <v>378</v>
      </c>
      <c r="G18" s="165" t="s">
        <v>378</v>
      </c>
      <c r="H18" s="166" t="s">
        <v>378</v>
      </c>
      <c r="I18" s="32"/>
      <c r="J18" s="32"/>
      <c r="K18" s="62"/>
      <c r="M18" s="72" t="s">
        <v>400</v>
      </c>
      <c r="O18" s="67" t="s">
        <v>80</v>
      </c>
      <c r="Q18" s="61"/>
    </row>
    <row r="19" spans="1:17" ht="16.95" customHeight="1" x14ac:dyDescent="0.3">
      <c r="M19" s="72" t="s">
        <v>401</v>
      </c>
      <c r="O19" s="67" t="s">
        <v>402</v>
      </c>
      <c r="Q19" s="61"/>
    </row>
    <row r="20" spans="1:17" ht="16.95" customHeight="1" x14ac:dyDescent="0.3">
      <c r="A20" s="65" t="s">
        <v>403</v>
      </c>
      <c r="B20" s="59"/>
      <c r="D20" s="95" t="s">
        <v>404</v>
      </c>
      <c r="E20" s="96" t="s">
        <v>369</v>
      </c>
      <c r="F20" s="96" t="s">
        <v>370</v>
      </c>
      <c r="G20" s="96" t="s">
        <v>371</v>
      </c>
      <c r="H20" s="96" t="s">
        <v>405</v>
      </c>
      <c r="I20" s="96" t="s">
        <v>373</v>
      </c>
      <c r="J20" s="97" t="s">
        <v>374</v>
      </c>
      <c r="M20" s="72" t="s">
        <v>406</v>
      </c>
      <c r="O20" s="67" t="s">
        <v>407</v>
      </c>
      <c r="Q20" s="61"/>
    </row>
    <row r="21" spans="1:17" ht="16.95" customHeight="1" x14ac:dyDescent="0.3">
      <c r="A21" s="78" t="s">
        <v>408</v>
      </c>
      <c r="B21" s="79"/>
      <c r="C21" s="77"/>
      <c r="D21" s="88" t="s">
        <v>409</v>
      </c>
      <c r="E21" s="5"/>
      <c r="F21" s="89"/>
      <c r="G21" s="89"/>
      <c r="H21" s="89"/>
      <c r="I21" s="89"/>
      <c r="J21" s="90"/>
      <c r="M21" s="72" t="s">
        <v>239</v>
      </c>
      <c r="O21" s="135" t="s">
        <v>410</v>
      </c>
      <c r="P21" s="32"/>
      <c r="Q21" s="62"/>
    </row>
    <row r="22" spans="1:17" s="7" customFormat="1" ht="16.95" customHeight="1" x14ac:dyDescent="0.3">
      <c r="A22" s="63" t="s">
        <v>411</v>
      </c>
      <c r="B22" s="79"/>
      <c r="C22" s="77"/>
      <c r="D22" s="88" t="s">
        <v>412</v>
      </c>
      <c r="E22" s="5"/>
      <c r="F22" s="5"/>
      <c r="G22" s="5"/>
      <c r="H22" s="5"/>
      <c r="I22" s="5"/>
      <c r="J22" s="91"/>
      <c r="M22" s="72" t="s">
        <v>413</v>
      </c>
    </row>
    <row r="23" spans="1:17" s="7" customFormat="1" ht="16.95" customHeight="1" x14ac:dyDescent="0.3">
      <c r="A23" s="63" t="s">
        <v>414</v>
      </c>
      <c r="B23" s="66"/>
      <c r="D23" s="88" t="s">
        <v>415</v>
      </c>
      <c r="E23" s="5"/>
      <c r="F23" s="5"/>
      <c r="G23" s="5"/>
      <c r="H23" s="5"/>
      <c r="I23" s="5"/>
      <c r="J23" s="91"/>
      <c r="M23" s="72" t="s">
        <v>416</v>
      </c>
      <c r="O23" s="50" t="s">
        <v>417</v>
      </c>
      <c r="Q23" s="35" t="s">
        <v>418</v>
      </c>
    </row>
    <row r="24" spans="1:17" s="7" customFormat="1" ht="16.95" customHeight="1" x14ac:dyDescent="0.3">
      <c r="A24" s="63" t="s">
        <v>419</v>
      </c>
      <c r="B24" s="66"/>
      <c r="D24" s="88" t="s">
        <v>420</v>
      </c>
      <c r="E24" s="5"/>
      <c r="F24" s="5"/>
      <c r="G24" s="5"/>
      <c r="H24" s="5"/>
      <c r="I24" s="5"/>
      <c r="J24" s="91"/>
      <c r="M24" s="72" t="s">
        <v>421</v>
      </c>
      <c r="O24" s="50" t="s">
        <v>422</v>
      </c>
      <c r="Q24" s="138" t="s">
        <v>423</v>
      </c>
    </row>
    <row r="25" spans="1:17" s="7" customFormat="1" ht="16.95" customHeight="1" x14ac:dyDescent="0.3">
      <c r="A25" s="63" t="s">
        <v>424</v>
      </c>
      <c r="B25" s="66"/>
      <c r="D25" s="88" t="s">
        <v>425</v>
      </c>
      <c r="E25" s="5"/>
      <c r="F25" s="5"/>
      <c r="G25" s="5"/>
      <c r="H25" s="5"/>
      <c r="I25" s="5"/>
      <c r="J25" s="91"/>
      <c r="M25" s="72" t="s">
        <v>229</v>
      </c>
      <c r="O25" s="50" t="s">
        <v>426</v>
      </c>
      <c r="Q25" s="138" t="s">
        <v>427</v>
      </c>
    </row>
    <row r="26" spans="1:17" s="7" customFormat="1" ht="16.95" customHeight="1" x14ac:dyDescent="0.3">
      <c r="A26" s="63" t="s">
        <v>342</v>
      </c>
      <c r="B26" s="66"/>
      <c r="D26" s="92" t="s">
        <v>428</v>
      </c>
      <c r="E26" s="93"/>
      <c r="F26" s="93"/>
      <c r="G26" s="93"/>
      <c r="H26" s="93"/>
      <c r="I26" s="93"/>
      <c r="J26" s="94"/>
      <c r="M26" s="72" t="s">
        <v>429</v>
      </c>
      <c r="O26" s="50" t="s">
        <v>430</v>
      </c>
      <c r="Q26" s="138" t="s">
        <v>431</v>
      </c>
    </row>
    <row r="27" spans="1:17" s="7" customFormat="1" ht="16.95" customHeight="1" x14ac:dyDescent="0.3">
      <c r="A27" s="63" t="s">
        <v>223</v>
      </c>
      <c r="B27" s="66"/>
      <c r="M27" s="72" t="s">
        <v>432</v>
      </c>
      <c r="O27" s="50" t="s">
        <v>433</v>
      </c>
      <c r="Q27" s="138" t="s">
        <v>434</v>
      </c>
    </row>
    <row r="28" spans="1:17" ht="16.95" customHeight="1" x14ac:dyDescent="0.3">
      <c r="A28" s="63" t="s">
        <v>435</v>
      </c>
      <c r="B28" s="61"/>
      <c r="D28" s="99" t="s">
        <v>436</v>
      </c>
      <c r="E28" s="58"/>
      <c r="F28" s="59"/>
      <c r="H28" t="s">
        <v>80</v>
      </c>
      <c r="J28" s="1" t="s">
        <v>437</v>
      </c>
      <c r="M28" s="72" t="s">
        <v>438</v>
      </c>
      <c r="O28" s="50" t="s">
        <v>439</v>
      </c>
    </row>
    <row r="29" spans="1:17" ht="16.95" customHeight="1" x14ac:dyDescent="0.3">
      <c r="A29" s="63" t="s">
        <v>378</v>
      </c>
      <c r="B29" s="61"/>
      <c r="D29" s="100" t="s">
        <v>440</v>
      </c>
      <c r="F29" s="61"/>
      <c r="H29" t="s">
        <v>402</v>
      </c>
      <c r="J29" t="s">
        <v>441</v>
      </c>
      <c r="M29" s="72" t="s">
        <v>388</v>
      </c>
      <c r="O29" s="50" t="s">
        <v>442</v>
      </c>
    </row>
    <row r="30" spans="1:17" ht="16.95" customHeight="1" x14ac:dyDescent="0.3">
      <c r="A30" s="63" t="s">
        <v>342</v>
      </c>
      <c r="B30" s="62"/>
      <c r="D30" s="100" t="s">
        <v>443</v>
      </c>
      <c r="F30" s="61"/>
      <c r="H30" t="s">
        <v>444</v>
      </c>
      <c r="J30" t="s">
        <v>445</v>
      </c>
      <c r="M30" s="72" t="s">
        <v>446</v>
      </c>
      <c r="O30" s="50" t="s">
        <v>447</v>
      </c>
    </row>
    <row r="31" spans="1:17" ht="16.95" customHeight="1" x14ac:dyDescent="0.3">
      <c r="A31" s="63"/>
      <c r="B31" s="61"/>
      <c r="D31" s="100" t="s">
        <v>448</v>
      </c>
      <c r="F31" s="61"/>
      <c r="H31" t="s">
        <v>75</v>
      </c>
      <c r="M31" s="72" t="s">
        <v>233</v>
      </c>
      <c r="O31" s="50" t="s">
        <v>449</v>
      </c>
    </row>
    <row r="32" spans="1:17" ht="16.95" customHeight="1" x14ac:dyDescent="0.3">
      <c r="A32" s="60"/>
      <c r="B32" s="61"/>
      <c r="D32" s="101" t="s">
        <v>450</v>
      </c>
      <c r="E32" s="32"/>
      <c r="F32" s="62"/>
      <c r="J32" s="1" t="s">
        <v>275</v>
      </c>
      <c r="M32" s="72" t="s">
        <v>451</v>
      </c>
      <c r="O32" s="50" t="s">
        <v>452</v>
      </c>
    </row>
    <row r="33" spans="1:15" ht="16.95" customHeight="1" x14ac:dyDescent="0.3">
      <c r="A33" s="63" t="s">
        <v>453</v>
      </c>
      <c r="B33" s="61"/>
      <c r="J33" t="s">
        <v>454</v>
      </c>
      <c r="M33" s="72" t="s">
        <v>455</v>
      </c>
      <c r="O33" s="50" t="s">
        <v>456</v>
      </c>
    </row>
    <row r="34" spans="1:15" ht="16.95" customHeight="1" x14ac:dyDescent="0.3">
      <c r="A34" s="101" t="s">
        <v>457</v>
      </c>
      <c r="B34" s="62"/>
      <c r="J34" t="s">
        <v>458</v>
      </c>
      <c r="M34" s="72" t="s">
        <v>459</v>
      </c>
      <c r="O34" s="50" t="s">
        <v>460</v>
      </c>
    </row>
    <row r="35" spans="1:15" ht="16.95" customHeight="1" x14ac:dyDescent="0.3">
      <c r="J35" t="s">
        <v>461</v>
      </c>
      <c r="M35" s="72" t="s">
        <v>462</v>
      </c>
      <c r="O35" s="50" t="s">
        <v>463</v>
      </c>
    </row>
    <row r="36" spans="1:15" ht="16.95" customHeight="1" x14ac:dyDescent="0.3">
      <c r="A36" t="s">
        <v>464</v>
      </c>
      <c r="D36" t="s">
        <v>465</v>
      </c>
      <c r="J36" t="s">
        <v>466</v>
      </c>
      <c r="M36" s="72" t="s">
        <v>467</v>
      </c>
      <c r="O36" s="50" t="s">
        <v>468</v>
      </c>
    </row>
    <row r="37" spans="1:15" ht="16.95" customHeight="1" x14ac:dyDescent="0.3">
      <c r="A37" s="151" t="s">
        <v>469</v>
      </c>
      <c r="D37" t="s">
        <v>80</v>
      </c>
      <c r="J37" t="s">
        <v>470</v>
      </c>
      <c r="M37" s="72" t="s">
        <v>471</v>
      </c>
      <c r="O37" s="50" t="s">
        <v>472</v>
      </c>
    </row>
    <row r="38" spans="1:15" ht="16.95" customHeight="1" x14ac:dyDescent="0.3">
      <c r="A38" s="151" t="s">
        <v>473</v>
      </c>
      <c r="D38" t="s">
        <v>85</v>
      </c>
      <c r="J38" t="s">
        <v>474</v>
      </c>
      <c r="M38" s="72" t="s">
        <v>475</v>
      </c>
    </row>
    <row r="39" spans="1:15" ht="16.95" customHeight="1" x14ac:dyDescent="0.3">
      <c r="D39" t="s">
        <v>97</v>
      </c>
      <c r="M39" s="72" t="s">
        <v>476</v>
      </c>
    </row>
    <row r="40" spans="1:15" ht="16.95" customHeight="1" x14ac:dyDescent="0.3">
      <c r="M40" s="72" t="s">
        <v>477</v>
      </c>
      <c r="O40" s="50" t="s">
        <v>478</v>
      </c>
    </row>
    <row r="41" spans="1:15" ht="16.95" customHeight="1" x14ac:dyDescent="0.3">
      <c r="M41" s="72" t="s">
        <v>479</v>
      </c>
      <c r="O41" s="50" t="s">
        <v>480</v>
      </c>
    </row>
    <row r="42" spans="1:15" ht="16.95" customHeight="1" x14ac:dyDescent="0.3">
      <c r="M42" s="72" t="s">
        <v>481</v>
      </c>
      <c r="O42" s="50" t="s">
        <v>482</v>
      </c>
    </row>
    <row r="43" spans="1:15" ht="16.95" customHeight="1" x14ac:dyDescent="0.3">
      <c r="M43" s="72" t="s">
        <v>483</v>
      </c>
    </row>
    <row r="44" spans="1:15" ht="16.95" customHeight="1" x14ac:dyDescent="0.3">
      <c r="M44" s="72" t="s">
        <v>484</v>
      </c>
      <c r="O44" s="50" t="s">
        <v>485</v>
      </c>
    </row>
    <row r="45" spans="1:15" ht="16.95" customHeight="1" x14ac:dyDescent="0.3">
      <c r="M45" s="72" t="s">
        <v>486</v>
      </c>
      <c r="O45" s="50" t="s">
        <v>487</v>
      </c>
    </row>
    <row r="46" spans="1:15" ht="16.95" customHeight="1" x14ac:dyDescent="0.3">
      <c r="M46" s="72" t="s">
        <v>488</v>
      </c>
      <c r="O46" s="50" t="s">
        <v>489</v>
      </c>
    </row>
    <row r="47" spans="1:15" ht="16.95" customHeight="1" x14ac:dyDescent="0.3">
      <c r="M47" s="72" t="s">
        <v>490</v>
      </c>
    </row>
    <row r="48" spans="1:15" ht="16.95" customHeight="1" x14ac:dyDescent="0.3">
      <c r="M48" s="72" t="s">
        <v>491</v>
      </c>
    </row>
    <row r="49" spans="13:13" ht="16.95" customHeight="1" x14ac:dyDescent="0.3">
      <c r="M49" s="72" t="s">
        <v>492</v>
      </c>
    </row>
    <row r="50" spans="13:13" ht="16.95" customHeight="1" x14ac:dyDescent="0.3">
      <c r="M50" s="72" t="s">
        <v>493</v>
      </c>
    </row>
    <row r="51" spans="13:13" ht="16.95" customHeight="1" x14ac:dyDescent="0.3">
      <c r="M51" s="72" t="s">
        <v>237</v>
      </c>
    </row>
    <row r="52" spans="13:13" ht="16.95" customHeight="1" x14ac:dyDescent="0.3">
      <c r="M52" s="73" t="s">
        <v>494</v>
      </c>
    </row>
    <row r="53" spans="13:13" ht="16.95" customHeight="1" x14ac:dyDescent="0.3">
      <c r="M53" s="72" t="s">
        <v>495</v>
      </c>
    </row>
    <row r="54" spans="13:13" ht="16.95" customHeight="1" x14ac:dyDescent="0.3">
      <c r="M54" s="72" t="s">
        <v>496</v>
      </c>
    </row>
    <row r="55" spans="13:13" ht="16.95" customHeight="1" x14ac:dyDescent="0.3">
      <c r="M55" s="72" t="s">
        <v>497</v>
      </c>
    </row>
    <row r="56" spans="13:13" ht="16.95" customHeight="1" x14ac:dyDescent="0.3">
      <c r="M56" s="72" t="s">
        <v>498</v>
      </c>
    </row>
    <row r="57" spans="13:13" ht="16.95" customHeight="1" x14ac:dyDescent="0.3">
      <c r="M57" s="72" t="s">
        <v>499</v>
      </c>
    </row>
    <row r="58" spans="13:13" ht="16.95" customHeight="1" x14ac:dyDescent="0.3">
      <c r="M58" s="72" t="s">
        <v>500</v>
      </c>
    </row>
    <row r="59" spans="13:13" ht="16.95" customHeight="1" x14ac:dyDescent="0.3">
      <c r="M59" s="72" t="s">
        <v>501</v>
      </c>
    </row>
    <row r="60" spans="13:13" ht="16.95" customHeight="1" x14ac:dyDescent="0.3">
      <c r="M60" s="72" t="s">
        <v>502</v>
      </c>
    </row>
    <row r="61" spans="13:13" ht="16.95" customHeight="1" x14ac:dyDescent="0.3">
      <c r="M61" s="72" t="s">
        <v>503</v>
      </c>
    </row>
    <row r="62" spans="13:13" ht="16.95" customHeight="1" x14ac:dyDescent="0.3">
      <c r="M62" s="72" t="s">
        <v>504</v>
      </c>
    </row>
    <row r="63" spans="13:13" ht="16.95" customHeight="1" x14ac:dyDescent="0.3">
      <c r="M63" s="72" t="s">
        <v>505</v>
      </c>
    </row>
    <row r="64" spans="13:13" ht="16.95" customHeight="1" x14ac:dyDescent="0.3">
      <c r="M64" s="72" t="s">
        <v>506</v>
      </c>
    </row>
    <row r="65" spans="13:13" ht="16.95" customHeight="1" x14ac:dyDescent="0.3">
      <c r="M65" s="72" t="s">
        <v>507</v>
      </c>
    </row>
    <row r="66" spans="13:13" ht="16.95" customHeight="1" x14ac:dyDescent="0.3">
      <c r="M66" s="72" t="s">
        <v>508</v>
      </c>
    </row>
    <row r="67" spans="13:13" ht="16.95" customHeight="1" x14ac:dyDescent="0.3">
      <c r="M67" s="72" t="s">
        <v>509</v>
      </c>
    </row>
    <row r="68" spans="13:13" ht="16.95" customHeight="1" x14ac:dyDescent="0.3">
      <c r="M68" s="72" t="s">
        <v>510</v>
      </c>
    </row>
    <row r="69" spans="13:13" ht="16.95" customHeight="1" x14ac:dyDescent="0.3">
      <c r="M69" s="72" t="s">
        <v>511</v>
      </c>
    </row>
    <row r="70" spans="13:13" ht="16.95" customHeight="1" x14ac:dyDescent="0.3">
      <c r="M70" s="72" t="s">
        <v>512</v>
      </c>
    </row>
    <row r="71" spans="13:13" ht="16.95" customHeight="1" x14ac:dyDescent="0.3">
      <c r="M71" s="72" t="s">
        <v>513</v>
      </c>
    </row>
    <row r="72" spans="13:13" ht="16.95" customHeight="1" x14ac:dyDescent="0.3">
      <c r="M72" s="72" t="s">
        <v>514</v>
      </c>
    </row>
    <row r="73" spans="13:13" ht="16.95" customHeight="1" x14ac:dyDescent="0.3">
      <c r="M73" s="72" t="s">
        <v>515</v>
      </c>
    </row>
    <row r="74" spans="13:13" ht="16.95" customHeight="1" x14ac:dyDescent="0.3">
      <c r="M74" s="72" t="s">
        <v>516</v>
      </c>
    </row>
    <row r="75" spans="13:13" ht="16.95" customHeight="1" x14ac:dyDescent="0.3">
      <c r="M75" s="73" t="s">
        <v>517</v>
      </c>
    </row>
    <row r="76" spans="13:13" ht="16.95" customHeight="1" x14ac:dyDescent="0.3">
      <c r="M76" s="73" t="s">
        <v>518</v>
      </c>
    </row>
    <row r="77" spans="13:13" ht="16.95" customHeight="1" x14ac:dyDescent="0.3">
      <c r="M77" s="73" t="s">
        <v>518</v>
      </c>
    </row>
    <row r="78" spans="13:13" ht="16.95" customHeight="1" x14ac:dyDescent="0.3">
      <c r="M78" s="73" t="s">
        <v>519</v>
      </c>
    </row>
    <row r="79" spans="13:13" ht="16.95" customHeight="1" x14ac:dyDescent="0.3">
      <c r="M79" s="72" t="s">
        <v>520</v>
      </c>
    </row>
    <row r="80" spans="13:13" ht="16.95" customHeight="1" x14ac:dyDescent="0.3">
      <c r="M80" s="73" t="s">
        <v>521</v>
      </c>
    </row>
    <row r="81" spans="13:13" ht="16.95" customHeight="1" x14ac:dyDescent="0.3">
      <c r="M81" s="72" t="s">
        <v>522</v>
      </c>
    </row>
    <row r="82" spans="13:13" ht="16.95" customHeight="1" x14ac:dyDescent="0.3">
      <c r="M82" s="72" t="s">
        <v>523</v>
      </c>
    </row>
    <row r="83" spans="13:13" ht="16.95" customHeight="1" x14ac:dyDescent="0.3">
      <c r="M83" s="72" t="s">
        <v>524</v>
      </c>
    </row>
    <row r="84" spans="13:13" ht="16.95" customHeight="1" x14ac:dyDescent="0.3">
      <c r="M84" s="72" t="s">
        <v>525</v>
      </c>
    </row>
    <row r="85" spans="13:13" ht="16.95" customHeight="1" x14ac:dyDescent="0.3">
      <c r="M85" s="72" t="s">
        <v>526</v>
      </c>
    </row>
    <row r="86" spans="13:13" ht="16.95" customHeight="1" x14ac:dyDescent="0.3">
      <c r="M86" s="72" t="s">
        <v>527</v>
      </c>
    </row>
    <row r="87" spans="13:13" ht="16.95" customHeight="1" x14ac:dyDescent="0.3">
      <c r="M87" s="72" t="s">
        <v>528</v>
      </c>
    </row>
    <row r="88" spans="13:13" ht="16.95" customHeight="1" x14ac:dyDescent="0.3">
      <c r="M88" s="72" t="s">
        <v>529</v>
      </c>
    </row>
    <row r="89" spans="13:13" ht="16.95" customHeight="1" x14ac:dyDescent="0.3">
      <c r="M89" s="72" t="s">
        <v>530</v>
      </c>
    </row>
    <row r="90" spans="13:13" ht="16.95" customHeight="1" x14ac:dyDescent="0.3">
      <c r="M90" s="72" t="s">
        <v>531</v>
      </c>
    </row>
    <row r="91" spans="13:13" ht="16.95" customHeight="1" x14ac:dyDescent="0.3">
      <c r="M91" s="72" t="s">
        <v>532</v>
      </c>
    </row>
    <row r="92" spans="13:13" ht="16.95" customHeight="1" x14ac:dyDescent="0.3">
      <c r="M92" s="72" t="s">
        <v>533</v>
      </c>
    </row>
    <row r="93" spans="13:13" ht="16.95" customHeight="1" x14ac:dyDescent="0.3">
      <c r="M93" s="72" t="s">
        <v>534</v>
      </c>
    </row>
    <row r="94" spans="13:13" ht="16.95" customHeight="1" x14ac:dyDescent="0.3">
      <c r="M94" s="72" t="s">
        <v>535</v>
      </c>
    </row>
    <row r="95" spans="13:13" ht="16.95" customHeight="1" x14ac:dyDescent="0.3">
      <c r="M95" s="72" t="s">
        <v>536</v>
      </c>
    </row>
    <row r="96" spans="13:13" ht="16.95" customHeight="1" x14ac:dyDescent="0.3">
      <c r="M96" s="72" t="s">
        <v>537</v>
      </c>
    </row>
    <row r="97" spans="13:13" ht="16.95" customHeight="1" x14ac:dyDescent="0.3">
      <c r="M97" s="72" t="s">
        <v>538</v>
      </c>
    </row>
    <row r="98" spans="13:13" ht="16.95" customHeight="1" x14ac:dyDescent="0.3">
      <c r="M98" s="72" t="s">
        <v>539</v>
      </c>
    </row>
    <row r="99" spans="13:13" ht="16.95" customHeight="1" x14ac:dyDescent="0.3">
      <c r="M99" s="72" t="s">
        <v>540</v>
      </c>
    </row>
    <row r="100" spans="13:13" ht="16.95" customHeight="1" x14ac:dyDescent="0.3">
      <c r="M100" s="72" t="s">
        <v>541</v>
      </c>
    </row>
    <row r="101" spans="13:13" ht="16.95" customHeight="1" x14ac:dyDescent="0.3">
      <c r="M101" s="72" t="s">
        <v>542</v>
      </c>
    </row>
    <row r="102" spans="13:13" ht="16.95" customHeight="1" x14ac:dyDescent="0.3">
      <c r="M102" s="72" t="s">
        <v>543</v>
      </c>
    </row>
    <row r="103" spans="13:13" ht="16.95" customHeight="1" x14ac:dyDescent="0.3">
      <c r="M103" s="72" t="s">
        <v>544</v>
      </c>
    </row>
    <row r="104" spans="13:13" ht="16.95" customHeight="1" x14ac:dyDescent="0.3">
      <c r="M104" s="72" t="s">
        <v>545</v>
      </c>
    </row>
    <row r="105" spans="13:13" ht="16.95" customHeight="1" x14ac:dyDescent="0.3">
      <c r="M105" s="72" t="s">
        <v>546</v>
      </c>
    </row>
    <row r="107" spans="13:13" ht="16.95" customHeight="1" x14ac:dyDescent="0.3">
      <c r="M107" s="74"/>
    </row>
    <row r="108" spans="13:13" ht="16.95" customHeight="1" x14ac:dyDescent="0.3">
      <c r="M108" s="74"/>
    </row>
    <row r="109" spans="13:13" ht="16.95" customHeight="1" x14ac:dyDescent="0.3">
      <c r="M109" s="74"/>
    </row>
    <row r="110" spans="13:13" ht="16.95" customHeight="1" x14ac:dyDescent="0.3">
      <c r="M110" s="74"/>
    </row>
    <row r="111" spans="13:13" ht="16.95" customHeight="1" x14ac:dyDescent="0.3">
      <c r="M111" s="74"/>
    </row>
    <row r="112" spans="13:13" ht="16.95" customHeight="1" x14ac:dyDescent="0.3">
      <c r="M112" s="74"/>
    </row>
    <row r="113" spans="13:13" ht="16.95" customHeight="1" x14ac:dyDescent="0.3">
      <c r="M113" s="74"/>
    </row>
    <row r="114" spans="13:13" ht="16.95" customHeight="1" x14ac:dyDescent="0.3">
      <c r="M114" s="74"/>
    </row>
    <row r="115" spans="13:13" ht="16.95" customHeight="1" x14ac:dyDescent="0.3">
      <c r="M115" s="74"/>
    </row>
    <row r="116" spans="13:13" ht="16.95" customHeight="1" x14ac:dyDescent="0.3">
      <c r="M116" s="74"/>
    </row>
    <row r="117" spans="13:13" ht="16.95" customHeight="1" x14ac:dyDescent="0.3">
      <c r="M117" s="74"/>
    </row>
    <row r="118" spans="13:13" ht="16.95" customHeight="1" x14ac:dyDescent="0.3">
      <c r="M118" s="74"/>
    </row>
    <row r="119" spans="13:13" ht="16.95" customHeight="1" x14ac:dyDescent="0.3">
      <c r="M119" s="74"/>
    </row>
    <row r="120" spans="13:13" ht="16.95" customHeight="1" x14ac:dyDescent="0.3">
      <c r="M120" s="75"/>
    </row>
  </sheetData>
  <sortState xmlns:xlrd2="http://schemas.microsoft.com/office/spreadsheetml/2017/richdata2" ref="M2:M106">
    <sortCondition ref="M106"/>
  </sortState>
  <phoneticPr fontId="11" type="noConversion"/>
  <conditionalFormatting sqref="A34">
    <cfRule type="cellIs" dxfId="91" priority="1" operator="equal">
      <formula>0</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0311E-A0C7-4863-81EB-3293EA8BFBFF}">
  <sheetPr codeName="Sheet3">
    <tabColor rgb="FFFF0000"/>
  </sheetPr>
  <dimension ref="A1:K21"/>
  <sheetViews>
    <sheetView view="pageLayout" zoomScaleNormal="100" zoomScaleSheetLayoutView="100" workbookViewId="0">
      <selection activeCell="A15" sqref="A15:K15"/>
    </sheetView>
  </sheetViews>
  <sheetFormatPr defaultColWidth="8.88671875" defaultRowHeight="14.4" x14ac:dyDescent="0.3"/>
  <cols>
    <col min="1" max="1" width="8.88671875" customWidth="1"/>
    <col min="7" max="7" width="8.88671875" customWidth="1"/>
  </cols>
  <sheetData>
    <row r="1" spans="1:11" ht="27.6" customHeight="1" x14ac:dyDescent="0.3">
      <c r="A1" s="407" t="s">
        <v>547</v>
      </c>
      <c r="B1" s="407"/>
      <c r="C1" s="407"/>
      <c r="D1" s="407"/>
      <c r="E1" s="407"/>
      <c r="F1" s="407"/>
      <c r="G1" s="407"/>
      <c r="H1" s="407"/>
      <c r="I1" s="407"/>
      <c r="J1" s="407"/>
      <c r="K1" s="407"/>
    </row>
    <row r="2" spans="1:11" ht="67.2" customHeight="1" x14ac:dyDescent="0.3">
      <c r="A2" s="257" t="s">
        <v>548</v>
      </c>
      <c r="B2" s="351"/>
      <c r="C2" s="351"/>
      <c r="D2" s="351"/>
      <c r="E2" s="351"/>
      <c r="F2" s="351"/>
      <c r="G2" s="351"/>
      <c r="H2" s="351"/>
      <c r="I2" s="351"/>
      <c r="J2" s="351"/>
      <c r="K2" s="351"/>
    </row>
    <row r="4" spans="1:11" ht="15.6" x14ac:dyDescent="0.3">
      <c r="A4" s="306" t="s">
        <v>549</v>
      </c>
      <c r="B4" s="306"/>
      <c r="C4" s="306"/>
      <c r="D4" s="306"/>
      <c r="E4" s="306"/>
      <c r="F4" s="306"/>
      <c r="G4" s="306"/>
      <c r="H4" s="306"/>
      <c r="I4" s="306"/>
      <c r="J4" s="306"/>
      <c r="K4" s="306"/>
    </row>
    <row r="5" spans="1:11" ht="15.6" x14ac:dyDescent="0.3">
      <c r="A5" s="413"/>
      <c r="B5" s="413"/>
      <c r="C5" s="413"/>
      <c r="D5" s="413"/>
      <c r="E5" s="413"/>
      <c r="F5" s="413"/>
      <c r="G5" s="413"/>
      <c r="H5" s="413"/>
      <c r="I5" s="413"/>
      <c r="J5" s="413"/>
      <c r="K5" s="413"/>
    </row>
    <row r="6" spans="1:11" x14ac:dyDescent="0.3">
      <c r="A6" s="414" t="s">
        <v>550</v>
      </c>
      <c r="B6" s="414"/>
      <c r="C6" s="415" t="s">
        <v>551</v>
      </c>
      <c r="D6" s="415"/>
      <c r="E6" s="415"/>
      <c r="F6" s="415"/>
      <c r="G6" s="415"/>
      <c r="H6" s="416" t="s">
        <v>552</v>
      </c>
      <c r="I6" s="417"/>
      <c r="J6" s="417"/>
      <c r="K6" s="418"/>
    </row>
    <row r="7" spans="1:11" ht="57" customHeight="1" x14ac:dyDescent="0.3">
      <c r="A7" s="408" t="s">
        <v>553</v>
      </c>
      <c r="B7" s="409"/>
      <c r="C7" s="410" t="s">
        <v>554</v>
      </c>
      <c r="D7" s="411"/>
      <c r="E7" s="411"/>
      <c r="F7" s="411"/>
      <c r="G7" s="412"/>
      <c r="H7" s="410" t="s">
        <v>555</v>
      </c>
      <c r="I7" s="411"/>
      <c r="J7" s="411"/>
      <c r="K7" s="412"/>
    </row>
    <row r="8" spans="1:11" ht="57" customHeight="1" x14ac:dyDescent="0.3">
      <c r="A8" s="409" t="s">
        <v>556</v>
      </c>
      <c r="B8" s="409"/>
      <c r="C8" s="410" t="s">
        <v>557</v>
      </c>
      <c r="D8" s="411"/>
      <c r="E8" s="411"/>
      <c r="F8" s="411"/>
      <c r="G8" s="412"/>
      <c r="H8" s="410" t="s">
        <v>558</v>
      </c>
      <c r="I8" s="411"/>
      <c r="J8" s="411"/>
      <c r="K8" s="412"/>
    </row>
    <row r="9" spans="1:11" ht="57" customHeight="1" x14ac:dyDescent="0.3">
      <c r="A9" s="408" t="s">
        <v>559</v>
      </c>
      <c r="B9" s="409"/>
      <c r="C9" s="410" t="s">
        <v>560</v>
      </c>
      <c r="D9" s="411"/>
      <c r="E9" s="411"/>
      <c r="F9" s="411"/>
      <c r="G9" s="412"/>
      <c r="H9" s="410" t="s">
        <v>561</v>
      </c>
      <c r="I9" s="411"/>
      <c r="J9" s="411"/>
      <c r="K9" s="412"/>
    </row>
    <row r="10" spans="1:11" ht="57" customHeight="1" x14ac:dyDescent="0.3">
      <c r="A10" s="425" t="s">
        <v>562</v>
      </c>
      <c r="B10" s="425"/>
      <c r="C10" s="410" t="s">
        <v>563</v>
      </c>
      <c r="D10" s="426"/>
      <c r="E10" s="426"/>
      <c r="F10" s="426"/>
      <c r="G10" s="311"/>
      <c r="H10" s="410"/>
      <c r="I10" s="411"/>
      <c r="J10" s="411"/>
      <c r="K10" s="412"/>
    </row>
    <row r="11" spans="1:11" ht="57" customHeight="1" x14ac:dyDescent="0.3">
      <c r="A11" s="425" t="s">
        <v>562</v>
      </c>
      <c r="B11" s="425"/>
      <c r="C11" s="410" t="s">
        <v>563</v>
      </c>
      <c r="D11" s="426"/>
      <c r="E11" s="426"/>
      <c r="F11" s="426"/>
      <c r="G11" s="311"/>
      <c r="H11" s="410"/>
      <c r="I11" s="411"/>
      <c r="J11" s="411"/>
      <c r="K11" s="412"/>
    </row>
    <row r="12" spans="1:11" ht="57" customHeight="1" x14ac:dyDescent="0.3">
      <c r="A12" s="425" t="s">
        <v>562</v>
      </c>
      <c r="B12" s="425"/>
      <c r="C12" s="410" t="s">
        <v>563</v>
      </c>
      <c r="D12" s="426"/>
      <c r="E12" s="426"/>
      <c r="F12" s="426"/>
      <c r="G12" s="311"/>
      <c r="H12" s="410"/>
      <c r="I12" s="411"/>
      <c r="J12" s="411"/>
      <c r="K12" s="412"/>
    </row>
    <row r="14" spans="1:11" ht="15.6" x14ac:dyDescent="0.3">
      <c r="A14" s="306" t="s">
        <v>564</v>
      </c>
      <c r="B14" s="306"/>
      <c r="C14" s="306"/>
      <c r="D14" s="306"/>
      <c r="E14" s="306"/>
      <c r="F14" s="306"/>
      <c r="G14" s="306"/>
      <c r="H14" s="306"/>
      <c r="I14" s="306"/>
      <c r="J14" s="306"/>
      <c r="K14" s="306"/>
    </row>
    <row r="15" spans="1:11" ht="56.4" customHeight="1" x14ac:dyDescent="0.3">
      <c r="A15" s="351" t="s">
        <v>565</v>
      </c>
      <c r="B15" s="351"/>
      <c r="C15" s="351"/>
      <c r="D15" s="351"/>
      <c r="E15" s="351"/>
      <c r="F15" s="351"/>
      <c r="G15" s="351"/>
      <c r="H15" s="351"/>
      <c r="I15" s="351"/>
      <c r="J15" s="351"/>
      <c r="K15" s="351"/>
    </row>
    <row r="17" spans="1:11" x14ac:dyDescent="0.3">
      <c r="A17" s="42" t="s">
        <v>566</v>
      </c>
      <c r="B17" s="58"/>
      <c r="C17" s="58"/>
      <c r="D17" s="58"/>
      <c r="E17" s="222"/>
      <c r="F17" s="222"/>
      <c r="G17" s="222"/>
      <c r="H17" s="222"/>
      <c r="I17" s="222"/>
      <c r="J17" s="222"/>
      <c r="K17" s="223"/>
    </row>
    <row r="18" spans="1:11" ht="24.6" customHeight="1" x14ac:dyDescent="0.3">
      <c r="A18" s="419" t="s">
        <v>59</v>
      </c>
      <c r="B18" s="292"/>
      <c r="C18" s="292"/>
      <c r="D18" s="294" t="s">
        <v>65</v>
      </c>
      <c r="E18" s="292"/>
      <c r="F18" s="294" t="s">
        <v>60</v>
      </c>
      <c r="G18" s="292"/>
      <c r="H18" s="294" t="s">
        <v>61</v>
      </c>
      <c r="I18" s="296"/>
      <c r="J18" s="296"/>
      <c r="K18" s="422"/>
    </row>
    <row r="19" spans="1:11" ht="42" customHeight="1" x14ac:dyDescent="0.3">
      <c r="A19" s="420"/>
      <c r="B19" s="293"/>
      <c r="C19" s="293"/>
      <c r="D19" s="421"/>
      <c r="E19" s="293"/>
      <c r="F19" s="421"/>
      <c r="G19" s="293"/>
      <c r="H19" s="421"/>
      <c r="I19" s="423"/>
      <c r="J19" s="423"/>
      <c r="K19" s="424"/>
    </row>
    <row r="21" spans="1:11" x14ac:dyDescent="0.3">
      <c r="E21" s="386" t="s">
        <v>338</v>
      </c>
      <c r="F21" s="386"/>
      <c r="G21" s="386"/>
    </row>
  </sheetData>
  <mergeCells count="36">
    <mergeCell ref="A9:B9"/>
    <mergeCell ref="A10:B10"/>
    <mergeCell ref="A11:B11"/>
    <mergeCell ref="C10:G10"/>
    <mergeCell ref="H10:K10"/>
    <mergeCell ref="H9:K9"/>
    <mergeCell ref="C9:G9"/>
    <mergeCell ref="A14:K14"/>
    <mergeCell ref="H11:K11"/>
    <mergeCell ref="F18:F19"/>
    <mergeCell ref="G18:G19"/>
    <mergeCell ref="H18:H19"/>
    <mergeCell ref="I18:K19"/>
    <mergeCell ref="A12:B12"/>
    <mergeCell ref="C12:G12"/>
    <mergeCell ref="H12:K12"/>
    <mergeCell ref="C11:G11"/>
    <mergeCell ref="E21:G21"/>
    <mergeCell ref="A15:K15"/>
    <mergeCell ref="A18:A19"/>
    <mergeCell ref="B18:C19"/>
    <mergeCell ref="D18:D19"/>
    <mergeCell ref="E18:E19"/>
    <mergeCell ref="A1:K1"/>
    <mergeCell ref="A2:K2"/>
    <mergeCell ref="A4:K4"/>
    <mergeCell ref="A7:B7"/>
    <mergeCell ref="A8:B8"/>
    <mergeCell ref="C8:G8"/>
    <mergeCell ref="H8:K8"/>
    <mergeCell ref="A5:K5"/>
    <mergeCell ref="A6:B6"/>
    <mergeCell ref="C6:G6"/>
    <mergeCell ref="H6:K6"/>
    <mergeCell ref="C7:G7"/>
    <mergeCell ref="H7:K7"/>
  </mergeCells>
  <conditionalFormatting sqref="E21">
    <cfRule type="containsBlanks" dxfId="90" priority="1">
      <formula>LEN(TRIM(E21))=0</formula>
    </cfRule>
  </conditionalFormatting>
  <pageMargins left="0.25" right="0.25" top="0.86458333333333337" bottom="0.75" header="0.3" footer="0.3"/>
  <pageSetup paperSize="9" orientation="portrait" r:id="rId1"/>
  <headerFooter>
    <oddHeader>&amp;LStatement of Work
(eSOW/Hardware) - JLR-TMP-557249&amp;C&amp;G&amp;RIssue Level 5.3
Effective Date: 9th June 2025</oddHeader>
    <oddFooter>&amp;L&amp;"JLR Emeric,Regular"&amp;10
Supply Chain 
Transparency Requirements&amp;C&amp;"JLR Emeric,Bold"&amp;10&amp;KFF0000PRINTED COPIES ARE UNCONTROLLED&amp;R&amp;"JLR Emeric,Regular"&amp;10&amp;P</oddFooter>
  </headerFooter>
  <legacyDrawingHF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77951-FF89-402A-B3D3-21F847F73B80}">
  <sheetPr codeName="Sheet4">
    <tabColor rgb="FFFF0000"/>
  </sheetPr>
  <dimension ref="A1:K111"/>
  <sheetViews>
    <sheetView view="pageLayout" zoomScaleNormal="100" zoomScaleSheetLayoutView="100" workbookViewId="0">
      <selection activeCell="C6" sqref="C6:K6"/>
    </sheetView>
  </sheetViews>
  <sheetFormatPr defaultColWidth="8.88671875" defaultRowHeight="14.4" x14ac:dyDescent="0.3"/>
  <cols>
    <col min="1" max="1" width="8.88671875" customWidth="1"/>
    <col min="7" max="7" width="8.88671875" customWidth="1"/>
  </cols>
  <sheetData>
    <row r="1" spans="1:11" ht="27.6" customHeight="1" x14ac:dyDescent="0.3">
      <c r="A1" s="407" t="s">
        <v>567</v>
      </c>
      <c r="B1" s="407"/>
      <c r="C1" s="407"/>
      <c r="D1" s="407"/>
      <c r="E1" s="407"/>
      <c r="F1" s="407"/>
      <c r="G1" s="407"/>
      <c r="H1" s="407"/>
      <c r="I1" s="407"/>
      <c r="J1" s="407"/>
      <c r="K1" s="407"/>
    </row>
    <row r="2" spans="1:11" ht="151.94999999999999" customHeight="1" x14ac:dyDescent="0.3">
      <c r="A2" s="257" t="s">
        <v>568</v>
      </c>
      <c r="B2" s="351"/>
      <c r="C2" s="351"/>
      <c r="D2" s="351"/>
      <c r="E2" s="351"/>
      <c r="F2" s="351"/>
      <c r="G2" s="351"/>
      <c r="H2" s="351"/>
      <c r="I2" s="351"/>
      <c r="J2" s="351"/>
      <c r="K2" s="351"/>
    </row>
    <row r="4" spans="1:11" ht="15.6" x14ac:dyDescent="0.3">
      <c r="A4" s="306" t="s">
        <v>569</v>
      </c>
      <c r="B4" s="306"/>
      <c r="C4" s="306"/>
      <c r="D4" s="306"/>
      <c r="E4" s="306"/>
      <c r="F4" s="306"/>
      <c r="G4" s="306"/>
      <c r="H4" s="306"/>
      <c r="I4" s="306"/>
      <c r="J4" s="306"/>
      <c r="K4" s="306"/>
    </row>
    <row r="5" spans="1:11" ht="62.4" customHeight="1" x14ac:dyDescent="0.3">
      <c r="A5" s="409" t="s">
        <v>551</v>
      </c>
      <c r="B5" s="409"/>
      <c r="C5" s="432" t="s">
        <v>570</v>
      </c>
      <c r="D5" s="432"/>
      <c r="E5" s="432"/>
      <c r="F5" s="432"/>
      <c r="G5" s="432"/>
      <c r="H5" s="432"/>
      <c r="I5" s="432"/>
      <c r="J5" s="432"/>
      <c r="K5" s="432"/>
    </row>
    <row r="6" spans="1:11" ht="52.95" customHeight="1" x14ac:dyDescent="0.3">
      <c r="A6" s="409" t="s">
        <v>571</v>
      </c>
      <c r="B6" s="409"/>
      <c r="C6" s="432" t="s">
        <v>572</v>
      </c>
      <c r="D6" s="432"/>
      <c r="E6" s="432"/>
      <c r="F6" s="432"/>
      <c r="G6" s="432"/>
      <c r="H6" s="432"/>
      <c r="I6" s="432"/>
      <c r="J6" s="432"/>
      <c r="K6" s="432"/>
    </row>
    <row r="7" spans="1:11" ht="102.6" customHeight="1" x14ac:dyDescent="0.3">
      <c r="A7" s="409" t="s">
        <v>552</v>
      </c>
      <c r="B7" s="409"/>
      <c r="C7" s="432" t="s">
        <v>573</v>
      </c>
      <c r="D7" s="432"/>
      <c r="E7" s="432"/>
      <c r="F7" s="432"/>
      <c r="G7" s="432"/>
      <c r="H7" s="432"/>
      <c r="I7" s="432"/>
      <c r="J7" s="432"/>
      <c r="K7" s="432"/>
    </row>
    <row r="9" spans="1:11" ht="15.6" x14ac:dyDescent="0.3">
      <c r="A9" s="306" t="s">
        <v>574</v>
      </c>
      <c r="B9" s="306"/>
      <c r="C9" s="306"/>
      <c r="D9" s="306"/>
      <c r="E9" s="306"/>
      <c r="F9" s="306"/>
      <c r="G9" s="306"/>
      <c r="H9" s="306"/>
      <c r="I9" s="306"/>
      <c r="J9" s="306"/>
      <c r="K9" s="306"/>
    </row>
    <row r="10" spans="1:11" ht="34.950000000000003" customHeight="1" x14ac:dyDescent="0.3">
      <c r="A10" s="409" t="s">
        <v>551</v>
      </c>
      <c r="B10" s="409"/>
      <c r="C10" s="432" t="s">
        <v>575</v>
      </c>
      <c r="D10" s="432"/>
      <c r="E10" s="432"/>
      <c r="F10" s="432"/>
      <c r="G10" s="432"/>
      <c r="H10" s="432"/>
      <c r="I10" s="432"/>
      <c r="J10" s="432"/>
      <c r="K10" s="432"/>
    </row>
    <row r="11" spans="1:11" ht="34.950000000000003" customHeight="1" x14ac:dyDescent="0.3">
      <c r="A11" s="409" t="s">
        <v>571</v>
      </c>
      <c r="B11" s="409"/>
      <c r="C11" s="432" t="s">
        <v>576</v>
      </c>
      <c r="D11" s="432"/>
      <c r="E11" s="432"/>
      <c r="F11" s="432"/>
      <c r="G11" s="432"/>
      <c r="H11" s="432"/>
      <c r="I11" s="432"/>
      <c r="J11" s="432"/>
      <c r="K11" s="432"/>
    </row>
    <row r="12" spans="1:11" ht="34.950000000000003" customHeight="1" x14ac:dyDescent="0.3">
      <c r="A12" s="409" t="s">
        <v>552</v>
      </c>
      <c r="B12" s="409"/>
      <c r="C12" s="432" t="s">
        <v>577</v>
      </c>
      <c r="D12" s="432"/>
      <c r="E12" s="432"/>
      <c r="F12" s="432"/>
      <c r="G12" s="432"/>
      <c r="H12" s="432"/>
      <c r="I12" s="432"/>
      <c r="J12" s="432"/>
      <c r="K12" s="432"/>
    </row>
    <row r="14" spans="1:11" ht="15.6" x14ac:dyDescent="0.3">
      <c r="A14" s="306" t="s">
        <v>578</v>
      </c>
      <c r="B14" s="306"/>
      <c r="C14" s="306"/>
      <c r="D14" s="306"/>
      <c r="E14" s="306"/>
      <c r="F14" s="306"/>
      <c r="G14" s="306"/>
      <c r="H14" s="306"/>
      <c r="I14" s="306"/>
      <c r="J14" s="306"/>
      <c r="K14" s="306"/>
    </row>
    <row r="15" spans="1:11" ht="34.950000000000003" customHeight="1" x14ac:dyDescent="0.3">
      <c r="A15" s="409" t="s">
        <v>551</v>
      </c>
      <c r="B15" s="409"/>
      <c r="C15" s="432" t="s">
        <v>579</v>
      </c>
      <c r="D15" s="432"/>
      <c r="E15" s="432"/>
      <c r="F15" s="432"/>
      <c r="G15" s="432"/>
      <c r="H15" s="432"/>
      <c r="I15" s="432"/>
      <c r="J15" s="432"/>
      <c r="K15" s="432"/>
    </row>
    <row r="16" spans="1:11" ht="34.950000000000003" customHeight="1" x14ac:dyDescent="0.3">
      <c r="A16" s="409" t="s">
        <v>571</v>
      </c>
      <c r="B16" s="409"/>
      <c r="C16" s="432" t="s">
        <v>580</v>
      </c>
      <c r="D16" s="432"/>
      <c r="E16" s="432"/>
      <c r="F16" s="432"/>
      <c r="G16" s="432"/>
      <c r="H16" s="432"/>
      <c r="I16" s="432"/>
      <c r="J16" s="432"/>
      <c r="K16" s="432"/>
    </row>
    <row r="17" spans="1:11" ht="48.6" customHeight="1" x14ac:dyDescent="0.3">
      <c r="A17" s="409" t="s">
        <v>552</v>
      </c>
      <c r="B17" s="409"/>
      <c r="C17" s="432" t="s">
        <v>581</v>
      </c>
      <c r="D17" s="432"/>
      <c r="E17" s="432"/>
      <c r="F17" s="432"/>
      <c r="G17" s="432"/>
      <c r="H17" s="432"/>
      <c r="I17" s="432"/>
      <c r="J17" s="432"/>
      <c r="K17" s="432"/>
    </row>
    <row r="18" spans="1:11" ht="15.6" x14ac:dyDescent="0.3">
      <c r="A18" s="306" t="s">
        <v>582</v>
      </c>
      <c r="B18" s="306"/>
      <c r="C18" s="306"/>
      <c r="D18" s="306"/>
      <c r="E18" s="306"/>
      <c r="F18" s="306"/>
      <c r="G18" s="306"/>
      <c r="H18" s="306"/>
      <c r="I18" s="306"/>
      <c r="J18" s="306"/>
      <c r="K18" s="306"/>
    </row>
    <row r="19" spans="1:11" ht="33" customHeight="1" x14ac:dyDescent="0.3">
      <c r="A19" s="409" t="s">
        <v>551</v>
      </c>
      <c r="B19" s="409"/>
      <c r="C19" s="432" t="s">
        <v>583</v>
      </c>
      <c r="D19" s="432"/>
      <c r="E19" s="432"/>
      <c r="F19" s="432"/>
      <c r="G19" s="432"/>
      <c r="H19" s="432"/>
      <c r="I19" s="432"/>
      <c r="J19" s="432"/>
      <c r="K19" s="432"/>
    </row>
    <row r="20" spans="1:11" ht="64.2" customHeight="1" x14ac:dyDescent="0.3">
      <c r="A20" s="409" t="s">
        <v>571</v>
      </c>
      <c r="B20" s="409"/>
      <c r="C20" s="432" t="s">
        <v>584</v>
      </c>
      <c r="D20" s="432"/>
      <c r="E20" s="432"/>
      <c r="F20" s="432"/>
      <c r="G20" s="432"/>
      <c r="H20" s="432"/>
      <c r="I20" s="432"/>
      <c r="J20" s="432"/>
      <c r="K20" s="432"/>
    </row>
    <row r="21" spans="1:11" ht="52.95" customHeight="1" x14ac:dyDescent="0.3">
      <c r="A21" s="409" t="s">
        <v>552</v>
      </c>
      <c r="B21" s="409"/>
      <c r="C21" s="432" t="s">
        <v>585</v>
      </c>
      <c r="D21" s="432"/>
      <c r="E21" s="432"/>
      <c r="F21" s="432"/>
      <c r="G21" s="432"/>
      <c r="H21" s="432"/>
      <c r="I21" s="432"/>
      <c r="J21" s="432"/>
      <c r="K21" s="432"/>
    </row>
    <row r="23" spans="1:11" ht="15.6" x14ac:dyDescent="0.3">
      <c r="A23" s="306" t="s">
        <v>586</v>
      </c>
      <c r="B23" s="306"/>
      <c r="C23" s="306"/>
      <c r="D23" s="306"/>
      <c r="E23" s="306"/>
      <c r="F23" s="306"/>
      <c r="G23" s="306"/>
      <c r="H23" s="306"/>
      <c r="I23" s="306"/>
      <c r="J23" s="306"/>
      <c r="K23" s="306"/>
    </row>
    <row r="24" spans="1:11" ht="103.2" customHeight="1" x14ac:dyDescent="0.3">
      <c r="A24" s="409" t="s">
        <v>551</v>
      </c>
      <c r="B24" s="409"/>
      <c r="C24" s="432" t="s">
        <v>587</v>
      </c>
      <c r="D24" s="432"/>
      <c r="E24" s="432"/>
      <c r="F24" s="432"/>
      <c r="G24" s="432"/>
      <c r="H24" s="432"/>
      <c r="I24" s="432"/>
      <c r="J24" s="432"/>
      <c r="K24" s="432"/>
    </row>
    <row r="25" spans="1:11" ht="49.2" customHeight="1" x14ac:dyDescent="0.3">
      <c r="A25" s="409" t="s">
        <v>571</v>
      </c>
      <c r="B25" s="409"/>
      <c r="C25" s="432" t="s">
        <v>588</v>
      </c>
      <c r="D25" s="432"/>
      <c r="E25" s="432"/>
      <c r="F25" s="432"/>
      <c r="G25" s="432"/>
      <c r="H25" s="432"/>
      <c r="I25" s="432"/>
      <c r="J25" s="432"/>
      <c r="K25" s="432"/>
    </row>
    <row r="26" spans="1:11" ht="174.6" customHeight="1" x14ac:dyDescent="0.3">
      <c r="A26" s="409" t="s">
        <v>552</v>
      </c>
      <c r="B26" s="409"/>
      <c r="C26" s="440" t="s">
        <v>589</v>
      </c>
      <c r="D26" s="440"/>
      <c r="E26" s="440"/>
      <c r="F26" s="440"/>
      <c r="G26" s="440"/>
      <c r="H26" s="440"/>
      <c r="I26" s="440"/>
      <c r="J26" s="440"/>
      <c r="K26" s="440"/>
    </row>
    <row r="28" spans="1:11" ht="15.6" x14ac:dyDescent="0.3">
      <c r="A28" s="306" t="s">
        <v>590</v>
      </c>
      <c r="B28" s="306"/>
      <c r="C28" s="306"/>
      <c r="D28" s="306"/>
      <c r="E28" s="306"/>
      <c r="F28" s="306"/>
      <c r="G28" s="306"/>
      <c r="H28" s="306"/>
      <c r="I28" s="306"/>
      <c r="J28" s="306"/>
      <c r="K28" s="306"/>
    </row>
    <row r="29" spans="1:11" ht="81.599999999999994" customHeight="1" x14ac:dyDescent="0.3">
      <c r="A29" s="409" t="s">
        <v>551</v>
      </c>
      <c r="B29" s="409"/>
      <c r="C29" s="432" t="s">
        <v>591</v>
      </c>
      <c r="D29" s="432"/>
      <c r="E29" s="432"/>
      <c r="F29" s="432"/>
      <c r="G29" s="432"/>
      <c r="H29" s="432"/>
      <c r="I29" s="432"/>
      <c r="J29" s="432"/>
      <c r="K29" s="432"/>
    </row>
    <row r="30" spans="1:11" ht="104.4" customHeight="1" x14ac:dyDescent="0.3">
      <c r="A30" s="409" t="s">
        <v>571</v>
      </c>
      <c r="B30" s="409"/>
      <c r="C30" s="432" t="s">
        <v>592</v>
      </c>
      <c r="D30" s="432"/>
      <c r="E30" s="432"/>
      <c r="F30" s="432"/>
      <c r="G30" s="432"/>
      <c r="H30" s="432"/>
      <c r="I30" s="432"/>
      <c r="J30" s="432"/>
      <c r="K30" s="432"/>
    </row>
    <row r="31" spans="1:11" ht="55.95" customHeight="1" x14ac:dyDescent="0.3">
      <c r="A31" s="409" t="s">
        <v>552</v>
      </c>
      <c r="B31" s="409"/>
      <c r="C31" s="432" t="s">
        <v>593</v>
      </c>
      <c r="D31" s="432"/>
      <c r="E31" s="432"/>
      <c r="F31" s="432"/>
      <c r="G31" s="432"/>
      <c r="H31" s="432"/>
      <c r="I31" s="432"/>
      <c r="J31" s="432"/>
      <c r="K31" s="432"/>
    </row>
    <row r="33" spans="1:11" ht="15.6" x14ac:dyDescent="0.3">
      <c r="A33" s="306" t="s">
        <v>594</v>
      </c>
      <c r="B33" s="306"/>
      <c r="C33" s="306"/>
      <c r="D33" s="306"/>
      <c r="E33" s="306"/>
      <c r="F33" s="306"/>
      <c r="G33" s="306"/>
      <c r="H33" s="306"/>
      <c r="I33" s="306"/>
      <c r="J33" s="306"/>
      <c r="K33" s="306"/>
    </row>
    <row r="34" spans="1:11" x14ac:dyDescent="0.3">
      <c r="A34" s="414" t="s">
        <v>551</v>
      </c>
      <c r="B34" s="414"/>
      <c r="C34" s="414"/>
      <c r="D34" s="414"/>
      <c r="E34" s="414"/>
      <c r="F34" s="414"/>
      <c r="G34" s="414" t="s">
        <v>595</v>
      </c>
      <c r="H34" s="414"/>
      <c r="I34" s="414"/>
      <c r="J34" s="414"/>
      <c r="K34" s="414"/>
    </row>
    <row r="35" spans="1:11" ht="23.4" customHeight="1" x14ac:dyDescent="0.3">
      <c r="A35" s="436" t="s">
        <v>596</v>
      </c>
      <c r="B35" s="436"/>
      <c r="C35" s="436"/>
      <c r="D35" s="436"/>
      <c r="E35" s="436"/>
      <c r="F35" s="436"/>
      <c r="G35" s="436" t="s">
        <v>597</v>
      </c>
      <c r="H35" s="436"/>
      <c r="I35" s="436"/>
      <c r="J35" s="436"/>
      <c r="K35" s="436"/>
    </row>
    <row r="36" spans="1:11" ht="36" customHeight="1" x14ac:dyDescent="0.3">
      <c r="A36" s="436" t="s">
        <v>598</v>
      </c>
      <c r="B36" s="436"/>
      <c r="C36" s="436"/>
      <c r="D36" s="436"/>
      <c r="E36" s="436"/>
      <c r="F36" s="436"/>
      <c r="G36" s="436" t="s">
        <v>599</v>
      </c>
      <c r="H36" s="436"/>
      <c r="I36" s="436"/>
      <c r="J36" s="436"/>
      <c r="K36" s="436"/>
    </row>
    <row r="37" spans="1:11" ht="63" customHeight="1" x14ac:dyDescent="0.3">
      <c r="A37" s="436" t="s">
        <v>600</v>
      </c>
      <c r="B37" s="436"/>
      <c r="C37" s="436"/>
      <c r="D37" s="436"/>
      <c r="E37" s="436"/>
      <c r="F37" s="436"/>
      <c r="G37" s="436" t="s">
        <v>601</v>
      </c>
      <c r="H37" s="436"/>
      <c r="I37" s="436"/>
      <c r="J37" s="436"/>
      <c r="K37" s="436"/>
    </row>
    <row r="38" spans="1:11" ht="23.4" customHeight="1" x14ac:dyDescent="0.3">
      <c r="A38" s="436" t="s">
        <v>602</v>
      </c>
      <c r="B38" s="436"/>
      <c r="C38" s="436"/>
      <c r="D38" s="436"/>
      <c r="E38" s="436"/>
      <c r="F38" s="436"/>
      <c r="G38" s="436" t="s">
        <v>603</v>
      </c>
      <c r="H38" s="436"/>
      <c r="I38" s="436"/>
      <c r="J38" s="436"/>
      <c r="K38" s="436"/>
    </row>
    <row r="39" spans="1:11" ht="23.4" customHeight="1" x14ac:dyDescent="0.3">
      <c r="A39" s="436" t="s">
        <v>604</v>
      </c>
      <c r="B39" s="436"/>
      <c r="C39" s="436"/>
      <c r="D39" s="436"/>
      <c r="E39" s="436"/>
      <c r="F39" s="436"/>
      <c r="G39" s="436" t="s">
        <v>605</v>
      </c>
      <c r="H39" s="436"/>
      <c r="I39" s="436"/>
      <c r="J39" s="436"/>
      <c r="K39" s="436"/>
    </row>
    <row r="41" spans="1:11" ht="15.6" x14ac:dyDescent="0.3">
      <c r="A41" s="306" t="s">
        <v>606</v>
      </c>
      <c r="B41" s="306"/>
      <c r="C41" s="306"/>
      <c r="D41" s="306"/>
      <c r="E41" s="306"/>
      <c r="F41" s="306"/>
      <c r="G41" s="306"/>
      <c r="H41" s="306"/>
      <c r="I41" s="306"/>
      <c r="J41" s="306"/>
      <c r="K41" s="306"/>
    </row>
    <row r="42" spans="1:11" ht="43.2" customHeight="1" x14ac:dyDescent="0.3">
      <c r="A42" s="345" t="s">
        <v>607</v>
      </c>
      <c r="B42" s="345"/>
      <c r="C42" s="345"/>
      <c r="D42" s="345"/>
      <c r="E42" s="345"/>
      <c r="F42" s="345"/>
      <c r="G42" s="345"/>
      <c r="H42" s="345"/>
      <c r="I42" s="345"/>
      <c r="J42" s="345"/>
      <c r="K42" s="345"/>
    </row>
    <row r="43" spans="1:11" x14ac:dyDescent="0.3">
      <c r="A43" s="414" t="s">
        <v>608</v>
      </c>
      <c r="B43" s="414"/>
      <c r="C43" s="414"/>
      <c r="D43" s="414"/>
      <c r="E43" s="414"/>
      <c r="F43" s="414"/>
      <c r="G43" s="414" t="s">
        <v>609</v>
      </c>
      <c r="H43" s="414"/>
      <c r="I43" s="414"/>
      <c r="J43" s="414"/>
      <c r="K43" s="414"/>
    </row>
    <row r="44" spans="1:11" ht="138" customHeight="1" x14ac:dyDescent="0.3">
      <c r="A44" s="432" t="s">
        <v>610</v>
      </c>
      <c r="B44" s="436"/>
      <c r="C44" s="436"/>
      <c r="D44" s="436"/>
      <c r="E44" s="436"/>
      <c r="F44" s="436"/>
      <c r="G44" s="436" t="s">
        <v>611</v>
      </c>
      <c r="H44" s="436"/>
      <c r="I44" s="436"/>
      <c r="J44" s="436"/>
      <c r="K44" s="436"/>
    </row>
    <row r="45" spans="1:11" ht="63.6" customHeight="1" x14ac:dyDescent="0.3">
      <c r="A45" s="436" t="s">
        <v>612</v>
      </c>
      <c r="B45" s="436"/>
      <c r="C45" s="436"/>
      <c r="D45" s="436"/>
      <c r="E45" s="436"/>
      <c r="F45" s="436"/>
      <c r="G45" s="437" t="s">
        <v>613</v>
      </c>
      <c r="H45" s="436"/>
      <c r="I45" s="436"/>
      <c r="J45" s="436"/>
      <c r="K45" s="436"/>
    </row>
    <row r="46" spans="1:11" ht="37.950000000000003" customHeight="1" x14ac:dyDescent="0.3">
      <c r="A46" s="436" t="s">
        <v>614</v>
      </c>
      <c r="B46" s="436"/>
      <c r="C46" s="436"/>
      <c r="D46" s="436"/>
      <c r="E46" s="436"/>
      <c r="F46" s="436"/>
      <c r="G46" s="436" t="s">
        <v>615</v>
      </c>
      <c r="H46" s="436"/>
      <c r="I46" s="436"/>
      <c r="J46" s="436"/>
      <c r="K46" s="436"/>
    </row>
    <row r="47" spans="1:11" ht="78.599999999999994" customHeight="1" x14ac:dyDescent="0.3">
      <c r="A47" s="436" t="s">
        <v>616</v>
      </c>
      <c r="B47" s="436"/>
      <c r="C47" s="436"/>
      <c r="D47" s="436"/>
      <c r="E47" s="436"/>
      <c r="F47" s="436"/>
      <c r="G47" s="432" t="s">
        <v>617</v>
      </c>
      <c r="H47" s="436"/>
      <c r="I47" s="436"/>
      <c r="J47" s="436"/>
      <c r="K47" s="436"/>
    </row>
    <row r="48" spans="1:11" ht="23.4" customHeight="1" x14ac:dyDescent="0.3">
      <c r="A48" s="436" t="s">
        <v>618</v>
      </c>
      <c r="B48" s="436"/>
      <c r="C48" s="436"/>
      <c r="D48" s="436"/>
      <c r="E48" s="436"/>
      <c r="F48" s="436"/>
      <c r="G48" s="436" t="s">
        <v>619</v>
      </c>
      <c r="H48" s="436"/>
      <c r="I48" s="436"/>
      <c r="J48" s="436"/>
      <c r="K48" s="436"/>
    </row>
    <row r="55" spans="1:11" ht="15.6" x14ac:dyDescent="0.3">
      <c r="A55" s="306" t="s">
        <v>620</v>
      </c>
      <c r="B55" s="306"/>
      <c r="C55" s="306"/>
      <c r="D55" s="306"/>
      <c r="E55" s="306"/>
      <c r="F55" s="306"/>
      <c r="G55" s="306"/>
      <c r="H55" s="306"/>
      <c r="I55" s="306"/>
      <c r="J55" s="306"/>
      <c r="K55" s="306"/>
    </row>
    <row r="56" spans="1:11" ht="15" customHeight="1" x14ac:dyDescent="0.3">
      <c r="A56" s="438"/>
      <c r="B56" s="439"/>
      <c r="C56" s="439"/>
      <c r="D56" s="439"/>
      <c r="E56" s="439"/>
      <c r="F56" s="439"/>
      <c r="G56" s="439"/>
      <c r="H56" s="439"/>
      <c r="I56" s="439"/>
      <c r="J56" s="439"/>
      <c r="K56" s="439"/>
    </row>
    <row r="57" spans="1:11" x14ac:dyDescent="0.3">
      <c r="A57" s="414" t="s">
        <v>621</v>
      </c>
      <c r="B57" s="414"/>
      <c r="C57" s="414"/>
      <c r="D57" s="414" t="s">
        <v>622</v>
      </c>
      <c r="E57" s="414"/>
      <c r="F57" s="414"/>
      <c r="G57" s="414" t="s">
        <v>623</v>
      </c>
      <c r="H57" s="414"/>
      <c r="I57" s="414"/>
      <c r="J57" s="414" t="s">
        <v>461</v>
      </c>
      <c r="K57" s="414"/>
    </row>
    <row r="58" spans="1:11" ht="197.4" customHeight="1" x14ac:dyDescent="0.3">
      <c r="A58" s="433" t="s">
        <v>624</v>
      </c>
      <c r="B58" s="434"/>
      <c r="C58" s="435"/>
      <c r="D58" s="433" t="s">
        <v>625</v>
      </c>
      <c r="E58" s="434"/>
      <c r="F58" s="435"/>
      <c r="G58" s="433" t="s">
        <v>626</v>
      </c>
      <c r="H58" s="434"/>
      <c r="I58" s="435"/>
      <c r="J58" s="433" t="s">
        <v>627</v>
      </c>
      <c r="K58" s="435"/>
    </row>
    <row r="59" spans="1:11" ht="15.6" customHeight="1" x14ac:dyDescent="0.3">
      <c r="A59" s="427" t="s">
        <v>628</v>
      </c>
      <c r="B59" s="428"/>
      <c r="C59" s="428"/>
      <c r="D59" s="428"/>
      <c r="E59" s="428"/>
      <c r="F59" s="428"/>
      <c r="G59" s="428"/>
      <c r="H59" s="428"/>
      <c r="I59" s="428"/>
      <c r="J59" s="428"/>
      <c r="K59" s="429"/>
    </row>
    <row r="60" spans="1:11" ht="15" customHeight="1" x14ac:dyDescent="0.3">
      <c r="A60" s="228"/>
      <c r="B60" s="229"/>
      <c r="C60" s="229"/>
      <c r="D60" s="228"/>
      <c r="E60" s="229"/>
      <c r="F60" s="229"/>
      <c r="G60" s="228"/>
      <c r="H60" s="229"/>
      <c r="I60" s="229"/>
      <c r="J60" s="228"/>
      <c r="K60" s="229"/>
    </row>
    <row r="61" spans="1:11" ht="15.6" x14ac:dyDescent="0.3">
      <c r="A61" s="306" t="s">
        <v>629</v>
      </c>
      <c r="B61" s="306"/>
      <c r="C61" s="306"/>
      <c r="D61" s="306"/>
      <c r="E61" s="306"/>
      <c r="F61" s="306"/>
      <c r="G61" s="306"/>
      <c r="H61" s="306"/>
      <c r="I61" s="306"/>
      <c r="J61" s="306"/>
      <c r="K61" s="306"/>
    </row>
    <row r="62" spans="1:11" ht="178.2" customHeight="1" x14ac:dyDescent="0.3">
      <c r="A62" s="345" t="s">
        <v>630</v>
      </c>
      <c r="B62" s="346"/>
      <c r="C62" s="346"/>
      <c r="D62" s="346"/>
      <c r="E62" s="346"/>
      <c r="F62" s="346"/>
      <c r="G62" s="346"/>
      <c r="H62" s="346"/>
      <c r="I62" s="346"/>
      <c r="J62" s="346"/>
      <c r="K62" s="346"/>
    </row>
    <row r="63" spans="1:11" ht="15" customHeight="1" x14ac:dyDescent="0.3">
      <c r="A63" s="136"/>
      <c r="B63" s="50"/>
      <c r="C63" s="50"/>
      <c r="D63" s="50"/>
      <c r="E63" s="50"/>
      <c r="F63" s="50"/>
      <c r="G63" s="50"/>
      <c r="H63" s="50"/>
      <c r="I63" s="50"/>
      <c r="J63" s="50"/>
      <c r="K63" s="50"/>
    </row>
    <row r="64" spans="1:11" ht="15" customHeight="1" x14ac:dyDescent="0.3">
      <c r="A64" s="306" t="s">
        <v>631</v>
      </c>
      <c r="B64" s="306"/>
      <c r="C64" s="306"/>
      <c r="D64" s="306"/>
      <c r="E64" s="306"/>
      <c r="F64" s="306"/>
      <c r="G64" s="306"/>
      <c r="H64" s="306"/>
      <c r="I64" s="306"/>
      <c r="J64" s="306"/>
      <c r="K64" s="306"/>
    </row>
    <row r="65" spans="1:11" x14ac:dyDescent="0.3">
      <c r="A65" s="431" t="s">
        <v>632</v>
      </c>
      <c r="B65" s="431"/>
      <c r="C65" s="431"/>
      <c r="D65" s="431" t="s">
        <v>622</v>
      </c>
      <c r="E65" s="431"/>
      <c r="F65" s="431"/>
      <c r="G65" s="431"/>
      <c r="H65" s="431" t="s">
        <v>633</v>
      </c>
      <c r="I65" s="431"/>
      <c r="J65" s="431"/>
      <c r="K65" s="431"/>
    </row>
    <row r="66" spans="1:11" ht="168.6" customHeight="1" x14ac:dyDescent="0.3">
      <c r="A66" s="441" t="s">
        <v>634</v>
      </c>
      <c r="B66" s="442"/>
      <c r="C66" s="442"/>
      <c r="D66" s="441" t="s">
        <v>635</v>
      </c>
      <c r="E66" s="442"/>
      <c r="F66" s="442"/>
      <c r="G66" s="442"/>
      <c r="H66" s="441" t="s">
        <v>636</v>
      </c>
      <c r="I66" s="442"/>
      <c r="J66" s="442"/>
      <c r="K66" s="442"/>
    </row>
    <row r="67" spans="1:11" ht="10.199999999999999" customHeight="1" x14ac:dyDescent="0.3"/>
    <row r="68" spans="1:11" ht="18.600000000000001" customHeight="1" thickBot="1" x14ac:dyDescent="0.35">
      <c r="A68" s="306" t="s">
        <v>637</v>
      </c>
      <c r="B68" s="306"/>
      <c r="C68" s="306"/>
      <c r="D68" s="306"/>
      <c r="E68" s="306"/>
      <c r="F68" s="306"/>
      <c r="G68" s="306"/>
      <c r="H68" s="306"/>
      <c r="I68" s="306"/>
      <c r="J68" s="306"/>
      <c r="K68" s="306"/>
    </row>
    <row r="69" spans="1:11" ht="52.95" customHeight="1" thickBot="1" x14ac:dyDescent="0.35">
      <c r="A69" s="448" t="s">
        <v>551</v>
      </c>
      <c r="B69" s="448"/>
      <c r="C69" s="449" t="s">
        <v>638</v>
      </c>
      <c r="D69" s="430"/>
      <c r="E69" s="430"/>
      <c r="F69" s="430"/>
      <c r="G69" s="430"/>
      <c r="H69" s="430"/>
      <c r="I69" s="430"/>
      <c r="J69" s="430"/>
      <c r="K69" s="430"/>
    </row>
    <row r="70" spans="1:11" ht="15" thickBot="1" x14ac:dyDescent="0.35">
      <c r="A70" s="448" t="s">
        <v>552</v>
      </c>
      <c r="B70" s="448"/>
      <c r="C70" s="449" t="s">
        <v>639</v>
      </c>
      <c r="D70" s="430"/>
      <c r="E70" s="430"/>
      <c r="F70" s="430"/>
      <c r="G70" s="430"/>
      <c r="H70" s="430"/>
      <c r="I70" s="430"/>
      <c r="J70" s="430"/>
      <c r="K70" s="430"/>
    </row>
    <row r="71" spans="1:11" ht="16.2" customHeight="1" thickBot="1" x14ac:dyDescent="0.35">
      <c r="A71" s="448" t="s">
        <v>571</v>
      </c>
      <c r="B71" s="448"/>
      <c r="C71" s="430" t="s">
        <v>640</v>
      </c>
      <c r="D71" s="430"/>
      <c r="E71" s="430"/>
      <c r="F71" s="430"/>
      <c r="G71" s="430"/>
      <c r="H71" s="430"/>
      <c r="I71" s="430"/>
      <c r="J71" s="430"/>
      <c r="K71" s="430"/>
    </row>
    <row r="72" spans="1:11" ht="15.6" x14ac:dyDescent="0.3">
      <c r="A72" s="306" t="s">
        <v>641</v>
      </c>
      <c r="B72" s="306"/>
      <c r="C72" s="306"/>
      <c r="D72" s="306"/>
      <c r="E72" s="306"/>
      <c r="F72" s="306"/>
      <c r="G72" s="306"/>
      <c r="H72" s="306"/>
      <c r="I72" s="306"/>
      <c r="J72" s="306"/>
      <c r="K72" s="306"/>
    </row>
    <row r="73" spans="1:11" ht="97.95" customHeight="1" x14ac:dyDescent="0.3">
      <c r="A73" s="446" t="s">
        <v>642</v>
      </c>
      <c r="B73" s="447"/>
      <c r="C73" s="447"/>
      <c r="D73" s="447"/>
      <c r="E73" s="447"/>
      <c r="F73" s="447"/>
      <c r="G73" s="447"/>
      <c r="H73" s="447"/>
      <c r="I73" s="447"/>
      <c r="J73" s="447"/>
      <c r="K73" s="447"/>
    </row>
    <row r="75" spans="1:11" x14ac:dyDescent="0.3">
      <c r="A75" s="445" t="s">
        <v>643</v>
      </c>
      <c r="B75" s="445"/>
      <c r="C75" s="445"/>
      <c r="D75" s="445"/>
      <c r="E75" s="445"/>
      <c r="F75" s="445"/>
      <c r="G75" s="445"/>
      <c r="H75" s="445"/>
      <c r="I75" s="445"/>
      <c r="J75" s="445"/>
      <c r="K75" s="445"/>
    </row>
    <row r="76" spans="1:11" ht="60" customHeight="1" x14ac:dyDescent="0.3">
      <c r="A76" s="444" t="s">
        <v>644</v>
      </c>
      <c r="B76" s="444"/>
      <c r="C76" s="443" t="s">
        <v>645</v>
      </c>
      <c r="D76" s="443"/>
      <c r="E76" s="443"/>
      <c r="F76" s="443"/>
      <c r="G76" s="443"/>
      <c r="H76" s="443"/>
      <c r="I76" s="443"/>
      <c r="J76" s="443"/>
      <c r="K76" s="443"/>
    </row>
    <row r="77" spans="1:11" ht="70.95" customHeight="1" x14ac:dyDescent="0.3">
      <c r="A77" s="444" t="s">
        <v>646</v>
      </c>
      <c r="B77" s="444"/>
      <c r="C77" s="443" t="s">
        <v>647</v>
      </c>
      <c r="D77" s="443"/>
      <c r="E77" s="443"/>
      <c r="F77" s="443"/>
      <c r="G77" s="443"/>
      <c r="H77" s="443"/>
      <c r="I77" s="443"/>
      <c r="J77" s="443"/>
      <c r="K77" s="443"/>
    </row>
    <row r="78" spans="1:11" ht="44.4" customHeight="1" x14ac:dyDescent="0.3">
      <c r="A78" s="444" t="s">
        <v>648</v>
      </c>
      <c r="B78" s="444"/>
      <c r="C78" s="443" t="s">
        <v>649</v>
      </c>
      <c r="D78" s="443"/>
      <c r="E78" s="443"/>
      <c r="F78" s="443"/>
      <c r="G78" s="443"/>
      <c r="H78" s="443"/>
      <c r="I78" s="443"/>
      <c r="J78" s="443"/>
      <c r="K78" s="443"/>
    </row>
    <row r="79" spans="1:11" ht="62.4" customHeight="1" x14ac:dyDescent="0.3">
      <c r="A79" s="444" t="s">
        <v>650</v>
      </c>
      <c r="B79" s="444"/>
      <c r="C79" s="443" t="s">
        <v>651</v>
      </c>
      <c r="D79" s="443"/>
      <c r="E79" s="443"/>
      <c r="F79" s="443"/>
      <c r="G79" s="443"/>
      <c r="H79" s="443"/>
      <c r="I79" s="443"/>
      <c r="J79" s="443"/>
      <c r="K79" s="443"/>
    </row>
    <row r="81" spans="1:11" x14ac:dyDescent="0.3">
      <c r="A81" s="445" t="s">
        <v>652</v>
      </c>
      <c r="B81" s="445"/>
      <c r="C81" s="445"/>
      <c r="D81" s="445"/>
      <c r="E81" s="445"/>
      <c r="F81" s="445"/>
      <c r="G81" s="445"/>
      <c r="H81" s="445"/>
      <c r="I81" s="445"/>
      <c r="J81" s="445"/>
      <c r="K81" s="445"/>
    </row>
    <row r="82" spans="1:11" ht="73.2" customHeight="1" x14ac:dyDescent="0.3">
      <c r="A82" s="444" t="s">
        <v>653</v>
      </c>
      <c r="B82" s="444"/>
      <c r="C82" s="443" t="s">
        <v>654</v>
      </c>
      <c r="D82" s="443"/>
      <c r="E82" s="443"/>
      <c r="F82" s="443"/>
      <c r="G82" s="443"/>
      <c r="H82" s="443"/>
      <c r="I82" s="443"/>
      <c r="J82" s="443"/>
      <c r="K82" s="443"/>
    </row>
    <row r="83" spans="1:11" ht="47.4" customHeight="1" x14ac:dyDescent="0.3">
      <c r="A83" s="444" t="s">
        <v>655</v>
      </c>
      <c r="B83" s="444"/>
      <c r="C83" s="443" t="s">
        <v>656</v>
      </c>
      <c r="D83" s="443"/>
      <c r="E83" s="443"/>
      <c r="F83" s="443"/>
      <c r="G83" s="443"/>
      <c r="H83" s="443"/>
      <c r="I83" s="443"/>
      <c r="J83" s="443"/>
      <c r="K83" s="443"/>
    </row>
    <row r="84" spans="1:11" ht="72.599999999999994" customHeight="1" x14ac:dyDescent="0.3">
      <c r="A84" s="444" t="s">
        <v>657</v>
      </c>
      <c r="B84" s="444"/>
      <c r="C84" s="443" t="s">
        <v>658</v>
      </c>
      <c r="D84" s="443"/>
      <c r="E84" s="443"/>
      <c r="F84" s="443"/>
      <c r="G84" s="443"/>
      <c r="H84" s="443"/>
      <c r="I84" s="443"/>
      <c r="J84" s="443"/>
      <c r="K84" s="443"/>
    </row>
    <row r="85" spans="1:11" ht="64.95" customHeight="1" x14ac:dyDescent="0.3">
      <c r="A85" s="444" t="s">
        <v>659</v>
      </c>
      <c r="B85" s="444"/>
      <c r="C85" s="443" t="s">
        <v>660</v>
      </c>
      <c r="D85" s="443"/>
      <c r="E85" s="443"/>
      <c r="F85" s="443"/>
      <c r="G85" s="443"/>
      <c r="H85" s="443"/>
      <c r="I85" s="443"/>
      <c r="J85" s="443"/>
      <c r="K85" s="443"/>
    </row>
    <row r="86" spans="1:11" ht="47.4" customHeight="1" x14ac:dyDescent="0.3">
      <c r="A86" s="444" t="s">
        <v>661</v>
      </c>
      <c r="B86" s="444"/>
      <c r="C86" s="443" t="s">
        <v>662</v>
      </c>
      <c r="D86" s="443"/>
      <c r="E86" s="443"/>
      <c r="F86" s="443"/>
      <c r="G86" s="443"/>
      <c r="H86" s="443"/>
      <c r="I86" s="443"/>
      <c r="J86" s="443"/>
      <c r="K86" s="443"/>
    </row>
    <row r="87" spans="1:11" ht="15.6" x14ac:dyDescent="0.3">
      <c r="A87" s="306" t="s">
        <v>663</v>
      </c>
      <c r="B87" s="306"/>
      <c r="C87" s="306"/>
      <c r="D87" s="306"/>
      <c r="E87" s="306"/>
      <c r="F87" s="306"/>
      <c r="G87" s="306"/>
      <c r="H87" s="306"/>
      <c r="I87" s="306"/>
      <c r="J87" s="306"/>
      <c r="K87" s="306"/>
    </row>
    <row r="89" spans="1:11" x14ac:dyDescent="0.3">
      <c r="A89" s="445" t="s">
        <v>664</v>
      </c>
      <c r="B89" s="445"/>
      <c r="C89" s="445"/>
      <c r="D89" s="445"/>
      <c r="E89" s="445"/>
      <c r="F89" s="445"/>
      <c r="G89" s="445"/>
      <c r="H89" s="445"/>
      <c r="I89" s="445"/>
      <c r="J89" s="445"/>
      <c r="K89" s="445"/>
    </row>
    <row r="90" spans="1:11" ht="46.2" customHeight="1" x14ac:dyDescent="0.3">
      <c r="A90" s="444" t="s">
        <v>653</v>
      </c>
      <c r="B90" s="444"/>
      <c r="C90" s="443" t="s">
        <v>665</v>
      </c>
      <c r="D90" s="443"/>
      <c r="E90" s="443"/>
      <c r="F90" s="443"/>
      <c r="G90" s="443"/>
      <c r="H90" s="443"/>
      <c r="I90" s="443"/>
      <c r="J90" s="443"/>
      <c r="K90" s="443"/>
    </row>
    <row r="91" spans="1:11" ht="116.4" customHeight="1" x14ac:dyDescent="0.3">
      <c r="A91" s="444" t="s">
        <v>666</v>
      </c>
      <c r="B91" s="444"/>
      <c r="C91" s="443" t="s">
        <v>667</v>
      </c>
      <c r="D91" s="443"/>
      <c r="E91" s="443"/>
      <c r="F91" s="443"/>
      <c r="G91" s="443"/>
      <c r="H91" s="443"/>
      <c r="I91" s="443"/>
      <c r="J91" s="443"/>
      <c r="K91" s="443"/>
    </row>
    <row r="92" spans="1:11" ht="52.2" customHeight="1" x14ac:dyDescent="0.3">
      <c r="A92" s="444" t="s">
        <v>668</v>
      </c>
      <c r="B92" s="444"/>
      <c r="C92" s="443" t="s">
        <v>669</v>
      </c>
      <c r="D92" s="443"/>
      <c r="E92" s="443"/>
      <c r="F92" s="443"/>
      <c r="G92" s="443"/>
      <c r="H92" s="443"/>
      <c r="I92" s="443"/>
      <c r="J92" s="443"/>
      <c r="K92" s="443"/>
    </row>
    <row r="94" spans="1:11" x14ac:dyDescent="0.3">
      <c r="A94" s="445" t="s">
        <v>670</v>
      </c>
      <c r="B94" s="445"/>
      <c r="C94" s="445"/>
      <c r="D94" s="445"/>
      <c r="E94" s="445"/>
      <c r="F94" s="445"/>
      <c r="G94" s="445"/>
      <c r="H94" s="445"/>
      <c r="I94" s="445"/>
      <c r="J94" s="445"/>
      <c r="K94" s="445"/>
    </row>
    <row r="95" spans="1:11" ht="46.95" customHeight="1" x14ac:dyDescent="0.3">
      <c r="A95" s="444" t="s">
        <v>653</v>
      </c>
      <c r="B95" s="444"/>
      <c r="C95" s="443" t="s">
        <v>671</v>
      </c>
      <c r="D95" s="443"/>
      <c r="E95" s="443"/>
      <c r="F95" s="443"/>
      <c r="G95" s="443"/>
      <c r="H95" s="443"/>
      <c r="I95" s="443"/>
      <c r="J95" s="443"/>
      <c r="K95" s="443"/>
    </row>
    <row r="96" spans="1:11" ht="140.4" customHeight="1" x14ac:dyDescent="0.3">
      <c r="A96" s="444" t="s">
        <v>672</v>
      </c>
      <c r="B96" s="444"/>
      <c r="C96" s="443" t="s">
        <v>673</v>
      </c>
      <c r="D96" s="443"/>
      <c r="E96" s="443"/>
      <c r="F96" s="443"/>
      <c r="G96" s="443"/>
      <c r="H96" s="443"/>
      <c r="I96" s="443"/>
      <c r="J96" s="443"/>
      <c r="K96" s="443"/>
    </row>
    <row r="111" spans="5:7" x14ac:dyDescent="0.3">
      <c r="E111" s="386" t="s">
        <v>338</v>
      </c>
      <c r="F111" s="386"/>
      <c r="G111" s="386"/>
    </row>
  </sheetData>
  <mergeCells count="134">
    <mergeCell ref="E111:G111"/>
    <mergeCell ref="A96:B96"/>
    <mergeCell ref="C96:K96"/>
    <mergeCell ref="A91:B91"/>
    <mergeCell ref="C91:K91"/>
    <mergeCell ref="A92:B92"/>
    <mergeCell ref="C92:K92"/>
    <mergeCell ref="A94:K94"/>
    <mergeCell ref="A95:B95"/>
    <mergeCell ref="C95:K95"/>
    <mergeCell ref="A86:B86"/>
    <mergeCell ref="C86:K86"/>
    <mergeCell ref="A87:K87"/>
    <mergeCell ref="A89:K89"/>
    <mergeCell ref="A90:B90"/>
    <mergeCell ref="C90:K90"/>
    <mergeCell ref="A83:B83"/>
    <mergeCell ref="C83:K83"/>
    <mergeCell ref="A84:B84"/>
    <mergeCell ref="C84:K84"/>
    <mergeCell ref="A85:B85"/>
    <mergeCell ref="C85:K85"/>
    <mergeCell ref="A66:C66"/>
    <mergeCell ref="D66:G66"/>
    <mergeCell ref="H66:K66"/>
    <mergeCell ref="A64:K64"/>
    <mergeCell ref="C78:K78"/>
    <mergeCell ref="A79:B79"/>
    <mergeCell ref="C79:K79"/>
    <mergeCell ref="A81:K81"/>
    <mergeCell ref="A82:B82"/>
    <mergeCell ref="C82:K82"/>
    <mergeCell ref="A72:K72"/>
    <mergeCell ref="A73:K73"/>
    <mergeCell ref="A75:K75"/>
    <mergeCell ref="A76:B76"/>
    <mergeCell ref="C76:K76"/>
    <mergeCell ref="A77:B77"/>
    <mergeCell ref="C77:K77"/>
    <mergeCell ref="A78:B78"/>
    <mergeCell ref="A68:K68"/>
    <mergeCell ref="A69:B69"/>
    <mergeCell ref="A70:B70"/>
    <mergeCell ref="A71:B71"/>
    <mergeCell ref="C69:K69"/>
    <mergeCell ref="C70:K70"/>
    <mergeCell ref="A41:K41"/>
    <mergeCell ref="A42:K42"/>
    <mergeCell ref="A43:F43"/>
    <mergeCell ref="G43:K43"/>
    <mergeCell ref="A44:F44"/>
    <mergeCell ref="G44:K44"/>
    <mergeCell ref="A29:B29"/>
    <mergeCell ref="C29:K29"/>
    <mergeCell ref="A30:B30"/>
    <mergeCell ref="C30:K30"/>
    <mergeCell ref="A31:B31"/>
    <mergeCell ref="C31:K31"/>
    <mergeCell ref="A34:F34"/>
    <mergeCell ref="G34:K34"/>
    <mergeCell ref="A35:F35"/>
    <mergeCell ref="G35:K35"/>
    <mergeCell ref="A33:K33"/>
    <mergeCell ref="A38:F38"/>
    <mergeCell ref="G38:K38"/>
    <mergeCell ref="A39:F39"/>
    <mergeCell ref="G39:K39"/>
    <mergeCell ref="A36:F36"/>
    <mergeCell ref="G36:K36"/>
    <mergeCell ref="A37:F37"/>
    <mergeCell ref="A10:B10"/>
    <mergeCell ref="C10:K10"/>
    <mergeCell ref="A11:B11"/>
    <mergeCell ref="C11:K11"/>
    <mergeCell ref="A12:B12"/>
    <mergeCell ref="C12:K12"/>
    <mergeCell ref="C24:K24"/>
    <mergeCell ref="A25:B25"/>
    <mergeCell ref="C25:K25"/>
    <mergeCell ref="A18:K18"/>
    <mergeCell ref="A19:B19"/>
    <mergeCell ref="C19:K19"/>
    <mergeCell ref="A20:B20"/>
    <mergeCell ref="C20:K20"/>
    <mergeCell ref="A21:B21"/>
    <mergeCell ref="C21:K21"/>
    <mergeCell ref="A23:K23"/>
    <mergeCell ref="A24:B24"/>
    <mergeCell ref="G37:K37"/>
    <mergeCell ref="A14:K14"/>
    <mergeCell ref="A15:B15"/>
    <mergeCell ref="C15:K15"/>
    <mergeCell ref="A16:B16"/>
    <mergeCell ref="C16:K16"/>
    <mergeCell ref="A17:B17"/>
    <mergeCell ref="C17:K17"/>
    <mergeCell ref="A26:B26"/>
    <mergeCell ref="C26:K26"/>
    <mergeCell ref="A28:K28"/>
    <mergeCell ref="G46:K46"/>
    <mergeCell ref="A47:F47"/>
    <mergeCell ref="G47:K47"/>
    <mergeCell ref="A48:F48"/>
    <mergeCell ref="G48:K48"/>
    <mergeCell ref="A55:K55"/>
    <mergeCell ref="A57:C57"/>
    <mergeCell ref="D57:F57"/>
    <mergeCell ref="G57:I57"/>
    <mergeCell ref="J57:K57"/>
    <mergeCell ref="A56:K56"/>
    <mergeCell ref="A59:K59"/>
    <mergeCell ref="C71:K71"/>
    <mergeCell ref="A61:K61"/>
    <mergeCell ref="A62:K62"/>
    <mergeCell ref="D65:G65"/>
    <mergeCell ref="H65:K65"/>
    <mergeCell ref="A65:C65"/>
    <mergeCell ref="A9:K9"/>
    <mergeCell ref="A1:K1"/>
    <mergeCell ref="A2:K2"/>
    <mergeCell ref="A5:B5"/>
    <mergeCell ref="C5:K5"/>
    <mergeCell ref="A6:B6"/>
    <mergeCell ref="C6:K6"/>
    <mergeCell ref="A7:B7"/>
    <mergeCell ref="C7:K7"/>
    <mergeCell ref="A4:K4"/>
    <mergeCell ref="A58:C58"/>
    <mergeCell ref="D58:F58"/>
    <mergeCell ref="G58:I58"/>
    <mergeCell ref="J58:K58"/>
    <mergeCell ref="A45:F45"/>
    <mergeCell ref="G45:K45"/>
    <mergeCell ref="A46:F46"/>
  </mergeCells>
  <conditionalFormatting sqref="E111">
    <cfRule type="containsBlanks" dxfId="89" priority="1">
      <formula>LEN(TRIM(E111))=0</formula>
    </cfRule>
  </conditionalFormatting>
  <pageMargins left="0.25" right="0.25" top="0.86458333333333337" bottom="0.75" header="0.3" footer="0.3"/>
  <pageSetup paperSize="9" orientation="portrait" r:id="rId1"/>
  <headerFooter>
    <oddHeader>&amp;LStatement of Work
(eSOW/Hardware) - JLR-TMP-557249&amp;C&amp;G&amp;RIssue Level 5.3
Effective Date: 9th June 2025</oddHeader>
    <oddFooter>&amp;L&amp;"JLR Emeric,Regular"&amp;10
Environmental and Recycling 
Requirements&amp;C&amp;"JLR Emeric,Bold"&amp;10&amp;KFF0000PRINTED COPIES ARE UNCONTROLLED&amp;R&amp;"JLR Emeric,Regular"&amp;10&amp;P</oddFooter>
  </headerFooter>
  <rowBreaks count="5" manualBreakCount="5">
    <brk id="17" max="16383" man="1"/>
    <brk id="32" max="16383" man="1"/>
    <brk id="54" max="16383" man="1"/>
    <brk id="71" max="16383" man="1"/>
    <brk id="86" max="16383" man="1"/>
  </rowBreaks>
  <legacyDrawing r:id="rId2"/>
  <legacyDrawingHF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20895-13E1-4942-A5BA-DB6A64B63448}">
  <sheetPr codeName="Sheet5">
    <tabColor rgb="FFFF0000"/>
  </sheetPr>
  <dimension ref="A1:K75"/>
  <sheetViews>
    <sheetView view="pageLayout" zoomScaleNormal="100" zoomScaleSheetLayoutView="100" workbookViewId="0">
      <selection activeCell="F49" sqref="F49"/>
    </sheetView>
  </sheetViews>
  <sheetFormatPr defaultColWidth="8.88671875" defaultRowHeight="14.4" x14ac:dyDescent="0.3"/>
  <cols>
    <col min="1" max="1" width="8.88671875" customWidth="1"/>
  </cols>
  <sheetData>
    <row r="1" spans="1:11" ht="27.6" customHeight="1" x14ac:dyDescent="0.3">
      <c r="A1" s="407" t="s">
        <v>525</v>
      </c>
      <c r="B1" s="407"/>
      <c r="C1" s="407"/>
      <c r="D1" s="407"/>
      <c r="E1" s="407"/>
      <c r="F1" s="407"/>
      <c r="G1" s="407"/>
      <c r="H1" s="407"/>
      <c r="I1" s="407"/>
      <c r="J1" s="407"/>
      <c r="K1" s="407"/>
    </row>
    <row r="2" spans="1:11" ht="9" customHeight="1" x14ac:dyDescent="0.3">
      <c r="A2" s="453"/>
      <c r="B2" s="453"/>
      <c r="C2" s="453"/>
      <c r="D2" s="453"/>
      <c r="E2" s="453"/>
      <c r="F2" s="453"/>
      <c r="G2" s="453"/>
      <c r="H2" s="453"/>
      <c r="I2" s="453"/>
      <c r="J2" s="453"/>
      <c r="K2" s="453"/>
    </row>
    <row r="3" spans="1:11" ht="15" customHeight="1" x14ac:dyDescent="0.3">
      <c r="A3" s="454" t="s">
        <v>137</v>
      </c>
      <c r="B3" s="454"/>
      <c r="C3" s="454"/>
      <c r="D3" s="454"/>
      <c r="E3" s="455" t="str">
        <f>'Front Matter'!I8</f>
        <v>Make to Print</v>
      </c>
      <c r="F3" s="455"/>
      <c r="G3" s="455"/>
      <c r="H3" s="455"/>
      <c r="I3" s="455"/>
      <c r="J3" s="455"/>
      <c r="K3" s="455"/>
    </row>
    <row r="4" spans="1:11" ht="59.4" customHeight="1" x14ac:dyDescent="0.3">
      <c r="A4" s="257" t="s">
        <v>674</v>
      </c>
      <c r="B4" s="351"/>
      <c r="C4" s="351"/>
      <c r="D4" s="351"/>
      <c r="E4" s="351"/>
      <c r="F4" s="351"/>
      <c r="G4" s="351"/>
      <c r="H4" s="351"/>
      <c r="I4" s="351"/>
      <c r="J4" s="351"/>
      <c r="K4" s="351"/>
    </row>
    <row r="5" spans="1:11" ht="51" customHeight="1" x14ac:dyDescent="0.3">
      <c r="A5" s="351" t="s">
        <v>675</v>
      </c>
      <c r="B5" s="351"/>
      <c r="C5" s="351"/>
      <c r="D5" s="351"/>
      <c r="E5" s="351"/>
      <c r="F5" s="351"/>
      <c r="G5" s="351"/>
      <c r="H5" s="351"/>
      <c r="I5" s="351"/>
      <c r="J5" s="351"/>
      <c r="K5" s="351"/>
    </row>
    <row r="6" spans="1:11" ht="14.1" customHeight="1" x14ac:dyDescent="0.3">
      <c r="A6" s="306" t="s">
        <v>676</v>
      </c>
      <c r="B6" s="306"/>
      <c r="C6" s="306"/>
      <c r="D6" s="306"/>
      <c r="E6" s="306"/>
      <c r="F6" s="306"/>
      <c r="G6" s="306"/>
      <c r="H6" s="306"/>
      <c r="I6" s="306"/>
      <c r="J6" s="306"/>
      <c r="K6" s="306"/>
    </row>
    <row r="7" spans="1:11" ht="47.4" customHeight="1" x14ac:dyDescent="0.3">
      <c r="A7" s="257" t="s">
        <v>677</v>
      </c>
      <c r="B7" s="257"/>
      <c r="C7" s="257"/>
      <c r="D7" s="257"/>
      <c r="E7" s="257"/>
      <c r="F7" s="257"/>
      <c r="G7" s="257"/>
      <c r="H7" s="257"/>
      <c r="I7" s="257"/>
      <c r="J7" s="257"/>
      <c r="K7" s="257"/>
    </row>
    <row r="8" spans="1:11" ht="14.4" customHeight="1" x14ac:dyDescent="0.3">
      <c r="A8" s="458" t="s">
        <v>678</v>
      </c>
      <c r="B8" s="457"/>
      <c r="D8" s="335" t="s">
        <v>679</v>
      </c>
      <c r="E8" s="338"/>
      <c r="G8" s="335" t="s">
        <v>680</v>
      </c>
      <c r="H8" s="338"/>
      <c r="J8" s="335" t="s">
        <v>681</v>
      </c>
      <c r="K8" s="338"/>
    </row>
    <row r="9" spans="1:11" ht="14.4" customHeight="1" x14ac:dyDescent="0.3">
      <c r="A9" s="456" t="s">
        <v>682</v>
      </c>
      <c r="B9" s="457"/>
      <c r="D9" s="271" t="s">
        <v>27</v>
      </c>
      <c r="E9" s="338"/>
      <c r="G9" s="459">
        <v>47098</v>
      </c>
      <c r="H9" s="338"/>
      <c r="J9" s="271" t="s">
        <v>683</v>
      </c>
      <c r="K9" s="338"/>
    </row>
    <row r="10" spans="1:11" ht="14.4" customHeight="1" x14ac:dyDescent="0.3">
      <c r="A10" s="83"/>
      <c r="B10" s="82"/>
      <c r="D10" s="83"/>
      <c r="E10" s="82"/>
      <c r="G10" s="83"/>
      <c r="H10" s="82"/>
      <c r="J10" s="83"/>
      <c r="K10" s="82"/>
    </row>
    <row r="11" spans="1:11" ht="14.4" customHeight="1" x14ac:dyDescent="0.3">
      <c r="A11" s="458" t="s">
        <v>684</v>
      </c>
      <c r="B11" s="457"/>
      <c r="D11" s="335" t="s">
        <v>685</v>
      </c>
      <c r="E11" s="338"/>
      <c r="G11" s="335" t="s">
        <v>684</v>
      </c>
      <c r="H11" s="338"/>
      <c r="J11" s="335" t="s">
        <v>686</v>
      </c>
      <c r="K11" s="338"/>
    </row>
    <row r="12" spans="1:11" ht="14.4" customHeight="1" x14ac:dyDescent="0.3">
      <c r="A12" s="456" t="s">
        <v>687</v>
      </c>
      <c r="B12" s="457"/>
      <c r="D12" s="271">
        <v>626000</v>
      </c>
      <c r="E12" s="338"/>
      <c r="G12" s="456" t="s">
        <v>687</v>
      </c>
      <c r="H12" s="457"/>
      <c r="J12" s="271">
        <v>92000</v>
      </c>
      <c r="K12" s="338"/>
    </row>
    <row r="13" spans="1:11" ht="14.4" customHeight="1" x14ac:dyDescent="0.3"/>
    <row r="14" spans="1:11" ht="14.4" customHeight="1" x14ac:dyDescent="0.3">
      <c r="B14" s="451" t="s">
        <v>688</v>
      </c>
      <c r="C14" s="452"/>
      <c r="D14" s="452"/>
      <c r="E14" s="338"/>
      <c r="G14" s="451" t="s">
        <v>689</v>
      </c>
      <c r="H14" s="452"/>
      <c r="I14" s="452"/>
      <c r="J14" s="338"/>
    </row>
    <row r="15" spans="1:11" ht="14.4" customHeight="1" x14ac:dyDescent="0.3">
      <c r="B15" s="335" t="s">
        <v>690</v>
      </c>
      <c r="C15" s="338"/>
      <c r="D15" s="335" t="s">
        <v>72</v>
      </c>
      <c r="E15" s="338"/>
      <c r="G15" s="335" t="s">
        <v>690</v>
      </c>
      <c r="H15" s="338"/>
      <c r="I15" s="335" t="s">
        <v>72</v>
      </c>
      <c r="J15" s="338"/>
    </row>
    <row r="16" spans="1:11" ht="14.4" customHeight="1" x14ac:dyDescent="0.3">
      <c r="B16" s="450" t="s">
        <v>158</v>
      </c>
      <c r="C16" s="338"/>
      <c r="D16" s="450" t="s">
        <v>158</v>
      </c>
      <c r="E16" s="338"/>
      <c r="G16" s="450" t="s">
        <v>158</v>
      </c>
      <c r="H16" s="338"/>
      <c r="I16" s="450" t="s">
        <v>158</v>
      </c>
      <c r="J16" s="338"/>
    </row>
    <row r="17" spans="1:11" ht="14.4" customHeight="1" x14ac:dyDescent="0.3">
      <c r="B17" s="83"/>
      <c r="C17" s="82"/>
      <c r="D17" s="83"/>
      <c r="E17" s="82"/>
      <c r="G17" s="83"/>
      <c r="H17" s="82"/>
      <c r="I17" s="83"/>
      <c r="J17" s="82"/>
    </row>
    <row r="18" spans="1:11" ht="14.4" customHeight="1" x14ac:dyDescent="0.3">
      <c r="B18" s="451" t="s">
        <v>691</v>
      </c>
      <c r="C18" s="452"/>
      <c r="D18" s="452"/>
      <c r="E18" s="338"/>
      <c r="G18" s="451" t="s">
        <v>692</v>
      </c>
      <c r="H18" s="452"/>
      <c r="I18" s="452"/>
      <c r="J18" s="338"/>
    </row>
    <row r="19" spans="1:11" ht="14.4" customHeight="1" x14ac:dyDescent="0.3">
      <c r="B19" s="335" t="s">
        <v>690</v>
      </c>
      <c r="C19" s="338"/>
      <c r="D19" s="335" t="s">
        <v>72</v>
      </c>
      <c r="E19" s="338"/>
      <c r="G19" s="335" t="s">
        <v>690</v>
      </c>
      <c r="H19" s="338"/>
      <c r="I19" s="335" t="s">
        <v>72</v>
      </c>
      <c r="J19" s="338"/>
    </row>
    <row r="20" spans="1:11" ht="14.4" customHeight="1" x14ac:dyDescent="0.3">
      <c r="B20" s="450" t="s">
        <v>158</v>
      </c>
      <c r="C20" s="338"/>
      <c r="D20" s="450" t="s">
        <v>158</v>
      </c>
      <c r="E20" s="338"/>
      <c r="G20" s="450" t="s">
        <v>158</v>
      </c>
      <c r="H20" s="338"/>
      <c r="I20" s="450" t="s">
        <v>158</v>
      </c>
      <c r="J20" s="338"/>
    </row>
    <row r="21" spans="1:11" ht="14.4" customHeight="1" x14ac:dyDescent="0.3"/>
    <row r="22" spans="1:11" ht="14.4" customHeight="1" x14ac:dyDescent="0.3">
      <c r="B22" s="416" t="s">
        <v>693</v>
      </c>
      <c r="C22" s="466"/>
      <c r="D22" s="466"/>
      <c r="E22" s="466"/>
      <c r="F22" s="466"/>
      <c r="G22" s="466"/>
      <c r="H22" s="466"/>
      <c r="I22" s="466"/>
      <c r="J22" s="467"/>
    </row>
    <row r="23" spans="1:11" ht="14.4" customHeight="1" x14ac:dyDescent="0.3">
      <c r="B23" s="468" t="s">
        <v>694</v>
      </c>
      <c r="C23" s="469"/>
      <c r="D23" s="470"/>
      <c r="E23" s="468" t="s">
        <v>695</v>
      </c>
      <c r="F23" s="469"/>
      <c r="G23" s="470"/>
      <c r="H23" s="468" t="s">
        <v>696</v>
      </c>
      <c r="I23" s="469"/>
      <c r="J23" s="470"/>
    </row>
    <row r="24" spans="1:11" ht="14.4" customHeight="1" x14ac:dyDescent="0.3">
      <c r="B24" s="471" t="s">
        <v>385</v>
      </c>
      <c r="C24" s="452"/>
      <c r="D24" s="338"/>
      <c r="E24" s="471" t="s">
        <v>382</v>
      </c>
      <c r="F24" s="452"/>
      <c r="G24" s="338"/>
      <c r="H24" s="471" t="s">
        <v>382</v>
      </c>
      <c r="I24" s="452"/>
      <c r="J24" s="338"/>
    </row>
    <row r="26" spans="1:11" ht="14.1" customHeight="1" x14ac:dyDescent="0.3">
      <c r="A26" s="306" t="s">
        <v>697</v>
      </c>
      <c r="B26" s="306"/>
      <c r="C26" s="306"/>
      <c r="D26" s="306"/>
      <c r="E26" s="306"/>
      <c r="F26" s="306"/>
      <c r="G26" s="306"/>
      <c r="H26" s="306"/>
      <c r="I26" s="306"/>
      <c r="J26" s="306"/>
      <c r="K26" s="306"/>
    </row>
    <row r="27" spans="1:11" ht="35.4" customHeight="1" x14ac:dyDescent="0.3">
      <c r="A27" s="257" t="s">
        <v>698</v>
      </c>
      <c r="B27" s="257"/>
      <c r="C27" s="257"/>
      <c r="D27" s="257"/>
      <c r="E27" s="257"/>
      <c r="F27" s="257"/>
      <c r="G27" s="257"/>
      <c r="H27" s="257"/>
      <c r="I27" s="257"/>
      <c r="J27" s="257"/>
      <c r="K27" s="257"/>
    </row>
    <row r="28" spans="1:11" ht="107.4" customHeight="1" x14ac:dyDescent="0.3">
      <c r="A28" s="345" t="s">
        <v>699</v>
      </c>
      <c r="B28" s="346"/>
      <c r="C28" s="346"/>
      <c r="D28" s="346"/>
      <c r="E28" s="346"/>
      <c r="F28" s="346"/>
      <c r="G28" s="346"/>
      <c r="H28" s="346"/>
      <c r="I28" s="346"/>
      <c r="J28" s="346"/>
      <c r="K28" s="346"/>
    </row>
    <row r="29" spans="1:11" ht="14.1" customHeight="1" x14ac:dyDescent="0.3">
      <c r="A29" s="306" t="s">
        <v>700</v>
      </c>
      <c r="B29" s="306"/>
      <c r="C29" s="306"/>
      <c r="D29" s="306"/>
      <c r="E29" s="306"/>
      <c r="F29" s="306"/>
      <c r="G29" s="306"/>
      <c r="H29" s="306"/>
      <c r="I29" s="306"/>
      <c r="J29" s="306"/>
      <c r="K29" s="306"/>
    </row>
    <row r="30" spans="1:11" ht="10.95" customHeight="1" x14ac:dyDescent="0.3">
      <c r="A30" s="56"/>
      <c r="B30" s="56"/>
      <c r="C30" s="56"/>
      <c r="D30" s="56"/>
      <c r="E30" s="56"/>
      <c r="F30" s="56"/>
      <c r="G30" s="56"/>
      <c r="H30" s="56"/>
      <c r="I30" s="56"/>
      <c r="J30" s="56"/>
      <c r="K30" s="56"/>
    </row>
    <row r="31" spans="1:11" x14ac:dyDescent="0.3">
      <c r="A31" s="473" t="s">
        <v>701</v>
      </c>
      <c r="B31" s="473"/>
      <c r="C31" s="473"/>
      <c r="D31" s="473"/>
      <c r="E31" s="473"/>
      <c r="F31" s="473"/>
      <c r="G31" s="473"/>
      <c r="H31" s="473"/>
      <c r="I31" s="473"/>
      <c r="J31" s="472"/>
      <c r="K31" s="472"/>
    </row>
    <row r="32" spans="1:11" x14ac:dyDescent="0.3">
      <c r="A32" s="43"/>
      <c r="B32" s="70" t="s">
        <v>690</v>
      </c>
      <c r="C32" s="415" t="s">
        <v>702</v>
      </c>
      <c r="D32" s="415"/>
      <c r="E32" s="70" t="s">
        <v>275</v>
      </c>
      <c r="F32" s="70" t="s">
        <v>202</v>
      </c>
      <c r="G32" s="474" t="s">
        <v>703</v>
      </c>
      <c r="H32" s="474"/>
      <c r="I32" s="474"/>
      <c r="J32" s="472"/>
      <c r="K32" s="472"/>
    </row>
    <row r="33" spans="1:11" ht="30" customHeight="1" x14ac:dyDescent="0.3">
      <c r="A33" s="482" t="s">
        <v>704</v>
      </c>
      <c r="B33" s="38" t="s">
        <v>705</v>
      </c>
      <c r="C33" s="478" t="s">
        <v>706</v>
      </c>
      <c r="D33" s="478"/>
      <c r="E33" s="6" t="s">
        <v>707</v>
      </c>
      <c r="F33" s="230">
        <v>45715</v>
      </c>
      <c r="G33" s="472"/>
      <c r="H33" s="472"/>
      <c r="I33" s="472"/>
      <c r="J33" s="472"/>
      <c r="K33" s="472"/>
    </row>
    <row r="34" spans="1:11" ht="30" customHeight="1" x14ac:dyDescent="0.3">
      <c r="A34" s="482"/>
      <c r="B34" s="38" t="s">
        <v>708</v>
      </c>
      <c r="C34" s="246" t="s">
        <v>709</v>
      </c>
      <c r="D34" s="246"/>
      <c r="E34" s="6" t="s">
        <v>707</v>
      </c>
      <c r="F34" s="230">
        <v>45729</v>
      </c>
      <c r="G34" s="472"/>
      <c r="H34" s="472"/>
      <c r="I34" s="472"/>
      <c r="J34" s="472"/>
      <c r="K34" s="472"/>
    </row>
    <row r="35" spans="1:11" ht="30" customHeight="1" x14ac:dyDescent="0.3">
      <c r="A35" s="482"/>
      <c r="B35" s="38" t="s">
        <v>710</v>
      </c>
      <c r="C35" s="246" t="s">
        <v>711</v>
      </c>
      <c r="D35" s="246"/>
      <c r="E35" s="6" t="s">
        <v>707</v>
      </c>
      <c r="F35" s="230">
        <v>45827</v>
      </c>
      <c r="G35" s="472"/>
      <c r="H35" s="472"/>
      <c r="I35" s="472"/>
      <c r="J35" s="472"/>
      <c r="K35" s="472"/>
    </row>
    <row r="36" spans="1:11" ht="30" customHeight="1" x14ac:dyDescent="0.3">
      <c r="A36" s="482"/>
      <c r="B36" s="38" t="s">
        <v>712</v>
      </c>
      <c r="C36" s="246" t="s">
        <v>713</v>
      </c>
      <c r="D36" s="246"/>
      <c r="E36" s="6" t="s">
        <v>707</v>
      </c>
      <c r="F36" s="230">
        <v>46007</v>
      </c>
      <c r="G36" s="472"/>
      <c r="H36" s="472"/>
      <c r="I36" s="472"/>
      <c r="J36" s="472"/>
      <c r="K36" s="472"/>
    </row>
    <row r="37" spans="1:11" ht="30" customHeight="1" x14ac:dyDescent="0.3">
      <c r="A37" s="475" t="s">
        <v>714</v>
      </c>
      <c r="B37" s="38" t="s">
        <v>715</v>
      </c>
      <c r="C37" s="246" t="s">
        <v>716</v>
      </c>
      <c r="D37" s="246"/>
      <c r="E37" s="6" t="s">
        <v>707</v>
      </c>
      <c r="F37" s="230">
        <v>46199</v>
      </c>
      <c r="G37" s="472"/>
      <c r="H37" s="472"/>
      <c r="I37" s="472"/>
      <c r="J37" s="472"/>
      <c r="K37" s="472"/>
    </row>
    <row r="38" spans="1:11" ht="30" customHeight="1" x14ac:dyDescent="0.3">
      <c r="A38" s="476"/>
      <c r="B38" s="38" t="s">
        <v>717</v>
      </c>
      <c r="C38" s="246" t="s">
        <v>718</v>
      </c>
      <c r="D38" s="246"/>
      <c r="E38" s="6" t="s">
        <v>707</v>
      </c>
      <c r="F38" s="230">
        <v>46311</v>
      </c>
      <c r="G38" s="472"/>
      <c r="H38" s="472"/>
      <c r="I38" s="472"/>
      <c r="J38" s="472"/>
      <c r="K38" s="472"/>
    </row>
    <row r="39" spans="1:11" ht="30" customHeight="1" x14ac:dyDescent="0.3">
      <c r="A39" s="477"/>
      <c r="B39" s="38" t="s">
        <v>719</v>
      </c>
      <c r="C39" s="246" t="s">
        <v>720</v>
      </c>
      <c r="D39" s="246"/>
      <c r="E39" s="6" t="s">
        <v>707</v>
      </c>
      <c r="F39" s="230">
        <v>46428</v>
      </c>
      <c r="G39" s="472"/>
      <c r="H39" s="472"/>
      <c r="I39" s="472"/>
      <c r="J39" s="472"/>
      <c r="K39" s="472"/>
    </row>
    <row r="40" spans="1:11" ht="30" customHeight="1" x14ac:dyDescent="0.3">
      <c r="A40" s="475" t="s">
        <v>721</v>
      </c>
      <c r="B40" s="38" t="s">
        <v>722</v>
      </c>
      <c r="C40" s="246" t="s">
        <v>723</v>
      </c>
      <c r="D40" s="246"/>
      <c r="E40" s="6" t="s">
        <v>724</v>
      </c>
      <c r="F40" s="230">
        <v>46478</v>
      </c>
      <c r="G40" s="472"/>
      <c r="H40" s="472"/>
      <c r="I40" s="472"/>
      <c r="J40" s="472"/>
      <c r="K40" s="472"/>
    </row>
    <row r="41" spans="1:11" ht="30" customHeight="1" x14ac:dyDescent="0.3">
      <c r="A41" s="476"/>
      <c r="B41" s="38" t="s">
        <v>725</v>
      </c>
      <c r="C41" s="246" t="s">
        <v>726</v>
      </c>
      <c r="D41" s="246"/>
      <c r="E41" s="6" t="s">
        <v>724</v>
      </c>
      <c r="F41" s="230">
        <v>46541</v>
      </c>
      <c r="G41" s="472"/>
      <c r="H41" s="472"/>
      <c r="I41" s="472"/>
      <c r="J41" s="472"/>
      <c r="K41" s="472"/>
    </row>
    <row r="42" spans="1:11" ht="30" customHeight="1" x14ac:dyDescent="0.3">
      <c r="A42" s="476"/>
      <c r="B42" s="38" t="s">
        <v>727</v>
      </c>
      <c r="C42" s="246" t="s">
        <v>728</v>
      </c>
      <c r="D42" s="246"/>
      <c r="E42" s="6" t="s">
        <v>724</v>
      </c>
      <c r="F42" s="230">
        <v>46716</v>
      </c>
      <c r="G42" s="472"/>
      <c r="H42" s="472"/>
      <c r="I42" s="472"/>
      <c r="J42" s="472"/>
      <c r="K42" s="472"/>
    </row>
    <row r="43" spans="1:11" ht="30" customHeight="1" x14ac:dyDescent="0.3">
      <c r="A43" s="476"/>
      <c r="B43" s="38" t="s">
        <v>729</v>
      </c>
      <c r="C43" s="246" t="s">
        <v>730</v>
      </c>
      <c r="D43" s="246"/>
      <c r="E43" s="6" t="s">
        <v>724</v>
      </c>
      <c r="F43" s="230">
        <v>46730</v>
      </c>
      <c r="G43" s="472"/>
      <c r="H43" s="472"/>
      <c r="I43" s="472"/>
      <c r="J43" s="472"/>
      <c r="K43" s="472"/>
    </row>
    <row r="44" spans="1:11" ht="30" customHeight="1" x14ac:dyDescent="0.3">
      <c r="A44" s="476"/>
      <c r="B44" s="38" t="s">
        <v>731</v>
      </c>
      <c r="C44" s="246" t="s">
        <v>732</v>
      </c>
      <c r="D44" s="246"/>
      <c r="E44" s="6" t="s">
        <v>724</v>
      </c>
      <c r="F44" s="230">
        <v>46870</v>
      </c>
      <c r="G44" s="472"/>
      <c r="H44" s="472"/>
      <c r="I44" s="472"/>
      <c r="J44" s="472"/>
      <c r="K44" s="472"/>
    </row>
    <row r="45" spans="1:11" ht="30" customHeight="1" x14ac:dyDescent="0.3">
      <c r="A45" s="476"/>
      <c r="B45" s="38" t="s">
        <v>733</v>
      </c>
      <c r="C45" s="246" t="s">
        <v>734</v>
      </c>
      <c r="D45" s="246"/>
      <c r="E45" s="6" t="s">
        <v>707</v>
      </c>
      <c r="F45" s="230">
        <v>46884</v>
      </c>
      <c r="G45" s="472"/>
      <c r="H45" s="472"/>
      <c r="I45" s="472"/>
      <c r="J45" s="472"/>
      <c r="K45" s="472"/>
    </row>
    <row r="46" spans="1:11" ht="30" customHeight="1" x14ac:dyDescent="0.3">
      <c r="A46" s="476"/>
      <c r="B46" s="38" t="s">
        <v>735</v>
      </c>
      <c r="C46" s="246" t="s">
        <v>736</v>
      </c>
      <c r="D46" s="246"/>
      <c r="E46" s="6" t="s">
        <v>724</v>
      </c>
      <c r="F46" s="230">
        <v>47045</v>
      </c>
      <c r="G46" s="472"/>
      <c r="H46" s="472"/>
      <c r="I46" s="472"/>
      <c r="J46" s="472"/>
      <c r="K46" s="472"/>
    </row>
    <row r="47" spans="1:11" ht="30" customHeight="1" x14ac:dyDescent="0.3">
      <c r="A47" s="476"/>
      <c r="B47" s="38" t="s">
        <v>737</v>
      </c>
      <c r="C47" s="246" t="s">
        <v>738</v>
      </c>
      <c r="D47" s="246"/>
      <c r="E47" s="6" t="s">
        <v>724</v>
      </c>
      <c r="F47" s="230">
        <v>47010</v>
      </c>
      <c r="G47" s="472"/>
      <c r="H47" s="472"/>
      <c r="I47" s="472"/>
      <c r="J47" s="472"/>
      <c r="K47" s="472"/>
    </row>
    <row r="48" spans="1:11" ht="30" customHeight="1" x14ac:dyDescent="0.3">
      <c r="A48" s="476"/>
      <c r="B48" s="38" t="s">
        <v>739</v>
      </c>
      <c r="C48" s="246" t="s">
        <v>740</v>
      </c>
      <c r="D48" s="246"/>
      <c r="E48" s="6" t="s">
        <v>724</v>
      </c>
      <c r="F48" s="230">
        <v>47066</v>
      </c>
      <c r="G48" s="472"/>
      <c r="H48" s="472"/>
      <c r="I48" s="472"/>
      <c r="J48" s="472"/>
      <c r="K48" s="472"/>
    </row>
    <row r="49" spans="1:11" ht="30" customHeight="1" x14ac:dyDescent="0.3">
      <c r="A49" s="477"/>
      <c r="B49" s="38" t="s">
        <v>741</v>
      </c>
      <c r="C49" s="246" t="s">
        <v>741</v>
      </c>
      <c r="D49" s="246"/>
      <c r="E49" s="6" t="s">
        <v>707</v>
      </c>
      <c r="F49" s="230">
        <v>47126</v>
      </c>
      <c r="G49" s="472"/>
      <c r="H49" s="472"/>
      <c r="I49" s="472"/>
      <c r="J49" s="472"/>
      <c r="K49" s="472"/>
    </row>
    <row r="51" spans="1:11" ht="14.1" customHeight="1" x14ac:dyDescent="0.3">
      <c r="A51" s="306" t="s">
        <v>742</v>
      </c>
      <c r="B51" s="306"/>
      <c r="C51" s="306"/>
      <c r="D51" s="306"/>
      <c r="E51" s="306"/>
      <c r="F51" s="306"/>
      <c r="G51" s="306"/>
      <c r="H51" s="306"/>
      <c r="I51" s="306"/>
      <c r="J51" s="306"/>
      <c r="K51" s="306"/>
    </row>
    <row r="52" spans="1:11" ht="17.399999999999999" customHeight="1" x14ac:dyDescent="0.3">
      <c r="A52" s="346" t="s">
        <v>743</v>
      </c>
      <c r="B52" s="346"/>
      <c r="C52" s="346"/>
      <c r="D52" s="346"/>
      <c r="E52" s="346"/>
      <c r="F52" s="346"/>
      <c r="G52" s="346"/>
      <c r="H52" s="346"/>
      <c r="I52" s="346"/>
      <c r="J52" s="346"/>
      <c r="K52" s="346"/>
    </row>
    <row r="53" spans="1:11" x14ac:dyDescent="0.3">
      <c r="A53" s="472"/>
      <c r="B53" s="472"/>
      <c r="C53" s="472"/>
      <c r="D53" s="472"/>
      <c r="E53" s="472"/>
      <c r="F53" s="472"/>
      <c r="G53" s="472"/>
      <c r="H53" s="472"/>
      <c r="I53" s="472"/>
      <c r="J53" s="472"/>
      <c r="K53" s="472"/>
    </row>
    <row r="54" spans="1:11" ht="87.6" customHeight="1" x14ac:dyDescent="0.3">
      <c r="A54" s="472"/>
      <c r="B54" s="472"/>
      <c r="C54" s="472"/>
      <c r="D54" s="472"/>
      <c r="E54" s="472"/>
      <c r="F54" s="472"/>
      <c r="G54" s="472"/>
      <c r="H54" s="472"/>
      <c r="I54" s="472"/>
      <c r="J54" s="472"/>
      <c r="K54" s="472"/>
    </row>
    <row r="55" spans="1:11" ht="14.1" customHeight="1" x14ac:dyDescent="0.3">
      <c r="A55" s="306" t="s">
        <v>744</v>
      </c>
      <c r="B55" s="306"/>
      <c r="C55" s="306"/>
      <c r="D55" s="306"/>
      <c r="E55" s="306"/>
      <c r="F55" s="306"/>
      <c r="G55" s="306"/>
      <c r="H55" s="306"/>
      <c r="I55" s="306"/>
      <c r="J55" s="306"/>
      <c r="K55" s="306"/>
    </row>
    <row r="56" spans="1:11" ht="46.95" customHeight="1" x14ac:dyDescent="0.3">
      <c r="A56" s="257" t="s">
        <v>745</v>
      </c>
      <c r="B56" s="257"/>
      <c r="C56" s="257"/>
      <c r="D56" s="257"/>
      <c r="E56" s="257"/>
      <c r="F56" s="257"/>
      <c r="G56" s="257"/>
      <c r="H56" s="257"/>
      <c r="I56" s="257"/>
      <c r="J56" s="257"/>
      <c r="K56" s="257"/>
    </row>
    <row r="57" spans="1:11" ht="90" customHeight="1" x14ac:dyDescent="0.3">
      <c r="A57" s="257" t="s">
        <v>746</v>
      </c>
      <c r="B57" s="257"/>
      <c r="C57" s="257"/>
      <c r="D57" s="257"/>
      <c r="E57" s="257"/>
      <c r="F57" s="257"/>
      <c r="G57" s="257"/>
      <c r="H57" s="257"/>
      <c r="I57" s="257"/>
      <c r="J57" s="257"/>
      <c r="K57" s="257"/>
    </row>
    <row r="58" spans="1:11" x14ac:dyDescent="0.3">
      <c r="A58" s="454" t="s">
        <v>747</v>
      </c>
      <c r="B58" s="454"/>
      <c r="C58" s="454"/>
      <c r="D58" s="454"/>
      <c r="E58" s="454"/>
      <c r="F58" s="454"/>
      <c r="G58" s="454"/>
      <c r="H58" s="454"/>
      <c r="I58" s="454"/>
      <c r="J58" s="472"/>
      <c r="K58" s="472"/>
    </row>
    <row r="59" spans="1:11" x14ac:dyDescent="0.3">
      <c r="A59" s="483" t="s">
        <v>748</v>
      </c>
      <c r="B59" s="483"/>
      <c r="C59" s="483"/>
      <c r="D59" s="483" t="s">
        <v>749</v>
      </c>
      <c r="E59" s="483"/>
      <c r="F59" s="483"/>
      <c r="G59" s="483"/>
      <c r="H59" s="483"/>
      <c r="I59" s="483"/>
      <c r="J59" s="472"/>
      <c r="K59" s="472"/>
    </row>
    <row r="60" spans="1:11" ht="27" customHeight="1" x14ac:dyDescent="0.3">
      <c r="A60" s="460" t="s">
        <v>233</v>
      </c>
      <c r="B60" s="461"/>
      <c r="C60" s="462"/>
      <c r="D60" s="463" t="s">
        <v>750</v>
      </c>
      <c r="E60" s="464"/>
      <c r="F60" s="464"/>
      <c r="G60" s="464"/>
      <c r="H60" s="464"/>
      <c r="I60" s="464"/>
      <c r="J60" s="464"/>
      <c r="K60" s="465"/>
    </row>
    <row r="61" spans="1:11" ht="36" customHeight="1" x14ac:dyDescent="0.3">
      <c r="A61" s="460" t="s">
        <v>229</v>
      </c>
      <c r="B61" s="461"/>
      <c r="C61" s="462"/>
      <c r="D61" s="463" t="s">
        <v>750</v>
      </c>
      <c r="E61" s="464"/>
      <c r="F61" s="464"/>
      <c r="G61" s="464"/>
      <c r="H61" s="464"/>
      <c r="I61" s="464"/>
      <c r="J61" s="464"/>
      <c r="K61" s="465"/>
    </row>
    <row r="62" spans="1:11" ht="36" customHeight="1" x14ac:dyDescent="0.3">
      <c r="A62" s="460" t="s">
        <v>512</v>
      </c>
      <c r="B62" s="461"/>
      <c r="C62" s="462"/>
      <c r="D62" s="463" t="s">
        <v>751</v>
      </c>
      <c r="E62" s="464"/>
      <c r="F62" s="464"/>
      <c r="G62" s="464"/>
      <c r="H62" s="464"/>
      <c r="I62" s="464"/>
      <c r="J62" s="464"/>
      <c r="K62" s="465"/>
    </row>
    <row r="63" spans="1:11" ht="36" customHeight="1" x14ac:dyDescent="0.3">
      <c r="A63" s="460" t="s">
        <v>388</v>
      </c>
      <c r="B63" s="461"/>
      <c r="C63" s="462"/>
      <c r="D63" s="463" t="s">
        <v>750</v>
      </c>
      <c r="E63" s="464"/>
      <c r="F63" s="464"/>
      <c r="G63" s="464"/>
      <c r="H63" s="464"/>
      <c r="I63" s="464"/>
      <c r="J63" s="464"/>
      <c r="K63" s="465"/>
    </row>
    <row r="64" spans="1:11" ht="36" customHeight="1" x14ac:dyDescent="0.3">
      <c r="A64" s="460" t="s">
        <v>518</v>
      </c>
      <c r="B64" s="461"/>
      <c r="C64" s="462"/>
      <c r="D64" s="463" t="s">
        <v>750</v>
      </c>
      <c r="E64" s="464"/>
      <c r="F64" s="464"/>
      <c r="G64" s="464"/>
      <c r="H64" s="464"/>
      <c r="I64" s="464"/>
      <c r="J64" s="464"/>
      <c r="K64" s="465"/>
    </row>
    <row r="65" spans="1:11" ht="36" customHeight="1" x14ac:dyDescent="0.3">
      <c r="A65" s="460" t="s">
        <v>343</v>
      </c>
      <c r="B65" s="461"/>
      <c r="C65" s="462"/>
      <c r="D65" s="479" t="s">
        <v>752</v>
      </c>
      <c r="E65" s="480"/>
      <c r="F65" s="480"/>
      <c r="G65" s="480"/>
      <c r="H65" s="480"/>
      <c r="I65" s="480"/>
      <c r="J65" s="480"/>
      <c r="K65" s="481"/>
    </row>
    <row r="66" spans="1:11" ht="36" customHeight="1" x14ac:dyDescent="0.3">
      <c r="A66" s="460" t="s">
        <v>507</v>
      </c>
      <c r="B66" s="461"/>
      <c r="C66" s="462"/>
      <c r="D66" s="463" t="s">
        <v>753</v>
      </c>
      <c r="E66" s="464"/>
      <c r="F66" s="464"/>
      <c r="G66" s="464"/>
      <c r="H66" s="464"/>
      <c r="I66" s="464"/>
      <c r="J66" s="464"/>
      <c r="K66" s="465"/>
    </row>
    <row r="67" spans="1:11" ht="36" customHeight="1" x14ac:dyDescent="0.3">
      <c r="A67" s="460" t="s">
        <v>494</v>
      </c>
      <c r="B67" s="461"/>
      <c r="C67" s="462"/>
      <c r="D67" s="463" t="s">
        <v>754</v>
      </c>
      <c r="E67" s="464"/>
      <c r="F67" s="464"/>
      <c r="G67" s="464"/>
      <c r="H67" s="464"/>
      <c r="I67" s="464"/>
      <c r="J67" s="464"/>
      <c r="K67" s="465"/>
    </row>
    <row r="68" spans="1:11" ht="36" customHeight="1" x14ac:dyDescent="0.3">
      <c r="A68" s="460" t="s">
        <v>475</v>
      </c>
      <c r="B68" s="461"/>
      <c r="C68" s="462"/>
      <c r="D68" s="463" t="s">
        <v>755</v>
      </c>
      <c r="E68" s="464"/>
      <c r="F68" s="464"/>
      <c r="G68" s="464"/>
      <c r="H68" s="464"/>
      <c r="I68" s="464"/>
      <c r="J68" s="464"/>
      <c r="K68" s="465"/>
    </row>
    <row r="69" spans="1:11" ht="36" customHeight="1" x14ac:dyDescent="0.3">
      <c r="A69" s="460" t="s">
        <v>519</v>
      </c>
      <c r="B69" s="461"/>
      <c r="C69" s="462"/>
      <c r="D69" s="463" t="s">
        <v>756</v>
      </c>
      <c r="E69" s="464"/>
      <c r="F69" s="464"/>
      <c r="G69" s="464"/>
      <c r="H69" s="464"/>
      <c r="I69" s="464"/>
      <c r="J69" s="464"/>
      <c r="K69" s="465"/>
    </row>
    <row r="70" spans="1:11" ht="36" customHeight="1" x14ac:dyDescent="0.3">
      <c r="A70" s="484"/>
      <c r="B70" s="484"/>
      <c r="C70" s="484"/>
      <c r="D70" s="485"/>
      <c r="E70" s="485"/>
      <c r="F70" s="485"/>
      <c r="G70" s="485"/>
      <c r="H70" s="485"/>
      <c r="I70" s="485"/>
      <c r="J70" s="472"/>
      <c r="K70" s="472"/>
    </row>
    <row r="71" spans="1:11" ht="36" customHeight="1" x14ac:dyDescent="0.3">
      <c r="A71" s="484"/>
      <c r="B71" s="484"/>
      <c r="C71" s="484"/>
      <c r="D71" s="485"/>
      <c r="E71" s="485"/>
      <c r="F71" s="485"/>
      <c r="G71" s="485"/>
      <c r="H71" s="485"/>
      <c r="I71" s="485"/>
      <c r="J71" s="472"/>
      <c r="K71" s="472"/>
    </row>
    <row r="72" spans="1:11" ht="36" customHeight="1" x14ac:dyDescent="0.3">
      <c r="A72" s="484"/>
      <c r="B72" s="484"/>
      <c r="C72" s="484"/>
      <c r="D72" s="485"/>
      <c r="E72" s="485"/>
      <c r="F72" s="485"/>
      <c r="G72" s="485"/>
      <c r="H72" s="485"/>
      <c r="I72" s="485"/>
      <c r="J72" s="472"/>
      <c r="K72" s="472"/>
    </row>
    <row r="73" spans="1:11" ht="36" customHeight="1" x14ac:dyDescent="0.3">
      <c r="A73" s="484"/>
      <c r="B73" s="484"/>
      <c r="C73" s="484"/>
      <c r="D73" s="485"/>
      <c r="E73" s="485"/>
      <c r="F73" s="485"/>
      <c r="G73" s="485"/>
      <c r="H73" s="485"/>
      <c r="I73" s="485"/>
      <c r="J73" s="472"/>
      <c r="K73" s="472"/>
    </row>
    <row r="75" spans="1:11" x14ac:dyDescent="0.3">
      <c r="E75" s="386" t="s">
        <v>338</v>
      </c>
      <c r="F75" s="386"/>
      <c r="G75" s="386"/>
    </row>
  </sheetData>
  <mergeCells count="133">
    <mergeCell ref="E75:G75"/>
    <mergeCell ref="A73:C73"/>
    <mergeCell ref="D73:K73"/>
    <mergeCell ref="A67:C67"/>
    <mergeCell ref="D67:K67"/>
    <mergeCell ref="A68:C68"/>
    <mergeCell ref="D68:K68"/>
    <mergeCell ref="A69:C69"/>
    <mergeCell ref="D69:K69"/>
    <mergeCell ref="A71:C71"/>
    <mergeCell ref="D71:K71"/>
    <mergeCell ref="A72:C72"/>
    <mergeCell ref="D72:K72"/>
    <mergeCell ref="A70:C70"/>
    <mergeCell ref="D70:K70"/>
    <mergeCell ref="D63:K63"/>
    <mergeCell ref="A64:C64"/>
    <mergeCell ref="D64:K64"/>
    <mergeCell ref="A65:C65"/>
    <mergeCell ref="D65:K65"/>
    <mergeCell ref="A66:C66"/>
    <mergeCell ref="D66:K66"/>
    <mergeCell ref="C32:D32"/>
    <mergeCell ref="A33:A36"/>
    <mergeCell ref="A61:C61"/>
    <mergeCell ref="D61:K61"/>
    <mergeCell ref="G43:K43"/>
    <mergeCell ref="G44:K44"/>
    <mergeCell ref="G45:K45"/>
    <mergeCell ref="G46:K46"/>
    <mergeCell ref="G47:K47"/>
    <mergeCell ref="G48:K48"/>
    <mergeCell ref="A57:K57"/>
    <mergeCell ref="A58:K58"/>
    <mergeCell ref="A59:C59"/>
    <mergeCell ref="D59:K59"/>
    <mergeCell ref="A60:C60"/>
    <mergeCell ref="D60:K60"/>
    <mergeCell ref="A51:K51"/>
    <mergeCell ref="A31:K31"/>
    <mergeCell ref="G32:K32"/>
    <mergeCell ref="G33:K33"/>
    <mergeCell ref="G34:K34"/>
    <mergeCell ref="G35:K35"/>
    <mergeCell ref="G36:K36"/>
    <mergeCell ref="C45:D45"/>
    <mergeCell ref="C46:D46"/>
    <mergeCell ref="C47:D47"/>
    <mergeCell ref="A40:A49"/>
    <mergeCell ref="C40:D40"/>
    <mergeCell ref="C41:D41"/>
    <mergeCell ref="C42:D42"/>
    <mergeCell ref="C43:D43"/>
    <mergeCell ref="C44:D44"/>
    <mergeCell ref="A37:A39"/>
    <mergeCell ref="C37:D37"/>
    <mergeCell ref="C38:D38"/>
    <mergeCell ref="C39:D39"/>
    <mergeCell ref="C33:D33"/>
    <mergeCell ref="A52:K52"/>
    <mergeCell ref="C34:D34"/>
    <mergeCell ref="C35:D35"/>
    <mergeCell ref="G49:K49"/>
    <mergeCell ref="G40:K40"/>
    <mergeCell ref="G41:K41"/>
    <mergeCell ref="G42:K42"/>
    <mergeCell ref="C36:D36"/>
    <mergeCell ref="G37:K37"/>
    <mergeCell ref="G38:K38"/>
    <mergeCell ref="G39:K39"/>
    <mergeCell ref="A62:C62"/>
    <mergeCell ref="D62:K62"/>
    <mergeCell ref="A63:C63"/>
    <mergeCell ref="J11:K11"/>
    <mergeCell ref="J12:K12"/>
    <mergeCell ref="A26:K26"/>
    <mergeCell ref="A27:K27"/>
    <mergeCell ref="A28:K28"/>
    <mergeCell ref="A29:K29"/>
    <mergeCell ref="B22:J22"/>
    <mergeCell ref="B23:D23"/>
    <mergeCell ref="E23:G23"/>
    <mergeCell ref="H23:J23"/>
    <mergeCell ref="B24:D24"/>
    <mergeCell ref="E24:G24"/>
    <mergeCell ref="H24:J24"/>
    <mergeCell ref="B14:E14"/>
    <mergeCell ref="G14:J14"/>
    <mergeCell ref="A55:K55"/>
    <mergeCell ref="A56:K56"/>
    <mergeCell ref="A53:K54"/>
    <mergeCell ref="C48:D48"/>
    <mergeCell ref="C49:D49"/>
    <mergeCell ref="G20:H20"/>
    <mergeCell ref="A1:K1"/>
    <mergeCell ref="A2:K2"/>
    <mergeCell ref="A4:K4"/>
    <mergeCell ref="A6:K6"/>
    <mergeCell ref="A5:K5"/>
    <mergeCell ref="A3:D3"/>
    <mergeCell ref="E3:K3"/>
    <mergeCell ref="A7:K7"/>
    <mergeCell ref="A12:B12"/>
    <mergeCell ref="G12:H12"/>
    <mergeCell ref="A8:B8"/>
    <mergeCell ref="G8:H8"/>
    <mergeCell ref="A11:B11"/>
    <mergeCell ref="D8:E8"/>
    <mergeCell ref="D9:E9"/>
    <mergeCell ref="G9:H9"/>
    <mergeCell ref="J8:K8"/>
    <mergeCell ref="G11:H11"/>
    <mergeCell ref="A9:B9"/>
    <mergeCell ref="J9:K9"/>
    <mergeCell ref="D11:E11"/>
    <mergeCell ref="D12:E12"/>
    <mergeCell ref="I20:J20"/>
    <mergeCell ref="G15:H15"/>
    <mergeCell ref="B15:C15"/>
    <mergeCell ref="D15:E15"/>
    <mergeCell ref="B16:C16"/>
    <mergeCell ref="D16:E16"/>
    <mergeCell ref="D20:E20"/>
    <mergeCell ref="B20:C20"/>
    <mergeCell ref="G16:H16"/>
    <mergeCell ref="I16:J16"/>
    <mergeCell ref="I15:J15"/>
    <mergeCell ref="B18:E18"/>
    <mergeCell ref="B19:C19"/>
    <mergeCell ref="D19:E19"/>
    <mergeCell ref="G18:J18"/>
    <mergeCell ref="G19:H19"/>
    <mergeCell ref="I19:J19"/>
  </mergeCells>
  <conditionalFormatting sqref="A9:B9 D9:E9 G9:H9 J9:K9 A12:B12 D12:E12 G12:H12 J12:K12 B16:E16 G16:J16 B20:E20 G20:J20 B24:J24">
    <cfRule type="containsBlanks" dxfId="88" priority="3">
      <formula>LEN(TRIM(A9))=0</formula>
    </cfRule>
  </conditionalFormatting>
  <conditionalFormatting sqref="A60:K60">
    <cfRule type="containsBlanks" dxfId="87" priority="5">
      <formula>LEN(TRIM(A60))=0</formula>
    </cfRule>
  </conditionalFormatting>
  <conditionalFormatting sqref="E75">
    <cfRule type="containsBlanks" dxfId="86" priority="4">
      <formula>LEN(TRIM(E75))=0</formula>
    </cfRule>
  </conditionalFormatting>
  <conditionalFormatting sqref="E3:K3">
    <cfRule type="cellIs" dxfId="85" priority="6" operator="equal">
      <formula>0</formula>
    </cfRule>
  </conditionalFormatting>
  <conditionalFormatting sqref="F33:F49">
    <cfRule type="containsBlanks" dxfId="84" priority="1">
      <formula>LEN(TRIM(F33))=0</formula>
    </cfRule>
  </conditionalFormatting>
  <pageMargins left="0.25" right="0.25" top="0.86458333333333337" bottom="0.75" header="0.3" footer="0.3"/>
  <pageSetup paperSize="9" orientation="portrait" r:id="rId1"/>
  <headerFooter>
    <oddHeader>&amp;LStatement of Work
(eSOW/Hardware) - JLR-TMP-557249&amp;C&amp;G&amp;RIssue Level 5.3
Effective Date: 9th June 2025</oddHeader>
    <oddFooter>&amp;L&amp;"JLR Emeric,Regular"&amp;10Project Management&amp;C&amp;"JLR Emeric,Bold"&amp;10&amp;KFF0000PRINTED COPIES ARE UNCONTROLLED&amp;R&amp;"JLR Emeric,Regular"&amp;10&amp;P</oddFooter>
  </headerFooter>
  <rowBreaks count="2" manualBreakCount="2">
    <brk id="28" max="16383" man="1"/>
    <brk id="54" max="16383" man="1"/>
  </rowBreaks>
  <legacyDrawing r:id="rId2"/>
  <legacyDrawingHF r:id="rId3"/>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78D2B30D-1465-488C-83AF-A0CA4EAC06B6}">
          <x14:formula1>
            <xm:f>DATA_NEW!$M$2:$M$105</xm:f>
          </x14:formula1>
          <xm:sqref>A60:C73</xm:sqref>
        </x14:dataValidation>
        <x14:dataValidation type="list" allowBlank="1" showInputMessage="1" showErrorMessage="1" xr:uid="{15D67858-EF7B-44D8-AF72-E009B2B44A3B}">
          <x14:formula1>
            <xm:f>DATA_NEW!$I$2:$I$14</xm:f>
          </x14:formula1>
          <xm:sqref>B24:J24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EBF1F-5934-4DDE-BC15-358F5A79BEBC}">
  <sheetPr codeName="Sheet7">
    <tabColor rgb="FFFF0000"/>
  </sheetPr>
  <dimension ref="A1:K41"/>
  <sheetViews>
    <sheetView view="pageLayout" zoomScaleNormal="100" zoomScaleSheetLayoutView="100" workbookViewId="0">
      <selection activeCell="A2" sqref="A2:K2"/>
    </sheetView>
  </sheetViews>
  <sheetFormatPr defaultColWidth="8.88671875" defaultRowHeight="14.4" x14ac:dyDescent="0.3"/>
  <cols>
    <col min="1" max="1" width="8.88671875" customWidth="1"/>
  </cols>
  <sheetData>
    <row r="1" spans="1:11" ht="27.6" customHeight="1" x14ac:dyDescent="0.3">
      <c r="A1" s="407" t="s">
        <v>757</v>
      </c>
      <c r="B1" s="407"/>
      <c r="C1" s="407"/>
      <c r="D1" s="407"/>
      <c r="E1" s="407"/>
      <c r="F1" s="407"/>
      <c r="G1" s="407"/>
      <c r="H1" s="407"/>
      <c r="I1" s="407"/>
      <c r="J1" s="407"/>
      <c r="K1" s="407"/>
    </row>
    <row r="2" spans="1:11" ht="143.25" customHeight="1" x14ac:dyDescent="0.3">
      <c r="A2" s="257" t="s">
        <v>758</v>
      </c>
      <c r="B2" s="351"/>
      <c r="C2" s="351"/>
      <c r="D2" s="351"/>
      <c r="E2" s="351"/>
      <c r="F2" s="351"/>
      <c r="G2" s="351"/>
      <c r="H2" s="351"/>
      <c r="I2" s="351"/>
      <c r="J2" s="351"/>
      <c r="K2" s="351"/>
    </row>
    <row r="3" spans="1:11" ht="9" customHeight="1" x14ac:dyDescent="0.3">
      <c r="A3" s="149"/>
      <c r="B3" s="149"/>
      <c r="C3" s="149"/>
      <c r="D3" s="149"/>
      <c r="E3" s="149"/>
      <c r="F3" s="149"/>
      <c r="G3" s="149"/>
      <c r="H3" s="149"/>
      <c r="I3" s="149"/>
      <c r="J3" s="149"/>
      <c r="K3" s="149"/>
    </row>
    <row r="4" spans="1:11" ht="15.6" x14ac:dyDescent="0.3">
      <c r="A4" s="492" t="s">
        <v>759</v>
      </c>
      <c r="B4" s="492"/>
      <c r="C4" s="492"/>
      <c r="D4" s="492"/>
      <c r="E4" s="492"/>
      <c r="F4" s="492"/>
      <c r="G4" s="492"/>
      <c r="H4" s="492"/>
      <c r="I4" s="492"/>
      <c r="J4" s="492"/>
      <c r="K4" s="492"/>
    </row>
    <row r="5" spans="1:11" ht="7.5" customHeight="1" x14ac:dyDescent="0.3">
      <c r="A5" s="499"/>
      <c r="B5" s="500"/>
      <c r="C5" s="500"/>
      <c r="D5" s="500"/>
      <c r="E5" s="500"/>
      <c r="F5" s="500"/>
      <c r="G5" s="500"/>
      <c r="H5" s="500"/>
      <c r="I5" s="500"/>
      <c r="J5" s="500"/>
      <c r="K5" s="500"/>
    </row>
    <row r="6" spans="1:11" ht="17.25" customHeight="1" x14ac:dyDescent="0.3">
      <c r="A6" s="489" t="s">
        <v>760</v>
      </c>
      <c r="B6" s="490"/>
      <c r="C6" s="490"/>
      <c r="D6" s="490"/>
      <c r="E6" s="490"/>
      <c r="F6" s="490"/>
      <c r="G6" s="490"/>
      <c r="H6" s="490"/>
      <c r="I6" s="490"/>
      <c r="J6" s="490"/>
      <c r="K6" s="491"/>
    </row>
    <row r="7" spans="1:11" ht="57.75" customHeight="1" x14ac:dyDescent="0.3">
      <c r="A7" s="486" t="s">
        <v>761</v>
      </c>
      <c r="B7" s="487"/>
      <c r="C7" s="487"/>
      <c r="D7" s="487"/>
      <c r="E7" s="487"/>
      <c r="F7" s="487"/>
      <c r="G7" s="487"/>
      <c r="H7" s="487"/>
      <c r="I7" s="487"/>
      <c r="J7" s="487"/>
      <c r="K7" s="488"/>
    </row>
    <row r="8" spans="1:11" ht="16.5" customHeight="1" x14ac:dyDescent="0.3">
      <c r="A8" s="493" t="s">
        <v>762</v>
      </c>
      <c r="B8" s="494"/>
      <c r="C8" s="494"/>
      <c r="D8" s="494"/>
      <c r="E8" s="494"/>
      <c r="F8" s="494"/>
      <c r="G8" s="494"/>
      <c r="H8" s="494"/>
      <c r="I8" s="494"/>
      <c r="J8" s="494"/>
      <c r="K8" s="495"/>
    </row>
    <row r="9" spans="1:11" ht="69" customHeight="1" x14ac:dyDescent="0.3">
      <c r="A9" s="496" t="s">
        <v>763</v>
      </c>
      <c r="B9" s="497"/>
      <c r="C9" s="497"/>
      <c r="D9" s="497"/>
      <c r="E9" s="497"/>
      <c r="F9" s="497"/>
      <c r="G9" s="497"/>
      <c r="H9" s="497"/>
      <c r="I9" s="497"/>
      <c r="J9" s="497"/>
      <c r="K9" s="498"/>
    </row>
    <row r="10" spans="1:11" ht="20.25" customHeight="1" x14ac:dyDescent="0.3">
      <c r="A10" s="499"/>
      <c r="B10" s="500"/>
      <c r="C10" s="500"/>
      <c r="D10" s="500"/>
      <c r="E10" s="500"/>
      <c r="F10" s="500"/>
      <c r="G10" s="500"/>
      <c r="H10" s="500"/>
      <c r="I10" s="500"/>
      <c r="J10" s="500"/>
      <c r="K10" s="500"/>
    </row>
    <row r="11" spans="1:11" ht="17.25" customHeight="1" x14ac:dyDescent="0.3">
      <c r="A11" s="489" t="s">
        <v>764</v>
      </c>
      <c r="B11" s="490"/>
      <c r="C11" s="490"/>
      <c r="D11" s="490"/>
      <c r="E11" s="490"/>
      <c r="F11" s="490"/>
      <c r="G11" s="490"/>
      <c r="H11" s="490"/>
      <c r="I11" s="490"/>
      <c r="J11" s="490"/>
      <c r="K11" s="491"/>
    </row>
    <row r="12" spans="1:11" ht="58.5" customHeight="1" x14ac:dyDescent="0.3">
      <c r="A12" s="486" t="s">
        <v>765</v>
      </c>
      <c r="B12" s="487"/>
      <c r="C12" s="487"/>
      <c r="D12" s="487"/>
      <c r="E12" s="487"/>
      <c r="F12" s="487"/>
      <c r="G12" s="487"/>
      <c r="H12" s="487"/>
      <c r="I12" s="487"/>
      <c r="J12" s="487"/>
      <c r="K12" s="488"/>
    </row>
    <row r="13" spans="1:11" ht="7.5" customHeight="1" x14ac:dyDescent="0.3">
      <c r="A13" s="501"/>
      <c r="B13" s="502"/>
      <c r="C13" s="502"/>
      <c r="D13" s="502"/>
      <c r="E13" s="502"/>
      <c r="F13" s="502"/>
      <c r="G13" s="502"/>
      <c r="H13" s="502"/>
      <c r="I13" s="502"/>
      <c r="J13" s="502"/>
      <c r="K13" s="503"/>
    </row>
    <row r="14" spans="1:11" ht="16.5" customHeight="1" x14ac:dyDescent="0.3">
      <c r="A14" s="493" t="s">
        <v>762</v>
      </c>
      <c r="B14" s="494"/>
      <c r="C14" s="494"/>
      <c r="D14" s="494"/>
      <c r="E14" s="494"/>
      <c r="F14" s="494"/>
      <c r="G14" s="494"/>
      <c r="H14" s="494"/>
      <c r="I14" s="494"/>
      <c r="J14" s="494"/>
      <c r="K14" s="495"/>
    </row>
    <row r="15" spans="1:11" ht="69" customHeight="1" x14ac:dyDescent="0.3">
      <c r="A15" s="496" t="s">
        <v>763</v>
      </c>
      <c r="B15" s="497"/>
      <c r="C15" s="497"/>
      <c r="D15" s="497"/>
      <c r="E15" s="497"/>
      <c r="F15" s="497"/>
      <c r="G15" s="497"/>
      <c r="H15" s="497"/>
      <c r="I15" s="497"/>
      <c r="J15" s="497"/>
      <c r="K15" s="498"/>
    </row>
    <row r="16" spans="1:11" ht="20.25" customHeight="1" x14ac:dyDescent="0.3">
      <c r="A16" s="499"/>
      <c r="B16" s="500"/>
      <c r="C16" s="500"/>
      <c r="D16" s="500"/>
      <c r="E16" s="500"/>
      <c r="F16" s="500"/>
      <c r="G16" s="500"/>
      <c r="H16" s="500"/>
      <c r="I16" s="500"/>
      <c r="J16" s="500"/>
      <c r="K16" s="500"/>
    </row>
    <row r="17" spans="1:11" ht="15" customHeight="1" x14ac:dyDescent="0.3">
      <c r="A17" s="489" t="s">
        <v>766</v>
      </c>
      <c r="B17" s="490"/>
      <c r="C17" s="490"/>
      <c r="D17" s="490"/>
      <c r="E17" s="490"/>
      <c r="F17" s="490"/>
      <c r="G17" s="490"/>
      <c r="H17" s="490"/>
      <c r="I17" s="490"/>
      <c r="J17" s="490"/>
      <c r="K17" s="491"/>
    </row>
    <row r="18" spans="1:11" ht="36" customHeight="1" x14ac:dyDescent="0.3">
      <c r="A18" s="486" t="s">
        <v>767</v>
      </c>
      <c r="B18" s="487"/>
      <c r="C18" s="487"/>
      <c r="D18" s="487"/>
      <c r="E18" s="487"/>
      <c r="F18" s="487"/>
      <c r="G18" s="487"/>
      <c r="H18" s="487"/>
      <c r="I18" s="487"/>
      <c r="J18" s="487"/>
      <c r="K18" s="488"/>
    </row>
    <row r="19" spans="1:11" ht="16.5" customHeight="1" x14ac:dyDescent="0.3">
      <c r="A19" s="493" t="s">
        <v>762</v>
      </c>
      <c r="B19" s="494"/>
      <c r="C19" s="494"/>
      <c r="D19" s="494"/>
      <c r="E19" s="494"/>
      <c r="F19" s="494"/>
      <c r="G19" s="494"/>
      <c r="H19" s="494"/>
      <c r="I19" s="494"/>
      <c r="J19" s="494"/>
      <c r="K19" s="495"/>
    </row>
    <row r="20" spans="1:11" ht="69" customHeight="1" x14ac:dyDescent="0.3">
      <c r="A20" s="496" t="s">
        <v>763</v>
      </c>
      <c r="B20" s="497"/>
      <c r="C20" s="497"/>
      <c r="D20" s="497"/>
      <c r="E20" s="497"/>
      <c r="F20" s="497"/>
      <c r="G20" s="497"/>
      <c r="H20" s="497"/>
      <c r="I20" s="497"/>
      <c r="J20" s="497"/>
      <c r="K20" s="498"/>
    </row>
    <row r="21" spans="1:11" ht="17.25" customHeight="1" x14ac:dyDescent="0.3">
      <c r="A21" s="489" t="s">
        <v>768</v>
      </c>
      <c r="B21" s="490"/>
      <c r="C21" s="490"/>
      <c r="D21" s="490"/>
      <c r="E21" s="490"/>
      <c r="F21" s="490"/>
      <c r="G21" s="490"/>
      <c r="H21" s="490"/>
      <c r="I21" s="490"/>
      <c r="J21" s="490"/>
      <c r="K21" s="491"/>
    </row>
    <row r="22" spans="1:11" ht="19.95" customHeight="1" x14ac:dyDescent="0.3">
      <c r="A22" s="486" t="s">
        <v>769</v>
      </c>
      <c r="B22" s="487"/>
      <c r="C22" s="487"/>
      <c r="D22" s="487"/>
      <c r="E22" s="487"/>
      <c r="F22" s="487"/>
      <c r="G22" s="487"/>
      <c r="H22" s="487"/>
      <c r="I22" s="487"/>
      <c r="J22" s="487"/>
      <c r="K22" s="488"/>
    </row>
    <row r="23" spans="1:11" ht="16.5" customHeight="1" x14ac:dyDescent="0.3">
      <c r="A23" s="493" t="s">
        <v>762</v>
      </c>
      <c r="B23" s="494"/>
      <c r="C23" s="494"/>
      <c r="D23" s="494"/>
      <c r="E23" s="494"/>
      <c r="F23" s="494"/>
      <c r="G23" s="494"/>
      <c r="H23" s="494"/>
      <c r="I23" s="494"/>
      <c r="J23" s="494"/>
      <c r="K23" s="495"/>
    </row>
    <row r="24" spans="1:11" ht="64.5" customHeight="1" x14ac:dyDescent="0.3">
      <c r="A24" s="496" t="s">
        <v>763</v>
      </c>
      <c r="B24" s="497"/>
      <c r="C24" s="497"/>
      <c r="D24" s="497"/>
      <c r="E24" s="497"/>
      <c r="F24" s="497"/>
      <c r="G24" s="497"/>
      <c r="H24" s="497"/>
      <c r="I24" s="497"/>
      <c r="J24" s="497"/>
      <c r="K24" s="498"/>
    </row>
    <row r="25" spans="1:11" ht="20.25" customHeight="1" x14ac:dyDescent="0.3">
      <c r="A25" s="499"/>
      <c r="B25" s="500"/>
      <c r="C25" s="500"/>
      <c r="D25" s="500"/>
      <c r="E25" s="500"/>
      <c r="F25" s="500"/>
      <c r="G25" s="500"/>
      <c r="H25" s="500"/>
      <c r="I25" s="500"/>
      <c r="J25" s="500"/>
      <c r="K25" s="500"/>
    </row>
    <row r="26" spans="1:11" ht="17.25" customHeight="1" x14ac:dyDescent="0.3">
      <c r="A26" s="489" t="s">
        <v>770</v>
      </c>
      <c r="B26" s="490"/>
      <c r="C26" s="490"/>
      <c r="D26" s="490"/>
      <c r="E26" s="490"/>
      <c r="F26" s="490"/>
      <c r="G26" s="490"/>
      <c r="H26" s="490"/>
      <c r="I26" s="490"/>
      <c r="J26" s="490"/>
      <c r="K26" s="491"/>
    </row>
    <row r="27" spans="1:11" ht="32.4" customHeight="1" x14ac:dyDescent="0.3">
      <c r="A27" s="486" t="s">
        <v>771</v>
      </c>
      <c r="B27" s="487"/>
      <c r="C27" s="487"/>
      <c r="D27" s="487"/>
      <c r="E27" s="487"/>
      <c r="F27" s="487"/>
      <c r="G27" s="487"/>
      <c r="H27" s="487"/>
      <c r="I27" s="487"/>
      <c r="J27" s="487"/>
      <c r="K27" s="488"/>
    </row>
    <row r="28" spans="1:11" ht="16.5" customHeight="1" x14ac:dyDescent="0.3">
      <c r="A28" s="493" t="s">
        <v>762</v>
      </c>
      <c r="B28" s="494"/>
      <c r="C28" s="494"/>
      <c r="D28" s="494"/>
      <c r="E28" s="494"/>
      <c r="F28" s="494"/>
      <c r="G28" s="494"/>
      <c r="H28" s="494"/>
      <c r="I28" s="494"/>
      <c r="J28" s="494"/>
      <c r="K28" s="495"/>
    </row>
    <row r="29" spans="1:11" ht="57.75" customHeight="1" x14ac:dyDescent="0.3">
      <c r="A29" s="496" t="s">
        <v>763</v>
      </c>
      <c r="B29" s="497"/>
      <c r="C29" s="497"/>
      <c r="D29" s="497"/>
      <c r="E29" s="497"/>
      <c r="F29" s="497"/>
      <c r="G29" s="497"/>
      <c r="H29" s="497"/>
      <c r="I29" s="497"/>
      <c r="J29" s="497"/>
      <c r="K29" s="498"/>
    </row>
    <row r="30" spans="1:11" ht="20.25" customHeight="1" x14ac:dyDescent="0.3">
      <c r="A30" s="499"/>
      <c r="B30" s="500"/>
      <c r="C30" s="500"/>
      <c r="D30" s="500"/>
      <c r="E30" s="500"/>
      <c r="F30" s="500"/>
      <c r="G30" s="500"/>
      <c r="H30" s="500"/>
      <c r="I30" s="500"/>
      <c r="J30" s="500"/>
      <c r="K30" s="500"/>
    </row>
    <row r="31" spans="1:11" ht="17.25" customHeight="1" x14ac:dyDescent="0.3">
      <c r="A31" s="504" t="s">
        <v>772</v>
      </c>
      <c r="B31" s="505"/>
      <c r="C31" s="505"/>
      <c r="D31" s="505"/>
      <c r="E31" s="505"/>
      <c r="F31" s="505"/>
      <c r="G31" s="505"/>
      <c r="H31" s="505"/>
      <c r="I31" s="505"/>
      <c r="J31" s="505"/>
      <c r="K31" s="506"/>
    </row>
    <row r="32" spans="1:11" ht="114" customHeight="1" x14ac:dyDescent="0.3">
      <c r="A32" s="486" t="s">
        <v>773</v>
      </c>
      <c r="B32" s="487"/>
      <c r="C32" s="487"/>
      <c r="D32" s="487"/>
      <c r="E32" s="487"/>
      <c r="F32" s="487"/>
      <c r="G32" s="487"/>
      <c r="H32" s="487"/>
      <c r="I32" s="487"/>
      <c r="J32" s="487"/>
      <c r="K32" s="488"/>
    </row>
    <row r="33" spans="1:11" ht="16.5" customHeight="1" x14ac:dyDescent="0.3">
      <c r="A33" s="493" t="s">
        <v>762</v>
      </c>
      <c r="B33" s="494"/>
      <c r="C33" s="494"/>
      <c r="D33" s="494"/>
      <c r="E33" s="494"/>
      <c r="F33" s="494"/>
      <c r="G33" s="494"/>
      <c r="H33" s="494"/>
      <c r="I33" s="494"/>
      <c r="J33" s="494"/>
      <c r="K33" s="495"/>
    </row>
    <row r="34" spans="1:11" ht="57.75" customHeight="1" x14ac:dyDescent="0.3">
      <c r="A34" s="496" t="s">
        <v>763</v>
      </c>
      <c r="B34" s="497"/>
      <c r="C34" s="497"/>
      <c r="D34" s="497"/>
      <c r="E34" s="497"/>
      <c r="F34" s="497"/>
      <c r="G34" s="497"/>
      <c r="H34" s="497"/>
      <c r="I34" s="497"/>
      <c r="J34" s="497"/>
      <c r="K34" s="498"/>
    </row>
    <row r="35" spans="1:11" ht="20.25" customHeight="1" x14ac:dyDescent="0.3">
      <c r="A35" s="499"/>
      <c r="B35" s="500"/>
      <c r="C35" s="500"/>
      <c r="D35" s="500"/>
      <c r="E35" s="500"/>
      <c r="F35" s="500"/>
      <c r="G35" s="500"/>
      <c r="H35" s="500"/>
      <c r="I35" s="500"/>
      <c r="J35" s="500"/>
      <c r="K35" s="500"/>
    </row>
    <row r="36" spans="1:11" s="150" customFormat="1" ht="17.25" customHeight="1" x14ac:dyDescent="0.3">
      <c r="A36" s="489" t="s">
        <v>774</v>
      </c>
      <c r="B36" s="490"/>
      <c r="C36" s="490"/>
      <c r="D36" s="490"/>
      <c r="E36" s="490"/>
      <c r="F36" s="490"/>
      <c r="G36" s="490"/>
      <c r="H36" s="490"/>
      <c r="I36" s="490"/>
      <c r="J36" s="490"/>
      <c r="K36" s="491"/>
    </row>
    <row r="37" spans="1:11" ht="45" customHeight="1" x14ac:dyDescent="0.3">
      <c r="A37" s="486" t="s">
        <v>775</v>
      </c>
      <c r="B37" s="487"/>
      <c r="C37" s="487"/>
      <c r="D37" s="487"/>
      <c r="E37" s="487"/>
      <c r="F37" s="487"/>
      <c r="G37" s="487"/>
      <c r="H37" s="487"/>
      <c r="I37" s="487"/>
      <c r="J37" s="487"/>
      <c r="K37" s="488"/>
    </row>
    <row r="38" spans="1:11" ht="16.5" customHeight="1" x14ac:dyDescent="0.3">
      <c r="A38" s="493" t="s">
        <v>762</v>
      </c>
      <c r="B38" s="494"/>
      <c r="C38" s="494"/>
      <c r="D38" s="494"/>
      <c r="E38" s="494"/>
      <c r="F38" s="494"/>
      <c r="G38" s="494"/>
      <c r="H38" s="494"/>
      <c r="I38" s="494"/>
      <c r="J38" s="494"/>
      <c r="K38" s="495"/>
    </row>
    <row r="39" spans="1:11" ht="75" customHeight="1" x14ac:dyDescent="0.3">
      <c r="A39" s="496" t="s">
        <v>763</v>
      </c>
      <c r="B39" s="497"/>
      <c r="C39" s="497"/>
      <c r="D39" s="497"/>
      <c r="E39" s="497"/>
      <c r="F39" s="497"/>
      <c r="G39" s="497"/>
      <c r="H39" s="497"/>
      <c r="I39" s="497"/>
      <c r="J39" s="497"/>
      <c r="K39" s="498"/>
    </row>
    <row r="41" spans="1:11" x14ac:dyDescent="0.3">
      <c r="E41" s="386" t="s">
        <v>338</v>
      </c>
      <c r="F41" s="386"/>
      <c r="G41" s="386"/>
    </row>
  </sheetData>
  <mergeCells count="39">
    <mergeCell ref="A31:K31"/>
    <mergeCell ref="A35:K35"/>
    <mergeCell ref="E41:G41"/>
    <mergeCell ref="A38:K38"/>
    <mergeCell ref="A39:K39"/>
    <mergeCell ref="A36:K36"/>
    <mergeCell ref="A37:K37"/>
    <mergeCell ref="A9:K9"/>
    <mergeCell ref="A23:K23"/>
    <mergeCell ref="A33:K33"/>
    <mergeCell ref="A34:K34"/>
    <mergeCell ref="A32:K32"/>
    <mergeCell ref="A25:K25"/>
    <mergeCell ref="A30:K30"/>
    <mergeCell ref="A11:K11"/>
    <mergeCell ref="A26:K26"/>
    <mergeCell ref="A22:K22"/>
    <mergeCell ref="A27:K27"/>
    <mergeCell ref="A29:K29"/>
    <mergeCell ref="A10:K10"/>
    <mergeCell ref="A13:K13"/>
    <mergeCell ref="A24:K24"/>
    <mergeCell ref="A28:K28"/>
    <mergeCell ref="A1:K1"/>
    <mergeCell ref="A2:K2"/>
    <mergeCell ref="A7:K7"/>
    <mergeCell ref="A17:K17"/>
    <mergeCell ref="A21:K21"/>
    <mergeCell ref="A18:K18"/>
    <mergeCell ref="A12:K12"/>
    <mergeCell ref="A6:K6"/>
    <mergeCell ref="A4:K4"/>
    <mergeCell ref="A19:K19"/>
    <mergeCell ref="A20:K20"/>
    <mergeCell ref="A5:K5"/>
    <mergeCell ref="A16:K16"/>
    <mergeCell ref="A8:K8"/>
    <mergeCell ref="A14:K14"/>
    <mergeCell ref="A15:K15"/>
  </mergeCells>
  <conditionalFormatting sqref="A24">
    <cfRule type="containsBlanks" dxfId="83" priority="5">
      <formula>LEN(TRIM(A24))=0</formula>
    </cfRule>
  </conditionalFormatting>
  <conditionalFormatting sqref="A29">
    <cfRule type="containsBlanks" dxfId="82" priority="4">
      <formula>LEN(TRIM(A29))=0</formula>
    </cfRule>
  </conditionalFormatting>
  <conditionalFormatting sqref="A34">
    <cfRule type="containsBlanks" dxfId="81" priority="3">
      <formula>LEN(TRIM(A34))=0</formula>
    </cfRule>
  </conditionalFormatting>
  <conditionalFormatting sqref="A39">
    <cfRule type="containsBlanks" dxfId="80" priority="2">
      <formula>LEN(TRIM(A39))=0</formula>
    </cfRule>
  </conditionalFormatting>
  <conditionalFormatting sqref="A7:K7 A9 A12:K12 A15 A18:K18 A20">
    <cfRule type="containsBlanks" dxfId="79" priority="16">
      <formula>LEN(TRIM(A7))=0</formula>
    </cfRule>
  </conditionalFormatting>
  <conditionalFormatting sqref="A22:K22 A27:K27 A32:K32">
    <cfRule type="containsBlanks" dxfId="78" priority="15">
      <formula>LEN(TRIM(A22))=0</formula>
    </cfRule>
  </conditionalFormatting>
  <conditionalFormatting sqref="A37:K37">
    <cfRule type="containsBlanks" dxfId="77" priority="14">
      <formula>LEN(TRIM(A37))=0</formula>
    </cfRule>
  </conditionalFormatting>
  <conditionalFormatting sqref="E41">
    <cfRule type="containsBlanks" dxfId="76" priority="1">
      <formula>LEN(TRIM(E41))=0</formula>
    </cfRule>
  </conditionalFormatting>
  <pageMargins left="0.23622047244094491" right="0.23622047244094491" top="0.86614173228346458" bottom="0.74803149606299213" header="0.31496062992125984" footer="0.31496062992125984"/>
  <pageSetup paperSize="9" orientation="portrait" r:id="rId1"/>
  <headerFooter>
    <oddHeader>&amp;LStatement of Work
(eSOW/Hardware) - JLR-TMP-557249&amp;C&amp;G&amp;RIssue Level 5.3
Effective Date: 9th June 2025</oddHeader>
    <oddFooter>&amp;L&amp;"JLR Emeric,Regular"&amp;10Service Requirements&amp;C&amp;"JLR Emeric,Bold"&amp;10&amp;KFF0000PRINTED COPIES ARE UNCONTROLLED&amp;R&amp;"JLR Emeric,Regular"&amp;10&amp;P</oddFooter>
  </headerFooter>
  <rowBreaks count="1" manualBreakCount="1">
    <brk id="20" max="16383" man="1"/>
  </rowBreaks>
  <legacyDrawingHF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1AD90-8D82-40B3-9F38-18514A684E6E}">
  <sheetPr codeName="Sheet8">
    <tabColor rgb="FF0070C0"/>
  </sheetPr>
  <dimension ref="A1:K107"/>
  <sheetViews>
    <sheetView showWhiteSpace="0" view="pageLayout" zoomScaleNormal="100" zoomScaleSheetLayoutView="100" workbookViewId="0">
      <selection sqref="A1:K1"/>
    </sheetView>
  </sheetViews>
  <sheetFormatPr defaultColWidth="8.88671875" defaultRowHeight="14.4" x14ac:dyDescent="0.3"/>
  <cols>
    <col min="1" max="1" width="8.88671875" customWidth="1"/>
  </cols>
  <sheetData>
    <row r="1" spans="1:11" ht="27.6" customHeight="1" x14ac:dyDescent="0.3">
      <c r="A1" s="407" t="s">
        <v>776</v>
      </c>
      <c r="B1" s="407"/>
      <c r="C1" s="407"/>
      <c r="D1" s="407"/>
      <c r="E1" s="407"/>
      <c r="F1" s="407"/>
      <c r="G1" s="407"/>
      <c r="H1" s="407"/>
      <c r="I1" s="407"/>
      <c r="J1" s="407"/>
      <c r="K1" s="407"/>
    </row>
    <row r="2" spans="1:11" ht="98.25" customHeight="1" x14ac:dyDescent="0.3">
      <c r="A2" s="257" t="s">
        <v>777</v>
      </c>
      <c r="B2" s="351"/>
      <c r="C2" s="351"/>
      <c r="D2" s="351"/>
      <c r="E2" s="351"/>
      <c r="F2" s="351"/>
      <c r="G2" s="351"/>
      <c r="H2" s="351"/>
      <c r="I2" s="351"/>
      <c r="J2" s="351"/>
      <c r="K2" s="351"/>
    </row>
    <row r="3" spans="1:11" ht="14.25" customHeight="1" x14ac:dyDescent="0.3">
      <c r="A3" s="306" t="s">
        <v>778</v>
      </c>
      <c r="B3" s="306"/>
      <c r="C3" s="306"/>
      <c r="D3" s="306"/>
      <c r="E3" s="306"/>
      <c r="F3" s="306"/>
      <c r="G3" s="306"/>
      <c r="H3" s="306"/>
      <c r="I3" s="306"/>
      <c r="J3" s="306"/>
      <c r="K3" s="306"/>
    </row>
    <row r="4" spans="1:11" ht="27" customHeight="1" x14ac:dyDescent="0.3">
      <c r="A4" s="345" t="s">
        <v>779</v>
      </c>
      <c r="B4" s="527"/>
      <c r="C4" s="527"/>
      <c r="D4" s="527"/>
      <c r="E4" s="527"/>
      <c r="F4" s="528" t="s">
        <v>408</v>
      </c>
      <c r="G4" s="529"/>
      <c r="H4" s="146" t="s">
        <v>780</v>
      </c>
      <c r="I4" s="361"/>
      <c r="J4" s="522"/>
      <c r="K4" s="522"/>
    </row>
    <row r="5" spans="1:11" ht="7.95" customHeight="1" x14ac:dyDescent="0.3">
      <c r="A5" s="361"/>
      <c r="B5" s="522"/>
      <c r="C5" s="522"/>
      <c r="D5" s="522"/>
      <c r="E5" s="522"/>
      <c r="F5" s="522"/>
      <c r="G5" s="522"/>
      <c r="H5" s="522"/>
      <c r="I5" s="522"/>
      <c r="J5" s="522"/>
      <c r="K5" s="522"/>
    </row>
    <row r="6" spans="1:11" ht="14.25" customHeight="1" x14ac:dyDescent="0.3">
      <c r="A6" s="306" t="s">
        <v>781</v>
      </c>
      <c r="B6" s="306"/>
      <c r="C6" s="306"/>
      <c r="D6" s="306"/>
      <c r="E6" s="306"/>
      <c r="F6" s="306"/>
      <c r="G6" s="306"/>
      <c r="H6" s="306"/>
      <c r="I6" s="306"/>
      <c r="J6" s="306"/>
      <c r="K6" s="306"/>
    </row>
    <row r="7" spans="1:11" ht="5.25" customHeight="1" x14ac:dyDescent="0.3">
      <c r="A7" s="530"/>
      <c r="B7" s="531"/>
      <c r="C7" s="531"/>
      <c r="D7" s="531"/>
      <c r="E7" s="531"/>
      <c r="F7" s="531"/>
      <c r="G7" s="531"/>
      <c r="H7" s="531"/>
      <c r="I7" s="531"/>
      <c r="J7" s="531"/>
      <c r="K7" s="531"/>
    </row>
    <row r="8" spans="1:11" ht="10.199999999999999" customHeight="1" x14ac:dyDescent="0.3">
      <c r="A8" s="523" t="s">
        <v>782</v>
      </c>
      <c r="B8" s="520"/>
      <c r="C8" s="520"/>
      <c r="D8" s="520"/>
      <c r="E8" s="520"/>
      <c r="F8" s="520"/>
      <c r="G8" s="520"/>
      <c r="H8" s="520"/>
      <c r="I8" s="520"/>
      <c r="J8" s="520"/>
      <c r="K8" s="521"/>
    </row>
    <row r="9" spans="1:11" ht="81.599999999999994" customHeight="1" x14ac:dyDescent="0.3">
      <c r="A9" s="433" t="s">
        <v>1717</v>
      </c>
      <c r="B9" s="434"/>
      <c r="C9" s="434"/>
      <c r="D9" s="434"/>
      <c r="E9" s="434"/>
      <c r="F9" s="434"/>
      <c r="G9" s="434"/>
      <c r="H9" s="434"/>
      <c r="I9" s="434"/>
      <c r="J9" s="434"/>
      <c r="K9" s="435"/>
    </row>
    <row r="10" spans="1:11" ht="14.4" customHeight="1" x14ac:dyDescent="0.3"/>
    <row r="11" spans="1:11" ht="10.199999999999999" customHeight="1" x14ac:dyDescent="0.3">
      <c r="A11" s="523" t="s">
        <v>783</v>
      </c>
      <c r="B11" s="520"/>
      <c r="C11" s="520"/>
      <c r="D11" s="520"/>
      <c r="E11" s="520"/>
      <c r="F11" s="520"/>
      <c r="G11" s="520"/>
      <c r="H11" s="520"/>
      <c r="I11" s="520"/>
      <c r="J11" s="520"/>
      <c r="K11" s="521"/>
    </row>
    <row r="12" spans="1:11" ht="81.599999999999994" customHeight="1" x14ac:dyDescent="0.3">
      <c r="A12" s="524" t="s">
        <v>1718</v>
      </c>
      <c r="B12" s="525"/>
      <c r="C12" s="525"/>
      <c r="D12" s="525"/>
      <c r="E12" s="525"/>
      <c r="F12" s="525"/>
      <c r="G12" s="525"/>
      <c r="H12" s="525"/>
      <c r="I12" s="525"/>
      <c r="J12" s="525"/>
      <c r="K12" s="526"/>
    </row>
    <row r="13" spans="1:11" ht="14.4" customHeight="1" x14ac:dyDescent="0.3"/>
    <row r="14" spans="1:11" ht="10.199999999999999" customHeight="1" x14ac:dyDescent="0.3">
      <c r="A14" s="523" t="s">
        <v>784</v>
      </c>
      <c r="B14" s="520"/>
      <c r="C14" s="520"/>
      <c r="D14" s="520"/>
      <c r="E14" s="520"/>
      <c r="F14" s="520"/>
      <c r="G14" s="520"/>
      <c r="H14" s="520"/>
      <c r="I14" s="520"/>
      <c r="J14" s="520"/>
      <c r="K14" s="521"/>
    </row>
    <row r="15" spans="1:11" ht="81.599999999999994" customHeight="1" x14ac:dyDescent="0.3">
      <c r="A15" s="524" t="s">
        <v>1719</v>
      </c>
      <c r="B15" s="525"/>
      <c r="C15" s="525"/>
      <c r="D15" s="525"/>
      <c r="E15" s="525"/>
      <c r="F15" s="525"/>
      <c r="G15" s="525"/>
      <c r="H15" s="525"/>
      <c r="I15" s="525"/>
      <c r="J15" s="525"/>
      <c r="K15" s="526"/>
    </row>
    <row r="16" spans="1:11" ht="14.4" customHeight="1" x14ac:dyDescent="0.3"/>
    <row r="17" spans="1:11" ht="10.199999999999999" customHeight="1" x14ac:dyDescent="0.3">
      <c r="A17" s="523" t="s">
        <v>785</v>
      </c>
      <c r="B17" s="520"/>
      <c r="C17" s="520"/>
      <c r="D17" s="520"/>
      <c r="E17" s="520"/>
      <c r="F17" s="520"/>
      <c r="G17" s="520"/>
      <c r="H17" s="520"/>
      <c r="I17" s="520"/>
      <c r="J17" s="520"/>
      <c r="K17" s="521"/>
    </row>
    <row r="18" spans="1:11" ht="81.599999999999994" customHeight="1" x14ac:dyDescent="0.3">
      <c r="A18" s="524" t="s">
        <v>786</v>
      </c>
      <c r="B18" s="525"/>
      <c r="C18" s="525"/>
      <c r="D18" s="525"/>
      <c r="E18" s="525"/>
      <c r="F18" s="525"/>
      <c r="G18" s="525"/>
      <c r="H18" s="525"/>
      <c r="I18" s="525"/>
      <c r="J18" s="525"/>
      <c r="K18" s="526"/>
    </row>
    <row r="19" spans="1:11" ht="14.4" customHeight="1" x14ac:dyDescent="0.3"/>
    <row r="20" spans="1:11" ht="10.199999999999999" customHeight="1" x14ac:dyDescent="0.3">
      <c r="A20" s="523" t="s">
        <v>787</v>
      </c>
      <c r="B20" s="520"/>
      <c r="C20" s="520"/>
      <c r="D20" s="520"/>
      <c r="E20" s="520"/>
      <c r="F20" s="520"/>
      <c r="G20" s="520"/>
      <c r="H20" s="520"/>
      <c r="I20" s="520"/>
      <c r="J20" s="520"/>
      <c r="K20" s="521"/>
    </row>
    <row r="21" spans="1:11" ht="81.599999999999994" customHeight="1" x14ac:dyDescent="0.3">
      <c r="A21" s="524" t="s">
        <v>763</v>
      </c>
      <c r="B21" s="525"/>
      <c r="C21" s="525"/>
      <c r="D21" s="525"/>
      <c r="E21" s="525"/>
      <c r="F21" s="525"/>
      <c r="G21" s="525"/>
      <c r="H21" s="525"/>
      <c r="I21" s="525"/>
      <c r="J21" s="525"/>
      <c r="K21" s="526"/>
    </row>
    <row r="22" spans="1:11" ht="14.4" customHeight="1" x14ac:dyDescent="0.3">
      <c r="A22" s="306" t="s">
        <v>788</v>
      </c>
      <c r="B22" s="306"/>
      <c r="C22" s="306"/>
      <c r="D22" s="306"/>
      <c r="E22" s="306"/>
      <c r="F22" s="306"/>
      <c r="G22" s="306"/>
      <c r="H22" s="306"/>
      <c r="I22" s="306"/>
      <c r="J22" s="306"/>
      <c r="K22" s="306"/>
    </row>
    <row r="23" spans="1:11" ht="28.95" customHeight="1" x14ac:dyDescent="0.3">
      <c r="A23" s="532"/>
      <c r="B23" s="532"/>
      <c r="C23" s="532"/>
      <c r="D23" s="532"/>
      <c r="E23" s="532"/>
      <c r="F23" s="532"/>
      <c r="G23" s="532"/>
      <c r="H23" s="532"/>
      <c r="I23" s="532"/>
      <c r="J23" s="532"/>
      <c r="K23" s="532"/>
    </row>
    <row r="24" spans="1:11" ht="14.4" customHeight="1" x14ac:dyDescent="0.3">
      <c r="A24" s="140" t="s">
        <v>789</v>
      </c>
      <c r="B24" s="335" t="s">
        <v>790</v>
      </c>
      <c r="C24" s="533"/>
      <c r="D24" s="534"/>
      <c r="E24" s="468" t="s">
        <v>791</v>
      </c>
      <c r="F24" s="452"/>
      <c r="G24" s="452"/>
      <c r="H24" s="338"/>
      <c r="I24" s="468" t="s">
        <v>792</v>
      </c>
      <c r="J24" s="452"/>
      <c r="K24" s="338"/>
    </row>
    <row r="25" spans="1:11" s="31" customFormat="1" ht="25.2" customHeight="1" x14ac:dyDescent="0.3">
      <c r="A25" s="137" t="s">
        <v>793</v>
      </c>
      <c r="B25" s="267" t="s">
        <v>794</v>
      </c>
      <c r="C25" s="275"/>
      <c r="D25" s="276"/>
      <c r="E25" s="535" t="s">
        <v>763</v>
      </c>
      <c r="F25" s="275"/>
      <c r="G25" s="275"/>
      <c r="H25" s="276"/>
      <c r="I25" s="535"/>
      <c r="J25" s="275"/>
      <c r="K25" s="276"/>
    </row>
    <row r="26" spans="1:11" s="31" customFormat="1" ht="25.2" customHeight="1" x14ac:dyDescent="0.3">
      <c r="A26" s="137" t="s">
        <v>795</v>
      </c>
      <c r="B26" s="267" t="s">
        <v>796</v>
      </c>
      <c r="C26" s="275"/>
      <c r="D26" s="276"/>
      <c r="E26" s="535" t="s">
        <v>763</v>
      </c>
      <c r="F26" s="275"/>
      <c r="G26" s="275"/>
      <c r="H26" s="276"/>
      <c r="I26" s="535"/>
      <c r="J26" s="275"/>
      <c r="K26" s="276"/>
    </row>
    <row r="27" spans="1:11" s="31" customFormat="1" ht="25.2" customHeight="1" x14ac:dyDescent="0.3">
      <c r="A27" s="137" t="s">
        <v>797</v>
      </c>
      <c r="B27" s="267" t="s">
        <v>798</v>
      </c>
      <c r="C27" s="275"/>
      <c r="D27" s="276"/>
      <c r="E27" s="535" t="s">
        <v>799</v>
      </c>
      <c r="F27" s="275"/>
      <c r="G27" s="275"/>
      <c r="H27" s="276"/>
      <c r="I27" s="535"/>
      <c r="J27" s="275"/>
      <c r="K27" s="276"/>
    </row>
    <row r="28" spans="1:11" s="31" customFormat="1" ht="25.2" customHeight="1" x14ac:dyDescent="0.3">
      <c r="A28" s="137" t="s">
        <v>800</v>
      </c>
      <c r="B28" s="267" t="s">
        <v>801</v>
      </c>
      <c r="C28" s="275"/>
      <c r="D28" s="276"/>
      <c r="E28" s="536" t="s">
        <v>802</v>
      </c>
      <c r="F28" s="537"/>
      <c r="G28" s="537"/>
      <c r="H28" s="538"/>
      <c r="I28" s="535"/>
      <c r="J28" s="275"/>
      <c r="K28" s="276"/>
    </row>
    <row r="29" spans="1:11" s="31" customFormat="1" ht="25.2" customHeight="1" x14ac:dyDescent="0.3">
      <c r="A29" s="137" t="s">
        <v>803</v>
      </c>
      <c r="B29" s="267" t="s">
        <v>804</v>
      </c>
      <c r="C29" s="275"/>
      <c r="D29" s="276"/>
      <c r="E29" s="535" t="s">
        <v>763</v>
      </c>
      <c r="F29" s="275"/>
      <c r="G29" s="275"/>
      <c r="H29" s="276"/>
      <c r="I29" s="535"/>
      <c r="J29" s="275"/>
      <c r="K29" s="276"/>
    </row>
    <row r="30" spans="1:11" s="31" customFormat="1" ht="25.2" customHeight="1" x14ac:dyDescent="0.3">
      <c r="A30" s="137" t="s">
        <v>805</v>
      </c>
      <c r="B30" s="267" t="s">
        <v>806</v>
      </c>
      <c r="C30" s="275"/>
      <c r="D30" s="276"/>
      <c r="E30" s="535" t="s">
        <v>807</v>
      </c>
      <c r="F30" s="275"/>
      <c r="G30" s="275"/>
      <c r="H30" s="276"/>
      <c r="I30" s="535"/>
      <c r="J30" s="275"/>
      <c r="K30" s="276"/>
    </row>
    <row r="31" spans="1:11" s="31" customFormat="1" ht="25.2" customHeight="1" x14ac:dyDescent="0.3">
      <c r="A31" s="137" t="s">
        <v>808</v>
      </c>
      <c r="B31" s="267" t="s">
        <v>809</v>
      </c>
      <c r="C31" s="275"/>
      <c r="D31" s="276"/>
      <c r="E31" s="535" t="s">
        <v>763</v>
      </c>
      <c r="F31" s="275"/>
      <c r="G31" s="275"/>
      <c r="H31" s="276"/>
      <c r="I31" s="535"/>
      <c r="J31" s="275"/>
      <c r="K31" s="276"/>
    </row>
    <row r="32" spans="1:11" s="31" customFormat="1" ht="25.2" customHeight="1" x14ac:dyDescent="0.3">
      <c r="A32" s="137" t="s">
        <v>810</v>
      </c>
      <c r="B32" s="267" t="s">
        <v>811</v>
      </c>
      <c r="C32" s="275"/>
      <c r="D32" s="276"/>
      <c r="E32" s="535" t="s">
        <v>763</v>
      </c>
      <c r="F32" s="275"/>
      <c r="G32" s="275"/>
      <c r="H32" s="276"/>
      <c r="I32" s="535"/>
      <c r="J32" s="275"/>
      <c r="K32" s="276"/>
    </row>
    <row r="33" spans="1:11" s="31" customFormat="1" ht="25.2" customHeight="1" x14ac:dyDescent="0.3">
      <c r="A33" s="137" t="s">
        <v>812</v>
      </c>
      <c r="B33" s="267" t="s">
        <v>813</v>
      </c>
      <c r="C33" s="275"/>
      <c r="D33" s="276"/>
      <c r="E33" s="535" t="s">
        <v>763</v>
      </c>
      <c r="F33" s="275"/>
      <c r="G33" s="275"/>
      <c r="H33" s="276"/>
      <c r="I33" s="535"/>
      <c r="J33" s="275"/>
      <c r="K33" s="276"/>
    </row>
    <row r="34" spans="1:11" s="31" customFormat="1" ht="25.2" customHeight="1" x14ac:dyDescent="0.3">
      <c r="A34" s="137" t="s">
        <v>814</v>
      </c>
      <c r="B34" s="267" t="s">
        <v>815</v>
      </c>
      <c r="C34" s="275"/>
      <c r="D34" s="276"/>
      <c r="E34" s="535" t="s">
        <v>763</v>
      </c>
      <c r="F34" s="275"/>
      <c r="G34" s="275"/>
      <c r="H34" s="276"/>
      <c r="I34" s="535"/>
      <c r="J34" s="275"/>
      <c r="K34" s="276"/>
    </row>
    <row r="35" spans="1:11" s="31" customFormat="1" ht="25.2" customHeight="1" x14ac:dyDescent="0.3">
      <c r="A35" s="137" t="s">
        <v>816</v>
      </c>
      <c r="B35" s="267" t="s">
        <v>817</v>
      </c>
      <c r="C35" s="275"/>
      <c r="D35" s="276"/>
      <c r="E35" s="535" t="s">
        <v>763</v>
      </c>
      <c r="F35" s="275"/>
      <c r="G35" s="275"/>
      <c r="H35" s="276"/>
      <c r="I35" s="535"/>
      <c r="J35" s="275"/>
      <c r="K35" s="276"/>
    </row>
    <row r="36" spans="1:11" s="31" customFormat="1" ht="25.2" customHeight="1" x14ac:dyDescent="0.3">
      <c r="A36" s="137" t="s">
        <v>818</v>
      </c>
      <c r="B36" s="267" t="s">
        <v>819</v>
      </c>
      <c r="C36" s="275"/>
      <c r="D36" s="276"/>
      <c r="E36" s="535" t="s">
        <v>763</v>
      </c>
      <c r="F36" s="275"/>
      <c r="G36" s="275"/>
      <c r="H36" s="276"/>
      <c r="I36" s="535"/>
      <c r="J36" s="275"/>
      <c r="K36" s="276"/>
    </row>
    <row r="37" spans="1:11" s="31" customFormat="1" ht="25.2" customHeight="1" x14ac:dyDescent="0.3">
      <c r="A37" s="137" t="s">
        <v>820</v>
      </c>
      <c r="B37" s="267" t="s">
        <v>821</v>
      </c>
      <c r="C37" s="275"/>
      <c r="D37" s="276"/>
      <c r="E37" s="535" t="s">
        <v>763</v>
      </c>
      <c r="F37" s="275"/>
      <c r="G37" s="275"/>
      <c r="H37" s="276"/>
      <c r="I37" s="535"/>
      <c r="J37" s="275"/>
      <c r="K37" s="276"/>
    </row>
    <row r="38" spans="1:11" s="31" customFormat="1" ht="25.2" customHeight="1" x14ac:dyDescent="0.3">
      <c r="A38" s="137" t="s">
        <v>822</v>
      </c>
      <c r="B38" s="267" t="s">
        <v>823</v>
      </c>
      <c r="C38" s="275"/>
      <c r="D38" s="276"/>
      <c r="E38" s="535" t="s">
        <v>763</v>
      </c>
      <c r="F38" s="275"/>
      <c r="G38" s="275"/>
      <c r="H38" s="276"/>
      <c r="I38" s="535"/>
      <c r="J38" s="275"/>
      <c r="K38" s="276"/>
    </row>
    <row r="39" spans="1:11" s="31" customFormat="1" ht="25.2" customHeight="1" x14ac:dyDescent="0.3">
      <c r="A39" s="137" t="s">
        <v>824</v>
      </c>
      <c r="B39" s="267" t="s">
        <v>825</v>
      </c>
      <c r="C39" s="275"/>
      <c r="D39" s="276"/>
      <c r="E39" s="535" t="s">
        <v>763</v>
      </c>
      <c r="F39" s="275"/>
      <c r="G39" s="275"/>
      <c r="H39" s="276"/>
      <c r="I39" s="535"/>
      <c r="J39" s="275"/>
      <c r="K39" s="276"/>
    </row>
    <row r="40" spans="1:11" s="31" customFormat="1" ht="25.2" customHeight="1" x14ac:dyDescent="0.3">
      <c r="A40" s="137" t="s">
        <v>826</v>
      </c>
      <c r="B40" s="267" t="s">
        <v>827</v>
      </c>
      <c r="C40" s="275"/>
      <c r="D40" s="276"/>
      <c r="E40" s="535" t="s">
        <v>763</v>
      </c>
      <c r="F40" s="275"/>
      <c r="G40" s="275"/>
      <c r="H40" s="276"/>
      <c r="I40" s="535"/>
      <c r="J40" s="275"/>
      <c r="K40" s="276"/>
    </row>
    <row r="41" spans="1:11" s="31" customFormat="1" ht="25.2" customHeight="1" x14ac:dyDescent="0.3">
      <c r="A41" s="137" t="s">
        <v>828</v>
      </c>
      <c r="B41" s="267" t="s">
        <v>829</v>
      </c>
      <c r="C41" s="275"/>
      <c r="D41" s="276"/>
      <c r="E41" s="535" t="s">
        <v>763</v>
      </c>
      <c r="F41" s="275"/>
      <c r="G41" s="275"/>
      <c r="H41" s="276"/>
      <c r="I41" s="535"/>
      <c r="J41" s="275"/>
      <c r="K41" s="276"/>
    </row>
    <row r="42" spans="1:11" s="31" customFormat="1" ht="25.2" customHeight="1" x14ac:dyDescent="0.3">
      <c r="A42" s="137" t="s">
        <v>830</v>
      </c>
      <c r="B42" s="267" t="s">
        <v>831</v>
      </c>
      <c r="C42" s="275"/>
      <c r="D42" s="276"/>
      <c r="E42" s="535" t="s">
        <v>832</v>
      </c>
      <c r="F42" s="275"/>
      <c r="G42" s="275"/>
      <c r="H42" s="276"/>
      <c r="I42" s="535"/>
      <c r="J42" s="275"/>
      <c r="K42" s="276"/>
    </row>
    <row r="43" spans="1:11" s="31" customFormat="1" ht="25.2" customHeight="1" x14ac:dyDescent="0.3">
      <c r="A43" s="137" t="s">
        <v>833</v>
      </c>
      <c r="B43" s="267" t="s">
        <v>834</v>
      </c>
      <c r="C43" s="275"/>
      <c r="D43" s="276"/>
      <c r="E43" s="535" t="s">
        <v>763</v>
      </c>
      <c r="F43" s="275"/>
      <c r="G43" s="275"/>
      <c r="H43" s="276"/>
      <c r="I43" s="535"/>
      <c r="J43" s="275"/>
      <c r="K43" s="276"/>
    </row>
    <row r="44" spans="1:11" s="31" customFormat="1" ht="25.2" customHeight="1" x14ac:dyDescent="0.3">
      <c r="A44" s="137" t="s">
        <v>835</v>
      </c>
      <c r="B44" s="267" t="s">
        <v>836</v>
      </c>
      <c r="C44" s="275"/>
      <c r="D44" s="276"/>
      <c r="E44" s="535" t="s">
        <v>763</v>
      </c>
      <c r="F44" s="275"/>
      <c r="G44" s="275"/>
      <c r="H44" s="276"/>
      <c r="I44" s="535"/>
      <c r="J44" s="275"/>
      <c r="K44" s="276"/>
    </row>
    <row r="45" spans="1:11" s="31" customFormat="1" ht="25.2" customHeight="1" x14ac:dyDescent="0.3">
      <c r="A45" s="137" t="s">
        <v>837</v>
      </c>
      <c r="B45" s="267" t="s">
        <v>838</v>
      </c>
      <c r="C45" s="275"/>
      <c r="D45" s="276"/>
      <c r="E45" s="536" t="s">
        <v>839</v>
      </c>
      <c r="F45" s="537"/>
      <c r="G45" s="537"/>
      <c r="H45" s="538"/>
      <c r="I45" s="535"/>
      <c r="J45" s="275"/>
      <c r="K45" s="276"/>
    </row>
    <row r="46" spans="1:11" s="31" customFormat="1" ht="25.2" customHeight="1" x14ac:dyDescent="0.3">
      <c r="A46" s="137" t="s">
        <v>840</v>
      </c>
      <c r="B46" s="267" t="s">
        <v>841</v>
      </c>
      <c r="C46" s="275"/>
      <c r="D46" s="276"/>
      <c r="E46" s="535" t="s">
        <v>763</v>
      </c>
      <c r="F46" s="275"/>
      <c r="G46" s="275"/>
      <c r="H46" s="276"/>
      <c r="I46" s="535"/>
      <c r="J46" s="275"/>
      <c r="K46" s="276"/>
    </row>
    <row r="47" spans="1:11" s="31" customFormat="1" ht="25.2" customHeight="1" x14ac:dyDescent="0.3">
      <c r="A47" s="137" t="s">
        <v>842</v>
      </c>
      <c r="B47" s="267" t="s">
        <v>843</v>
      </c>
      <c r="C47" s="275"/>
      <c r="D47" s="276"/>
      <c r="E47" s="535" t="s">
        <v>763</v>
      </c>
      <c r="F47" s="275"/>
      <c r="G47" s="275"/>
      <c r="H47" s="276"/>
      <c r="I47" s="535"/>
      <c r="J47" s="275"/>
      <c r="K47" s="276"/>
    </row>
    <row r="48" spans="1:11" s="31" customFormat="1" ht="25.2" customHeight="1" x14ac:dyDescent="0.3">
      <c r="A48" s="137" t="s">
        <v>844</v>
      </c>
      <c r="B48" s="267" t="s">
        <v>845</v>
      </c>
      <c r="C48" s="275"/>
      <c r="D48" s="276"/>
      <c r="E48" s="535" t="s">
        <v>763</v>
      </c>
      <c r="F48" s="275"/>
      <c r="G48" s="275"/>
      <c r="H48" s="276"/>
      <c r="I48" s="535"/>
      <c r="J48" s="275"/>
      <c r="K48" s="276"/>
    </row>
    <row r="49" spans="1:11" s="31" customFormat="1" ht="25.2" customHeight="1" x14ac:dyDescent="0.3">
      <c r="A49" s="137" t="s">
        <v>846</v>
      </c>
      <c r="B49" s="267" t="s">
        <v>847</v>
      </c>
      <c r="C49" s="275"/>
      <c r="D49" s="276"/>
      <c r="E49" s="535" t="s">
        <v>763</v>
      </c>
      <c r="F49" s="275"/>
      <c r="G49" s="275"/>
      <c r="H49" s="276"/>
      <c r="I49" s="535"/>
      <c r="J49" s="275"/>
      <c r="K49" s="276"/>
    </row>
    <row r="50" spans="1:11" s="31" customFormat="1" ht="25.2" customHeight="1" x14ac:dyDescent="0.3">
      <c r="A50" s="137" t="s">
        <v>848</v>
      </c>
      <c r="B50" s="267" t="s">
        <v>849</v>
      </c>
      <c r="C50" s="275"/>
      <c r="D50" s="276"/>
      <c r="E50" s="535" t="s">
        <v>763</v>
      </c>
      <c r="F50" s="275"/>
      <c r="G50" s="275"/>
      <c r="H50" s="276"/>
      <c r="I50" s="535"/>
      <c r="J50" s="275"/>
      <c r="K50" s="276"/>
    </row>
    <row r="51" spans="1:11" ht="15.6" x14ac:dyDescent="0.3">
      <c r="A51" s="306" t="s">
        <v>850</v>
      </c>
      <c r="B51" s="306"/>
      <c r="C51" s="306"/>
      <c r="D51" s="306"/>
      <c r="E51" s="306"/>
      <c r="F51" s="306"/>
      <c r="G51" s="306"/>
      <c r="H51" s="306"/>
      <c r="I51" s="306"/>
      <c r="J51" s="306"/>
      <c r="K51" s="306"/>
    </row>
    <row r="52" spans="1:11" ht="23.4" customHeight="1" x14ac:dyDescent="0.3">
      <c r="A52" s="345" t="s">
        <v>851</v>
      </c>
      <c r="B52" s="345"/>
      <c r="C52" s="345"/>
      <c r="D52" s="345"/>
      <c r="E52" s="345"/>
      <c r="F52" s="345"/>
      <c r="G52" s="345"/>
      <c r="H52" s="345"/>
      <c r="I52" s="345"/>
      <c r="J52" s="345"/>
      <c r="K52" s="345"/>
    </row>
    <row r="53" spans="1:11" x14ac:dyDescent="0.3">
      <c r="A53" s="539" t="s">
        <v>852</v>
      </c>
      <c r="B53" s="539"/>
      <c r="C53" s="539"/>
      <c r="D53" s="539"/>
      <c r="E53" s="539"/>
      <c r="F53" s="539"/>
      <c r="G53" s="539"/>
      <c r="H53" s="539"/>
      <c r="I53" s="539"/>
      <c r="J53" s="539"/>
      <c r="K53" s="539"/>
    </row>
    <row r="54" spans="1:11" ht="274.95" customHeight="1" x14ac:dyDescent="0.3">
      <c r="A54" s="472"/>
      <c r="B54" s="472"/>
      <c r="C54" s="472"/>
      <c r="D54" s="472"/>
      <c r="E54" s="472"/>
      <c r="F54" s="472"/>
      <c r="G54" s="472"/>
      <c r="H54" s="472"/>
      <c r="I54" s="472"/>
      <c r="J54" s="472"/>
      <c r="K54" s="472"/>
    </row>
    <row r="56" spans="1:11" x14ac:dyDescent="0.3">
      <c r="A56" s="539" t="s">
        <v>853</v>
      </c>
      <c r="B56" s="539"/>
      <c r="C56" s="539"/>
      <c r="D56" s="539"/>
      <c r="E56" s="539"/>
      <c r="F56" s="539"/>
      <c r="G56" s="539"/>
      <c r="H56" s="539"/>
      <c r="I56" s="539"/>
      <c r="J56" s="539"/>
      <c r="K56" s="539"/>
    </row>
    <row r="57" spans="1:11" ht="341.4" customHeight="1" x14ac:dyDescent="0.3">
      <c r="A57" s="472"/>
      <c r="B57" s="472"/>
      <c r="C57" s="472"/>
      <c r="D57" s="472"/>
      <c r="E57" s="472"/>
      <c r="F57" s="472"/>
      <c r="G57" s="472"/>
      <c r="H57" s="472"/>
      <c r="I57" s="472"/>
      <c r="J57" s="472"/>
      <c r="K57" s="472"/>
    </row>
    <row r="58" spans="1:11" ht="15.6" x14ac:dyDescent="0.3">
      <c r="A58" s="306" t="s">
        <v>854</v>
      </c>
      <c r="B58" s="306"/>
      <c r="C58" s="306"/>
      <c r="D58" s="306"/>
      <c r="E58" s="306"/>
      <c r="F58" s="306"/>
      <c r="G58" s="306"/>
      <c r="H58" s="306"/>
      <c r="I58" s="306"/>
      <c r="J58" s="306"/>
      <c r="K58" s="306"/>
    </row>
    <row r="59" spans="1:11" ht="37.200000000000003" customHeight="1" x14ac:dyDescent="0.3">
      <c r="A59" s="257" t="s">
        <v>855</v>
      </c>
      <c r="B59" s="257"/>
      <c r="C59" s="257"/>
      <c r="D59" s="257"/>
      <c r="E59" s="257"/>
      <c r="F59" s="257"/>
      <c r="G59" s="257"/>
      <c r="H59" s="257"/>
      <c r="I59" s="257"/>
      <c r="J59" s="257"/>
      <c r="K59" s="257"/>
    </row>
    <row r="60" spans="1:11" x14ac:dyDescent="0.3">
      <c r="A60" s="540" t="s">
        <v>856</v>
      </c>
      <c r="B60" s="457"/>
      <c r="C60" s="457"/>
      <c r="D60" s="39" t="s">
        <v>424</v>
      </c>
      <c r="E60" s="39" t="s">
        <v>857</v>
      </c>
      <c r="F60" s="39" t="s">
        <v>197</v>
      </c>
      <c r="G60" s="39" t="s">
        <v>202</v>
      </c>
      <c r="H60" s="541" t="s">
        <v>858</v>
      </c>
      <c r="I60" s="533"/>
      <c r="J60" s="533"/>
      <c r="K60" s="534"/>
    </row>
    <row r="61" spans="1:11" ht="27.6" customHeight="1" x14ac:dyDescent="0.3">
      <c r="A61" s="544" t="s">
        <v>859</v>
      </c>
      <c r="B61" s="545"/>
      <c r="C61" s="545"/>
      <c r="D61" s="140" t="s">
        <v>408</v>
      </c>
      <c r="E61" s="140">
        <v>1</v>
      </c>
      <c r="F61" s="140"/>
      <c r="G61" s="140"/>
      <c r="H61" s="546" t="s">
        <v>860</v>
      </c>
      <c r="I61" s="547"/>
      <c r="J61" s="547"/>
      <c r="K61" s="548"/>
    </row>
    <row r="62" spans="1:11" ht="27.6" customHeight="1" x14ac:dyDescent="0.3">
      <c r="A62" s="544" t="s">
        <v>861</v>
      </c>
      <c r="B62" s="545"/>
      <c r="C62" s="545"/>
      <c r="D62" s="140" t="s">
        <v>411</v>
      </c>
      <c r="E62" s="140">
        <v>1</v>
      </c>
      <c r="F62" s="140"/>
      <c r="G62" s="140"/>
      <c r="H62" s="549"/>
      <c r="I62" s="550"/>
      <c r="J62" s="550"/>
      <c r="K62" s="551"/>
    </row>
    <row r="63" spans="1:11" ht="27.6" customHeight="1" x14ac:dyDescent="0.3">
      <c r="A63" s="544" t="s">
        <v>862</v>
      </c>
      <c r="B63" s="545"/>
      <c r="C63" s="545"/>
      <c r="D63" s="140" t="s">
        <v>411</v>
      </c>
      <c r="E63" s="140">
        <v>1</v>
      </c>
      <c r="F63" s="140"/>
      <c r="G63" s="140"/>
      <c r="H63" s="552"/>
      <c r="I63" s="553"/>
      <c r="J63" s="553"/>
      <c r="K63" s="554"/>
    </row>
    <row r="64" spans="1:11" ht="22.2" customHeight="1" x14ac:dyDescent="0.3">
      <c r="A64" s="542" t="s">
        <v>863</v>
      </c>
      <c r="B64" s="543"/>
      <c r="C64" s="543"/>
      <c r="D64" s="38" t="s">
        <v>408</v>
      </c>
      <c r="E64" s="38">
        <v>2</v>
      </c>
      <c r="F64" s="38"/>
      <c r="G64" s="38"/>
      <c r="H64" s="555" t="s">
        <v>864</v>
      </c>
      <c r="I64" s="556"/>
      <c r="J64" s="556"/>
      <c r="K64" s="557"/>
    </row>
    <row r="65" spans="1:11" ht="22.2" customHeight="1" x14ac:dyDescent="0.3">
      <c r="A65" s="542" t="s">
        <v>865</v>
      </c>
      <c r="B65" s="543"/>
      <c r="C65" s="543"/>
      <c r="D65" s="38" t="s">
        <v>411</v>
      </c>
      <c r="E65" s="38">
        <v>2</v>
      </c>
      <c r="F65" s="38"/>
      <c r="G65" s="38"/>
      <c r="H65" s="558"/>
      <c r="I65" s="559"/>
      <c r="J65" s="559"/>
      <c r="K65" s="560"/>
    </row>
    <row r="66" spans="1:11" ht="22.2" customHeight="1" x14ac:dyDescent="0.3">
      <c r="A66" s="542" t="s">
        <v>866</v>
      </c>
      <c r="B66" s="543"/>
      <c r="C66" s="543"/>
      <c r="D66" s="38" t="s">
        <v>408</v>
      </c>
      <c r="E66" s="38">
        <v>2</v>
      </c>
      <c r="F66" s="38"/>
      <c r="G66" s="38"/>
      <c r="H66" s="558"/>
      <c r="I66" s="559"/>
      <c r="J66" s="559"/>
      <c r="K66" s="560"/>
    </row>
    <row r="67" spans="1:11" ht="22.2" customHeight="1" x14ac:dyDescent="0.3">
      <c r="A67" s="542" t="s">
        <v>867</v>
      </c>
      <c r="B67" s="543"/>
      <c r="C67" s="543"/>
      <c r="D67" s="38" t="s">
        <v>411</v>
      </c>
      <c r="E67" s="38">
        <v>2</v>
      </c>
      <c r="F67" s="38"/>
      <c r="G67" s="38"/>
      <c r="H67" s="558"/>
      <c r="I67" s="559"/>
      <c r="J67" s="559"/>
      <c r="K67" s="560"/>
    </row>
    <row r="68" spans="1:11" ht="22.2" customHeight="1" x14ac:dyDescent="0.3">
      <c r="A68" s="542" t="s">
        <v>868</v>
      </c>
      <c r="B68" s="543"/>
      <c r="C68" s="543"/>
      <c r="D68" s="38" t="s">
        <v>411</v>
      </c>
      <c r="E68" s="38">
        <v>2</v>
      </c>
      <c r="F68" s="38"/>
      <c r="G68" s="38"/>
      <c r="H68" s="558"/>
      <c r="I68" s="559"/>
      <c r="J68" s="559"/>
      <c r="K68" s="560"/>
    </row>
    <row r="69" spans="1:11" ht="22.2" customHeight="1" x14ac:dyDescent="0.3">
      <c r="A69" s="542" t="s">
        <v>869</v>
      </c>
      <c r="B69" s="543"/>
      <c r="C69" s="543"/>
      <c r="D69" s="38" t="s">
        <v>408</v>
      </c>
      <c r="E69" s="38">
        <v>2</v>
      </c>
      <c r="F69" s="38"/>
      <c r="G69" s="38"/>
      <c r="H69" s="558"/>
      <c r="I69" s="559"/>
      <c r="J69" s="559"/>
      <c r="K69" s="560"/>
    </row>
    <row r="70" spans="1:11" ht="22.2" customHeight="1" x14ac:dyDescent="0.3">
      <c r="A70" s="542" t="s">
        <v>870</v>
      </c>
      <c r="B70" s="543"/>
      <c r="C70" s="543"/>
      <c r="D70" s="38" t="s">
        <v>408</v>
      </c>
      <c r="E70" s="38">
        <v>2</v>
      </c>
      <c r="F70" s="38"/>
      <c r="G70" s="38"/>
      <c r="H70" s="558"/>
      <c r="I70" s="559"/>
      <c r="J70" s="559"/>
      <c r="K70" s="560"/>
    </row>
    <row r="71" spans="1:11" ht="22.2" customHeight="1" x14ac:dyDescent="0.3">
      <c r="A71" s="542" t="s">
        <v>871</v>
      </c>
      <c r="B71" s="543"/>
      <c r="C71" s="543"/>
      <c r="D71" s="38" t="s">
        <v>411</v>
      </c>
      <c r="E71" s="38">
        <v>2</v>
      </c>
      <c r="F71" s="38"/>
      <c r="G71" s="38"/>
      <c r="H71" s="558"/>
      <c r="I71" s="559"/>
      <c r="J71" s="559"/>
      <c r="K71" s="560"/>
    </row>
    <row r="72" spans="1:11" ht="22.2" customHeight="1" x14ac:dyDescent="0.3">
      <c r="A72" s="542" t="s">
        <v>872</v>
      </c>
      <c r="B72" s="543"/>
      <c r="C72" s="543"/>
      <c r="D72" s="38" t="s">
        <v>411</v>
      </c>
      <c r="E72" s="38">
        <v>2</v>
      </c>
      <c r="F72" s="38"/>
      <c r="G72" s="38"/>
      <c r="H72" s="558"/>
      <c r="I72" s="559"/>
      <c r="J72" s="559"/>
      <c r="K72" s="560"/>
    </row>
    <row r="73" spans="1:11" ht="22.2" customHeight="1" x14ac:dyDescent="0.3">
      <c r="A73" s="542" t="s">
        <v>873</v>
      </c>
      <c r="B73" s="543"/>
      <c r="C73" s="543"/>
      <c r="D73" s="38" t="s">
        <v>411</v>
      </c>
      <c r="E73" s="38">
        <v>2</v>
      </c>
      <c r="F73" s="38"/>
      <c r="G73" s="38"/>
      <c r="H73" s="558"/>
      <c r="I73" s="559"/>
      <c r="J73" s="559"/>
      <c r="K73" s="560"/>
    </row>
    <row r="74" spans="1:11" ht="22.2" customHeight="1" x14ac:dyDescent="0.3">
      <c r="A74" s="542" t="s">
        <v>874</v>
      </c>
      <c r="B74" s="543"/>
      <c r="C74" s="543"/>
      <c r="D74" s="38" t="s">
        <v>408</v>
      </c>
      <c r="E74" s="38">
        <v>2</v>
      </c>
      <c r="F74" s="38"/>
      <c r="G74" s="38"/>
      <c r="H74" s="558"/>
      <c r="I74" s="559"/>
      <c r="J74" s="559"/>
      <c r="K74" s="560"/>
    </row>
    <row r="75" spans="1:11" ht="22.2" customHeight="1" x14ac:dyDescent="0.3">
      <c r="A75" s="542" t="s">
        <v>875</v>
      </c>
      <c r="B75" s="543"/>
      <c r="C75" s="543"/>
      <c r="D75" s="38" t="s">
        <v>408</v>
      </c>
      <c r="E75" s="38">
        <v>2</v>
      </c>
      <c r="F75" s="38"/>
      <c r="G75" s="38"/>
      <c r="H75" s="558"/>
      <c r="I75" s="559"/>
      <c r="J75" s="559"/>
      <c r="K75" s="560"/>
    </row>
    <row r="76" spans="1:11" ht="22.2" customHeight="1" x14ac:dyDescent="0.3">
      <c r="A76" s="542" t="s">
        <v>876</v>
      </c>
      <c r="B76" s="543"/>
      <c r="C76" s="543"/>
      <c r="D76" s="38" t="s">
        <v>411</v>
      </c>
      <c r="E76" s="38">
        <v>2</v>
      </c>
      <c r="F76" s="38"/>
      <c r="G76" s="38"/>
      <c r="H76" s="558"/>
      <c r="I76" s="559"/>
      <c r="J76" s="559"/>
      <c r="K76" s="560"/>
    </row>
    <row r="77" spans="1:11" ht="22.2" customHeight="1" x14ac:dyDescent="0.3">
      <c r="A77" s="542" t="s">
        <v>877</v>
      </c>
      <c r="B77" s="543"/>
      <c r="C77" s="543"/>
      <c r="D77" s="38" t="s">
        <v>408</v>
      </c>
      <c r="E77" s="38">
        <v>2</v>
      </c>
      <c r="F77" s="38"/>
      <c r="G77" s="38"/>
      <c r="H77" s="561"/>
      <c r="I77" s="562"/>
      <c r="J77" s="562"/>
      <c r="K77" s="563"/>
    </row>
    <row r="79" spans="1:11" ht="14.4" customHeight="1" x14ac:dyDescent="0.3">
      <c r="A79" s="306" t="s">
        <v>878</v>
      </c>
      <c r="B79" s="306"/>
      <c r="C79" s="306"/>
      <c r="D79" s="306"/>
      <c r="E79" s="306"/>
      <c r="F79" s="306"/>
      <c r="G79" s="306"/>
      <c r="H79" s="306"/>
      <c r="I79" s="306"/>
      <c r="J79" s="306"/>
      <c r="K79" s="306"/>
    </row>
    <row r="80" spans="1:11" ht="42.6" customHeight="1" x14ac:dyDescent="0.3">
      <c r="A80" s="361" t="s">
        <v>879</v>
      </c>
      <c r="B80" s="361"/>
      <c r="C80" s="361"/>
      <c r="D80" s="361"/>
      <c r="E80" s="361"/>
      <c r="F80" s="361"/>
      <c r="G80" s="361"/>
      <c r="H80" s="361"/>
      <c r="I80" s="361"/>
      <c r="J80" s="361"/>
      <c r="K80" s="361"/>
    </row>
    <row r="81" spans="1:11" x14ac:dyDescent="0.3">
      <c r="A81" s="523" t="s">
        <v>880</v>
      </c>
      <c r="B81" s="520"/>
      <c r="C81" s="520"/>
      <c r="D81" s="520"/>
      <c r="E81" s="520"/>
      <c r="F81" s="520"/>
      <c r="G81" s="520"/>
      <c r="H81" s="520"/>
      <c r="I81" s="520"/>
      <c r="J81" s="520"/>
      <c r="K81" s="521"/>
    </row>
    <row r="82" spans="1:11" ht="46.95" customHeight="1" x14ac:dyDescent="0.3">
      <c r="A82" s="564" t="s">
        <v>763</v>
      </c>
      <c r="B82" s="565"/>
      <c r="C82" s="565"/>
      <c r="D82" s="565"/>
      <c r="E82" s="565"/>
      <c r="F82" s="565"/>
      <c r="G82" s="565"/>
      <c r="H82" s="565"/>
      <c r="I82" s="565"/>
      <c r="J82" s="565"/>
      <c r="K82" s="566"/>
    </row>
    <row r="83" spans="1:11" ht="7.95" customHeight="1" x14ac:dyDescent="0.3"/>
    <row r="84" spans="1:11" x14ac:dyDescent="0.3">
      <c r="A84" s="523" t="s">
        <v>881</v>
      </c>
      <c r="B84" s="520"/>
      <c r="C84" s="520"/>
      <c r="D84" s="520"/>
      <c r="E84" s="520"/>
      <c r="F84" s="520"/>
      <c r="G84" s="520"/>
      <c r="H84" s="520"/>
      <c r="I84" s="520"/>
      <c r="J84" s="520"/>
      <c r="K84" s="521"/>
    </row>
    <row r="85" spans="1:11" ht="42" customHeight="1" x14ac:dyDescent="0.3">
      <c r="A85" s="564" t="s">
        <v>882</v>
      </c>
      <c r="B85" s="565"/>
      <c r="C85" s="565"/>
      <c r="D85" s="565"/>
      <c r="E85" s="565"/>
      <c r="F85" s="565"/>
      <c r="G85" s="565"/>
      <c r="H85" s="565"/>
      <c r="I85" s="565"/>
      <c r="J85" s="565"/>
      <c r="K85" s="566"/>
    </row>
    <row r="86" spans="1:11" ht="15.6" x14ac:dyDescent="0.3">
      <c r="A86" s="413"/>
      <c r="B86" s="413"/>
      <c r="C86" s="413"/>
      <c r="D86" s="413"/>
      <c r="E86" s="413"/>
      <c r="F86" s="413"/>
      <c r="G86" s="413"/>
      <c r="H86" s="413"/>
      <c r="I86" s="413"/>
      <c r="J86" s="413"/>
      <c r="K86" s="413"/>
    </row>
    <row r="87" spans="1:11" ht="15.6" x14ac:dyDescent="0.3">
      <c r="A87" s="174"/>
      <c r="B87" s="174"/>
      <c r="C87" s="174"/>
      <c r="D87" s="174"/>
      <c r="E87" s="174"/>
      <c r="F87" s="174"/>
      <c r="G87" s="174"/>
      <c r="H87" s="174"/>
      <c r="I87" s="174"/>
      <c r="J87" s="174"/>
      <c r="K87" s="174"/>
    </row>
    <row r="88" spans="1:11" ht="14.4" customHeight="1" x14ac:dyDescent="0.3">
      <c r="E88" s="174"/>
      <c r="F88" s="174"/>
      <c r="G88" s="174"/>
    </row>
    <row r="90" spans="1:11" x14ac:dyDescent="0.3">
      <c r="A90" s="519" t="s">
        <v>883</v>
      </c>
      <c r="B90" s="520"/>
      <c r="C90" s="520"/>
      <c r="D90" s="520"/>
      <c r="E90" s="520"/>
      <c r="F90" s="520"/>
      <c r="G90" s="520"/>
      <c r="H90" s="520"/>
      <c r="I90" s="520"/>
      <c r="J90" s="520"/>
      <c r="K90" s="521"/>
    </row>
    <row r="91" spans="1:11" x14ac:dyDescent="0.3">
      <c r="A91" s="507" t="s">
        <v>884</v>
      </c>
      <c r="B91" s="507"/>
      <c r="C91" s="507"/>
      <c r="D91" s="507"/>
      <c r="E91" s="507" t="s">
        <v>885</v>
      </c>
      <c r="F91" s="507"/>
      <c r="G91" s="507"/>
      <c r="H91" s="507"/>
      <c r="I91" s="507"/>
      <c r="J91" s="507"/>
      <c r="K91" s="507"/>
    </row>
    <row r="92" spans="1:11" ht="39.75" customHeight="1" x14ac:dyDescent="0.3">
      <c r="A92" s="508" t="s">
        <v>886</v>
      </c>
      <c r="B92" s="508"/>
      <c r="C92" s="508"/>
      <c r="D92" s="508"/>
      <c r="E92" s="518" t="s">
        <v>887</v>
      </c>
      <c r="F92" s="518"/>
      <c r="G92" s="518"/>
      <c r="H92" s="518"/>
      <c r="I92" s="518"/>
      <c r="J92" s="518"/>
      <c r="K92" s="518"/>
    </row>
    <row r="93" spans="1:11" ht="105.75" customHeight="1" x14ac:dyDescent="0.3">
      <c r="A93" s="508" t="s">
        <v>888</v>
      </c>
      <c r="B93" s="508"/>
      <c r="C93" s="508"/>
      <c r="D93" s="508"/>
      <c r="E93" s="518" t="s">
        <v>889</v>
      </c>
      <c r="F93" s="518"/>
      <c r="G93" s="518"/>
      <c r="H93" s="518"/>
      <c r="I93" s="518"/>
      <c r="J93" s="518"/>
      <c r="K93" s="518"/>
    </row>
    <row r="94" spans="1:11" ht="79.5" customHeight="1" x14ac:dyDescent="0.3">
      <c r="A94" s="508" t="s">
        <v>890</v>
      </c>
      <c r="B94" s="508"/>
      <c r="C94" s="508"/>
      <c r="D94" s="508"/>
      <c r="E94" s="518" t="s">
        <v>891</v>
      </c>
      <c r="F94" s="518"/>
      <c r="G94" s="518"/>
      <c r="H94" s="518"/>
      <c r="I94" s="518"/>
      <c r="J94" s="518"/>
      <c r="K94" s="518"/>
    </row>
    <row r="95" spans="1:11" ht="153.75" customHeight="1" x14ac:dyDescent="0.3">
      <c r="A95" s="508" t="s">
        <v>892</v>
      </c>
      <c r="B95" s="508"/>
      <c r="C95" s="508"/>
      <c r="D95" s="508"/>
      <c r="E95" s="518" t="s">
        <v>893</v>
      </c>
      <c r="F95" s="518"/>
      <c r="G95" s="518"/>
      <c r="H95" s="518"/>
      <c r="I95" s="518"/>
      <c r="J95" s="518"/>
      <c r="K95" s="518"/>
    </row>
    <row r="96" spans="1:11" ht="54.75" customHeight="1" x14ac:dyDescent="0.3">
      <c r="A96" s="508" t="s">
        <v>894</v>
      </c>
      <c r="B96" s="508"/>
      <c r="C96" s="508"/>
      <c r="D96" s="508"/>
      <c r="E96" s="518" t="s">
        <v>895</v>
      </c>
      <c r="F96" s="518"/>
      <c r="G96" s="518"/>
      <c r="H96" s="518"/>
      <c r="I96" s="518"/>
      <c r="J96" s="518"/>
      <c r="K96" s="518"/>
    </row>
    <row r="97" spans="1:11" ht="345" customHeight="1" x14ac:dyDescent="0.3">
      <c r="A97" s="508" t="s">
        <v>896</v>
      </c>
      <c r="B97" s="508"/>
      <c r="C97" s="508"/>
      <c r="D97" s="508"/>
      <c r="E97" s="518" t="s">
        <v>897</v>
      </c>
      <c r="F97" s="518"/>
      <c r="G97" s="518"/>
      <c r="H97" s="518"/>
      <c r="I97" s="518"/>
      <c r="J97" s="518"/>
      <c r="K97" s="518"/>
    </row>
    <row r="98" spans="1:11" x14ac:dyDescent="0.3">
      <c r="A98" s="519" t="s">
        <v>883</v>
      </c>
      <c r="B98" s="520"/>
      <c r="C98" s="520"/>
      <c r="D98" s="520"/>
      <c r="E98" s="520"/>
      <c r="F98" s="520"/>
      <c r="G98" s="520"/>
      <c r="H98" s="520"/>
      <c r="I98" s="520"/>
      <c r="J98" s="520"/>
      <c r="K98" s="521"/>
    </row>
    <row r="99" spans="1:11" x14ac:dyDescent="0.3">
      <c r="A99" s="507" t="s">
        <v>884</v>
      </c>
      <c r="B99" s="507"/>
      <c r="C99" s="507"/>
      <c r="D99" s="507"/>
      <c r="E99" s="507" t="s">
        <v>885</v>
      </c>
      <c r="F99" s="507"/>
      <c r="G99" s="507"/>
      <c r="H99" s="507"/>
      <c r="I99" s="507"/>
      <c r="J99" s="507"/>
      <c r="K99" s="507"/>
    </row>
    <row r="100" spans="1:11" ht="131.4" customHeight="1" x14ac:dyDescent="0.3">
      <c r="A100" s="508" t="s">
        <v>898</v>
      </c>
      <c r="B100" s="508"/>
      <c r="C100" s="508"/>
      <c r="D100" s="508"/>
      <c r="E100" s="509" t="s">
        <v>1708</v>
      </c>
      <c r="F100" s="509"/>
      <c r="G100" s="509"/>
      <c r="H100" s="509"/>
      <c r="I100" s="509"/>
      <c r="J100" s="509"/>
      <c r="K100" s="509"/>
    </row>
    <row r="101" spans="1:11" x14ac:dyDescent="0.3">
      <c r="A101" s="510" t="s">
        <v>899</v>
      </c>
      <c r="B101" s="510"/>
      <c r="C101" s="510"/>
      <c r="D101" s="510"/>
      <c r="E101" s="511" t="s">
        <v>900</v>
      </c>
      <c r="F101" s="511"/>
      <c r="G101" s="511"/>
      <c r="H101" s="511"/>
      <c r="I101" s="511"/>
      <c r="J101" s="511"/>
      <c r="K101" s="511"/>
    </row>
    <row r="102" spans="1:11" ht="57" customHeight="1" x14ac:dyDescent="0.3">
      <c r="A102" s="510" t="s">
        <v>901</v>
      </c>
      <c r="B102" s="510"/>
      <c r="C102" s="510"/>
      <c r="D102" s="510"/>
      <c r="E102" s="511" t="s">
        <v>902</v>
      </c>
      <c r="F102" s="511"/>
      <c r="G102" s="511"/>
      <c r="H102" s="511"/>
      <c r="I102" s="511"/>
      <c r="J102" s="511"/>
      <c r="K102" s="511"/>
    </row>
    <row r="103" spans="1:11" ht="38.25" customHeight="1" x14ac:dyDescent="0.3">
      <c r="A103" s="508" t="s">
        <v>903</v>
      </c>
      <c r="B103" s="508"/>
      <c r="C103" s="508"/>
      <c r="D103" s="508"/>
      <c r="E103" s="511" t="s">
        <v>904</v>
      </c>
      <c r="F103" s="511"/>
      <c r="G103" s="511"/>
      <c r="H103" s="511"/>
      <c r="I103" s="511"/>
      <c r="J103" s="511"/>
      <c r="K103" s="511"/>
    </row>
    <row r="104" spans="1:11" ht="46.5" customHeight="1" x14ac:dyDescent="0.3">
      <c r="A104" s="512" t="s">
        <v>905</v>
      </c>
      <c r="B104" s="513"/>
      <c r="C104" s="513"/>
      <c r="D104" s="514"/>
      <c r="E104" s="515" t="s">
        <v>906</v>
      </c>
      <c r="F104" s="516"/>
      <c r="G104" s="516"/>
      <c r="H104" s="516"/>
      <c r="I104" s="516"/>
      <c r="J104" s="516"/>
      <c r="K104" s="517"/>
    </row>
    <row r="105" spans="1:11" ht="408" customHeight="1" x14ac:dyDescent="0.3">
      <c r="A105" s="508" t="s">
        <v>907</v>
      </c>
      <c r="B105" s="508"/>
      <c r="C105" s="508"/>
      <c r="D105" s="508"/>
      <c r="E105" s="511" t="s">
        <v>908</v>
      </c>
      <c r="F105" s="511"/>
      <c r="G105" s="511"/>
      <c r="H105" s="511"/>
      <c r="I105" s="511"/>
      <c r="J105" s="511"/>
      <c r="K105" s="511"/>
    </row>
    <row r="106" spans="1:11" ht="14.4" customHeight="1" x14ac:dyDescent="0.3">
      <c r="A106" s="232"/>
      <c r="B106" s="232"/>
      <c r="C106" s="232"/>
      <c r="D106" s="232"/>
      <c r="E106" s="233"/>
      <c r="F106" s="233"/>
      <c r="G106" s="233"/>
      <c r="H106" s="233"/>
      <c r="I106" s="233"/>
      <c r="J106" s="233"/>
      <c r="K106" s="233"/>
    </row>
    <row r="107" spans="1:11" x14ac:dyDescent="0.3">
      <c r="E107" s="386" t="s">
        <v>338</v>
      </c>
      <c r="F107" s="386"/>
      <c r="G107" s="386"/>
    </row>
  </sheetData>
  <mergeCells count="169">
    <mergeCell ref="A86:K86"/>
    <mergeCell ref="A84:K84"/>
    <mergeCell ref="A85:K85"/>
    <mergeCell ref="A76:C76"/>
    <mergeCell ref="A77:C77"/>
    <mergeCell ref="A79:K79"/>
    <mergeCell ref="A80:K80"/>
    <mergeCell ref="A81:K81"/>
    <mergeCell ref="A82:K82"/>
    <mergeCell ref="A70:C70"/>
    <mergeCell ref="A71:C71"/>
    <mergeCell ref="A72:C72"/>
    <mergeCell ref="A73:C73"/>
    <mergeCell ref="A74:C74"/>
    <mergeCell ref="A75:C75"/>
    <mergeCell ref="A61:C61"/>
    <mergeCell ref="H61:K63"/>
    <mergeCell ref="A62:C62"/>
    <mergeCell ref="A63:C63"/>
    <mergeCell ref="A64:C64"/>
    <mergeCell ref="H64:K77"/>
    <mergeCell ref="A65:C65"/>
    <mergeCell ref="A66:C66"/>
    <mergeCell ref="A67:C67"/>
    <mergeCell ref="A68:C68"/>
    <mergeCell ref="A69:C69"/>
    <mergeCell ref="A54:K54"/>
    <mergeCell ref="A56:K56"/>
    <mergeCell ref="A57:K57"/>
    <mergeCell ref="A58:K58"/>
    <mergeCell ref="A59:K59"/>
    <mergeCell ref="A60:C60"/>
    <mergeCell ref="H60:K60"/>
    <mergeCell ref="B50:D50"/>
    <mergeCell ref="E50:H50"/>
    <mergeCell ref="I50:K50"/>
    <mergeCell ref="A51:K51"/>
    <mergeCell ref="A52:K52"/>
    <mergeCell ref="A53:K53"/>
    <mergeCell ref="B48:D48"/>
    <mergeCell ref="E48:H48"/>
    <mergeCell ref="I48:K48"/>
    <mergeCell ref="B49:D49"/>
    <mergeCell ref="E49:H49"/>
    <mergeCell ref="I49:K49"/>
    <mergeCell ref="B46:D46"/>
    <mergeCell ref="E46:H46"/>
    <mergeCell ref="I46:K46"/>
    <mergeCell ref="B47:D47"/>
    <mergeCell ref="E47:H47"/>
    <mergeCell ref="I47:K47"/>
    <mergeCell ref="B44:D44"/>
    <mergeCell ref="E44:H44"/>
    <mergeCell ref="I44:K44"/>
    <mergeCell ref="B45:D45"/>
    <mergeCell ref="E45:H45"/>
    <mergeCell ref="I45:K45"/>
    <mergeCell ref="B42:D42"/>
    <mergeCell ref="E42:H42"/>
    <mergeCell ref="I42:K42"/>
    <mergeCell ref="B43:D43"/>
    <mergeCell ref="E43:H43"/>
    <mergeCell ref="I43:K43"/>
    <mergeCell ref="B40:D40"/>
    <mergeCell ref="E40:H40"/>
    <mergeCell ref="I40:K40"/>
    <mergeCell ref="B41:D41"/>
    <mergeCell ref="E41:H41"/>
    <mergeCell ref="I41:K41"/>
    <mergeCell ref="B38:D38"/>
    <mergeCell ref="E38:H38"/>
    <mergeCell ref="I38:K38"/>
    <mergeCell ref="B39:D39"/>
    <mergeCell ref="E39:H39"/>
    <mergeCell ref="I39:K39"/>
    <mergeCell ref="B36:D36"/>
    <mergeCell ref="E36:H36"/>
    <mergeCell ref="I36:K36"/>
    <mergeCell ref="B37:D37"/>
    <mergeCell ref="E37:H37"/>
    <mergeCell ref="I37:K37"/>
    <mergeCell ref="B34:D34"/>
    <mergeCell ref="E34:H34"/>
    <mergeCell ref="I34:K34"/>
    <mergeCell ref="B35:D35"/>
    <mergeCell ref="E35:H35"/>
    <mergeCell ref="I35:K35"/>
    <mergeCell ref="B32:D32"/>
    <mergeCell ref="E32:H32"/>
    <mergeCell ref="I32:K32"/>
    <mergeCell ref="B33:D33"/>
    <mergeCell ref="E33:H33"/>
    <mergeCell ref="I33:K33"/>
    <mergeCell ref="B30:D30"/>
    <mergeCell ref="E30:H30"/>
    <mergeCell ref="I30:K30"/>
    <mergeCell ref="B31:D31"/>
    <mergeCell ref="E31:H31"/>
    <mergeCell ref="I31:K31"/>
    <mergeCell ref="B28:D28"/>
    <mergeCell ref="E28:H28"/>
    <mergeCell ref="I28:K28"/>
    <mergeCell ref="B29:D29"/>
    <mergeCell ref="E29:H29"/>
    <mergeCell ref="I29:K29"/>
    <mergeCell ref="B26:D26"/>
    <mergeCell ref="E26:H26"/>
    <mergeCell ref="I26:K26"/>
    <mergeCell ref="B27:D27"/>
    <mergeCell ref="E27:H27"/>
    <mergeCell ref="I27:K27"/>
    <mergeCell ref="A23:K23"/>
    <mergeCell ref="B24:D24"/>
    <mergeCell ref="E24:H24"/>
    <mergeCell ref="I24:K24"/>
    <mergeCell ref="B25:D25"/>
    <mergeCell ref="E25:H25"/>
    <mergeCell ref="I25:K25"/>
    <mergeCell ref="A15:K15"/>
    <mergeCell ref="A17:K17"/>
    <mergeCell ref="A18:K18"/>
    <mergeCell ref="A20:K20"/>
    <mergeCell ref="A21:K21"/>
    <mergeCell ref="A22:K22"/>
    <mergeCell ref="A5:K5"/>
    <mergeCell ref="A8:K8"/>
    <mergeCell ref="A9:K9"/>
    <mergeCell ref="A11:K11"/>
    <mergeCell ref="A12:K12"/>
    <mergeCell ref="A14:K14"/>
    <mergeCell ref="A1:K1"/>
    <mergeCell ref="A2:K2"/>
    <mergeCell ref="A3:K3"/>
    <mergeCell ref="A4:E4"/>
    <mergeCell ref="F4:G4"/>
    <mergeCell ref="I4:K4"/>
    <mergeCell ref="A6:K6"/>
    <mergeCell ref="A7:K7"/>
    <mergeCell ref="A95:D95"/>
    <mergeCell ref="E95:K95"/>
    <mergeCell ref="A96:D96"/>
    <mergeCell ref="E96:K96"/>
    <mergeCell ref="A97:D97"/>
    <mergeCell ref="E97:K97"/>
    <mergeCell ref="A98:K98"/>
    <mergeCell ref="A90:K90"/>
    <mergeCell ref="A91:D91"/>
    <mergeCell ref="E91:K91"/>
    <mergeCell ref="A92:D92"/>
    <mergeCell ref="E92:K92"/>
    <mergeCell ref="A93:D93"/>
    <mergeCell ref="E93:K93"/>
    <mergeCell ref="A94:D94"/>
    <mergeCell ref="E94:K94"/>
    <mergeCell ref="E107:G107"/>
    <mergeCell ref="A99:D99"/>
    <mergeCell ref="E99:K99"/>
    <mergeCell ref="A100:D100"/>
    <mergeCell ref="E100:K100"/>
    <mergeCell ref="A101:D101"/>
    <mergeCell ref="E101:K101"/>
    <mergeCell ref="A102:D102"/>
    <mergeCell ref="E102:K102"/>
    <mergeCell ref="A103:D103"/>
    <mergeCell ref="E103:K103"/>
    <mergeCell ref="A104:D104"/>
    <mergeCell ref="E104:K104"/>
    <mergeCell ref="A105:D105"/>
    <mergeCell ref="E105:K105"/>
  </mergeCells>
  <conditionalFormatting sqref="A9:K9 A12:K12 A15:K15 A18:K18 A21:K21">
    <cfRule type="containsBlanks" dxfId="75" priority="1">
      <formula>LEN(TRIM(A9))=0</formula>
    </cfRule>
  </conditionalFormatting>
  <conditionalFormatting sqref="A82:K82">
    <cfRule type="containsBlanks" dxfId="74" priority="3">
      <formula>LEN(TRIM(A82))=0</formula>
    </cfRule>
  </conditionalFormatting>
  <conditionalFormatting sqref="A85:K85">
    <cfRule type="containsBlanks" dxfId="73" priority="4">
      <formula>LEN(TRIM(A85))=0</formula>
    </cfRule>
  </conditionalFormatting>
  <conditionalFormatting sqref="D61:E77">
    <cfRule type="containsBlanks" dxfId="72" priority="2">
      <formula>LEN(TRIM(D61))=0</formula>
    </cfRule>
  </conditionalFormatting>
  <conditionalFormatting sqref="E107">
    <cfRule type="containsBlanks" dxfId="71" priority="5">
      <formula>LEN(TRIM(E107))=0</formula>
    </cfRule>
  </conditionalFormatting>
  <conditionalFormatting sqref="F4:G4">
    <cfRule type="containsBlanks" dxfId="70" priority="7">
      <formula>LEN(TRIM(F4))=0</formula>
    </cfRule>
  </conditionalFormatting>
  <pageMargins left="0.23622047244094491" right="0.23622047244094491" top="0.86614173228346458" bottom="0.74803149606299213" header="0.31496062992125984" footer="0.31496062992125984"/>
  <pageSetup paperSize="9" orientation="portrait" r:id="rId1"/>
  <headerFooter>
    <oddHeader>&amp;LStatement of Work
(eSOW/Hardware) - JLR-TMP-557249&amp;C&amp;G&amp;RIssue Level 5.3
Effective Date: 9th June 2025</oddHeader>
    <oddFooter>&amp;L&amp;"JLR Emeric,Regular"&amp;10
Technical Requirements&amp;C&amp;"JLR Emeric,Bold"&amp;10&amp;KFF0000PRINTED COPIES ARE UNCONTROLLED&amp;R&amp;"JLR Emeric,Regular"&amp;10&amp;P</oddFooter>
  </headerFooter>
  <rowBreaks count="3" manualBreakCount="3">
    <brk id="21" max="16383" man="1"/>
    <brk id="50" max="16383" man="1"/>
    <brk id="57" max="16383" man="1"/>
  </rowBreaks>
  <drawing r:id="rId2"/>
  <legacyDrawing r:id="rId3"/>
  <legacyDrawingHF r:id="rId4"/>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3973943A-3388-444F-832E-22FD81215442}">
          <x14:formula1>
            <xm:f>DATA_NEW!$A$21:$A$22</xm:f>
          </x14:formula1>
          <xm:sqref>F4:G4 D61:D77</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E5598-C99F-42BF-9483-075B8EDBF8DD}">
  <sheetPr codeName="Sheet9">
    <tabColor rgb="FF0070C0"/>
  </sheetPr>
  <dimension ref="A1:K92"/>
  <sheetViews>
    <sheetView view="pageLayout" zoomScaleNormal="100" zoomScaleSheetLayoutView="100" workbookViewId="0">
      <selection activeCell="J49" sqref="J49:K49"/>
    </sheetView>
  </sheetViews>
  <sheetFormatPr defaultColWidth="8.88671875" defaultRowHeight="14.4" x14ac:dyDescent="0.3"/>
  <cols>
    <col min="1" max="1" width="8.88671875" customWidth="1"/>
  </cols>
  <sheetData>
    <row r="1" spans="1:11" ht="27.6" customHeight="1" x14ac:dyDescent="0.3">
      <c r="A1" s="407" t="s">
        <v>909</v>
      </c>
      <c r="B1" s="407"/>
      <c r="C1" s="407"/>
      <c r="D1" s="407"/>
      <c r="E1" s="407"/>
      <c r="F1" s="407"/>
      <c r="G1" s="407"/>
      <c r="H1" s="407"/>
      <c r="I1" s="407"/>
      <c r="J1" s="407"/>
      <c r="K1" s="407"/>
    </row>
    <row r="2" spans="1:11" ht="25.2" customHeight="1" x14ac:dyDescent="0.3">
      <c r="A2" s="257" t="s">
        <v>910</v>
      </c>
      <c r="B2" s="351"/>
      <c r="C2" s="351"/>
      <c r="D2" s="351"/>
      <c r="E2" s="351"/>
      <c r="F2" s="351"/>
      <c r="G2" s="351"/>
      <c r="H2" s="351"/>
      <c r="I2" s="351"/>
      <c r="J2" s="351"/>
      <c r="K2" s="351"/>
    </row>
    <row r="3" spans="1:11" ht="15.6" x14ac:dyDescent="0.3">
      <c r="A3" s="306" t="s">
        <v>911</v>
      </c>
      <c r="B3" s="306"/>
      <c r="C3" s="306"/>
      <c r="D3" s="306"/>
      <c r="E3" s="306"/>
      <c r="F3" s="306"/>
      <c r="G3" s="306"/>
      <c r="H3" s="306"/>
      <c r="I3" s="306"/>
      <c r="J3" s="306"/>
      <c r="K3" s="306"/>
    </row>
    <row r="4" spans="1:11" ht="39.6" customHeight="1" x14ac:dyDescent="0.3">
      <c r="A4" s="351" t="s">
        <v>912</v>
      </c>
      <c r="B4" s="351"/>
      <c r="C4" s="351"/>
      <c r="D4" s="351"/>
      <c r="E4" s="351"/>
      <c r="F4" s="351"/>
      <c r="G4" s="351"/>
      <c r="H4" s="351"/>
      <c r="I4" s="351"/>
      <c r="J4" s="351"/>
      <c r="K4" s="351"/>
    </row>
    <row r="5" spans="1:11" x14ac:dyDescent="0.3">
      <c r="A5" s="567" t="s">
        <v>913</v>
      </c>
      <c r="B5" s="568"/>
      <c r="C5" s="568"/>
      <c r="D5" s="569" t="str">
        <f>'Front Matter'!I8</f>
        <v>Make to Print</v>
      </c>
      <c r="E5" s="570"/>
      <c r="F5" s="570"/>
      <c r="G5" s="570"/>
      <c r="H5" s="275"/>
      <c r="I5" s="276"/>
      <c r="J5" s="468" t="s">
        <v>276</v>
      </c>
      <c r="K5" s="338"/>
    </row>
    <row r="6" spans="1:11" ht="34.950000000000003" customHeight="1" x14ac:dyDescent="0.3">
      <c r="A6" s="314" t="s">
        <v>914</v>
      </c>
      <c r="B6" s="315"/>
      <c r="C6" s="315"/>
      <c r="D6" s="315"/>
      <c r="E6" s="315"/>
      <c r="F6" s="315"/>
      <c r="G6" s="315"/>
      <c r="H6" s="275"/>
      <c r="I6" s="276"/>
      <c r="J6" s="312" t="s">
        <v>411</v>
      </c>
      <c r="K6" s="338"/>
    </row>
    <row r="7" spans="1:11" ht="34.950000000000003" customHeight="1" x14ac:dyDescent="0.3">
      <c r="A7" s="314" t="s">
        <v>915</v>
      </c>
      <c r="B7" s="315"/>
      <c r="C7" s="315"/>
      <c r="D7" s="315"/>
      <c r="E7" s="315"/>
      <c r="F7" s="315"/>
      <c r="G7" s="315"/>
      <c r="H7" s="275"/>
      <c r="I7" s="276"/>
      <c r="J7" s="312" t="s">
        <v>411</v>
      </c>
      <c r="K7" s="338"/>
    </row>
    <row r="8" spans="1:11" ht="34.950000000000003" customHeight="1" x14ac:dyDescent="0.3">
      <c r="A8" s="314" t="s">
        <v>916</v>
      </c>
      <c r="B8" s="315"/>
      <c r="C8" s="315"/>
      <c r="D8" s="315"/>
      <c r="E8" s="315"/>
      <c r="F8" s="315"/>
      <c r="G8" s="315"/>
      <c r="H8" s="275"/>
      <c r="I8" s="276"/>
      <c r="J8" s="312" t="s">
        <v>408</v>
      </c>
      <c r="K8" s="338"/>
    </row>
    <row r="10" spans="1:11" ht="15.6" x14ac:dyDescent="0.3">
      <c r="A10" s="306" t="s">
        <v>917</v>
      </c>
      <c r="B10" s="306"/>
      <c r="C10" s="306"/>
      <c r="D10" s="306"/>
      <c r="E10" s="306"/>
      <c r="F10" s="306"/>
      <c r="G10" s="306"/>
      <c r="H10" s="306"/>
      <c r="I10" s="306"/>
      <c r="J10" s="306"/>
      <c r="K10" s="306"/>
    </row>
    <row r="11" spans="1:11" ht="93.6" customHeight="1" x14ac:dyDescent="0.3">
      <c r="A11" s="257" t="s">
        <v>918</v>
      </c>
      <c r="B11" s="351"/>
      <c r="C11" s="351"/>
      <c r="D11" s="351"/>
      <c r="E11" s="351"/>
      <c r="F11" s="351"/>
      <c r="G11" s="351"/>
      <c r="H11" s="351"/>
      <c r="I11" s="351"/>
      <c r="J11" s="351"/>
      <c r="K11" s="351"/>
    </row>
    <row r="12" spans="1:11" x14ac:dyDescent="0.3">
      <c r="A12" s="458" t="s">
        <v>919</v>
      </c>
      <c r="B12" s="458"/>
      <c r="C12" s="458"/>
      <c r="D12" s="458"/>
      <c r="E12" s="335" t="s">
        <v>920</v>
      </c>
      <c r="F12" s="571"/>
      <c r="G12" s="571"/>
      <c r="H12" s="571"/>
      <c r="I12" s="338"/>
      <c r="J12" s="335" t="s">
        <v>276</v>
      </c>
      <c r="K12" s="338"/>
    </row>
    <row r="13" spans="1:11" ht="46.95" customHeight="1" x14ac:dyDescent="0.3">
      <c r="A13" s="270" t="s">
        <v>921</v>
      </c>
      <c r="B13" s="270"/>
      <c r="C13" s="270"/>
      <c r="D13" s="270"/>
      <c r="E13" s="524" t="s">
        <v>922</v>
      </c>
      <c r="F13" s="525"/>
      <c r="G13" s="525"/>
      <c r="H13" s="525"/>
      <c r="I13" s="538"/>
      <c r="J13" s="310" t="s">
        <v>408</v>
      </c>
      <c r="K13" s="334"/>
    </row>
    <row r="14" spans="1:11" ht="53.4" customHeight="1" x14ac:dyDescent="0.3">
      <c r="A14" s="270" t="s">
        <v>923</v>
      </c>
      <c r="B14" s="270"/>
      <c r="C14" s="270"/>
      <c r="D14" s="270"/>
      <c r="E14" s="524" t="s">
        <v>924</v>
      </c>
      <c r="F14" s="525"/>
      <c r="G14" s="525"/>
      <c r="H14" s="525"/>
      <c r="I14" s="538"/>
      <c r="J14" s="310" t="s">
        <v>411</v>
      </c>
      <c r="K14" s="334"/>
    </row>
    <row r="15" spans="1:11" ht="46.95" customHeight="1" x14ac:dyDescent="0.3">
      <c r="A15" s="270" t="s">
        <v>925</v>
      </c>
      <c r="B15" s="270"/>
      <c r="C15" s="270"/>
      <c r="D15" s="270"/>
      <c r="E15" s="524" t="s">
        <v>924</v>
      </c>
      <c r="F15" s="525"/>
      <c r="G15" s="525"/>
      <c r="H15" s="525"/>
      <c r="I15" s="538"/>
      <c r="J15" s="310" t="s">
        <v>411</v>
      </c>
      <c r="K15" s="334"/>
    </row>
    <row r="16" spans="1:11" ht="46.95" customHeight="1" x14ac:dyDescent="0.3">
      <c r="A16" s="270" t="s">
        <v>926</v>
      </c>
      <c r="B16" s="270"/>
      <c r="C16" s="270"/>
      <c r="D16" s="270"/>
      <c r="E16" s="524" t="s">
        <v>927</v>
      </c>
      <c r="F16" s="525"/>
      <c r="G16" s="525"/>
      <c r="H16" s="525"/>
      <c r="I16" s="538"/>
      <c r="J16" s="310" t="s">
        <v>411</v>
      </c>
      <c r="K16" s="334"/>
    </row>
    <row r="17" spans="1:11" ht="46.95" customHeight="1" x14ac:dyDescent="0.3">
      <c r="A17" s="270" t="s">
        <v>928</v>
      </c>
      <c r="B17" s="270"/>
      <c r="C17" s="270"/>
      <c r="D17" s="270"/>
      <c r="E17" s="524" t="s">
        <v>929</v>
      </c>
      <c r="F17" s="525"/>
      <c r="G17" s="525"/>
      <c r="H17" s="525"/>
      <c r="I17" s="538"/>
      <c r="J17" s="310" t="s">
        <v>411</v>
      </c>
      <c r="K17" s="334"/>
    </row>
    <row r="19" spans="1:11" ht="15.6" x14ac:dyDescent="0.3">
      <c r="A19" s="306" t="s">
        <v>930</v>
      </c>
      <c r="B19" s="306"/>
      <c r="C19" s="306"/>
      <c r="D19" s="306"/>
      <c r="E19" s="306"/>
      <c r="F19" s="306"/>
      <c r="G19" s="306"/>
      <c r="H19" s="306"/>
      <c r="I19" s="306"/>
      <c r="J19" s="306"/>
      <c r="K19" s="306"/>
    </row>
    <row r="20" spans="1:11" ht="66" customHeight="1" x14ac:dyDescent="0.3">
      <c r="A20" s="351" t="s">
        <v>931</v>
      </c>
      <c r="B20" s="351"/>
      <c r="C20" s="351"/>
      <c r="D20" s="351"/>
      <c r="E20" s="351"/>
      <c r="F20" s="351"/>
      <c r="G20" s="351"/>
      <c r="H20" s="351"/>
      <c r="I20" s="351"/>
      <c r="J20" s="351"/>
      <c r="K20" s="351"/>
    </row>
    <row r="21" spans="1:11" ht="15.6" x14ac:dyDescent="0.3">
      <c r="A21" s="306" t="s">
        <v>932</v>
      </c>
      <c r="B21" s="306"/>
      <c r="C21" s="306"/>
      <c r="D21" s="306"/>
      <c r="E21" s="306"/>
      <c r="F21" s="306"/>
      <c r="G21" s="306"/>
      <c r="H21" s="306"/>
      <c r="I21" s="306"/>
      <c r="J21" s="306"/>
      <c r="K21" s="306"/>
    </row>
    <row r="22" spans="1:11" ht="86.4" customHeight="1" x14ac:dyDescent="0.3">
      <c r="A22" s="257" t="s">
        <v>933</v>
      </c>
      <c r="B22" s="257"/>
      <c r="C22" s="257"/>
      <c r="D22" s="257"/>
      <c r="E22" s="257"/>
      <c r="F22" s="257"/>
      <c r="G22" s="257"/>
      <c r="H22" s="257"/>
      <c r="I22" s="257"/>
      <c r="J22" s="257"/>
      <c r="K22" s="257"/>
    </row>
    <row r="23" spans="1:11" ht="15.6" x14ac:dyDescent="0.3">
      <c r="A23" s="306" t="s">
        <v>934</v>
      </c>
      <c r="B23" s="306"/>
      <c r="C23" s="306"/>
      <c r="D23" s="306"/>
      <c r="E23" s="306"/>
      <c r="F23" s="306"/>
      <c r="G23" s="306"/>
      <c r="H23" s="306"/>
      <c r="I23" s="306"/>
      <c r="J23" s="306"/>
      <c r="K23" s="306"/>
    </row>
    <row r="24" spans="1:11" ht="20.399999999999999" customHeight="1" x14ac:dyDescent="0.3">
      <c r="A24" s="345" t="s">
        <v>935</v>
      </c>
      <c r="B24" s="527"/>
      <c r="C24" s="527"/>
      <c r="D24" s="527"/>
      <c r="E24" s="527"/>
      <c r="F24" s="527"/>
      <c r="G24" s="527"/>
      <c r="H24" s="527"/>
      <c r="I24" s="527"/>
      <c r="J24" s="527"/>
      <c r="K24" s="527"/>
    </row>
    <row r="26" spans="1:11" ht="31.2" customHeight="1" x14ac:dyDescent="0.3">
      <c r="A26" s="458" t="s">
        <v>436</v>
      </c>
      <c r="B26" s="458"/>
      <c r="C26" s="458"/>
      <c r="D26" s="458" t="s">
        <v>276</v>
      </c>
      <c r="E26" s="458"/>
      <c r="F26" s="573" t="s">
        <v>936</v>
      </c>
      <c r="G26" s="573"/>
      <c r="H26" s="573"/>
      <c r="I26" s="573" t="s">
        <v>937</v>
      </c>
      <c r="J26" s="573"/>
      <c r="K26" s="573"/>
    </row>
    <row r="27" spans="1:11" ht="37.950000000000003" customHeight="1" x14ac:dyDescent="0.3">
      <c r="A27" s="484" t="s">
        <v>938</v>
      </c>
      <c r="B27" s="484"/>
      <c r="C27" s="484"/>
      <c r="D27" s="455" t="s">
        <v>408</v>
      </c>
      <c r="E27" s="455"/>
      <c r="F27" s="572"/>
      <c r="G27" s="572"/>
      <c r="H27" s="572"/>
      <c r="I27" s="572"/>
      <c r="J27" s="572"/>
      <c r="K27" s="572"/>
    </row>
    <row r="29" spans="1:11" x14ac:dyDescent="0.3">
      <c r="A29" s="483" t="s">
        <v>939</v>
      </c>
      <c r="B29" s="483"/>
      <c r="C29" s="483"/>
      <c r="D29" s="483"/>
      <c r="E29" s="483"/>
      <c r="F29" s="483"/>
      <c r="G29" s="483"/>
      <c r="H29" s="483"/>
      <c r="I29" s="458" t="s">
        <v>436</v>
      </c>
      <c r="J29" s="574"/>
      <c r="K29" s="574"/>
    </row>
    <row r="30" spans="1:11" ht="33.6" customHeight="1" x14ac:dyDescent="0.3">
      <c r="A30" s="578" t="s">
        <v>940</v>
      </c>
      <c r="B30" s="578"/>
      <c r="C30" s="578"/>
      <c r="D30" s="578"/>
      <c r="E30" s="578"/>
      <c r="F30" s="578"/>
      <c r="G30" s="578"/>
      <c r="H30" s="578"/>
      <c r="I30" s="575" t="s">
        <v>445</v>
      </c>
      <c r="J30" s="576"/>
      <c r="K30" s="576"/>
    </row>
    <row r="31" spans="1:11" ht="33.6" customHeight="1" x14ac:dyDescent="0.3">
      <c r="A31" s="578" t="s">
        <v>941</v>
      </c>
      <c r="B31" s="578"/>
      <c r="C31" s="578"/>
      <c r="D31" s="578"/>
      <c r="E31" s="578"/>
      <c r="F31" s="578"/>
      <c r="G31" s="578"/>
      <c r="H31" s="578"/>
      <c r="I31" s="575" t="s">
        <v>445</v>
      </c>
      <c r="J31" s="576"/>
      <c r="K31" s="576"/>
    </row>
    <row r="32" spans="1:11" ht="33.6" customHeight="1" x14ac:dyDescent="0.3">
      <c r="A32" s="578" t="s">
        <v>942</v>
      </c>
      <c r="B32" s="578"/>
      <c r="C32" s="578"/>
      <c r="D32" s="578"/>
      <c r="E32" s="578"/>
      <c r="F32" s="578"/>
      <c r="G32" s="578"/>
      <c r="H32" s="578"/>
      <c r="I32" s="575" t="s">
        <v>445</v>
      </c>
      <c r="J32" s="576"/>
      <c r="K32" s="576"/>
    </row>
    <row r="33" spans="1:11" ht="33.6" customHeight="1" x14ac:dyDescent="0.3">
      <c r="A33" s="578" t="s">
        <v>943</v>
      </c>
      <c r="B33" s="578"/>
      <c r="C33" s="578"/>
      <c r="D33" s="578"/>
      <c r="E33" s="578"/>
      <c r="F33" s="578"/>
      <c r="G33" s="578"/>
      <c r="H33" s="578"/>
      <c r="I33" s="575" t="s">
        <v>445</v>
      </c>
      <c r="J33" s="576"/>
      <c r="K33" s="576"/>
    </row>
    <row r="35" spans="1:11" ht="15.6" x14ac:dyDescent="0.3">
      <c r="A35" s="306" t="s">
        <v>944</v>
      </c>
      <c r="B35" s="306"/>
      <c r="C35" s="306"/>
      <c r="D35" s="306"/>
      <c r="E35" s="306"/>
      <c r="F35" s="306"/>
      <c r="G35" s="306"/>
      <c r="H35" s="306"/>
      <c r="I35" s="306"/>
      <c r="J35" s="306"/>
      <c r="K35" s="306"/>
    </row>
    <row r="36" spans="1:11" ht="26.4" customHeight="1" x14ac:dyDescent="0.3">
      <c r="A36" s="345" t="s">
        <v>945</v>
      </c>
      <c r="B36" s="345"/>
      <c r="C36" s="345"/>
      <c r="D36" s="345"/>
      <c r="E36" s="345"/>
      <c r="F36" s="345"/>
      <c r="G36" s="345"/>
      <c r="H36" s="345"/>
      <c r="I36" s="345"/>
      <c r="J36" s="345"/>
      <c r="K36" s="345"/>
    </row>
    <row r="37" spans="1:11" x14ac:dyDescent="0.3">
      <c r="A37" s="414" t="s">
        <v>946</v>
      </c>
      <c r="B37" s="414"/>
      <c r="C37" s="414"/>
      <c r="D37" s="414"/>
      <c r="E37" s="414"/>
      <c r="F37" s="414" t="s">
        <v>947</v>
      </c>
      <c r="G37" s="414"/>
      <c r="H37" s="414"/>
      <c r="I37" s="414"/>
      <c r="J37" s="458" t="s">
        <v>276</v>
      </c>
      <c r="K37" s="574"/>
    </row>
    <row r="38" spans="1:11" ht="27" customHeight="1" x14ac:dyDescent="0.3">
      <c r="A38" s="584" t="s">
        <v>948</v>
      </c>
      <c r="B38" s="585"/>
      <c r="C38" s="585"/>
      <c r="D38" s="585"/>
      <c r="E38" s="585"/>
      <c r="F38" s="455" t="s">
        <v>949</v>
      </c>
      <c r="G38" s="455"/>
      <c r="H38" s="455"/>
      <c r="I38" s="455"/>
      <c r="J38" s="577" t="s">
        <v>408</v>
      </c>
      <c r="K38" s="577"/>
    </row>
    <row r="39" spans="1:11" ht="27" customHeight="1" x14ac:dyDescent="0.3">
      <c r="A39" s="584" t="s">
        <v>950</v>
      </c>
      <c r="B39" s="585"/>
      <c r="C39" s="585"/>
      <c r="D39" s="585"/>
      <c r="E39" s="585"/>
      <c r="F39" s="455" t="s">
        <v>949</v>
      </c>
      <c r="G39" s="455"/>
      <c r="H39" s="455"/>
      <c r="I39" s="455"/>
      <c r="J39" s="577" t="s">
        <v>408</v>
      </c>
      <c r="K39" s="577"/>
    </row>
    <row r="40" spans="1:11" ht="103.95" customHeight="1" x14ac:dyDescent="0.3">
      <c r="A40" s="443" t="s">
        <v>951</v>
      </c>
      <c r="B40" s="485"/>
      <c r="C40" s="485"/>
      <c r="D40" s="485"/>
      <c r="E40" s="485"/>
      <c r="F40" s="443" t="s">
        <v>952</v>
      </c>
      <c r="G40" s="485"/>
      <c r="H40" s="485"/>
      <c r="I40" s="485"/>
      <c r="J40" s="577" t="s">
        <v>408</v>
      </c>
      <c r="K40" s="577"/>
    </row>
    <row r="41" spans="1:11" ht="65.400000000000006" customHeight="1" x14ac:dyDescent="0.3">
      <c r="A41" s="582" t="s">
        <v>953</v>
      </c>
      <c r="B41" s="583"/>
      <c r="C41" s="583"/>
      <c r="D41" s="583"/>
      <c r="E41" s="583"/>
      <c r="F41" s="583"/>
      <c r="G41" s="583"/>
      <c r="H41" s="583"/>
      <c r="I41" s="583"/>
      <c r="J41" s="583"/>
      <c r="K41" s="583"/>
    </row>
    <row r="43" spans="1:11" ht="15.6" x14ac:dyDescent="0.3">
      <c r="A43" s="306" t="s">
        <v>954</v>
      </c>
      <c r="B43" s="306"/>
      <c r="C43" s="306"/>
      <c r="D43" s="306"/>
      <c r="E43" s="306"/>
      <c r="F43" s="306"/>
      <c r="G43" s="306"/>
      <c r="H43" s="306"/>
      <c r="I43" s="306"/>
      <c r="J43" s="306"/>
      <c r="K43" s="306"/>
    </row>
    <row r="45" spans="1:11" x14ac:dyDescent="0.3">
      <c r="A45" s="458" t="s">
        <v>946</v>
      </c>
      <c r="B45" s="472"/>
      <c r="C45" s="472"/>
      <c r="D45" s="472"/>
      <c r="E45" s="573" t="s">
        <v>947</v>
      </c>
      <c r="F45" s="579"/>
      <c r="G45" s="579"/>
      <c r="H45" s="579"/>
      <c r="I45" s="579"/>
      <c r="J45" s="458" t="s">
        <v>276</v>
      </c>
      <c r="K45" s="574"/>
    </row>
    <row r="46" spans="1:11" ht="74.400000000000006" customHeight="1" x14ac:dyDescent="0.3">
      <c r="A46" s="580" t="s">
        <v>955</v>
      </c>
      <c r="B46" s="472"/>
      <c r="C46" s="472"/>
      <c r="D46" s="472"/>
      <c r="E46" s="580" t="s">
        <v>956</v>
      </c>
      <c r="F46" s="580"/>
      <c r="G46" s="580"/>
      <c r="H46" s="580"/>
      <c r="I46" s="580"/>
      <c r="J46" s="577" t="s">
        <v>408</v>
      </c>
      <c r="K46" s="577"/>
    </row>
    <row r="47" spans="1:11" ht="141.6" customHeight="1" x14ac:dyDescent="0.3">
      <c r="A47" s="580" t="s">
        <v>957</v>
      </c>
      <c r="B47" s="472"/>
      <c r="C47" s="472"/>
      <c r="D47" s="472"/>
      <c r="E47" s="580" t="s">
        <v>958</v>
      </c>
      <c r="F47" s="580"/>
      <c r="G47" s="580"/>
      <c r="H47" s="580"/>
      <c r="I47" s="580"/>
      <c r="J47" s="577" t="s">
        <v>408</v>
      </c>
      <c r="K47" s="577"/>
    </row>
    <row r="48" spans="1:11" ht="42.6" customHeight="1" x14ac:dyDescent="0.3">
      <c r="A48" s="581" t="s">
        <v>959</v>
      </c>
      <c r="B48" s="472"/>
      <c r="C48" s="472"/>
      <c r="D48" s="472"/>
      <c r="E48" s="580" t="s">
        <v>960</v>
      </c>
      <c r="F48" s="580"/>
      <c r="G48" s="580"/>
      <c r="H48" s="580"/>
      <c r="I48" s="580"/>
      <c r="J48" s="577" t="s">
        <v>408</v>
      </c>
      <c r="K48" s="577"/>
    </row>
    <row r="49" spans="1:11" ht="397.2" customHeight="1" x14ac:dyDescent="0.3">
      <c r="A49" s="580" t="s">
        <v>961</v>
      </c>
      <c r="B49" s="472"/>
      <c r="C49" s="472"/>
      <c r="D49" s="472"/>
      <c r="E49" s="580" t="s">
        <v>962</v>
      </c>
      <c r="F49" s="580"/>
      <c r="G49" s="580"/>
      <c r="H49" s="580"/>
      <c r="I49" s="580"/>
      <c r="J49" s="577" t="s">
        <v>408</v>
      </c>
      <c r="K49" s="577"/>
    </row>
    <row r="51" spans="1:11" ht="15.6" x14ac:dyDescent="0.3">
      <c r="A51" s="306" t="s">
        <v>963</v>
      </c>
      <c r="B51" s="306"/>
      <c r="C51" s="306"/>
      <c r="D51" s="306"/>
      <c r="E51" s="306"/>
      <c r="F51" s="306"/>
      <c r="G51" s="306"/>
      <c r="H51" s="306"/>
      <c r="I51" s="306"/>
      <c r="J51" s="306"/>
      <c r="K51" s="306"/>
    </row>
    <row r="53" spans="1:11" x14ac:dyDescent="0.3">
      <c r="A53" s="458" t="s">
        <v>946</v>
      </c>
      <c r="B53" s="472"/>
      <c r="C53" s="472"/>
      <c r="D53" s="472"/>
      <c r="E53" s="573" t="s">
        <v>947</v>
      </c>
      <c r="F53" s="579"/>
      <c r="G53" s="579"/>
      <c r="H53" s="579"/>
      <c r="I53" s="579"/>
      <c r="J53" s="458" t="s">
        <v>276</v>
      </c>
      <c r="K53" s="574"/>
    </row>
    <row r="54" spans="1:11" ht="91.95" customHeight="1" x14ac:dyDescent="0.3">
      <c r="A54" s="580" t="s">
        <v>964</v>
      </c>
      <c r="B54" s="586"/>
      <c r="C54" s="586"/>
      <c r="D54" s="586"/>
      <c r="E54" s="580" t="s">
        <v>965</v>
      </c>
      <c r="F54" s="580"/>
      <c r="G54" s="580"/>
      <c r="H54" s="580"/>
      <c r="I54" s="580"/>
      <c r="J54" s="577" t="s">
        <v>408</v>
      </c>
      <c r="K54" s="577"/>
    </row>
    <row r="55" spans="1:11" ht="144.6" customHeight="1" x14ac:dyDescent="0.3">
      <c r="A55" s="580" t="s">
        <v>966</v>
      </c>
      <c r="B55" s="472"/>
      <c r="C55" s="472"/>
      <c r="D55" s="472"/>
      <c r="E55" s="580" t="s">
        <v>967</v>
      </c>
      <c r="F55" s="580"/>
      <c r="G55" s="580"/>
      <c r="H55" s="580"/>
      <c r="I55" s="580"/>
      <c r="J55" s="577" t="s">
        <v>408</v>
      </c>
      <c r="K55" s="577"/>
    </row>
    <row r="56" spans="1:11" ht="69" customHeight="1" x14ac:dyDescent="0.3">
      <c r="A56" s="580" t="s">
        <v>968</v>
      </c>
      <c r="B56" s="472"/>
      <c r="C56" s="472"/>
      <c r="D56" s="472"/>
      <c r="E56" s="580" t="s">
        <v>969</v>
      </c>
      <c r="F56" s="580"/>
      <c r="G56" s="580"/>
      <c r="H56" s="580"/>
      <c r="I56" s="580"/>
      <c r="J56" s="577" t="s">
        <v>408</v>
      </c>
      <c r="K56" s="577"/>
    </row>
    <row r="58" spans="1:11" ht="15.6" x14ac:dyDescent="0.3">
      <c r="A58" s="306" t="s">
        <v>970</v>
      </c>
      <c r="B58" s="306"/>
      <c r="C58" s="306"/>
      <c r="D58" s="306"/>
      <c r="E58" s="306"/>
      <c r="F58" s="306"/>
      <c r="G58" s="306"/>
      <c r="H58" s="306"/>
      <c r="I58" s="306"/>
      <c r="J58" s="306"/>
      <c r="K58" s="306"/>
    </row>
    <row r="60" spans="1:11" x14ac:dyDescent="0.3">
      <c r="A60" s="458" t="s">
        <v>946</v>
      </c>
      <c r="B60" s="472"/>
      <c r="C60" s="472"/>
      <c r="D60" s="472"/>
      <c r="E60" s="573" t="s">
        <v>947</v>
      </c>
      <c r="F60" s="579"/>
      <c r="G60" s="579"/>
      <c r="H60" s="579"/>
      <c r="I60" s="579"/>
      <c r="J60" s="458" t="s">
        <v>276</v>
      </c>
      <c r="K60" s="574"/>
    </row>
    <row r="61" spans="1:11" ht="43.95" customHeight="1" x14ac:dyDescent="0.3">
      <c r="A61" s="580" t="s">
        <v>971</v>
      </c>
      <c r="B61" s="586"/>
      <c r="C61" s="586"/>
      <c r="D61" s="586"/>
      <c r="E61" s="580" t="s">
        <v>972</v>
      </c>
      <c r="F61" s="580"/>
      <c r="G61" s="580"/>
      <c r="H61" s="580"/>
      <c r="I61" s="580"/>
      <c r="J61" s="577" t="s">
        <v>408</v>
      </c>
      <c r="K61" s="577"/>
    </row>
    <row r="62" spans="1:11" ht="44.4" customHeight="1" x14ac:dyDescent="0.3">
      <c r="A62" s="580" t="s">
        <v>973</v>
      </c>
      <c r="B62" s="472"/>
      <c r="C62" s="472"/>
      <c r="D62" s="472"/>
      <c r="E62" s="580" t="s">
        <v>974</v>
      </c>
      <c r="F62" s="580"/>
      <c r="G62" s="580"/>
      <c r="H62" s="580"/>
      <c r="I62" s="580"/>
      <c r="J62" s="577" t="s">
        <v>408</v>
      </c>
      <c r="K62" s="577"/>
    </row>
    <row r="64" spans="1:11" ht="15.6" x14ac:dyDescent="0.3">
      <c r="A64" s="306" t="s">
        <v>975</v>
      </c>
      <c r="B64" s="306"/>
      <c r="C64" s="306"/>
      <c r="D64" s="306"/>
      <c r="E64" s="306"/>
      <c r="F64" s="306"/>
      <c r="G64" s="306"/>
      <c r="H64" s="306"/>
      <c r="I64" s="306"/>
      <c r="J64" s="306"/>
      <c r="K64" s="306"/>
    </row>
    <row r="65" spans="1:11" ht="17.399999999999999" customHeight="1" x14ac:dyDescent="0.3">
      <c r="A65" s="361" t="s">
        <v>976</v>
      </c>
      <c r="B65" s="361"/>
      <c r="C65" s="361"/>
      <c r="D65" s="361"/>
      <c r="E65" s="361"/>
      <c r="F65" s="361"/>
      <c r="G65" s="361"/>
      <c r="H65" s="361"/>
      <c r="I65" s="361"/>
      <c r="J65" s="361"/>
      <c r="K65" s="361"/>
    </row>
    <row r="66" spans="1:11" x14ac:dyDescent="0.3">
      <c r="A66" s="458" t="s">
        <v>946</v>
      </c>
      <c r="B66" s="472"/>
      <c r="C66" s="472"/>
      <c r="D66" s="472"/>
      <c r="E66" s="573" t="s">
        <v>947</v>
      </c>
      <c r="F66" s="579"/>
      <c r="G66" s="579"/>
      <c r="H66" s="579"/>
      <c r="I66" s="579"/>
      <c r="J66" s="458" t="s">
        <v>276</v>
      </c>
      <c r="K66" s="574"/>
    </row>
    <row r="67" spans="1:11" ht="31.2" customHeight="1" x14ac:dyDescent="0.3">
      <c r="A67" s="580"/>
      <c r="B67" s="586"/>
      <c r="C67" s="586"/>
      <c r="D67" s="586"/>
      <c r="E67" s="580"/>
      <c r="F67" s="580"/>
      <c r="G67" s="580"/>
      <c r="H67" s="580"/>
      <c r="I67" s="580"/>
      <c r="J67" s="577"/>
      <c r="K67" s="577"/>
    </row>
    <row r="68" spans="1:11" ht="31.2" customHeight="1" x14ac:dyDescent="0.3">
      <c r="A68" s="580"/>
      <c r="B68" s="472"/>
      <c r="C68" s="472"/>
      <c r="D68" s="472"/>
      <c r="E68" s="580"/>
      <c r="F68" s="580"/>
      <c r="G68" s="580"/>
      <c r="H68" s="580"/>
      <c r="I68" s="580"/>
      <c r="J68" s="577"/>
      <c r="K68" s="577"/>
    </row>
    <row r="69" spans="1:11" ht="31.2" customHeight="1" x14ac:dyDescent="0.3">
      <c r="A69" s="580"/>
      <c r="B69" s="586"/>
      <c r="C69" s="586"/>
      <c r="D69" s="586"/>
      <c r="E69" s="580"/>
      <c r="F69" s="580"/>
      <c r="G69" s="580"/>
      <c r="H69" s="580"/>
      <c r="I69" s="580"/>
      <c r="J69" s="577"/>
      <c r="K69" s="577"/>
    </row>
    <row r="70" spans="1:11" ht="31.2" customHeight="1" x14ac:dyDescent="0.3">
      <c r="A70" s="580"/>
      <c r="B70" s="472"/>
      <c r="C70" s="472"/>
      <c r="D70" s="472"/>
      <c r="E70" s="580"/>
      <c r="F70" s="580"/>
      <c r="G70" s="580"/>
      <c r="H70" s="580"/>
      <c r="I70" s="580"/>
      <c r="J70" s="577"/>
      <c r="K70" s="577"/>
    </row>
    <row r="71" spans="1:11" ht="31.2" customHeight="1" x14ac:dyDescent="0.3">
      <c r="A71" s="580"/>
      <c r="B71" s="472"/>
      <c r="C71" s="472"/>
      <c r="D71" s="472"/>
      <c r="E71" s="580"/>
      <c r="F71" s="580"/>
      <c r="G71" s="580"/>
      <c r="H71" s="580"/>
      <c r="I71" s="580"/>
      <c r="J71" s="577"/>
      <c r="K71" s="577"/>
    </row>
    <row r="72" spans="1:11" ht="15.6" x14ac:dyDescent="0.3">
      <c r="A72" s="306" t="s">
        <v>977</v>
      </c>
      <c r="B72" s="306"/>
      <c r="C72" s="306"/>
      <c r="D72" s="306"/>
      <c r="E72" s="306"/>
      <c r="F72" s="306"/>
      <c r="G72" s="306"/>
      <c r="H72" s="306"/>
      <c r="I72" s="306"/>
      <c r="J72" s="306"/>
      <c r="K72" s="306"/>
    </row>
    <row r="73" spans="1:11" ht="19.95" customHeight="1" x14ac:dyDescent="0.3">
      <c r="A73" s="330" t="s">
        <v>978</v>
      </c>
      <c r="B73" s="330"/>
      <c r="C73" s="330"/>
      <c r="D73" s="330"/>
      <c r="E73" s="330"/>
      <c r="F73" s="330"/>
      <c r="G73" s="330"/>
      <c r="H73" s="330"/>
      <c r="I73" s="330"/>
      <c r="J73" s="330"/>
      <c r="K73" s="330"/>
    </row>
    <row r="74" spans="1:11" ht="409.2" customHeight="1" x14ac:dyDescent="0.3">
      <c r="A74" s="587"/>
      <c r="B74" s="533"/>
      <c r="C74" s="533"/>
      <c r="D74" s="533"/>
      <c r="E74" s="533"/>
      <c r="F74" s="533"/>
      <c r="G74" s="533"/>
      <c r="H74" s="533"/>
      <c r="I74" s="533"/>
      <c r="J74" s="533"/>
      <c r="K74" s="534"/>
    </row>
    <row r="92" spans="5:7" x14ac:dyDescent="0.3">
      <c r="E92" s="386" t="s">
        <v>338</v>
      </c>
      <c r="F92" s="386"/>
      <c r="G92" s="386"/>
    </row>
  </sheetData>
  <mergeCells count="135">
    <mergeCell ref="E92:G92"/>
    <mergeCell ref="A70:D70"/>
    <mergeCell ref="E70:I70"/>
    <mergeCell ref="J70:K70"/>
    <mergeCell ref="A72:K72"/>
    <mergeCell ref="A73:K73"/>
    <mergeCell ref="A69:D69"/>
    <mergeCell ref="E69:I69"/>
    <mergeCell ref="J69:K69"/>
    <mergeCell ref="A71:D71"/>
    <mergeCell ref="E71:I71"/>
    <mergeCell ref="J71:K71"/>
    <mergeCell ref="A74:K74"/>
    <mergeCell ref="A64:K64"/>
    <mergeCell ref="A66:D66"/>
    <mergeCell ref="E66:I66"/>
    <mergeCell ref="J66:K66"/>
    <mergeCell ref="A67:D67"/>
    <mergeCell ref="E67:I67"/>
    <mergeCell ref="J67:K67"/>
    <mergeCell ref="A68:D68"/>
    <mergeCell ref="E68:I68"/>
    <mergeCell ref="J68:K68"/>
    <mergeCell ref="A65:K65"/>
    <mergeCell ref="A62:D62"/>
    <mergeCell ref="E62:I62"/>
    <mergeCell ref="J62:K62"/>
    <mergeCell ref="A51:K51"/>
    <mergeCell ref="A53:D53"/>
    <mergeCell ref="E53:I53"/>
    <mergeCell ref="J53:K53"/>
    <mergeCell ref="A54:D54"/>
    <mergeCell ref="E54:I54"/>
    <mergeCell ref="J54:K54"/>
    <mergeCell ref="A55:D55"/>
    <mergeCell ref="E55:I55"/>
    <mergeCell ref="J55:K55"/>
    <mergeCell ref="A56:D56"/>
    <mergeCell ref="E56:I56"/>
    <mergeCell ref="J56:K56"/>
    <mergeCell ref="A58:K58"/>
    <mergeCell ref="A60:D60"/>
    <mergeCell ref="E60:I60"/>
    <mergeCell ref="J60:K60"/>
    <mergeCell ref="A61:D61"/>
    <mergeCell ref="E61:I61"/>
    <mergeCell ref="J61:K61"/>
    <mergeCell ref="A41:K41"/>
    <mergeCell ref="A37:E37"/>
    <mergeCell ref="F37:I37"/>
    <mergeCell ref="A38:E38"/>
    <mergeCell ref="A39:E39"/>
    <mergeCell ref="A40:E40"/>
    <mergeCell ref="F38:I38"/>
    <mergeCell ref="F39:I39"/>
    <mergeCell ref="F40:I40"/>
    <mergeCell ref="J38:K38"/>
    <mergeCell ref="J39:K39"/>
    <mergeCell ref="A43:K43"/>
    <mergeCell ref="E45:I45"/>
    <mergeCell ref="E46:I46"/>
    <mergeCell ref="E47:I47"/>
    <mergeCell ref="E48:I48"/>
    <mergeCell ref="E49:I49"/>
    <mergeCell ref="J45:K45"/>
    <mergeCell ref="J46:K46"/>
    <mergeCell ref="J47:K47"/>
    <mergeCell ref="J48:K48"/>
    <mergeCell ref="J49:K49"/>
    <mergeCell ref="A45:D45"/>
    <mergeCell ref="A46:D46"/>
    <mergeCell ref="A47:D47"/>
    <mergeCell ref="A48:D48"/>
    <mergeCell ref="A49:D49"/>
    <mergeCell ref="A35:K35"/>
    <mergeCell ref="A36:K36"/>
    <mergeCell ref="I29:K29"/>
    <mergeCell ref="I30:K30"/>
    <mergeCell ref="J40:K40"/>
    <mergeCell ref="I31:K31"/>
    <mergeCell ref="I32:K32"/>
    <mergeCell ref="I33:K33"/>
    <mergeCell ref="A29:H29"/>
    <mergeCell ref="A30:H30"/>
    <mergeCell ref="A31:H31"/>
    <mergeCell ref="A32:H32"/>
    <mergeCell ref="A33:H33"/>
    <mergeCell ref="J37:K37"/>
    <mergeCell ref="A20:K20"/>
    <mergeCell ref="A19:K19"/>
    <mergeCell ref="A21:K21"/>
    <mergeCell ref="A22:K22"/>
    <mergeCell ref="A23:K23"/>
    <mergeCell ref="A24:K24"/>
    <mergeCell ref="F27:H27"/>
    <mergeCell ref="I27:K27"/>
    <mergeCell ref="D26:E26"/>
    <mergeCell ref="D27:E27"/>
    <mergeCell ref="A26:C26"/>
    <mergeCell ref="A27:C27"/>
    <mergeCell ref="F26:H26"/>
    <mergeCell ref="I26:K26"/>
    <mergeCell ref="J17:K17"/>
    <mergeCell ref="E17:I17"/>
    <mergeCell ref="A10:K10"/>
    <mergeCell ref="A11:K11"/>
    <mergeCell ref="A12:D12"/>
    <mergeCell ref="A13:D13"/>
    <mergeCell ref="A14:D14"/>
    <mergeCell ref="A15:D15"/>
    <mergeCell ref="A16:D16"/>
    <mergeCell ref="A17:D17"/>
    <mergeCell ref="J13:K13"/>
    <mergeCell ref="J14:K14"/>
    <mergeCell ref="J15:K15"/>
    <mergeCell ref="J16:K16"/>
    <mergeCell ref="E12:I12"/>
    <mergeCell ref="E13:I13"/>
    <mergeCell ref="E14:I14"/>
    <mergeCell ref="E15:I15"/>
    <mergeCell ref="E16:I16"/>
    <mergeCell ref="J12:K12"/>
    <mergeCell ref="A3:K3"/>
    <mergeCell ref="A4:K4"/>
    <mergeCell ref="J5:K5"/>
    <mergeCell ref="J6:K6"/>
    <mergeCell ref="J7:K7"/>
    <mergeCell ref="J8:K8"/>
    <mergeCell ref="A5:C5"/>
    <mergeCell ref="A1:K1"/>
    <mergeCell ref="A2:K2"/>
    <mergeCell ref="D5:I5"/>
    <mergeCell ref="A6:I6"/>
    <mergeCell ref="A7:I7"/>
    <mergeCell ref="A8:I8"/>
  </mergeCells>
  <conditionalFormatting sqref="A67:K67">
    <cfRule type="containsBlanks" dxfId="69" priority="18">
      <formula>LEN(TRIM(A67))=0</formula>
    </cfRule>
  </conditionalFormatting>
  <conditionalFormatting sqref="D26:E27">
    <cfRule type="containsBlanks" dxfId="68" priority="6">
      <formula>LEN(TRIM(D26))=0</formula>
    </cfRule>
  </conditionalFormatting>
  <conditionalFormatting sqref="E92">
    <cfRule type="containsBlanks" dxfId="67" priority="9">
      <formula>LEN(TRIM(E92))=0</formula>
    </cfRule>
  </conditionalFormatting>
  <conditionalFormatting sqref="I30:K33">
    <cfRule type="containsBlanks" dxfId="66" priority="5">
      <formula>LEN(TRIM(I30))=0</formula>
    </cfRule>
  </conditionalFormatting>
  <conditionalFormatting sqref="J6:K8">
    <cfRule type="containsBlanks" dxfId="65" priority="8">
      <formula>LEN(TRIM(J6))=0</formula>
    </cfRule>
  </conditionalFormatting>
  <conditionalFormatting sqref="J13:K17">
    <cfRule type="containsBlanks" dxfId="64" priority="7">
      <formula>LEN(TRIM(J13))=0</formula>
    </cfRule>
  </conditionalFormatting>
  <conditionalFormatting sqref="J38:K40">
    <cfRule type="containsBlanks" dxfId="63" priority="4">
      <formula>LEN(TRIM(J38))=0</formula>
    </cfRule>
  </conditionalFormatting>
  <conditionalFormatting sqref="J46:K49">
    <cfRule type="containsBlanks" dxfId="62" priority="3">
      <formula>LEN(TRIM(J46))=0</formula>
    </cfRule>
  </conditionalFormatting>
  <conditionalFormatting sqref="J54:K56">
    <cfRule type="containsBlanks" dxfId="61" priority="2">
      <formula>LEN(TRIM(J54))=0</formula>
    </cfRule>
  </conditionalFormatting>
  <conditionalFormatting sqref="J61:K62">
    <cfRule type="containsBlanks" dxfId="60" priority="1">
      <formula>LEN(TRIM(J61))=0</formula>
    </cfRule>
  </conditionalFormatting>
  <pageMargins left="0.23622047244094491" right="0.23622047244094491" top="0.86614173228346458" bottom="0.74803149606299213" header="0.31496062992125984" footer="0.31496062992125984"/>
  <pageSetup paperSize="9" orientation="portrait" r:id="rId1"/>
  <headerFooter>
    <oddHeader>&amp;LStatement of Work
(eSOW/Hardware) - JLR-TMP-557249&amp;C&amp;G&amp;RIssue Level 5.3
Effective Date: 9th June 2025</oddHeader>
    <oddFooter>&amp;L&amp;"JLR Emeric,Regular"&amp;10Hardware and CAD/CAE&amp;C&amp;"JLR Emeric,Bold"&amp;10&amp;KFF0000PRINTED COPIES ARE UNCONTROLLED&amp;R&amp;"JLR Emeric,Regular"&amp;10&amp;P</oddFooter>
  </headerFooter>
  <rowBreaks count="4" manualBreakCount="4">
    <brk id="20" max="16383" man="1"/>
    <brk id="42" max="16383" man="1"/>
    <brk id="50" max="10" man="1"/>
    <brk id="71" max="16383" man="1"/>
  </rowBreaks>
  <legacyDrawing r:id="rId2"/>
  <legacyDrawingHF r:id="rId3"/>
  <extLst>
    <ext xmlns:x14="http://schemas.microsoft.com/office/spreadsheetml/2009/9/main" uri="{CCE6A557-97BC-4b89-ADB6-D9C93CAAB3DF}">
      <x14:dataValidations xmlns:xm="http://schemas.microsoft.com/office/excel/2006/main" count="2">
        <x14:dataValidation type="list" allowBlank="1" showInputMessage="1" showErrorMessage="1" xr:uid="{ABA20B71-3A76-41F4-A4C0-3DDA4412625B}">
          <x14:formula1>
            <xm:f>DATA_NEW!$A$21:$A$22</xm:f>
          </x14:formula1>
          <xm:sqref>J6:J8 J13:J17 D26:E27 J38:J40 J46:J49 J54:J56 J61:J62 J67:J71</xm:sqref>
        </x14:dataValidation>
        <x14:dataValidation type="list" allowBlank="1" showInputMessage="1" showErrorMessage="1" xr:uid="{3834A12F-0862-4D7F-8F46-663291FD5388}">
          <x14:formula1>
            <xm:f>DATA_NEW!$D$29:$D$32</xm:f>
          </x14:formula1>
          <xm:sqref>I30:K33</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3592D-1A4D-4486-9978-D55B9BDFDE0F}">
  <sheetPr codeName="Sheet12">
    <tabColor rgb="FFFF0000"/>
  </sheetPr>
  <dimension ref="A1:P170"/>
  <sheetViews>
    <sheetView view="pageLayout" zoomScaleNormal="110" zoomScaleSheetLayoutView="100" workbookViewId="0">
      <selection activeCell="O8" sqref="O8:P8"/>
    </sheetView>
  </sheetViews>
  <sheetFormatPr defaultColWidth="8.88671875" defaultRowHeight="24.6" customHeight="1" x14ac:dyDescent="0.3"/>
  <cols>
    <col min="1" max="1" width="8.88671875" style="5"/>
    <col min="2" max="10" width="8.88671875" style="29"/>
    <col min="11" max="15" width="8.88671875" style="5"/>
    <col min="16" max="16" width="8.88671875" style="5" customWidth="1"/>
    <col min="17" max="16384" width="8.88671875" style="5"/>
  </cols>
  <sheetData>
    <row r="1" spans="1:16" ht="24" customHeight="1" x14ac:dyDescent="0.3">
      <c r="A1" s="589" t="s">
        <v>979</v>
      </c>
      <c r="B1" s="589"/>
      <c r="C1" s="589"/>
      <c r="D1" s="589"/>
      <c r="E1" s="589"/>
      <c r="F1" s="589"/>
      <c r="G1" s="589"/>
      <c r="H1" s="589"/>
      <c r="I1" s="589"/>
      <c r="J1" s="589"/>
      <c r="K1" s="589"/>
      <c r="L1" s="590"/>
      <c r="M1" s="590"/>
      <c r="N1" s="590"/>
      <c r="O1" s="590"/>
      <c r="P1" s="590"/>
    </row>
    <row r="2" spans="1:16" ht="14.4" customHeight="1" x14ac:dyDescent="0.3">
      <c r="A2" s="591"/>
      <c r="B2" s="591"/>
      <c r="C2" s="591"/>
      <c r="D2" s="591"/>
      <c r="E2" s="591"/>
      <c r="F2" s="591"/>
      <c r="G2" s="591"/>
      <c r="H2" s="591"/>
      <c r="I2" s="591"/>
      <c r="J2" s="591"/>
      <c r="K2" s="591"/>
      <c r="L2" s="591"/>
      <c r="M2" s="591"/>
      <c r="N2" s="591"/>
      <c r="O2" s="591"/>
      <c r="P2" s="592"/>
    </row>
    <row r="3" spans="1:16" ht="14.4" customHeight="1" x14ac:dyDescent="0.3">
      <c r="A3" s="4"/>
      <c r="B3" s="593" t="s">
        <v>137</v>
      </c>
      <c r="C3" s="594"/>
      <c r="D3" s="594"/>
      <c r="E3" s="594"/>
      <c r="F3" s="594"/>
      <c r="G3" s="594"/>
      <c r="H3" s="594"/>
      <c r="I3" s="594"/>
      <c r="J3" s="594"/>
      <c r="K3" s="594"/>
      <c r="L3" s="594"/>
      <c r="M3" s="594"/>
      <c r="N3" s="594"/>
      <c r="O3" s="595"/>
    </row>
    <row r="4" spans="1:16" s="4" customFormat="1" ht="14.4" customHeight="1" x14ac:dyDescent="0.3">
      <c r="B4" s="596" t="str">
        <f>'Front Matter'!I8</f>
        <v>Make to Print</v>
      </c>
      <c r="C4" s="597"/>
      <c r="D4" s="597"/>
      <c r="E4" s="597"/>
      <c r="F4" s="597"/>
      <c r="G4" s="597"/>
      <c r="H4" s="597"/>
      <c r="I4" s="597"/>
      <c r="J4" s="597"/>
      <c r="K4" s="597"/>
      <c r="L4" s="597"/>
      <c r="M4" s="597"/>
      <c r="N4" s="597"/>
      <c r="O4" s="598"/>
    </row>
    <row r="5" spans="1:16" ht="12" customHeight="1" x14ac:dyDescent="0.3">
      <c r="A5" s="4"/>
      <c r="B5" s="30"/>
      <c r="C5" s="31"/>
      <c r="D5" s="31"/>
      <c r="E5" s="31"/>
      <c r="F5" s="31"/>
      <c r="G5" s="31"/>
      <c r="H5" s="31"/>
      <c r="I5" s="31"/>
      <c r="J5" s="31"/>
      <c r="K5" s="31"/>
      <c r="L5" s="31"/>
      <c r="M5" s="31"/>
      <c r="N5" s="31"/>
    </row>
    <row r="6" spans="1:16" ht="44.4" customHeight="1" x14ac:dyDescent="0.3">
      <c r="A6" s="81"/>
      <c r="B6" s="599" t="s">
        <v>980</v>
      </c>
      <c r="C6" s="600"/>
      <c r="D6" s="600"/>
      <c r="E6" s="600"/>
      <c r="F6" s="600"/>
      <c r="G6" s="600"/>
      <c r="H6" s="600"/>
      <c r="I6" s="600"/>
      <c r="J6" s="600"/>
      <c r="K6" s="600"/>
      <c r="L6" s="600"/>
      <c r="M6" s="600"/>
      <c r="N6" s="600"/>
      <c r="O6" s="601"/>
      <c r="P6" s="55"/>
    </row>
    <row r="7" spans="1:16" ht="30.6" customHeight="1" x14ac:dyDescent="0.3">
      <c r="A7" s="81"/>
      <c r="B7" s="76"/>
      <c r="C7" s="76"/>
      <c r="D7" s="76"/>
      <c r="E7" s="76"/>
      <c r="F7" s="76"/>
      <c r="G7" s="76"/>
      <c r="H7" s="76"/>
      <c r="I7" s="76"/>
      <c r="J7" s="76"/>
      <c r="K7" s="76"/>
      <c r="L7" s="76"/>
      <c r="M7" s="76"/>
      <c r="N7" s="76"/>
      <c r="O7" s="76"/>
      <c r="P7" s="55"/>
    </row>
    <row r="8" spans="1:16" s="9" customFormat="1" ht="18" customHeight="1" x14ac:dyDescent="0.3">
      <c r="A8" s="602" t="s">
        <v>981</v>
      </c>
      <c r="B8" s="602"/>
      <c r="C8" s="602"/>
      <c r="D8" s="602"/>
      <c r="E8" s="602"/>
      <c r="F8" s="602"/>
      <c r="G8" s="602"/>
      <c r="H8" s="602"/>
      <c r="I8" s="602"/>
      <c r="J8" s="602"/>
      <c r="K8" s="603" t="s">
        <v>982</v>
      </c>
      <c r="L8" s="457"/>
      <c r="M8" s="457"/>
      <c r="N8" s="457"/>
      <c r="O8" s="604" t="s">
        <v>424</v>
      </c>
      <c r="P8" s="457"/>
    </row>
    <row r="9" spans="1:16" ht="18" customHeight="1" x14ac:dyDescent="0.3">
      <c r="A9" s="39" t="s">
        <v>983</v>
      </c>
      <c r="B9" s="588" t="s">
        <v>984</v>
      </c>
      <c r="C9" s="588"/>
      <c r="D9" s="588"/>
      <c r="E9" s="588"/>
      <c r="F9" s="588"/>
      <c r="G9" s="588"/>
      <c r="H9" s="588"/>
      <c r="I9" s="588"/>
      <c r="J9" s="588"/>
      <c r="K9" s="39" t="s">
        <v>985</v>
      </c>
      <c r="L9" s="39" t="s">
        <v>986</v>
      </c>
      <c r="M9" s="39" t="s">
        <v>987</v>
      </c>
      <c r="N9" s="39" t="s">
        <v>988</v>
      </c>
      <c r="O9" s="39" t="s">
        <v>989</v>
      </c>
      <c r="P9" s="39" t="s">
        <v>990</v>
      </c>
    </row>
    <row r="10" spans="1:16" s="28" customFormat="1" ht="31.2" customHeight="1" x14ac:dyDescent="0.3">
      <c r="A10" s="80" t="str">
        <f>IF($B$4="Assembly or Component Provider",DATA_RASIC_DESC!A3,IF($B$4="Consultancy Component Provider",DATA_RASIC_DESC!A3,IF($B$4="Make to Print",DATA_RASIC_DESC!A3,IF($B$4="Engineering Service Provider",DATA_RASIC_DESC!A3,IF($B$4="Full System Provider",DATA_RASIC_DESC!A3,IF($B$4="ESP_DOOR TRIM",DATA_RASIC_DESC!D3,IF($B$4="ESP_Partner_LEVEL_01",DATA_RASIC_DESC!G3,"")))))))</f>
        <v>PM.1</v>
      </c>
      <c r="B10" s="324" t="str">
        <f>IF($B$4="Assembly or Component Provider",DATA_RASIC_DESC!B3,IF($B$4="Consultancy Component Provider",DATA_RASIC_DESC!B3,IF($B$4="Make to Print",DATA_RASIC_DESC!B3,IF($B$4="Engineering Service Provider",DATA_RASIC_DESC!B3,IF($B$4="Full System Provider",DATA_RASIC_DESC!B3,IF($B$4="ESP_DOOR TRIM",DATA_RASIC_DESC!E3,IF($B$4="ESP_Partner_LEVEL_01",DATA_RASIC_DESC!H3,"")))))))</f>
        <v>Provide communication as appropriate to all affected functions</v>
      </c>
      <c r="C10" s="325"/>
      <c r="D10" s="325"/>
      <c r="E10" s="325"/>
      <c r="F10" s="325"/>
      <c r="G10" s="325"/>
      <c r="H10" s="325"/>
      <c r="I10" s="325"/>
      <c r="J10" s="326"/>
      <c r="K10" s="40" t="str">
        <f>IF($B$4="Assembly or Component Provider",DATA_RASIC!Q3,IF($B$4="Consultancy Component Provider",DATA_RASIC!X3,IF($B$4="Make to Print",DATA_RASIC!AE3,IF($B$4="Engineering Service Provider",DATA_RASIC!C3,IF($B$4="Full System Provider",DATA_RASIC!J3,IF($B$4="ESP_DOOR TRIM",DATA_RASIC!AL3,IF($B$4="ESP_Partner_LEVEL_01",DATA_RASIC!AS3,"")))))))</f>
        <v>JLR</v>
      </c>
      <c r="L10" s="40" t="str">
        <f>IF($B$4="Assembly or Component Provider",DATA_RASIC!R3,IF($B$4="Consultancy Component Provider",DATA_RASIC!Y3,IF($B$4="Make to Print",DATA_RASIC!AF3,IF($B$4="Engineering Service Provider",DATA_RASIC!D3,IF($B$4="Full System Provider",DATA_RASIC!K3,IF($B$4="ESP_DOOR TRIM",DATA_RASIC!AM3,IF($B$4="ESP_Partner_LEVEL_01",DATA_RASIC!AT3,"")))))))</f>
        <v>JLR</v>
      </c>
      <c r="M10" s="40" t="str">
        <f>IF($B$4="Assembly or Component Provider",DATA_RASIC!S3,IF($B$4="Consultancy Component Provider",DATA_RASIC!Z3,IF($B$4="Make to Print",DATA_RASIC!AG3,IF($B$4="Engineering Service Provider",DATA_RASIC!E3,IF($B$4="Full System Provider",DATA_RASIC!L3,IF($B$4="ESP_DOOR TRIM",DATA_RASIC!AN3,IF($B$4="ESP_Partner_LEVEL_01",DATA_RASIC!AU3,"")))))))</f>
        <v>JLR</v>
      </c>
      <c r="N10" s="40" t="str">
        <f>IF($B$4="Assembly or Component Provider",DATA_RASIC!T3,IF($B$4="Consultancy Component Provider",DATA_RASIC!AA3,IF($B$4="Make to Print",DATA_RASIC!AH3,IF($B$4="Engineering Service Provider",DATA_RASIC!F3,IF($B$4="Full System Provider",DATA_RASIC!M3,IF($B$4="ESP_DOOR TRIM",DATA_RASIC!AO3,IF($B$4="ESP_Partner_LEVEL_01",DATA_RASIC!AV3,"")))))))</f>
        <v>-</v>
      </c>
      <c r="O10" s="40" t="str">
        <f>IF($B$4="Assembly or Component Provider",DATA_RASIC!U3,IF($B$4="Consultancy Component Provider",DATA_RASIC!AB3,IF($B$4="Make to Print",DATA_RASIC!AI3,IF($B$4="Engineering Service Provider",DATA_RASIC!G3,IF($B$4="Full System Provider",DATA_RASIC!N3,IF($B$4="ESP_DOOR TRIM",DATA_RASIC!AP3,IF($B$4="ESP_Partner_LEVEL_01",DATA_RASIC!AW3,"")))))))</f>
        <v>SE</v>
      </c>
      <c r="P10" s="40" t="str">
        <f>IF($B$4="Assembly or Component Provider",DATA_RASIC!V3,IF($B$4="Consultancy Component Provider",DATA_RASIC!AC3,IF($B$4="Make to Print",DATA_RASIC!AJ3,IF($B$4="Engineering Service Provider",DATA_RASIC!H3,IF($B$4="Full System Provider",DATA_RASIC!O3,IF($B$4="ESP_DOOR TRIM",DATA_RASIC!AQ3,IF($B$4="ESP_Partner_LEVEL_01",DATA_RASIC!AX3,"")))))))</f>
        <v>-</v>
      </c>
    </row>
    <row r="11" spans="1:16" s="28" customFormat="1" ht="31.2" customHeight="1" x14ac:dyDescent="0.3">
      <c r="A11" s="80" t="str">
        <f>IF($B$4="Assembly or Component Provider",DATA_RASIC_DESC!A4,IF($B$4="Consultancy Component Provider",DATA_RASIC_DESC!A4,IF($B$4="Make to Print",DATA_RASIC_DESC!A4,IF($B$4="Engineering Service Provider",DATA_RASIC_DESC!A4,IF($B$4="Full System Provider",DATA_RASIC_DESC!A4,IF($B$4="ESP_DOOR TRIM",DATA_RASIC_DESC!D4,IF($B$4="ESP_Partner_LEVEL_01",DATA_RASIC_DESC!G4,"")))))))</f>
        <v>PM.2</v>
      </c>
      <c r="B11" s="324" t="str">
        <f>IF($B$4="Assembly or Component Provider",DATA_RASIC_DESC!B4,IF($B$4="Consultancy Component Provider",DATA_RASIC_DESC!B4,IF($B$4="Make to Print",DATA_RASIC_DESC!B4,IF($B$4="Engineering Service Provider",DATA_RASIC_DESC!B4,IF($B$4="Full System Provider",DATA_RASIC_DESC!B4,IF($B$4="ESP_DOOR TRIM",DATA_RASIC_DESC!E4,IF($B$4="ESP_Partner_LEVEL_01",DATA_RASIC_DESC!H4,"")))))))</f>
        <v>Develop an Early Sourcing Work plan for Programme team consensus</v>
      </c>
      <c r="C11" s="325"/>
      <c r="D11" s="325"/>
      <c r="E11" s="325"/>
      <c r="F11" s="325"/>
      <c r="G11" s="325"/>
      <c r="H11" s="325"/>
      <c r="I11" s="325"/>
      <c r="J11" s="326"/>
      <c r="K11" s="40" t="str">
        <f>IF($B$4="Assembly or Component Provider",DATA_RASIC!Q4,IF($B$4="Consultancy Component Provider",DATA_RASIC!X4,IF($B$4="Make to Print",DATA_RASIC!AE4,IF($B$4="Engineering Service Provider",DATA_RASIC!C4,IF($B$4="Full System Provider",DATA_RASIC!J4,IF($B$4="ESP_DOOR TRIM",DATA_RASIC!AL4,IF($B$4="ESP_Partner_LEVEL_01",DATA_RASIC!AS4,"")))))))</f>
        <v>JLR</v>
      </c>
      <c r="L11" s="40" t="str">
        <f>IF($B$4="Assembly or Component Provider",DATA_RASIC!R4,IF($B$4="Consultancy Component Provider",DATA_RASIC!Y4,IF($B$4="Make to Print",DATA_RASIC!AF4,IF($B$4="Engineering Service Provider",DATA_RASIC!D4,IF($B$4="Full System Provider",DATA_RASIC!K4,IF($B$4="ESP_DOOR TRIM",DATA_RASIC!AM4,IF($B$4="ESP_Partner_LEVEL_01",DATA_RASIC!AT4,"")))))))</f>
        <v>JLR</v>
      </c>
      <c r="M11" s="40" t="str">
        <f>IF($B$4="Assembly or Component Provider",DATA_RASIC!S4,IF($B$4="Consultancy Component Provider",DATA_RASIC!Z4,IF($B$4="Make to Print",DATA_RASIC!AG4,IF($B$4="Engineering Service Provider",DATA_RASIC!E4,IF($B$4="Full System Provider",DATA_RASIC!L4,IF($B$4="ESP_DOOR TRIM",DATA_RASIC!AN4,IF($B$4="ESP_Partner_LEVEL_01",DATA_RASIC!AU4,"")))))))</f>
        <v>JLR</v>
      </c>
      <c r="N11" s="40" t="str">
        <f>IF($B$4="Assembly or Component Provider",DATA_RASIC!T4,IF($B$4="Consultancy Component Provider",DATA_RASIC!AA4,IF($B$4="Make to Print",DATA_RASIC!AH4,IF($B$4="Engineering Service Provider",DATA_RASIC!F4,IF($B$4="Full System Provider",DATA_RASIC!M4,IF($B$4="ESP_DOOR TRIM",DATA_RASIC!AO4,IF($B$4="ESP_Partner_LEVEL_01",DATA_RASIC!AV4,"")))))))</f>
        <v>-</v>
      </c>
      <c r="O11" s="40" t="str">
        <f>IF($B$4="Assembly or Component Provider",DATA_RASIC!U4,IF($B$4="Consultancy Component Provider",DATA_RASIC!AB4,IF($B$4="Make to Print",DATA_RASIC!AI4,IF($B$4="Engineering Service Provider",DATA_RASIC!G4,IF($B$4="Full System Provider",DATA_RASIC!N4,IF($B$4="ESP_DOOR TRIM",DATA_RASIC!AP4,IF($B$4="ESP_Partner_LEVEL_01",DATA_RASIC!AW4,"")))))))</f>
        <v>SE</v>
      </c>
      <c r="P11" s="40" t="str">
        <f>IF($B$4="Assembly or Component Provider",DATA_RASIC!V4,IF($B$4="Consultancy Component Provider",DATA_RASIC!AC4,IF($B$4="Make to Print",DATA_RASIC!AJ4,IF($B$4="Engineering Service Provider",DATA_RASIC!H4,IF($B$4="Full System Provider",DATA_RASIC!O4,IF($B$4="ESP_DOOR TRIM",DATA_RASIC!AQ4,IF($B$4="ESP_Partner_LEVEL_01",DATA_RASIC!AX4,"")))))))</f>
        <v>-</v>
      </c>
    </row>
    <row r="12" spans="1:16" s="28" customFormat="1" ht="31.2" customHeight="1" x14ac:dyDescent="0.3">
      <c r="A12" s="80" t="str">
        <f>IF($B$4="Assembly or Component Provider",DATA_RASIC_DESC!A5,IF($B$4="Consultancy Component Provider",DATA_RASIC_DESC!A5,IF($B$4="Make to Print",DATA_RASIC_DESC!A5,IF($B$4="Engineering Service Provider",DATA_RASIC_DESC!A5,IF($B$4="Full System Provider",DATA_RASIC_DESC!A5,IF($B$4="ESP_DOOR TRIM",DATA_RASIC_DESC!D5,IF($B$4="ESP_Partner_LEVEL_01",DATA_RASIC_DESC!G5,"")))))))</f>
        <v>PM.3</v>
      </c>
      <c r="B12" s="324" t="str">
        <f>IF($B$4="Assembly or Component Provider",DATA_RASIC_DESC!B5,IF($B$4="Consultancy Component Provider",DATA_RASIC_DESC!B5,IF($B$4="Make to Print",DATA_RASIC_DESC!B5,IF($B$4="Engineering Service Provider",DATA_RASIC_DESC!B5,IF($B$4="Full System Provider",DATA_RASIC_DESC!B5,IF($B$4="ESP_DOOR TRIM",DATA_RASIC_DESC!E5,IF($B$4="ESP_Partner_LEVEL_01",DATA_RASIC_DESC!H5,"")))))))</f>
        <v>Appoint a Project Leader  &amp; functional Manager of Jaguar Land Rover</v>
      </c>
      <c r="C12" s="325"/>
      <c r="D12" s="325"/>
      <c r="E12" s="325"/>
      <c r="F12" s="325"/>
      <c r="G12" s="325"/>
      <c r="H12" s="325"/>
      <c r="I12" s="325"/>
      <c r="J12" s="326"/>
      <c r="K12" s="40" t="str">
        <f>IF($B$4="Assembly or Component Provider",DATA_RASIC!Q5,IF($B$4="Consultancy Component Provider",DATA_RASIC!X5,IF($B$4="Make to Print",DATA_RASIC!AE5,IF($B$4="Engineering Service Provider",DATA_RASIC!C5,IF($B$4="Full System Provider",DATA_RASIC!J5,IF($B$4="ESP_DOOR TRIM",DATA_RASIC!AL5,IF($B$4="ESP_Partner_LEVEL_01",DATA_RASIC!AS5,"")))))))</f>
        <v>JLR</v>
      </c>
      <c r="L12" s="40" t="str">
        <f>IF($B$4="Assembly or Component Provider",DATA_RASIC!R5,IF($B$4="Consultancy Component Provider",DATA_RASIC!Y5,IF($B$4="Make to Print",DATA_RASIC!AF5,IF($B$4="Engineering Service Provider",DATA_RASIC!D5,IF($B$4="Full System Provider",DATA_RASIC!K5,IF($B$4="ESP_DOOR TRIM",DATA_RASIC!AM5,IF($B$4="ESP_Partner_LEVEL_01",DATA_RASIC!AT5,"")))))))</f>
        <v>JLR</v>
      </c>
      <c r="M12" s="40" t="str">
        <f>IF($B$4="Assembly or Component Provider",DATA_RASIC!S5,IF($B$4="Consultancy Component Provider",DATA_RASIC!Z5,IF($B$4="Make to Print",DATA_RASIC!AG5,IF($B$4="Engineering Service Provider",DATA_RASIC!E5,IF($B$4="Full System Provider",DATA_RASIC!L5,IF($B$4="ESP_DOOR TRIM",DATA_RASIC!AN5,IF($B$4="ESP_Partner_LEVEL_01",DATA_RASIC!AU5,"")))))))</f>
        <v>JLR</v>
      </c>
      <c r="N12" s="40" t="str">
        <f>IF($B$4="Assembly or Component Provider",DATA_RASIC!T5,IF($B$4="Consultancy Component Provider",DATA_RASIC!AA5,IF($B$4="Make to Print",DATA_RASIC!AH5,IF($B$4="Engineering Service Provider",DATA_RASIC!F5,IF($B$4="Full System Provider",DATA_RASIC!M5,IF($B$4="ESP_DOOR TRIM",DATA_RASIC!AO5,IF($B$4="ESP_Partner_LEVEL_01",DATA_RASIC!AV5,"")))))))</f>
        <v>-</v>
      </c>
      <c r="O12" s="40" t="str">
        <f>IF($B$4="Assembly or Component Provider",DATA_RASIC!U5,IF($B$4="Consultancy Component Provider",DATA_RASIC!AB5,IF($B$4="Make to Print",DATA_RASIC!AI5,IF($B$4="Engineering Service Provider",DATA_RASIC!G5,IF($B$4="Full System Provider",DATA_RASIC!N5,IF($B$4="ESP_DOOR TRIM",DATA_RASIC!AP5,IF($B$4="ESP_Partner_LEVEL_01",DATA_RASIC!AW5,"")))))))</f>
        <v>SE</v>
      </c>
      <c r="P12" s="40" t="str">
        <f>IF($B$4="Assembly or Component Provider",DATA_RASIC!V5,IF($B$4="Consultancy Component Provider",DATA_RASIC!AC5,IF($B$4="Make to Print",DATA_RASIC!AJ5,IF($B$4="Engineering Service Provider",DATA_RASIC!H5,IF($B$4="Full System Provider",DATA_RASIC!O5,IF($B$4="ESP_DOOR TRIM",DATA_RASIC!AQ5,IF($B$4="ESP_Partner_LEVEL_01",DATA_RASIC!AX5,"")))))))</f>
        <v>-</v>
      </c>
    </row>
    <row r="13" spans="1:16" s="28" customFormat="1" ht="31.2" customHeight="1" x14ac:dyDescent="0.3">
      <c r="A13" s="80" t="str">
        <f>IF($B$4="Assembly or Component Provider",DATA_RASIC_DESC!A6,IF($B$4="Consultancy Component Provider",DATA_RASIC_DESC!A6,IF($B$4="Make to Print",DATA_RASIC_DESC!A6,IF($B$4="Engineering Service Provider",DATA_RASIC_DESC!A6,IF($B$4="Full System Provider",DATA_RASIC_DESC!A6,IF($B$4="ESP_DOOR TRIM",DATA_RASIC_DESC!D6,IF($B$4="ESP_Partner_LEVEL_01",DATA_RASIC_DESC!G6,"")))))))</f>
        <v>PM.4</v>
      </c>
      <c r="B13" s="324" t="str">
        <f>IF($B$4="Assembly or Component Provider",DATA_RASIC_DESC!B6,IF($B$4="Consultancy Component Provider",DATA_RASIC_DESC!B6,IF($B$4="Make to Print",DATA_RASIC_DESC!B6,IF($B$4="Engineering Service Provider",DATA_RASIC_DESC!B6,IF($B$4="Full System Provider",DATA_RASIC_DESC!B6,IF($B$4="ESP_DOOR TRIM",DATA_RASIC_DESC!E6,IF($B$4="ESP_Partner_LEVEL_01",DATA_RASIC_DESC!H6,"")))))))</f>
        <v>Establish Programme Management Teams (PMTs) as required and support supplier lead Programme Module Team</v>
      </c>
      <c r="C13" s="325"/>
      <c r="D13" s="325"/>
      <c r="E13" s="325"/>
      <c r="F13" s="325"/>
      <c r="G13" s="325"/>
      <c r="H13" s="325"/>
      <c r="I13" s="325"/>
      <c r="J13" s="326"/>
      <c r="K13" s="40" t="str">
        <f>IF($B$4="Assembly or Component Provider",DATA_RASIC!Q6,IF($B$4="Consultancy Component Provider",DATA_RASIC!X6,IF($B$4="Make to Print",DATA_RASIC!AE6,IF($B$4="Engineering Service Provider",DATA_RASIC!C6,IF($B$4="Full System Provider",DATA_RASIC!J6,IF($B$4="ESP_DOOR TRIM",DATA_RASIC!AL6,IF($B$4="ESP_Partner_LEVEL_01",DATA_RASIC!AS6,"")))))))</f>
        <v>JLR</v>
      </c>
      <c r="L13" s="40" t="str">
        <f>IF($B$4="Assembly or Component Provider",DATA_RASIC!R6,IF($B$4="Consultancy Component Provider",DATA_RASIC!Y6,IF($B$4="Make to Print",DATA_RASIC!AF6,IF($B$4="Engineering Service Provider",DATA_RASIC!D6,IF($B$4="Full System Provider",DATA_RASIC!K6,IF($B$4="ESP_DOOR TRIM",DATA_RASIC!AM6,IF($B$4="ESP_Partner_LEVEL_01",DATA_RASIC!AT6,"")))))))</f>
        <v>JLR</v>
      </c>
      <c r="M13" s="40" t="str">
        <f>IF($B$4="Assembly or Component Provider",DATA_RASIC!S6,IF($B$4="Consultancy Component Provider",DATA_RASIC!Z6,IF($B$4="Make to Print",DATA_RASIC!AG6,IF($B$4="Engineering Service Provider",DATA_RASIC!E6,IF($B$4="Full System Provider",DATA_RASIC!L6,IF($B$4="ESP_DOOR TRIM",DATA_RASIC!AN6,IF($B$4="ESP_Partner_LEVEL_01",DATA_RASIC!AU6,"")))))))</f>
        <v>JLR</v>
      </c>
      <c r="N13" s="40" t="str">
        <f>IF($B$4="Assembly or Component Provider",DATA_RASIC!T6,IF($B$4="Consultancy Component Provider",DATA_RASIC!AA6,IF($B$4="Make to Print",DATA_RASIC!AH6,IF($B$4="Engineering Service Provider",DATA_RASIC!F6,IF($B$4="Full System Provider",DATA_RASIC!M6,IF($B$4="ESP_DOOR TRIM",DATA_RASIC!AO6,IF($B$4="ESP_Partner_LEVEL_01",DATA_RASIC!AV6,"")))))))</f>
        <v>SE</v>
      </c>
      <c r="O13" s="40" t="str">
        <f>IF($B$4="Assembly or Component Provider",DATA_RASIC!U6,IF($B$4="Consultancy Component Provider",DATA_RASIC!AB6,IF($B$4="Make to Print",DATA_RASIC!AI6,IF($B$4="Engineering Service Provider",DATA_RASIC!G6,IF($B$4="Full System Provider",DATA_RASIC!N6,IF($B$4="ESP_DOOR TRIM",DATA_RASIC!AP6,IF($B$4="ESP_Partner_LEVEL_01",DATA_RASIC!AW6,"")))))))</f>
        <v>-</v>
      </c>
      <c r="P13" s="40" t="str">
        <f>IF($B$4="Assembly or Component Provider",DATA_RASIC!V6,IF($B$4="Consultancy Component Provider",DATA_RASIC!AC6,IF($B$4="Make to Print",DATA_RASIC!AJ6,IF($B$4="Engineering Service Provider",DATA_RASIC!H6,IF($B$4="Full System Provider",DATA_RASIC!O6,IF($B$4="ESP_DOOR TRIM",DATA_RASIC!AQ6,IF($B$4="ESP_Partner_LEVEL_01",DATA_RASIC!AX6,"")))))))</f>
        <v>-</v>
      </c>
    </row>
    <row r="14" spans="1:16" s="28" customFormat="1" ht="30.6" customHeight="1" x14ac:dyDescent="0.3">
      <c r="A14" s="80" t="str">
        <f>IF($B$4="Assembly or Component Provider",DATA_RASIC_DESC!A7,IF($B$4="Consultancy Component Provider",DATA_RASIC_DESC!A7,IF($B$4="Make to Print",DATA_RASIC_DESC!A7,IF($B$4="Engineering Service Provider",DATA_RASIC_DESC!A7,IF($B$4="Full System Provider",DATA_RASIC_DESC!A7,IF($B$4="ESP_DOOR TRIM",DATA_RASIC_DESC!D7,IF($B$4="ESP_Partner_LEVEL_01",DATA_RASIC_DESC!G7,"")))))))</f>
        <v>PM.5</v>
      </c>
      <c r="B14" s="324" t="str">
        <f>IF($B$4="Assembly or Component Provider",DATA_RASIC_DESC!B7,IF($B$4="Consultancy Component Provider",DATA_RASIC_DESC!B7,IF($B$4="Make to Print",DATA_RASIC_DESC!B7,IF($B$4="Engineering Service Provider",DATA_RASIC_DESC!B7,IF($B$4="Full System Provider",DATA_RASIC_DESC!B7,IF($B$4="ESP_DOOR TRIM",DATA_RASIC_DESC!E7,IF($B$4="ESP_Partner_LEVEL_01",DATA_RASIC_DESC!H7,"")))))))</f>
        <v>Create commodity work plans to supplement the Programme specific VPP</v>
      </c>
      <c r="C14" s="325"/>
      <c r="D14" s="325"/>
      <c r="E14" s="325"/>
      <c r="F14" s="325"/>
      <c r="G14" s="325"/>
      <c r="H14" s="325"/>
      <c r="I14" s="325"/>
      <c r="J14" s="326"/>
      <c r="K14" s="40" t="str">
        <f>IF($B$4="Assembly or Component Provider",DATA_RASIC!Q7,IF($B$4="Consultancy Component Provider",DATA_RASIC!X7,IF($B$4="Make to Print",DATA_RASIC!AE7,IF($B$4="Engineering Service Provider",DATA_RASIC!C7,IF($B$4="Full System Provider",DATA_RASIC!J7,IF($B$4="ESP_DOOR TRIM",DATA_RASIC!AL7,IF($B$4="ESP_Partner_LEVEL_01",DATA_RASIC!AS7,"")))))))</f>
        <v>JLR</v>
      </c>
      <c r="L14" s="40" t="str">
        <f>IF($B$4="Assembly or Component Provider",DATA_RASIC!R7,IF($B$4="Consultancy Component Provider",DATA_RASIC!Y7,IF($B$4="Make to Print",DATA_RASIC!AF7,IF($B$4="Engineering Service Provider",DATA_RASIC!D7,IF($B$4="Full System Provider",DATA_RASIC!K7,IF($B$4="ESP_DOOR TRIM",DATA_RASIC!AM7,IF($B$4="ESP_Partner_LEVEL_01",DATA_RASIC!AT7,"")))))))</f>
        <v>JLR</v>
      </c>
      <c r="M14" s="40" t="str">
        <f>IF($B$4="Assembly or Component Provider",DATA_RASIC!S7,IF($B$4="Consultancy Component Provider",DATA_RASIC!Z7,IF($B$4="Make to Print",DATA_RASIC!AG7,IF($B$4="Engineering Service Provider",DATA_RASIC!E7,IF($B$4="Full System Provider",DATA_RASIC!L7,IF($B$4="ESP_DOOR TRIM",DATA_RASIC!AN7,IF($B$4="ESP_Partner_LEVEL_01",DATA_RASIC!AU7,"")))))))</f>
        <v>JLR</v>
      </c>
      <c r="N14" s="40" t="str">
        <f>IF($B$4="Assembly or Component Provider",DATA_RASIC!T7,IF($B$4="Consultancy Component Provider",DATA_RASIC!AA7,IF($B$4="Make to Print",DATA_RASIC!AH7,IF($B$4="Engineering Service Provider",DATA_RASIC!F7,IF($B$4="Full System Provider",DATA_RASIC!M7,IF($B$4="ESP_DOOR TRIM",DATA_RASIC!AO7,IF($B$4="ESP_Partner_LEVEL_01",DATA_RASIC!AV7,"")))))))</f>
        <v>SE</v>
      </c>
      <c r="O14" s="40" t="str">
        <f>IF($B$4="Assembly or Component Provider",DATA_RASIC!U7,IF($B$4="Consultancy Component Provider",DATA_RASIC!AB7,IF($B$4="Make to Print",DATA_RASIC!AI7,IF($B$4="Engineering Service Provider",DATA_RASIC!G7,IF($B$4="Full System Provider",DATA_RASIC!N7,IF($B$4="ESP_DOOR TRIM",DATA_RASIC!AP7,IF($B$4="ESP_Partner_LEVEL_01",DATA_RASIC!AW7,"")))))))</f>
        <v>-</v>
      </c>
      <c r="P14" s="40" t="str">
        <f>IF($B$4="Assembly or Component Provider",DATA_RASIC!V7,IF($B$4="Consultancy Component Provider",DATA_RASIC!AC7,IF($B$4="Make to Print",DATA_RASIC!AJ7,IF($B$4="Engineering Service Provider",DATA_RASIC!H7,IF($B$4="Full System Provider",DATA_RASIC!O7,IF($B$4="ESP_DOOR TRIM",DATA_RASIC!AQ7,IF($B$4="ESP_Partner_LEVEL_01",DATA_RASIC!AX7,"")))))))</f>
        <v>-</v>
      </c>
    </row>
    <row r="15" spans="1:16" s="28" customFormat="1" ht="54" customHeight="1" x14ac:dyDescent="0.3">
      <c r="A15" s="80" t="str">
        <f>IF($B$4="Assembly or Component Provider",DATA_RASIC_DESC!A8,IF($B$4="Consultancy Component Provider",DATA_RASIC_DESC!A8,IF($B$4="Make to Print",DATA_RASIC_DESC!A8,IF($B$4="Engineering Service Provider",DATA_RASIC_DESC!A8,IF($B$4="Full System Provider",DATA_RASIC_DESC!A8,IF($B$4="ESP_DOOR TRIM",DATA_RASIC_DESC!D8,IF($B$4="ESP_Partner_LEVEL_01",DATA_RASIC_DESC!G8,"")))))))</f>
        <v>PM.6</v>
      </c>
      <c r="B15" s="324" t="str">
        <f>IF($B$4="Assembly or Component Provider",DATA_RASIC_DESC!B8,IF($B$4="Consultancy Component Provider",DATA_RASIC_DESC!B8,IF($B$4="Make to Print",DATA_RASIC_DESC!B8,IF($B$4="Engineering Service Provider",DATA_RASIC_DESC!B8,IF($B$4="Full System Provider",DATA_RASIC_DESC!B8,IF($B$4="ESP_DOOR TRIM",DATA_RASIC_DESC!E8,IF($B$4="ESP_Partner_LEVEL_01",DATA_RASIC_DESC!H8,"")))))))</f>
        <v>Provide access to Jaguar Land Rover's data systems which are required for the Programme.  e.g. / WERS CONCERN , NOTICE and ALERT system to allow the supplier to generate the necessary data to support Jaguar Land Rover's release system</v>
      </c>
      <c r="C15" s="325"/>
      <c r="D15" s="325"/>
      <c r="E15" s="325"/>
      <c r="F15" s="325"/>
      <c r="G15" s="325"/>
      <c r="H15" s="325"/>
      <c r="I15" s="325"/>
      <c r="J15" s="326"/>
      <c r="K15" s="40" t="str">
        <f>IF($B$4="Assembly or Component Provider",DATA_RASIC!Q8,IF($B$4="Consultancy Component Provider",DATA_RASIC!X8,IF($B$4="Make to Print",DATA_RASIC!AE8,IF($B$4="Engineering Service Provider",DATA_RASIC!C8,IF($B$4="Full System Provider",DATA_RASIC!J8,IF($B$4="ESP_DOOR TRIM",DATA_RASIC!AL8,IF($B$4="ESP_Partner_LEVEL_01",DATA_RASIC!AS8,"")))))))</f>
        <v>JLR</v>
      </c>
      <c r="L15" s="40" t="str">
        <f>IF($B$4="Assembly or Component Provider",DATA_RASIC!R8,IF($B$4="Consultancy Component Provider",DATA_RASIC!Y8,IF($B$4="Make to Print",DATA_RASIC!AF8,IF($B$4="Engineering Service Provider",DATA_RASIC!D8,IF($B$4="Full System Provider",DATA_RASIC!K8,IF($B$4="ESP_DOOR TRIM",DATA_RASIC!AM8,IF($B$4="ESP_Partner_LEVEL_01",DATA_RASIC!AT8,"")))))))</f>
        <v>JLR</v>
      </c>
      <c r="M15" s="40" t="str">
        <f>IF($B$4="Assembly or Component Provider",DATA_RASIC!S8,IF($B$4="Consultancy Component Provider",DATA_RASIC!Z8,IF($B$4="Make to Print",DATA_RASIC!AG8,IF($B$4="Engineering Service Provider",DATA_RASIC!E8,IF($B$4="Full System Provider",DATA_RASIC!L8,IF($B$4="ESP_DOOR TRIM",DATA_RASIC!AN8,IF($B$4="ESP_Partner_LEVEL_01",DATA_RASIC!AU8,"")))))))</f>
        <v>JLR</v>
      </c>
      <c r="N15" s="40" t="str">
        <f>IF($B$4="Assembly or Component Provider",DATA_RASIC!T8,IF($B$4="Consultancy Component Provider",DATA_RASIC!AA8,IF($B$4="Make to Print",DATA_RASIC!AH8,IF($B$4="Engineering Service Provider",DATA_RASIC!F8,IF($B$4="Full System Provider",DATA_RASIC!M8,IF($B$4="ESP_DOOR TRIM",DATA_RASIC!AO8,IF($B$4="ESP_Partner_LEVEL_01",DATA_RASIC!AV8,"")))))))</f>
        <v>-</v>
      </c>
      <c r="O15" s="40" t="str">
        <f>IF($B$4="Assembly or Component Provider",DATA_RASIC!U8,IF($B$4="Consultancy Component Provider",DATA_RASIC!AB8,IF($B$4="Make to Print",DATA_RASIC!AI8,IF($B$4="Engineering Service Provider",DATA_RASIC!G8,IF($B$4="Full System Provider",DATA_RASIC!N8,IF($B$4="ESP_DOOR TRIM",DATA_RASIC!AP8,IF($B$4="ESP_Partner_LEVEL_01",DATA_RASIC!AW8,"")))))))</f>
        <v>SE</v>
      </c>
      <c r="P15" s="40" t="str">
        <f>IF($B$4="Assembly or Component Provider",DATA_RASIC!V8,IF($B$4="Consultancy Component Provider",DATA_RASIC!AC8,IF($B$4="Make to Print",DATA_RASIC!AJ8,IF($B$4="Engineering Service Provider",DATA_RASIC!H8,IF($B$4="Full System Provider",DATA_RASIC!O8,IF($B$4="ESP_DOOR TRIM",DATA_RASIC!AQ8,IF($B$4="ESP_Partner_LEVEL_01",DATA_RASIC!AX8,"")))))))</f>
        <v>-</v>
      </c>
    </row>
    <row r="16" spans="1:16" s="28" customFormat="1" ht="57" customHeight="1" x14ac:dyDescent="0.3">
      <c r="A16" s="80" t="str">
        <f>IF($B$4="Assembly or Component Provider",DATA_RASIC_DESC!A9,IF($B$4="Consultancy Component Provider",DATA_RASIC_DESC!A9,IF($B$4="Make to Print",DATA_RASIC_DESC!A9,IF($B$4="Engineering Service Provider",DATA_RASIC_DESC!A9,IF($B$4="Full System Provider",DATA_RASIC_DESC!A9,IF($B$4="ESP_DOOR TRIM",DATA_RASIC_DESC!D9,IF($B$4="ESP_Partner_LEVEL_01",DATA_RASIC_DESC!G9,"")))))))</f>
        <v>PM.7</v>
      </c>
      <c r="B16" s="324" t="str">
        <f>IF($B$4="Assembly or Component Provider",DATA_RASIC_DESC!B9,IF($B$4="Consultancy Component Provider",DATA_RASIC_DESC!B9,IF($B$4="Make to Print",DATA_RASIC_DESC!B9,IF($B$4="Engineering Service Provider",DATA_RASIC_DESC!B9,IF($B$4="Full System Provider",DATA_RASIC_DESC!B9,IF($B$4="ESP_DOOR TRIM",DATA_RASIC_DESC!E9,IF($B$4="ESP_Partner_LEVEL_01",DATA_RASIC_DESC!H9,"")))))))</f>
        <v>All changes proposed by JLR to requirements or design will be formally communicated to the supplier for review and identification of impact.  If the change and associated impacts are deemed acceptable, the change will be authorised by WERS.  JLR must review and approve all changes via WERS or SREA</v>
      </c>
      <c r="C16" s="325"/>
      <c r="D16" s="325"/>
      <c r="E16" s="325"/>
      <c r="F16" s="325"/>
      <c r="G16" s="325"/>
      <c r="H16" s="325"/>
      <c r="I16" s="325"/>
      <c r="J16" s="326"/>
      <c r="K16" s="40" t="str">
        <f>IF($B$4="Assembly or Component Provider",DATA_RASIC!Q9,IF($B$4="Consultancy Component Provider",DATA_RASIC!X9,IF($B$4="Make to Print",DATA_RASIC!AE9,IF($B$4="Engineering Service Provider",DATA_RASIC!C9,IF($B$4="Full System Provider",DATA_RASIC!J9,IF($B$4="ESP_DOOR TRIM",DATA_RASIC!AL9,IF($B$4="ESP_Partner_LEVEL_01",DATA_RASIC!AS9,"")))))))</f>
        <v>JLR</v>
      </c>
      <c r="L16" s="40" t="str">
        <f>IF($B$4="Assembly or Component Provider",DATA_RASIC!R9,IF($B$4="Consultancy Component Provider",DATA_RASIC!Y9,IF($B$4="Make to Print",DATA_RASIC!AF9,IF($B$4="Engineering Service Provider",DATA_RASIC!D9,IF($B$4="Full System Provider",DATA_RASIC!K9,IF($B$4="ESP_DOOR TRIM",DATA_RASIC!AM9,IF($B$4="ESP_Partner_LEVEL_01",DATA_RASIC!AT9,"")))))))</f>
        <v>JLR</v>
      </c>
      <c r="M16" s="40" t="str">
        <f>IF($B$4="Assembly or Component Provider",DATA_RASIC!S9,IF($B$4="Consultancy Component Provider",DATA_RASIC!Z9,IF($B$4="Make to Print",DATA_RASIC!AG9,IF($B$4="Engineering Service Provider",DATA_RASIC!E9,IF($B$4="Full System Provider",DATA_RASIC!L9,IF($B$4="ESP_DOOR TRIM",DATA_RASIC!AN9,IF($B$4="ESP_Partner_LEVEL_01",DATA_RASIC!AU9,"")))))))</f>
        <v>JLR</v>
      </c>
      <c r="N16" s="40" t="str">
        <f>IF($B$4="Assembly or Component Provider",DATA_RASIC!T9,IF($B$4="Consultancy Component Provider",DATA_RASIC!AA9,IF($B$4="Make to Print",DATA_RASIC!AH9,IF($B$4="Engineering Service Provider",DATA_RASIC!F9,IF($B$4="Full System Provider",DATA_RASIC!M9,IF($B$4="ESP_DOOR TRIM",DATA_RASIC!AO9,IF($B$4="ESP_Partner_LEVEL_01",DATA_RASIC!AV9,"")))))))</f>
        <v>SE</v>
      </c>
      <c r="O16" s="40" t="str">
        <f>IF($B$4="Assembly or Component Provider",DATA_RASIC!U9,IF($B$4="Consultancy Component Provider",DATA_RASIC!AB9,IF($B$4="Make to Print",DATA_RASIC!AI9,IF($B$4="Engineering Service Provider",DATA_RASIC!G9,IF($B$4="Full System Provider",DATA_RASIC!N9,IF($B$4="ESP_DOOR TRIM",DATA_RASIC!AP9,IF($B$4="ESP_Partner_LEVEL_01",DATA_RASIC!AW9,"")))))))</f>
        <v>-</v>
      </c>
      <c r="P16" s="40" t="str">
        <f>IF($B$4="Assembly or Component Provider",DATA_RASIC!V9,IF($B$4="Consultancy Component Provider",DATA_RASIC!AC9,IF($B$4="Make to Print",DATA_RASIC!AJ9,IF($B$4="Engineering Service Provider",DATA_RASIC!H9,IF($B$4="Full System Provider",DATA_RASIC!O9,IF($B$4="ESP_DOOR TRIM",DATA_RASIC!AQ9,IF($B$4="ESP_Partner_LEVEL_01",DATA_RASIC!AX9,"")))))))</f>
        <v>-</v>
      </c>
    </row>
    <row r="17" spans="1:16" s="28" customFormat="1" ht="51.6" customHeight="1" x14ac:dyDescent="0.3">
      <c r="A17" s="80" t="str">
        <f>IF($B$4="Assembly or Component Provider",DATA_RASIC_DESC!A10,IF($B$4="Consultancy Component Provider",DATA_RASIC_DESC!A10,IF($B$4="Make to Print",DATA_RASIC_DESC!A10,IF($B$4="Engineering Service Provider",DATA_RASIC_DESC!A10,IF($B$4="Full System Provider",DATA_RASIC_DESC!A10,IF($B$4="ESP_DOOR TRIM",DATA_RASIC_DESC!D10,IF($B$4="ESP_Partner_LEVEL_01",DATA_RASIC_DESC!G10,"")))))))</f>
        <v>PM.8</v>
      </c>
      <c r="B17" s="324" t="str">
        <f>IF($B$4="Assembly or Component Provider",DATA_RASIC_DESC!B10,IF($B$4="Consultancy Component Provider",DATA_RASIC_DESC!B10,IF($B$4="Make to Print",DATA_RASIC_DESC!B10,IF($B$4="Engineering Service Provider",DATA_RASIC_DESC!B10,IF($B$4="Full System Provider",DATA_RASIC_DESC!B10,IF($B$4="ESP_DOOR TRIM",DATA_RASIC_DESC!E10,IF($B$4="ESP_Partner_LEVEL_01",DATA_RASIC_DESC!H10,"")))))))</f>
        <v>Develop Service Cost of Ownership and Serviceability Index targets for all Programme defined markets utilising Company provided data and methods.  Product must be consistent with vehicle service strategy, targets and agreements</v>
      </c>
      <c r="C17" s="325"/>
      <c r="D17" s="325"/>
      <c r="E17" s="325"/>
      <c r="F17" s="325"/>
      <c r="G17" s="325"/>
      <c r="H17" s="325"/>
      <c r="I17" s="325"/>
      <c r="J17" s="326"/>
      <c r="K17" s="40" t="str">
        <f>IF($B$4="Assembly or Component Provider",DATA_RASIC!Q10,IF($B$4="Consultancy Component Provider",DATA_RASIC!X10,IF($B$4="Make to Print",DATA_RASIC!AE10,IF($B$4="Engineering Service Provider",DATA_RASIC!C10,IF($B$4="Full System Provider",DATA_RASIC!J10,IF($B$4="ESP_DOOR TRIM",DATA_RASIC!AL10,IF($B$4="ESP_Partner_LEVEL_01",DATA_RASIC!AS10,"")))))))</f>
        <v>JLR</v>
      </c>
      <c r="L17" s="40" t="str">
        <f>IF($B$4="Assembly or Component Provider",DATA_RASIC!R10,IF($B$4="Consultancy Component Provider",DATA_RASIC!Y10,IF($B$4="Make to Print",DATA_RASIC!AF10,IF($B$4="Engineering Service Provider",DATA_RASIC!D10,IF($B$4="Full System Provider",DATA_RASIC!K10,IF($B$4="ESP_DOOR TRIM",DATA_RASIC!AM10,IF($B$4="ESP_Partner_LEVEL_01",DATA_RASIC!AT10,"")))))))</f>
        <v>JLR</v>
      </c>
      <c r="M17" s="40" t="str">
        <f>IF($B$4="Assembly or Component Provider",DATA_RASIC!S10,IF($B$4="Consultancy Component Provider",DATA_RASIC!Z10,IF($B$4="Make to Print",DATA_RASIC!AG10,IF($B$4="Engineering Service Provider",DATA_RASIC!E10,IF($B$4="Full System Provider",DATA_RASIC!L10,IF($B$4="ESP_DOOR TRIM",DATA_RASIC!AN10,IF($B$4="ESP_Partner_LEVEL_01",DATA_RASIC!AU10,"")))))))</f>
        <v>JLR</v>
      </c>
      <c r="N17" s="40" t="str">
        <f>IF($B$4="Assembly or Component Provider",DATA_RASIC!T10,IF($B$4="Consultancy Component Provider",DATA_RASIC!AA10,IF($B$4="Make to Print",DATA_RASIC!AH10,IF($B$4="Engineering Service Provider",DATA_RASIC!F10,IF($B$4="Full System Provider",DATA_RASIC!M10,IF($B$4="ESP_DOOR TRIM",DATA_RASIC!AO10,IF($B$4="ESP_Partner_LEVEL_01",DATA_RASIC!AV10,"")))))))</f>
        <v>-</v>
      </c>
      <c r="O17" s="40" t="str">
        <f>IF($B$4="Assembly or Component Provider",DATA_RASIC!U10,IF($B$4="Consultancy Component Provider",DATA_RASIC!AB10,IF($B$4="Make to Print",DATA_RASIC!AI10,IF($B$4="Engineering Service Provider",DATA_RASIC!G10,IF($B$4="Full System Provider",DATA_RASIC!N10,IF($B$4="ESP_DOOR TRIM",DATA_RASIC!AP10,IF($B$4="ESP_Partner_LEVEL_01",DATA_RASIC!AW10,"")))))))</f>
        <v>SE</v>
      </c>
      <c r="P17" s="40" t="str">
        <f>IF($B$4="Assembly or Component Provider",DATA_RASIC!V10,IF($B$4="Consultancy Component Provider",DATA_RASIC!AC10,IF($B$4="Make to Print",DATA_RASIC!AJ10,IF($B$4="Engineering Service Provider",DATA_RASIC!H10,IF($B$4="Full System Provider",DATA_RASIC!O10,IF($B$4="ESP_DOOR TRIM",DATA_RASIC!AQ10,IF($B$4="ESP_Partner_LEVEL_01",DATA_RASIC!AX10,"")))))))</f>
        <v>-</v>
      </c>
    </row>
    <row r="18" spans="1:16" s="28" customFormat="1" ht="24.6" customHeight="1" x14ac:dyDescent="0.3">
      <c r="A18" s="80" t="str">
        <f>IF($B$4="Assembly or Component Provider",DATA_RASIC_DESC!A11,IF($B$4="Consultancy Component Provider",DATA_RASIC_DESC!A11,IF($B$4="Make to Print",DATA_RASIC_DESC!A11,IF($B$4="Engineering Service Provider",DATA_RASIC_DESC!A11,IF($B$4="Full System Provider",DATA_RASIC_DESC!A11,IF($B$4="ESP_DOOR TRIM",DATA_RASIC_DESC!D11,IF($B$4="ESP_Partner_LEVEL_01",DATA_RASIC_DESC!G11,"")))))))</f>
        <v>PM.9</v>
      </c>
      <c r="B18" s="324" t="str">
        <f>IF($B$4="Assembly or Component Provider",DATA_RASIC_DESC!B11,IF($B$4="Consultancy Component Provider",DATA_RASIC_DESC!B11,IF($B$4="Make to Print",DATA_RASIC_DESC!B11,IF($B$4="Engineering Service Provider",DATA_RASIC_DESC!B11,IF($B$4="Full System Provider",DATA_RASIC_DESC!B11,IF($B$4="ESP_DOOR TRIM",DATA_RASIC_DESC!E11,IF($B$4="ESP_Partner_LEVEL_01",DATA_RASIC_DESC!H11,"")))))))</f>
        <v>Meet Programme milestone deliverables.</v>
      </c>
      <c r="C18" s="325"/>
      <c r="D18" s="325"/>
      <c r="E18" s="325"/>
      <c r="F18" s="325"/>
      <c r="G18" s="325"/>
      <c r="H18" s="325"/>
      <c r="I18" s="325"/>
      <c r="J18" s="326"/>
      <c r="K18" s="40" t="str">
        <f>IF($B$4="Assembly or Component Provider",DATA_RASIC!Q11,IF($B$4="Consultancy Component Provider",DATA_RASIC!X11,IF($B$4="Make to Print",DATA_RASIC!AE11,IF($B$4="Engineering Service Provider",DATA_RASIC!C11,IF($B$4="Full System Provider",DATA_RASIC!J11,IF($B$4="ESP_DOOR TRIM",DATA_RASIC!AL11,IF($B$4="ESP_Partner_LEVEL_01",DATA_RASIC!AS11,"")))))))</f>
        <v>JLR</v>
      </c>
      <c r="L18" s="40" t="str">
        <f>IF($B$4="Assembly or Component Provider",DATA_RASIC!R11,IF($B$4="Consultancy Component Provider",DATA_RASIC!Y11,IF($B$4="Make to Print",DATA_RASIC!AF11,IF($B$4="Engineering Service Provider",DATA_RASIC!D11,IF($B$4="Full System Provider",DATA_RASIC!K11,IF($B$4="ESP_DOOR TRIM",DATA_RASIC!AM11,IF($B$4="ESP_Partner_LEVEL_01",DATA_RASIC!AT11,"")))))))</f>
        <v>JLR</v>
      </c>
      <c r="M18" s="40" t="str">
        <f>IF($B$4="Assembly or Component Provider",DATA_RASIC!S11,IF($B$4="Consultancy Component Provider",DATA_RASIC!Z11,IF($B$4="Make to Print",DATA_RASIC!AG11,IF($B$4="Engineering Service Provider",DATA_RASIC!E11,IF($B$4="Full System Provider",DATA_RASIC!L11,IF($B$4="ESP_DOOR TRIM",DATA_RASIC!AN11,IF($B$4="ESP_Partner_LEVEL_01",DATA_RASIC!AU11,"")))))))</f>
        <v>JLR</v>
      </c>
      <c r="N18" s="40" t="str">
        <f>IF($B$4="Assembly or Component Provider",DATA_RASIC!T11,IF($B$4="Consultancy Component Provider",DATA_RASIC!AA11,IF($B$4="Make to Print",DATA_RASIC!AH11,IF($B$4="Engineering Service Provider",DATA_RASIC!F11,IF($B$4="Full System Provider",DATA_RASIC!M11,IF($B$4="ESP_DOOR TRIM",DATA_RASIC!AO11,IF($B$4="ESP_Partner_LEVEL_01",DATA_RASIC!AV11,"")))))))</f>
        <v>SE</v>
      </c>
      <c r="O18" s="40" t="str">
        <f>IF($B$4="Assembly or Component Provider",DATA_RASIC!U11,IF($B$4="Consultancy Component Provider",DATA_RASIC!AB11,IF($B$4="Make to Print",DATA_RASIC!AI11,IF($B$4="Engineering Service Provider",DATA_RASIC!G11,IF($B$4="Full System Provider",DATA_RASIC!N11,IF($B$4="ESP_DOOR TRIM",DATA_RASIC!AP11,IF($B$4="ESP_Partner_LEVEL_01",DATA_RASIC!AW11,"")))))))</f>
        <v>-</v>
      </c>
      <c r="P18" s="40" t="str">
        <f>IF($B$4="Assembly or Component Provider",DATA_RASIC!V11,IF($B$4="Consultancy Component Provider",DATA_RASIC!AC11,IF($B$4="Make to Print",DATA_RASIC!AJ11,IF($B$4="Engineering Service Provider",DATA_RASIC!H11,IF($B$4="Full System Provider",DATA_RASIC!O11,IF($B$4="ESP_DOOR TRIM",DATA_RASIC!AQ11,IF($B$4="ESP_Partner_LEVEL_01",DATA_RASIC!AX11,"")))))))</f>
        <v>-</v>
      </c>
    </row>
    <row r="19" spans="1:16" s="28" customFormat="1" ht="36.6" customHeight="1" x14ac:dyDescent="0.3">
      <c r="A19" s="80" t="str">
        <f>IF($B$4="Assembly or Component Provider",DATA_RASIC_DESC!A12,IF($B$4="Consultancy Component Provider",DATA_RASIC_DESC!A12,IF($B$4="Make to Print",DATA_RASIC_DESC!A12,IF($B$4="Engineering Service Provider",DATA_RASIC_DESC!A12,IF($B$4="Full System Provider",DATA_RASIC_DESC!A12,IF($B$4="ESP_DOOR TRIM",DATA_RASIC_DESC!D12,IF($B$4="ESP_Partner_LEVEL_01",DATA_RASIC_DESC!G12,"")))))))</f>
        <v>PM.10</v>
      </c>
      <c r="B19" s="324" t="str">
        <f>IF($B$4="Assembly or Component Provider",DATA_RASIC_DESC!B12,IF($B$4="Consultancy Component Provider",DATA_RASIC_DESC!B12,IF($B$4="Make to Print",DATA_RASIC_DESC!B12,IF($B$4="Engineering Service Provider",DATA_RASIC_DESC!B12,IF($B$4="Full System Provider",DATA_RASIC_DESC!B12,IF($B$4="ESP_DOOR TRIM",DATA_RASIC_DESC!E12,IF($B$4="ESP_Partner_LEVEL_01",DATA_RASIC_DESC!H12,"")))))))</f>
        <v xml:space="preserve">Facilitate resolution of system, subsystem, assembly and component interfaces issues including removal &amp; repair </v>
      </c>
      <c r="C19" s="325"/>
      <c r="D19" s="325"/>
      <c r="E19" s="325"/>
      <c r="F19" s="325"/>
      <c r="G19" s="325"/>
      <c r="H19" s="325"/>
      <c r="I19" s="325"/>
      <c r="J19" s="326"/>
      <c r="K19" s="40" t="str">
        <f>IF($B$4="Assembly or Component Provider",DATA_RASIC!Q12,IF($B$4="Consultancy Component Provider",DATA_RASIC!X12,IF($B$4="Make to Print",DATA_RASIC!AE12,IF($B$4="Engineering Service Provider",DATA_RASIC!C12,IF($B$4="Full System Provider",DATA_RASIC!J12,IF($B$4="ESP_DOOR TRIM",DATA_RASIC!AL12,IF($B$4="ESP_Partner_LEVEL_01",DATA_RASIC!AS12,"")))))))</f>
        <v>JLR</v>
      </c>
      <c r="L19" s="40" t="str">
        <f>IF($B$4="Assembly or Component Provider",DATA_RASIC!R12,IF($B$4="Consultancy Component Provider",DATA_RASIC!Y12,IF($B$4="Make to Print",DATA_RASIC!AF12,IF($B$4="Engineering Service Provider",DATA_RASIC!D12,IF($B$4="Full System Provider",DATA_RASIC!K12,IF($B$4="ESP_DOOR TRIM",DATA_RASIC!AM12,IF($B$4="ESP_Partner_LEVEL_01",DATA_RASIC!AT12,"")))))))</f>
        <v>JLR</v>
      </c>
      <c r="M19" s="40" t="str">
        <f>IF($B$4="Assembly or Component Provider",DATA_RASIC!S12,IF($B$4="Consultancy Component Provider",DATA_RASIC!Z12,IF($B$4="Make to Print",DATA_RASIC!AG12,IF($B$4="Engineering Service Provider",DATA_RASIC!E12,IF($B$4="Full System Provider",DATA_RASIC!L12,IF($B$4="ESP_DOOR TRIM",DATA_RASIC!AN12,IF($B$4="ESP_Partner_LEVEL_01",DATA_RASIC!AU12,"")))))))</f>
        <v>JLR</v>
      </c>
      <c r="N19" s="40" t="str">
        <f>IF($B$4="Assembly or Component Provider",DATA_RASIC!T12,IF($B$4="Consultancy Component Provider",DATA_RASIC!AA12,IF($B$4="Make to Print",DATA_RASIC!AH12,IF($B$4="Engineering Service Provider",DATA_RASIC!F12,IF($B$4="Full System Provider",DATA_RASIC!M12,IF($B$4="ESP_DOOR TRIM",DATA_RASIC!AO12,IF($B$4="ESP_Partner_LEVEL_01",DATA_RASIC!AV12,"")))))))</f>
        <v>SE</v>
      </c>
      <c r="O19" s="40" t="str">
        <f>IF($B$4="Assembly or Component Provider",DATA_RASIC!U12,IF($B$4="Consultancy Component Provider",DATA_RASIC!AB12,IF($B$4="Make to Print",DATA_RASIC!AI12,IF($B$4="Engineering Service Provider",DATA_RASIC!G12,IF($B$4="Full System Provider",DATA_RASIC!N12,IF($B$4="ESP_DOOR TRIM",DATA_RASIC!AP12,IF($B$4="ESP_Partner_LEVEL_01",DATA_RASIC!AW12,"")))))))</f>
        <v>-</v>
      </c>
      <c r="P19" s="40" t="str">
        <f>IF($B$4="Assembly or Component Provider",DATA_RASIC!V12,IF($B$4="Consultancy Component Provider",DATA_RASIC!AC12,IF($B$4="Make to Print",DATA_RASIC!AJ12,IF($B$4="Engineering Service Provider",DATA_RASIC!H12,IF($B$4="Full System Provider",DATA_RASIC!O12,IF($B$4="ESP_DOOR TRIM",DATA_RASIC!AQ12,IF($B$4="ESP_Partner_LEVEL_01",DATA_RASIC!AX12,"")))))))</f>
        <v>-</v>
      </c>
    </row>
    <row r="20" spans="1:16" s="28" customFormat="1" ht="42.6" customHeight="1" x14ac:dyDescent="0.3">
      <c r="A20" s="80" t="str">
        <f>IF($B$4="Assembly or Component Provider",DATA_RASIC_DESC!A13,IF($B$4="Consultancy Component Provider",DATA_RASIC_DESC!A13,IF($B$4="Make to Print",DATA_RASIC_DESC!A13,IF($B$4="Engineering Service Provider",DATA_RASIC_DESC!A13,IF($B$4="Full System Provider",DATA_RASIC_DESC!A13,IF($B$4="ESP_DOOR TRIM",DATA_RASIC_DESC!D13,IF($B$4="ESP_Partner_LEVEL_01",DATA_RASIC_DESC!G13,"")))))))</f>
        <v>PM.11</v>
      </c>
      <c r="B20" s="324" t="str">
        <f>IF($B$4="Assembly or Component Provider",DATA_RASIC_DESC!B13,IF($B$4="Consultancy Component Provider",DATA_RASIC_DESC!B13,IF($B$4="Make to Print",DATA_RASIC_DESC!B13,IF($B$4="Engineering Service Provider",DATA_RASIC_DESC!B13,IF($B$4="Full System Provider",DATA_RASIC_DESC!B13,IF($B$4="ESP_DOOR TRIM",DATA_RASIC_DESC!E13,IF($B$4="ESP_Partner_LEVEL_01",DATA_RASIC_DESC!H13,"")))))))</f>
        <v>Support  Jaguar Land Rover's business processes, including change management meetings and/or open issues lists (including AIMS)</v>
      </c>
      <c r="C20" s="325"/>
      <c r="D20" s="325"/>
      <c r="E20" s="325"/>
      <c r="F20" s="325"/>
      <c r="G20" s="325"/>
      <c r="H20" s="325"/>
      <c r="I20" s="325"/>
      <c r="J20" s="326"/>
      <c r="K20" s="40" t="str">
        <f>IF($B$4="Assembly or Component Provider",DATA_RASIC!Q13,IF($B$4="Consultancy Component Provider",DATA_RASIC!X13,IF($B$4="Make to Print",DATA_RASIC!AE13,IF($B$4="Engineering Service Provider",DATA_RASIC!C13,IF($B$4="Full System Provider",DATA_RASIC!J13,IF($B$4="ESP_DOOR TRIM",DATA_RASIC!AL13,IF($B$4="ESP_Partner_LEVEL_01",DATA_RASIC!AS13,"")))))))</f>
        <v>SE</v>
      </c>
      <c r="L20" s="40" t="str">
        <f>IF($B$4="Assembly or Component Provider",DATA_RASIC!R13,IF($B$4="Consultancy Component Provider",DATA_RASIC!Y13,IF($B$4="Make to Print",DATA_RASIC!AF13,IF($B$4="Engineering Service Provider",DATA_RASIC!D13,IF($B$4="Full System Provider",DATA_RASIC!K13,IF($B$4="ESP_DOOR TRIM",DATA_RASIC!AM13,IF($B$4="ESP_Partner_LEVEL_01",DATA_RASIC!AT13,"")))))))</f>
        <v>SE</v>
      </c>
      <c r="M20" s="40" t="str">
        <f>IF($B$4="Assembly or Component Provider",DATA_RASIC!S13,IF($B$4="Consultancy Component Provider",DATA_RASIC!Z13,IF($B$4="Make to Print",DATA_RASIC!AG13,IF($B$4="Engineering Service Provider",DATA_RASIC!E13,IF($B$4="Full System Provider",DATA_RASIC!L13,IF($B$4="ESP_DOOR TRIM",DATA_RASIC!AN13,IF($B$4="ESP_Partner_LEVEL_01",DATA_RASIC!AU13,"")))))))</f>
        <v>JLR</v>
      </c>
      <c r="N20" s="40" t="str">
        <f>IF($B$4="Assembly or Component Provider",DATA_RASIC!T13,IF($B$4="Consultancy Component Provider",DATA_RASIC!AA13,IF($B$4="Make to Print",DATA_RASIC!AH13,IF($B$4="Engineering Service Provider",DATA_RASIC!F13,IF($B$4="Full System Provider",DATA_RASIC!M13,IF($B$4="ESP_DOOR TRIM",DATA_RASIC!AO13,IF($B$4="ESP_Partner_LEVEL_01",DATA_RASIC!AV13,"")))))))</f>
        <v>JLR</v>
      </c>
      <c r="O20" s="40" t="str">
        <f>IF($B$4="Assembly or Component Provider",DATA_RASIC!U13,IF($B$4="Consultancy Component Provider",DATA_RASIC!AB13,IF($B$4="Make to Print",DATA_RASIC!AI13,IF($B$4="Engineering Service Provider",DATA_RASIC!G13,IF($B$4="Full System Provider",DATA_RASIC!N13,IF($B$4="ESP_DOOR TRIM",DATA_RASIC!AP13,IF($B$4="ESP_Partner_LEVEL_01",DATA_RASIC!AW13,"")))))))</f>
        <v>-</v>
      </c>
      <c r="P20" s="40" t="str">
        <f>IF($B$4="Assembly or Component Provider",DATA_RASIC!V13,IF($B$4="Consultancy Component Provider",DATA_RASIC!AC13,IF($B$4="Make to Print",DATA_RASIC!AJ13,IF($B$4="Engineering Service Provider",DATA_RASIC!H13,IF($B$4="Full System Provider",DATA_RASIC!O13,IF($B$4="ESP_DOOR TRIM",DATA_RASIC!AQ13,IF($B$4="ESP_Partner_LEVEL_01",DATA_RASIC!AX13,"")))))))</f>
        <v>-</v>
      </c>
    </row>
    <row r="21" spans="1:16" s="28" customFormat="1" ht="42.6" customHeight="1" x14ac:dyDescent="0.3">
      <c r="A21" s="80" t="str">
        <f>IF($B$4="Assembly or Component Provider",DATA_RASIC_DESC!A14,IF($B$4="Consultancy Component Provider",DATA_RASIC_DESC!A14,IF($B$4="Make to Print",DATA_RASIC_DESC!A14,IF($B$4="Engineering Service Provider",DATA_RASIC_DESC!A14,IF($B$4="Full System Provider",DATA_RASIC_DESC!A14,IF($B$4="ESP_DOOR TRIM",DATA_RASIC_DESC!D14,IF($B$4="ESP_Partner_LEVEL_01",DATA_RASIC_DESC!G14,"")))))))</f>
        <v>PM.12</v>
      </c>
      <c r="B21" s="324" t="str">
        <f>IF($B$4="Assembly or Component Provider",DATA_RASIC_DESC!B14,IF($B$4="Consultancy Component Provider",DATA_RASIC_DESC!B14,IF($B$4="Make to Print",DATA_RASIC_DESC!B14,IF($B$4="Engineering Service Provider",DATA_RASIC_DESC!B14,IF($B$4="Full System Provider",DATA_RASIC_DESC!B14,IF($B$4="ESP_DOOR TRIM",DATA_RASIC_DESC!E14,IF($B$4="ESP_Partner_LEVEL_01",DATA_RASIC_DESC!H14,"")))))))</f>
        <v>Obtain Jaguar Land Rover's approval for all changes and implement the approved changes using a robust 'manage the change' process</v>
      </c>
      <c r="C21" s="325"/>
      <c r="D21" s="325"/>
      <c r="E21" s="325"/>
      <c r="F21" s="325"/>
      <c r="G21" s="325"/>
      <c r="H21" s="325"/>
      <c r="I21" s="325"/>
      <c r="J21" s="326"/>
      <c r="K21" s="40" t="str">
        <f>IF($B$4="Assembly or Component Provider",DATA_RASIC!Q14,IF($B$4="Consultancy Component Provider",DATA_RASIC!X14,IF($B$4="Make to Print",DATA_RASIC!AE14,IF($B$4="Engineering Service Provider",DATA_RASIC!C14,IF($B$4="Full System Provider",DATA_RASIC!J14,IF($B$4="ESP_DOOR TRIM",DATA_RASIC!AL14,IF($B$4="ESP_Partner_LEVEL_01",DATA_RASIC!AS14,"")))))))</f>
        <v>SE</v>
      </c>
      <c r="L21" s="40" t="str">
        <f>IF($B$4="Assembly or Component Provider",DATA_RASIC!R14,IF($B$4="Consultancy Component Provider",DATA_RASIC!Y14,IF($B$4="Make to Print",DATA_RASIC!AF14,IF($B$4="Engineering Service Provider",DATA_RASIC!D14,IF($B$4="Full System Provider",DATA_RASIC!K14,IF($B$4="ESP_DOOR TRIM",DATA_RASIC!AM14,IF($B$4="ESP_Partner_LEVEL_01",DATA_RASIC!AT14,"")))))))</f>
        <v>SE</v>
      </c>
      <c r="M21" s="40" t="str">
        <f>IF($B$4="Assembly or Component Provider",DATA_RASIC!S14,IF($B$4="Consultancy Component Provider",DATA_RASIC!Z14,IF($B$4="Make to Print",DATA_RASIC!AG14,IF($B$4="Engineering Service Provider",DATA_RASIC!E14,IF($B$4="Full System Provider",DATA_RASIC!L14,IF($B$4="ESP_DOOR TRIM",DATA_RASIC!AN14,IF($B$4="ESP_Partner_LEVEL_01",DATA_RASIC!AU14,"")))))))</f>
        <v>JLR</v>
      </c>
      <c r="N21" s="40" t="str">
        <f>IF($B$4="Assembly or Component Provider",DATA_RASIC!T14,IF($B$4="Consultancy Component Provider",DATA_RASIC!AA14,IF($B$4="Make to Print",DATA_RASIC!AH14,IF($B$4="Engineering Service Provider",DATA_RASIC!F14,IF($B$4="Full System Provider",DATA_RASIC!M14,IF($B$4="ESP_DOOR TRIM",DATA_RASIC!AO14,IF($B$4="ESP_Partner_LEVEL_01",DATA_RASIC!AV14,"")))))))</f>
        <v>JLR</v>
      </c>
      <c r="O21" s="40" t="str">
        <f>IF($B$4="Assembly or Component Provider",DATA_RASIC!U14,IF($B$4="Consultancy Component Provider",DATA_RASIC!AB14,IF($B$4="Make to Print",DATA_RASIC!AI14,IF($B$4="Engineering Service Provider",DATA_RASIC!G14,IF($B$4="Full System Provider",DATA_RASIC!N14,IF($B$4="ESP_DOOR TRIM",DATA_RASIC!AP14,IF($B$4="ESP_Partner_LEVEL_01",DATA_RASIC!AW14,"")))))))</f>
        <v>-</v>
      </c>
      <c r="P21" s="40" t="str">
        <f>IF($B$4="Assembly or Component Provider",DATA_RASIC!V14,IF($B$4="Consultancy Component Provider",DATA_RASIC!AC14,IF($B$4="Make to Print",DATA_RASIC!AJ14,IF($B$4="Engineering Service Provider",DATA_RASIC!H14,IF($B$4="Full System Provider",DATA_RASIC!O14,IF($B$4="ESP_DOOR TRIM",DATA_RASIC!AQ14,IF($B$4="ESP_Partner_LEVEL_01",DATA_RASIC!AX14,"")))))))</f>
        <v>-</v>
      </c>
    </row>
    <row r="22" spans="1:16" s="28" customFormat="1" ht="42.6" customHeight="1" x14ac:dyDescent="0.3">
      <c r="A22" s="80" t="str">
        <f>IF($B$4="Assembly or Component Provider",DATA_RASIC_DESC!A15,IF($B$4="Consultancy Component Provider",DATA_RASIC_DESC!A15,IF($B$4="Make to Print",DATA_RASIC_DESC!A15,IF($B$4="Engineering Service Provider",DATA_RASIC_DESC!A15,IF($B$4="Full System Provider",DATA_RASIC_DESC!A15,IF($B$4="ESP_DOOR TRIM",DATA_RASIC_DESC!D15,IF($B$4="ESP_Partner_LEVEL_01",DATA_RASIC_DESC!G15,"")))))))</f>
        <v>PM.13</v>
      </c>
      <c r="B22" s="324" t="str">
        <f>IF($B$4="Assembly or Component Provider",DATA_RASIC_DESC!B15,IF($B$4="Consultancy Component Provider",DATA_RASIC_DESC!B15,IF($B$4="Make to Print",DATA_RASIC_DESC!B15,IF($B$4="Engineering Service Provider",DATA_RASIC_DESC!B15,IF($B$4="Full System Provider",DATA_RASIC_DESC!B15,IF($B$4="ESP_DOOR TRIM",DATA_RASIC_DESC!E15,IF($B$4="ESP_Partner_LEVEL_01",DATA_RASIC_DESC!H15,"")))))))</f>
        <v>Develop an open issues management process for reporting design changes, risks and opportunities and open issues for the component or system</v>
      </c>
      <c r="C22" s="325"/>
      <c r="D22" s="325"/>
      <c r="E22" s="325"/>
      <c r="F22" s="325"/>
      <c r="G22" s="325"/>
      <c r="H22" s="325"/>
      <c r="I22" s="325"/>
      <c r="J22" s="326"/>
      <c r="K22" s="40" t="str">
        <f>IF($B$4="Assembly or Component Provider",DATA_RASIC!Q15,IF($B$4="Consultancy Component Provider",DATA_RASIC!X15,IF($B$4="Make to Print",DATA_RASIC!AE15,IF($B$4="Engineering Service Provider",DATA_RASIC!C15,IF($B$4="Full System Provider",DATA_RASIC!J15,IF($B$4="ESP_DOOR TRIM",DATA_RASIC!AL15,IF($B$4="ESP_Partner_LEVEL_01",DATA_RASIC!AS15,"")))))))</f>
        <v>JLR</v>
      </c>
      <c r="L22" s="40" t="str">
        <f>IF($B$4="Assembly or Component Provider",DATA_RASIC!R15,IF($B$4="Consultancy Component Provider",DATA_RASIC!Y15,IF($B$4="Make to Print",DATA_RASIC!AF15,IF($B$4="Engineering Service Provider",DATA_RASIC!D15,IF($B$4="Full System Provider",DATA_RASIC!K15,IF($B$4="ESP_DOOR TRIM",DATA_RASIC!AM15,IF($B$4="ESP_Partner_LEVEL_01",DATA_RASIC!AT15,"")))))))</f>
        <v>JLR</v>
      </c>
      <c r="M22" s="40" t="str">
        <f>IF($B$4="Assembly or Component Provider",DATA_RASIC!S15,IF($B$4="Consultancy Component Provider",DATA_RASIC!Z15,IF($B$4="Make to Print",DATA_RASIC!AG15,IF($B$4="Engineering Service Provider",DATA_RASIC!E15,IF($B$4="Full System Provider",DATA_RASIC!L15,IF($B$4="ESP_DOOR TRIM",DATA_RASIC!AN15,IF($B$4="ESP_Partner_LEVEL_01",DATA_RASIC!AU15,"")))))))</f>
        <v>JLR</v>
      </c>
      <c r="N22" s="40" t="str">
        <f>IF($B$4="Assembly or Component Provider",DATA_RASIC!T15,IF($B$4="Consultancy Component Provider",DATA_RASIC!AA15,IF($B$4="Make to Print",DATA_RASIC!AH15,IF($B$4="Engineering Service Provider",DATA_RASIC!F15,IF($B$4="Full System Provider",DATA_RASIC!M15,IF($B$4="ESP_DOOR TRIM",DATA_RASIC!AO15,IF($B$4="ESP_Partner_LEVEL_01",DATA_RASIC!AV15,"")))))))</f>
        <v>SE</v>
      </c>
      <c r="O22" s="40" t="str">
        <f>IF($B$4="Assembly or Component Provider",DATA_RASIC!U15,IF($B$4="Consultancy Component Provider",DATA_RASIC!AB15,IF($B$4="Make to Print",DATA_RASIC!AI15,IF($B$4="Engineering Service Provider",DATA_RASIC!G15,IF($B$4="Full System Provider",DATA_RASIC!N15,IF($B$4="ESP_DOOR TRIM",DATA_RASIC!AP15,IF($B$4="ESP_Partner_LEVEL_01",DATA_RASIC!AW15,"")))))))</f>
        <v>-</v>
      </c>
      <c r="P22" s="40" t="str">
        <f>IF($B$4="Assembly or Component Provider",DATA_RASIC!V15,IF($B$4="Consultancy Component Provider",DATA_RASIC!AC15,IF($B$4="Make to Print",DATA_RASIC!AJ15,IF($B$4="Engineering Service Provider",DATA_RASIC!H15,IF($B$4="Full System Provider",DATA_RASIC!O15,IF($B$4="ESP_DOOR TRIM",DATA_RASIC!AQ15,IF($B$4="ESP_Partner_LEVEL_01",DATA_RASIC!AX15,"")))))))</f>
        <v>-</v>
      </c>
    </row>
    <row r="23" spans="1:16" s="28" customFormat="1" ht="33.6" customHeight="1" x14ac:dyDescent="0.3">
      <c r="A23" s="80" t="str">
        <f>IF($B$4="Assembly or Component Provider",DATA_RASIC_DESC!A16,IF($B$4="Consultancy Component Provider",DATA_RASIC_DESC!A16,IF($B$4="Make to Print",DATA_RASIC_DESC!A16,IF($B$4="Engineering Service Provider",DATA_RASIC_DESC!A16,IF($B$4="Full System Provider",DATA_RASIC_DESC!A16,IF($B$4="ESP_DOOR TRIM",DATA_RASIC_DESC!D16,IF($B$4="ESP_Partner_LEVEL_01",DATA_RASIC_DESC!G16,"")))))))</f>
        <v>PM.14</v>
      </c>
      <c r="B23" s="324" t="str">
        <f>IF($B$4="Assembly or Component Provider",DATA_RASIC_DESC!B16,IF($B$4="Consultancy Component Provider",DATA_RASIC_DESC!B16,IF($B$4="Make to Print",DATA_RASIC_DESC!B16,IF($B$4="Engineering Service Provider",DATA_RASIC_DESC!B16,IF($B$4="Full System Provider",DATA_RASIC_DESC!B16,IF($B$4="ESP_DOOR TRIM",DATA_RASIC_DESC!E16,IF($B$4="ESP_Partner_LEVEL_01",DATA_RASIC_DESC!H16,"")))))))</f>
        <v>Provide communication as appropriate to all affected functions</v>
      </c>
      <c r="C23" s="325"/>
      <c r="D23" s="325"/>
      <c r="E23" s="325"/>
      <c r="F23" s="325"/>
      <c r="G23" s="325"/>
      <c r="H23" s="325"/>
      <c r="I23" s="325"/>
      <c r="J23" s="326"/>
      <c r="K23" s="40" t="str">
        <f>IF($B$4="Assembly or Component Provider",DATA_RASIC!Q16,IF($B$4="Consultancy Component Provider",DATA_RASIC!X16,IF($B$4="Make to Print",DATA_RASIC!AE16,IF($B$4="Engineering Service Provider",DATA_RASIC!C16,IF($B$4="Full System Provider",DATA_RASIC!J16,IF($B$4="ESP_DOOR TRIM",DATA_RASIC!AL16,IF($B$4="ESP_Partner_LEVEL_01",DATA_RASIC!AS16,"")))))))</f>
        <v>SHARE</v>
      </c>
      <c r="L23" s="40" t="str">
        <f>IF($B$4="Assembly or Component Provider",DATA_RASIC!R16,IF($B$4="Consultancy Component Provider",DATA_RASIC!Y16,IF($B$4="Make to Print",DATA_RASIC!AF16,IF($B$4="Engineering Service Provider",DATA_RASIC!D16,IF($B$4="Full System Provider",DATA_RASIC!K16,IF($B$4="ESP_DOOR TRIM",DATA_RASIC!AM16,IF($B$4="ESP_Partner_LEVEL_01",DATA_RASIC!AT16,"")))))))</f>
        <v>SHARE</v>
      </c>
      <c r="M23" s="40" t="str">
        <f>IF($B$4="Assembly or Component Provider",DATA_RASIC!S16,IF($B$4="Consultancy Component Provider",DATA_RASIC!Z16,IF($B$4="Make to Print",DATA_RASIC!AG16,IF($B$4="Engineering Service Provider",DATA_RASIC!E16,IF($B$4="Full System Provider",DATA_RASIC!L16,IF($B$4="ESP_DOOR TRIM",DATA_RASIC!AN16,IF($B$4="ESP_Partner_LEVEL_01",DATA_RASIC!AU16,"")))))))</f>
        <v>SHARE</v>
      </c>
      <c r="N23" s="40" t="str">
        <f>IF($B$4="Assembly or Component Provider",DATA_RASIC!T16,IF($B$4="Consultancy Component Provider",DATA_RASIC!AA16,IF($B$4="Make to Print",DATA_RASIC!AH16,IF($B$4="Engineering Service Provider",DATA_RASIC!F16,IF($B$4="Full System Provider",DATA_RASIC!M16,IF($B$4="ESP_DOOR TRIM",DATA_RASIC!AO16,IF($B$4="ESP_Partner_LEVEL_01",DATA_RASIC!AV16,"")))))))</f>
        <v>JLR</v>
      </c>
      <c r="O23" s="40" t="str">
        <f>IF($B$4="Assembly or Component Provider",DATA_RASIC!U16,IF($B$4="Consultancy Component Provider",DATA_RASIC!AB16,IF($B$4="Make to Print",DATA_RASIC!AI16,IF($B$4="Engineering Service Provider",DATA_RASIC!G16,IF($B$4="Full System Provider",DATA_RASIC!N16,IF($B$4="ESP_DOOR TRIM",DATA_RASIC!AP16,IF($B$4="ESP_Partner_LEVEL_01",DATA_RASIC!AW16,"")))))))</f>
        <v>JLR</v>
      </c>
      <c r="P23" s="40" t="str">
        <f>IF($B$4="Assembly or Component Provider",DATA_RASIC!V16,IF($B$4="Consultancy Component Provider",DATA_RASIC!AC16,IF($B$4="Make to Print",DATA_RASIC!AJ16,IF($B$4="Engineering Service Provider",DATA_RASIC!H16,IF($B$4="Full System Provider",DATA_RASIC!O16,IF($B$4="ESP_DOOR TRIM",DATA_RASIC!AQ16,IF($B$4="ESP_Partner_LEVEL_01",DATA_RASIC!AX16,"")))))))</f>
        <v>JLR</v>
      </c>
    </row>
    <row r="24" spans="1:16" s="28" customFormat="1" ht="39.6" customHeight="1" x14ac:dyDescent="0.3">
      <c r="A24" s="80" t="str">
        <f>IF($B$4="Assembly or Component Provider",DATA_RASIC_DESC!A17,IF($B$4="Consultancy Component Provider",DATA_RASIC_DESC!A17,IF($B$4="Make to Print",DATA_RASIC_DESC!A17,IF($B$4="Engineering Service Provider",DATA_RASIC_DESC!A17,IF($B$4="Full System Provider",DATA_RASIC_DESC!A17,IF($B$4="ESP_DOOR TRIM",DATA_RASIC_DESC!D17,IF($B$4="ESP_Partner_LEVEL_01",DATA_RASIC_DESC!G17,"")))))))</f>
        <v>PM.15</v>
      </c>
      <c r="B24" s="324" t="str">
        <f>IF($B$4="Assembly or Component Provider",DATA_RASIC_DESC!B17,IF($B$4="Consultancy Component Provider",DATA_RASIC_DESC!B17,IF($B$4="Make to Print",DATA_RASIC_DESC!B17,IF($B$4="Engineering Service Provider",DATA_RASIC_DESC!B17,IF($B$4="Full System Provider",DATA_RASIC_DESC!B17,IF($B$4="ESP_DOOR TRIM",DATA_RASIC_DESC!E17,IF($B$4="ESP_Partner_LEVEL_01",DATA_RASIC_DESC!H17,"")))))))</f>
        <v>Provide list of team members with roles &amp; responsibilities and ensure staffing requirements are met to support Programme deliverables.  This includes support for team meetings as agreed necessary by both parties</v>
      </c>
      <c r="C24" s="325"/>
      <c r="D24" s="325"/>
      <c r="E24" s="325"/>
      <c r="F24" s="325"/>
      <c r="G24" s="325"/>
      <c r="H24" s="325"/>
      <c r="I24" s="325"/>
      <c r="J24" s="326"/>
      <c r="K24" s="40" t="str">
        <f>IF($B$4="Assembly or Component Provider",DATA_RASIC!Q17,IF($B$4="Consultancy Component Provider",DATA_RASIC!X17,IF($B$4="Make to Print",DATA_RASIC!AE17,IF($B$4="Engineering Service Provider",DATA_RASIC!C17,IF($B$4="Full System Provider",DATA_RASIC!J17,IF($B$4="ESP_DOOR TRIM",DATA_RASIC!AL17,IF($B$4="ESP_Partner_LEVEL_01",DATA_RASIC!AS17,"")))))))</f>
        <v>SE</v>
      </c>
      <c r="L24" s="40" t="str">
        <f>IF($B$4="Assembly or Component Provider",DATA_RASIC!R17,IF($B$4="Consultancy Component Provider",DATA_RASIC!Y17,IF($B$4="Make to Print",DATA_RASIC!AF17,IF($B$4="Engineering Service Provider",DATA_RASIC!D17,IF($B$4="Full System Provider",DATA_RASIC!K17,IF($B$4="ESP_DOOR TRIM",DATA_RASIC!AM17,IF($B$4="ESP_Partner_LEVEL_01",DATA_RASIC!AT17,"")))))))</f>
        <v>SE</v>
      </c>
      <c r="M24" s="40" t="str">
        <f>IF($B$4="Assembly or Component Provider",DATA_RASIC!S17,IF($B$4="Consultancy Component Provider",DATA_RASIC!Z17,IF($B$4="Make to Print",DATA_RASIC!AG17,IF($B$4="Engineering Service Provider",DATA_RASIC!E17,IF($B$4="Full System Provider",DATA_RASIC!L17,IF($B$4="ESP_DOOR TRIM",DATA_RASIC!AN17,IF($B$4="ESP_Partner_LEVEL_01",DATA_RASIC!AU17,"")))))))</f>
        <v>JLR</v>
      </c>
      <c r="N24" s="40" t="str">
        <f>IF($B$4="Assembly or Component Provider",DATA_RASIC!T17,IF($B$4="Consultancy Component Provider",DATA_RASIC!AA17,IF($B$4="Make to Print",DATA_RASIC!AH17,IF($B$4="Engineering Service Provider",DATA_RASIC!F17,IF($B$4="Full System Provider",DATA_RASIC!M17,IF($B$4="ESP_DOOR TRIM",DATA_RASIC!AO17,IF($B$4="ESP_Partner_LEVEL_01",DATA_RASIC!AV17,"")))))))</f>
        <v>SE</v>
      </c>
      <c r="O24" s="40" t="str">
        <f>IF($B$4="Assembly or Component Provider",DATA_RASIC!U17,IF($B$4="Consultancy Component Provider",DATA_RASIC!AB17,IF($B$4="Make to Print",DATA_RASIC!AI17,IF($B$4="Engineering Service Provider",DATA_RASIC!G17,IF($B$4="Full System Provider",DATA_RASIC!N17,IF($B$4="ESP_DOOR TRIM",DATA_RASIC!AP17,IF($B$4="ESP_Partner_LEVEL_01",DATA_RASIC!AW17,"")))))))</f>
        <v>JLR</v>
      </c>
      <c r="P24" s="40" t="str">
        <f>IF($B$4="Assembly or Component Provider",DATA_RASIC!V17,IF($B$4="Consultancy Component Provider",DATA_RASIC!AC17,IF($B$4="Make to Print",DATA_RASIC!AJ17,IF($B$4="Engineering Service Provider",DATA_RASIC!H17,IF($B$4="Full System Provider",DATA_RASIC!O17,IF($B$4="ESP_DOOR TRIM",DATA_RASIC!AQ17,IF($B$4="ESP_Partner_LEVEL_01",DATA_RASIC!AX17,"")))))))</f>
        <v>SE</v>
      </c>
    </row>
    <row r="25" spans="1:16" s="28" customFormat="1" ht="39" customHeight="1" x14ac:dyDescent="0.3">
      <c r="A25" s="80" t="str">
        <f>IF($B$4="Assembly or Component Provider",DATA_RASIC_DESC!A18,IF($B$4="Consultancy Component Provider",DATA_RASIC_DESC!A18,IF($B$4="Make to Print",DATA_RASIC_DESC!A18,IF($B$4="Engineering Service Provider",DATA_RASIC_DESC!A18,IF($B$4="Full System Provider",DATA_RASIC_DESC!A18,IF($B$4="ESP_DOOR TRIM",DATA_RASIC_DESC!D18,IF($B$4="ESP_Partner_LEVEL_01",DATA_RASIC_DESC!G18,"")))))))</f>
        <v>PM.16</v>
      </c>
      <c r="B25" s="324" t="str">
        <f>IF($B$4="Assembly or Component Provider",DATA_RASIC_DESC!B18,IF($B$4="Consultancy Component Provider",DATA_RASIC_DESC!B18,IF($B$4="Make to Print",DATA_RASIC_DESC!B18,IF($B$4="Engineering Service Provider",DATA_RASIC_DESC!B18,IF($B$4="Full System Provider",DATA_RASIC_DESC!B18,IF($B$4="ESP_DOOR TRIM",DATA_RASIC_DESC!E18,IF($B$4="ESP_Partner_LEVEL_01",DATA_RASIC_DESC!H18,"")))))))</f>
        <v>Fully support and attend The Module Business Meeting &amp;  The Module Technical Meeting as required</v>
      </c>
      <c r="C25" s="325"/>
      <c r="D25" s="325"/>
      <c r="E25" s="325"/>
      <c r="F25" s="325"/>
      <c r="G25" s="325"/>
      <c r="H25" s="325"/>
      <c r="I25" s="325"/>
      <c r="J25" s="326"/>
      <c r="K25" s="40" t="str">
        <f>IF($B$4="Assembly or Component Provider",DATA_RASIC!Q18,IF($B$4="Consultancy Component Provider",DATA_RASIC!X18,IF($B$4="Make to Print",DATA_RASIC!AE18,IF($B$4="Engineering Service Provider",DATA_RASIC!C18,IF($B$4="Full System Provider",DATA_RASIC!J18,IF($B$4="ESP_DOOR TRIM",DATA_RASIC!AL18,IF($B$4="ESP_Partner_LEVEL_01",DATA_RASIC!AS18,"")))))))</f>
        <v>SE</v>
      </c>
      <c r="L25" s="40" t="str">
        <f>IF($B$4="Assembly or Component Provider",DATA_RASIC!R18,IF($B$4="Consultancy Component Provider",DATA_RASIC!Y18,IF($B$4="Make to Print",DATA_RASIC!AF18,IF($B$4="Engineering Service Provider",DATA_RASIC!D18,IF($B$4="Full System Provider",DATA_RASIC!K18,IF($B$4="ESP_DOOR TRIM",DATA_RASIC!AM18,IF($B$4="ESP_Partner_LEVEL_01",DATA_RASIC!AT18,"")))))))</f>
        <v>SE</v>
      </c>
      <c r="M25" s="40" t="str">
        <f>IF($B$4="Assembly or Component Provider",DATA_RASIC!S18,IF($B$4="Consultancy Component Provider",DATA_RASIC!Z18,IF($B$4="Make to Print",DATA_RASIC!AG18,IF($B$4="Engineering Service Provider",DATA_RASIC!E18,IF($B$4="Full System Provider",DATA_RASIC!L18,IF($B$4="ESP_DOOR TRIM",DATA_RASIC!AN18,IF($B$4="ESP_Partner_LEVEL_01",DATA_RASIC!AU18,"")))))))</f>
        <v>SE</v>
      </c>
      <c r="N25" s="40" t="str">
        <f>IF($B$4="Assembly or Component Provider",DATA_RASIC!T18,IF($B$4="Consultancy Component Provider",DATA_RASIC!AA18,IF($B$4="Make to Print",DATA_RASIC!AH18,IF($B$4="Engineering Service Provider",DATA_RASIC!F18,IF($B$4="Full System Provider",DATA_RASIC!M18,IF($B$4="ESP_DOOR TRIM",DATA_RASIC!AO18,IF($B$4="ESP_Partner_LEVEL_01",DATA_RASIC!AV18,"")))))))</f>
        <v>JLR</v>
      </c>
      <c r="O25" s="40" t="str">
        <f>IF($B$4="Assembly or Component Provider",DATA_RASIC!U18,IF($B$4="Consultancy Component Provider",DATA_RASIC!AB18,IF($B$4="Make to Print",DATA_RASIC!AI18,IF($B$4="Engineering Service Provider",DATA_RASIC!G18,IF($B$4="Full System Provider",DATA_RASIC!N18,IF($B$4="ESP_DOOR TRIM",DATA_RASIC!AP18,IF($B$4="ESP_Partner_LEVEL_01",DATA_RASIC!AW18,"")))))))</f>
        <v>SE</v>
      </c>
      <c r="P25" s="40" t="str">
        <f>IF($B$4="Assembly or Component Provider",DATA_RASIC!V18,IF($B$4="Consultancy Component Provider",DATA_RASIC!AC18,IF($B$4="Make to Print",DATA_RASIC!AJ18,IF($B$4="Engineering Service Provider",DATA_RASIC!H18,IF($B$4="Full System Provider",DATA_RASIC!O18,IF($B$4="ESP_DOOR TRIM",DATA_RASIC!AQ18,IF($B$4="ESP_Partner_LEVEL_01",DATA_RASIC!AX18,"")))))))</f>
        <v>SE</v>
      </c>
    </row>
    <row r="26" spans="1:16" s="28" customFormat="1" ht="39" customHeight="1" x14ac:dyDescent="0.3">
      <c r="A26" s="80" t="str">
        <f>IF($B$4="Assembly or Component Provider",DATA_RASIC_DESC!A19,IF($B$4="Consultancy Component Provider",DATA_RASIC_DESC!A19,IF($B$4="Make to Print",DATA_RASIC_DESC!A19,IF($B$4="Engineering Service Provider",DATA_RASIC_DESC!A19,IF($B$4="Full System Provider",DATA_RASIC_DESC!A19,IF($B$4="ESP_DOOR TRIM",DATA_RASIC_DESC!D19,IF($B$4="ESP_Partner_LEVEL_01",DATA_RASIC_DESC!G19,"")))))))</f>
        <v>PM.17</v>
      </c>
      <c r="B26" s="324" t="str">
        <f>IF($B$4="Assembly or Component Provider",DATA_RASIC_DESC!B19,IF($B$4="Consultancy Component Provider",DATA_RASIC_DESC!B19,IF($B$4="Make to Print",DATA_RASIC_DESC!B19,IF($B$4="Engineering Service Provider",DATA_RASIC_DESC!B19,IF($B$4="Full System Provider",DATA_RASIC_DESC!B19,IF($B$4="ESP_DOOR TRIM",DATA_RASIC_DESC!E19,IF($B$4="ESP_Partner_LEVEL_01",DATA_RASIC_DESC!H19,"")))))))</f>
        <v xml:space="preserve">Identify system, subsystem, assembly, and component interface issues (including removal and repair) and appropriate resolution actions     </v>
      </c>
      <c r="C26" s="325"/>
      <c r="D26" s="325"/>
      <c r="E26" s="325"/>
      <c r="F26" s="325"/>
      <c r="G26" s="325"/>
      <c r="H26" s="325"/>
      <c r="I26" s="325"/>
      <c r="J26" s="326"/>
      <c r="K26" s="40" t="str">
        <f>IF($B$4="Assembly or Component Provider",DATA_RASIC!Q19,IF($B$4="Consultancy Component Provider",DATA_RASIC!X19,IF($B$4="Make to Print",DATA_RASIC!AE19,IF($B$4="Engineering Service Provider",DATA_RASIC!C19,IF($B$4="Full System Provider",DATA_RASIC!J19,IF($B$4="ESP_DOOR TRIM",DATA_RASIC!AL19,IF($B$4="ESP_Partner_LEVEL_01",DATA_RASIC!AS19,"")))))))</f>
        <v>JLR</v>
      </c>
      <c r="L26" s="40" t="str">
        <f>IF($B$4="Assembly or Component Provider",DATA_RASIC!R19,IF($B$4="Consultancy Component Provider",DATA_RASIC!Y19,IF($B$4="Make to Print",DATA_RASIC!AF19,IF($B$4="Engineering Service Provider",DATA_RASIC!D19,IF($B$4="Full System Provider",DATA_RASIC!K19,IF($B$4="ESP_DOOR TRIM",DATA_RASIC!AM19,IF($B$4="ESP_Partner_LEVEL_01",DATA_RASIC!AT19,"")))))))</f>
        <v>JLR</v>
      </c>
      <c r="M26" s="40" t="str">
        <f>IF($B$4="Assembly or Component Provider",DATA_RASIC!S19,IF($B$4="Consultancy Component Provider",DATA_RASIC!Z19,IF($B$4="Make to Print",DATA_RASIC!AG19,IF($B$4="Engineering Service Provider",DATA_RASIC!E19,IF($B$4="Full System Provider",DATA_RASIC!L19,IF($B$4="ESP_DOOR TRIM",DATA_RASIC!AN19,IF($B$4="ESP_Partner_LEVEL_01",DATA_RASIC!AU19,"")))))))</f>
        <v>JLR</v>
      </c>
      <c r="N26" s="40" t="str">
        <f>IF($B$4="Assembly or Component Provider",DATA_RASIC!T19,IF($B$4="Consultancy Component Provider",DATA_RASIC!AA19,IF($B$4="Make to Print",DATA_RASIC!AH19,IF($B$4="Engineering Service Provider",DATA_RASIC!F19,IF($B$4="Full System Provider",DATA_RASIC!M19,IF($B$4="ESP_DOOR TRIM",DATA_RASIC!AO19,IF($B$4="ESP_Partner_LEVEL_01",DATA_RASIC!AV19,"")))))))</f>
        <v>SE</v>
      </c>
      <c r="O26" s="40" t="str">
        <f>IF($B$4="Assembly or Component Provider",DATA_RASIC!U19,IF($B$4="Consultancy Component Provider",DATA_RASIC!AB19,IF($B$4="Make to Print",DATA_RASIC!AI19,IF($B$4="Engineering Service Provider",DATA_RASIC!G19,IF($B$4="Full System Provider",DATA_RASIC!N19,IF($B$4="ESP_DOOR TRIM",DATA_RASIC!AP19,IF($B$4="ESP_Partner_LEVEL_01",DATA_RASIC!AW19,"")))))))</f>
        <v>-</v>
      </c>
      <c r="P26" s="40" t="str">
        <f>IF($B$4="Assembly or Component Provider",DATA_RASIC!V19,IF($B$4="Consultancy Component Provider",DATA_RASIC!AC19,IF($B$4="Make to Print",DATA_RASIC!AJ19,IF($B$4="Engineering Service Provider",DATA_RASIC!H19,IF($B$4="Full System Provider",DATA_RASIC!O19,IF($B$4="ESP_DOOR TRIM",DATA_RASIC!AQ19,IF($B$4="ESP_Partner_LEVEL_01",DATA_RASIC!AX19,"")))))))</f>
        <v>JLR</v>
      </c>
    </row>
    <row r="27" spans="1:16" s="28" customFormat="1" ht="39" customHeight="1" x14ac:dyDescent="0.3">
      <c r="A27" s="80" t="str">
        <f>IF($B$4="Assembly or Component Provider",DATA_RASIC_DESC!A20,IF($B$4="Consultancy Component Provider",DATA_RASIC_DESC!A20,IF($B$4="Make to Print",DATA_RASIC_DESC!A20,IF($B$4="Engineering Service Provider",DATA_RASIC_DESC!A20,IF($B$4="Full System Provider",DATA_RASIC_DESC!A20,IF($B$4="ESP_DOOR TRIM",DATA_RASIC_DESC!D20,IF($B$4="ESP_Partner_LEVEL_01",DATA_RASIC_DESC!G20,"")))))))</f>
        <v>PM.18</v>
      </c>
      <c r="B27" s="324" t="str">
        <f>IF($B$4="Assembly or Component Provider",DATA_RASIC_DESC!B20,IF($B$4="Consultancy Component Provider",DATA_RASIC_DESC!B20,IF($B$4="Make to Print",DATA_RASIC_DESC!B20,IF($B$4="Engineering Service Provider",DATA_RASIC_DESC!B20,IF($B$4="Full System Provider",DATA_RASIC_DESC!B20,IF($B$4="ESP_DOOR TRIM",DATA_RASIC_DESC!E20,IF($B$4="ESP_Partner_LEVEL_01",DATA_RASIC_DESC!H20,"")))))))</f>
        <v>Supplier must notify Jaguar Land Rover of any Tier 1 and sub-supplier design changes throughout the design, manufacturing/production and supply, and service phases of the product life cycle</v>
      </c>
      <c r="C27" s="325"/>
      <c r="D27" s="325"/>
      <c r="E27" s="325"/>
      <c r="F27" s="325"/>
      <c r="G27" s="325"/>
      <c r="H27" s="325"/>
      <c r="I27" s="325"/>
      <c r="J27" s="326"/>
      <c r="K27" s="40" t="str">
        <f>IF($B$4="Assembly or Component Provider",DATA_RASIC!Q20,IF($B$4="Consultancy Component Provider",DATA_RASIC!X20,IF($B$4="Make to Print",DATA_RASIC!AE20,IF($B$4="Engineering Service Provider",DATA_RASIC!C20,IF($B$4="Full System Provider",DATA_RASIC!J20,IF($B$4="ESP_DOOR TRIM",DATA_RASIC!AL20,IF($B$4="ESP_Partner_LEVEL_01",DATA_RASIC!AS20,"")))))))</f>
        <v>SE</v>
      </c>
      <c r="L27" s="40" t="str">
        <f>IF($B$4="Assembly or Component Provider",DATA_RASIC!R20,IF($B$4="Consultancy Component Provider",DATA_RASIC!Y20,IF($B$4="Make to Print",DATA_RASIC!AF20,IF($B$4="Engineering Service Provider",DATA_RASIC!D20,IF($B$4="Full System Provider",DATA_RASIC!K20,IF($B$4="ESP_DOOR TRIM",DATA_RASIC!AM20,IF($B$4="ESP_Partner_LEVEL_01",DATA_RASIC!AT20,"")))))))</f>
        <v>SE</v>
      </c>
      <c r="M27" s="40" t="str">
        <f>IF($B$4="Assembly or Component Provider",DATA_RASIC!S20,IF($B$4="Consultancy Component Provider",DATA_RASIC!Z20,IF($B$4="Make to Print",DATA_RASIC!AG20,IF($B$4="Engineering Service Provider",DATA_RASIC!E20,IF($B$4="Full System Provider",DATA_RASIC!L20,IF($B$4="ESP_DOOR TRIM",DATA_RASIC!AN20,IF($B$4="ESP_Partner_LEVEL_01",DATA_RASIC!AU20,"")))))))</f>
        <v>SE</v>
      </c>
      <c r="N27" s="40" t="str">
        <f>IF($B$4="Assembly or Component Provider",DATA_RASIC!T20,IF($B$4="Consultancy Component Provider",DATA_RASIC!AA20,IF($B$4="Make to Print",DATA_RASIC!AH20,IF($B$4="Engineering Service Provider",DATA_RASIC!F20,IF($B$4="Full System Provider",DATA_RASIC!M20,IF($B$4="ESP_DOOR TRIM",DATA_RASIC!AO20,IF($B$4="ESP_Partner_LEVEL_01",DATA_RASIC!AV20,"")))))))</f>
        <v>SE</v>
      </c>
      <c r="O27" s="40" t="str">
        <f>IF($B$4="Assembly or Component Provider",DATA_RASIC!U20,IF($B$4="Consultancy Component Provider",DATA_RASIC!AB20,IF($B$4="Make to Print",DATA_RASIC!AI20,IF($B$4="Engineering Service Provider",DATA_RASIC!G20,IF($B$4="Full System Provider",DATA_RASIC!N20,IF($B$4="ESP_DOOR TRIM",DATA_RASIC!AP20,IF($B$4="ESP_Partner_LEVEL_01",DATA_RASIC!AW20,"")))))))</f>
        <v>SE</v>
      </c>
      <c r="P27" s="40" t="str">
        <f>IF($B$4="Assembly or Component Provider",DATA_RASIC!V20,IF($B$4="Consultancy Component Provider",DATA_RASIC!AC20,IF($B$4="Make to Print",DATA_RASIC!AJ20,IF($B$4="Engineering Service Provider",DATA_RASIC!H20,IF($B$4="Full System Provider",DATA_RASIC!O20,IF($B$4="ESP_DOOR TRIM",DATA_RASIC!AQ20,IF($B$4="ESP_Partner_LEVEL_01",DATA_RASIC!AX20,"")))))))</f>
        <v>JLR</v>
      </c>
    </row>
    <row r="28" spans="1:16" s="28" customFormat="1" ht="36.6" customHeight="1" x14ac:dyDescent="0.3">
      <c r="A28" s="80" t="str">
        <f>IF($B$4="Assembly or Component Provider",DATA_RASIC_DESC!A21,IF($B$4="Consultancy Component Provider",DATA_RASIC_DESC!A21,IF($B$4="Make to Print",DATA_RASIC_DESC!A21,IF($B$4="Engineering Service Provider",DATA_RASIC_DESC!A21,IF($B$4="Full System Provider",DATA_RASIC_DESC!A21,IF($B$4="ESP_DOOR TRIM",DATA_RASIC_DESC!D21,IF($B$4="ESP_Partner_LEVEL_01",DATA_RASIC_DESC!G21,"")))))))</f>
        <v>PM.19</v>
      </c>
      <c r="B28" s="324" t="str">
        <f>IF($B$4="Assembly or Component Provider",DATA_RASIC_DESC!B21,IF($B$4="Consultancy Component Provider",DATA_RASIC_DESC!B21,IF($B$4="Make to Print",DATA_RASIC_DESC!B21,IF($B$4="Engineering Service Provider",DATA_RASIC_DESC!B21,IF($B$4="Full System Provider",DATA_RASIC_DESC!B21,IF($B$4="ESP_DOOR TRIM",DATA_RASIC_DESC!E21,IF($B$4="ESP_Partner_LEVEL_01",DATA_RASIC_DESC!H21,"")))))))</f>
        <v xml:space="preserve">Execute internal change control process that confirms that all requirements contained within PPAP are met </v>
      </c>
      <c r="C28" s="325"/>
      <c r="D28" s="325"/>
      <c r="E28" s="325"/>
      <c r="F28" s="325"/>
      <c r="G28" s="325"/>
      <c r="H28" s="325"/>
      <c r="I28" s="325"/>
      <c r="J28" s="326"/>
      <c r="K28" s="40" t="str">
        <f>IF($B$4="Assembly or Component Provider",DATA_RASIC!Q21,IF($B$4="Consultancy Component Provider",DATA_RASIC!X21,IF($B$4="Make to Print",DATA_RASIC!AE21,IF($B$4="Engineering Service Provider",DATA_RASIC!C21,IF($B$4="Full System Provider",DATA_RASIC!J21,IF($B$4="ESP_DOOR TRIM",DATA_RASIC!AL21,IF($B$4="ESP_Partner_LEVEL_01",DATA_RASIC!AS21,"")))))))</f>
        <v>SE</v>
      </c>
      <c r="L28" s="40" t="str">
        <f>IF($B$4="Assembly or Component Provider",DATA_RASIC!R21,IF($B$4="Consultancy Component Provider",DATA_RASIC!Y21,IF($B$4="Make to Print",DATA_RASIC!AF21,IF($B$4="Engineering Service Provider",DATA_RASIC!D21,IF($B$4="Full System Provider",DATA_RASIC!K21,IF($B$4="ESP_DOOR TRIM",DATA_RASIC!AM21,IF($B$4="ESP_Partner_LEVEL_01",DATA_RASIC!AT21,"")))))))</f>
        <v>SE</v>
      </c>
      <c r="M28" s="40" t="str">
        <f>IF($B$4="Assembly or Component Provider",DATA_RASIC!S21,IF($B$4="Consultancy Component Provider",DATA_RASIC!Z21,IF($B$4="Make to Print",DATA_RASIC!AG21,IF($B$4="Engineering Service Provider",DATA_RASIC!E21,IF($B$4="Full System Provider",DATA_RASIC!L21,IF($B$4="ESP_DOOR TRIM",DATA_RASIC!AN21,IF($B$4="ESP_Partner_LEVEL_01",DATA_RASIC!AU21,"")))))))</f>
        <v>SE</v>
      </c>
      <c r="N28" s="40" t="str">
        <f>IF($B$4="Assembly or Component Provider",DATA_RASIC!T21,IF($B$4="Consultancy Component Provider",DATA_RASIC!AA21,IF($B$4="Make to Print",DATA_RASIC!AH21,IF($B$4="Engineering Service Provider",DATA_RASIC!F21,IF($B$4="Full System Provider",DATA_RASIC!M21,IF($B$4="ESP_DOOR TRIM",DATA_RASIC!AO21,IF($B$4="ESP_Partner_LEVEL_01",DATA_RASIC!AV21,"")))))))</f>
        <v>SE</v>
      </c>
      <c r="O28" s="40" t="str">
        <f>IF($B$4="Assembly or Component Provider",DATA_RASIC!U21,IF($B$4="Consultancy Component Provider",DATA_RASIC!AB21,IF($B$4="Make to Print",DATA_RASIC!AI21,IF($B$4="Engineering Service Provider",DATA_RASIC!G21,IF($B$4="Full System Provider",DATA_RASIC!N21,IF($B$4="ESP_DOOR TRIM",DATA_RASIC!AP21,IF($B$4="ESP_Partner_LEVEL_01",DATA_RASIC!AW21,"")))))))</f>
        <v>SE</v>
      </c>
      <c r="P28" s="40" t="str">
        <f>IF($B$4="Assembly or Component Provider",DATA_RASIC!V21,IF($B$4="Consultancy Component Provider",DATA_RASIC!AC21,IF($B$4="Make to Print",DATA_RASIC!AJ21,IF($B$4="Engineering Service Provider",DATA_RASIC!H21,IF($B$4="Full System Provider",DATA_RASIC!O21,IF($B$4="ESP_DOOR TRIM",DATA_RASIC!AQ21,IF($B$4="ESP_Partner_LEVEL_01",DATA_RASIC!AX21,"")))))))</f>
        <v>SE</v>
      </c>
    </row>
    <row r="29" spans="1:16" s="28" customFormat="1" ht="30" customHeight="1" x14ac:dyDescent="0.3">
      <c r="A29" s="80" t="str">
        <f>IF($B$4="Assembly or Component Provider",DATA_RASIC_DESC!A22,IF($B$4="Consultancy Component Provider",DATA_RASIC_DESC!A22,IF($B$4="Make to Print",DATA_RASIC_DESC!A22,IF($B$4="Engineering Service Provider",DATA_RASIC_DESC!A22,IF($B$4="Full System Provider",DATA_RASIC_DESC!A22,IF($B$4="ESP_DOOR TRIM",DATA_RASIC_DESC!D22,IF($B$4="ESP_Partner_LEVEL_01",DATA_RASIC_DESC!G22,"")))))))</f>
        <v>PM.20</v>
      </c>
      <c r="B29" s="324" t="str">
        <f>IF($B$4="Assembly or Component Provider",DATA_RASIC_DESC!B22,IF($B$4="Consultancy Component Provider",DATA_RASIC_DESC!B22,IF($B$4="Make to Print",DATA_RASIC_DESC!B22,IF($B$4="Engineering Service Provider",DATA_RASIC_DESC!B22,IF($B$4="Full System Provider",DATA_RASIC_DESC!B22,IF($B$4="ESP_DOOR TRIM",DATA_RASIC_DESC!E22,IF($B$4="ESP_Partner_LEVEL_01",DATA_RASIC_DESC!H22,"")))))))</f>
        <v>Provide / Co-ordinate price and investment quotations for all engineering changes</v>
      </c>
      <c r="C29" s="325"/>
      <c r="D29" s="325"/>
      <c r="E29" s="325"/>
      <c r="F29" s="325"/>
      <c r="G29" s="325"/>
      <c r="H29" s="325"/>
      <c r="I29" s="325"/>
      <c r="J29" s="326"/>
      <c r="K29" s="40" t="str">
        <f>IF($B$4="Assembly or Component Provider",DATA_RASIC!Q22,IF($B$4="Consultancy Component Provider",DATA_RASIC!X22,IF($B$4="Make to Print",DATA_RASIC!AE22,IF($B$4="Engineering Service Provider",DATA_RASIC!C22,IF($B$4="Full System Provider",DATA_RASIC!J22,IF($B$4="ESP_DOOR TRIM",DATA_RASIC!AL22,IF($B$4="ESP_Partner_LEVEL_01",DATA_RASIC!AS22,"")))))))</f>
        <v>SE</v>
      </c>
      <c r="L29" s="40" t="str">
        <f>IF($B$4="Assembly or Component Provider",DATA_RASIC!R22,IF($B$4="Consultancy Component Provider",DATA_RASIC!Y22,IF($B$4="Make to Print",DATA_RASIC!AF22,IF($B$4="Engineering Service Provider",DATA_RASIC!D22,IF($B$4="Full System Provider",DATA_RASIC!K22,IF($B$4="ESP_DOOR TRIM",DATA_RASIC!AM22,IF($B$4="ESP_Partner_LEVEL_01",DATA_RASIC!AT22,"")))))))</f>
        <v>SE</v>
      </c>
      <c r="M29" s="40" t="str">
        <f>IF($B$4="Assembly or Component Provider",DATA_RASIC!S22,IF($B$4="Consultancy Component Provider",DATA_RASIC!Z22,IF($B$4="Make to Print",DATA_RASIC!AG22,IF($B$4="Engineering Service Provider",DATA_RASIC!E22,IF($B$4="Full System Provider",DATA_RASIC!L22,IF($B$4="ESP_DOOR TRIM",DATA_RASIC!AN22,IF($B$4="ESP_Partner_LEVEL_01",DATA_RASIC!AU22,"")))))))</f>
        <v>SE</v>
      </c>
      <c r="N29" s="40" t="str">
        <f>IF($B$4="Assembly or Component Provider",DATA_RASIC!T22,IF($B$4="Consultancy Component Provider",DATA_RASIC!AA22,IF($B$4="Make to Print",DATA_RASIC!AH22,IF($B$4="Engineering Service Provider",DATA_RASIC!F22,IF($B$4="Full System Provider",DATA_RASIC!M22,IF($B$4="ESP_DOOR TRIM",DATA_RASIC!AO22,IF($B$4="ESP_Partner_LEVEL_01",DATA_RASIC!AV22,"")))))))</f>
        <v>SE</v>
      </c>
      <c r="O29" s="40" t="str">
        <f>IF($B$4="Assembly or Component Provider",DATA_RASIC!U22,IF($B$4="Consultancy Component Provider",DATA_RASIC!AB22,IF($B$4="Make to Print",DATA_RASIC!AI22,IF($B$4="Engineering Service Provider",DATA_RASIC!G22,IF($B$4="Full System Provider",DATA_RASIC!N22,IF($B$4="ESP_DOOR TRIM",DATA_RASIC!AP22,IF($B$4="ESP_Partner_LEVEL_01",DATA_RASIC!AW22,"")))))))</f>
        <v>JLR</v>
      </c>
      <c r="P29" s="40" t="str">
        <f>IF($B$4="Assembly or Component Provider",DATA_RASIC!V22,IF($B$4="Consultancy Component Provider",DATA_RASIC!AC22,IF($B$4="Make to Print",DATA_RASIC!AJ22,IF($B$4="Engineering Service Provider",DATA_RASIC!H22,IF($B$4="Full System Provider",DATA_RASIC!O22,IF($B$4="ESP_DOOR TRIM",DATA_RASIC!AQ22,IF($B$4="ESP_Partner_LEVEL_01",DATA_RASIC!AX22,"")))))))</f>
        <v>SE</v>
      </c>
    </row>
    <row r="30" spans="1:16" s="28" customFormat="1" ht="30" customHeight="1" x14ac:dyDescent="0.3">
      <c r="A30" s="80" t="str">
        <f>IF($B$4="Assembly or Component Provider",DATA_RASIC_DESC!A23,IF($B$4="Consultancy Component Provider",DATA_RASIC_DESC!A23,IF($B$4="Make to Print",DATA_RASIC_DESC!A23,IF($B$4="Engineering Service Provider",DATA_RASIC_DESC!A23,IF($B$4="Full System Provider",DATA_RASIC_DESC!A23,IF($B$4="ESP_DOOR TRIM",DATA_RASIC_DESC!D23,IF($B$4="ESP_Partner_LEVEL_01",DATA_RASIC_DESC!G23,"")))))))</f>
        <v>PM.21</v>
      </c>
      <c r="B30" s="324" t="str">
        <f>IF($B$4="Assembly or Component Provider",DATA_RASIC_DESC!B23,IF($B$4="Consultancy Component Provider",DATA_RASIC_DESC!B23,IF($B$4="Make to Print",DATA_RASIC_DESC!B23,IF($B$4="Engineering Service Provider",DATA_RASIC_DESC!B23,IF($B$4="Full System Provider",DATA_RASIC_DESC!B23,IF($B$4="ESP_DOOR TRIM",DATA_RASIC_DESC!E23,IF($B$4="ESP_Partner_LEVEL_01",DATA_RASIC_DESC!H23,"")))))))</f>
        <v>Manage the overall Programme timing by creating a supplier work plan to ensure that all key milestones are met</v>
      </c>
      <c r="C30" s="325"/>
      <c r="D30" s="325"/>
      <c r="E30" s="325"/>
      <c r="F30" s="325"/>
      <c r="G30" s="325"/>
      <c r="H30" s="325"/>
      <c r="I30" s="325"/>
      <c r="J30" s="326"/>
      <c r="K30" s="40" t="str">
        <f>IF($B$4="Assembly or Component Provider",DATA_RASIC!Q23,IF($B$4="Consultancy Component Provider",DATA_RASIC!X23,IF($B$4="Make to Print",DATA_RASIC!AE23,IF($B$4="Engineering Service Provider",DATA_RASIC!C23,IF($B$4="Full System Provider",DATA_RASIC!J23,IF($B$4="ESP_DOOR TRIM",DATA_RASIC!AL23,IF($B$4="ESP_Partner_LEVEL_01",DATA_RASIC!AS23,"")))))))</f>
        <v>SE</v>
      </c>
      <c r="L30" s="40" t="str">
        <f>IF($B$4="Assembly or Component Provider",DATA_RASIC!R23,IF($B$4="Consultancy Component Provider",DATA_RASIC!Y23,IF($B$4="Make to Print",DATA_RASIC!AF23,IF($B$4="Engineering Service Provider",DATA_RASIC!D23,IF($B$4="Full System Provider",DATA_RASIC!K23,IF($B$4="ESP_DOOR TRIM",DATA_RASIC!AM23,IF($B$4="ESP_Partner_LEVEL_01",DATA_RASIC!AT23,"")))))))</f>
        <v>SE</v>
      </c>
      <c r="M30" s="40" t="str">
        <f>IF($B$4="Assembly or Component Provider",DATA_RASIC!S23,IF($B$4="Consultancy Component Provider",DATA_RASIC!Z23,IF($B$4="Make to Print",DATA_RASIC!AG23,IF($B$4="Engineering Service Provider",DATA_RASIC!E23,IF($B$4="Full System Provider",DATA_RASIC!L23,IF($B$4="ESP_DOOR TRIM",DATA_RASIC!AN23,IF($B$4="ESP_Partner_LEVEL_01",DATA_RASIC!AU23,"")))))))</f>
        <v>SE</v>
      </c>
      <c r="N30" s="40" t="str">
        <f>IF($B$4="Assembly or Component Provider",DATA_RASIC!T23,IF($B$4="Consultancy Component Provider",DATA_RASIC!AA23,IF($B$4="Make to Print",DATA_RASIC!AH23,IF($B$4="Engineering Service Provider",DATA_RASIC!F23,IF($B$4="Full System Provider",DATA_RASIC!M23,IF($B$4="ESP_DOOR TRIM",DATA_RASIC!AO23,IF($B$4="ESP_Partner_LEVEL_01",DATA_RASIC!AV23,"")))))))</f>
        <v>SE</v>
      </c>
      <c r="O30" s="40" t="str">
        <f>IF($B$4="Assembly or Component Provider",DATA_RASIC!U23,IF($B$4="Consultancy Component Provider",DATA_RASIC!AB23,IF($B$4="Make to Print",DATA_RASIC!AI23,IF($B$4="Engineering Service Provider",DATA_RASIC!G23,IF($B$4="Full System Provider",DATA_RASIC!N23,IF($B$4="ESP_DOOR TRIM",DATA_RASIC!AP23,IF($B$4="ESP_Partner_LEVEL_01",DATA_RASIC!AW23,"")))))))</f>
        <v>SE</v>
      </c>
      <c r="P30" s="40" t="str">
        <f>IF($B$4="Assembly or Component Provider",DATA_RASIC!V23,IF($B$4="Consultancy Component Provider",DATA_RASIC!AC23,IF($B$4="Make to Print",DATA_RASIC!AJ23,IF($B$4="Engineering Service Provider",DATA_RASIC!H23,IF($B$4="Full System Provider",DATA_RASIC!O23,IF($B$4="ESP_DOOR TRIM",DATA_RASIC!AQ23,IF($B$4="ESP_Partner_LEVEL_01",DATA_RASIC!AX23,"")))))))</f>
        <v>JLR</v>
      </c>
    </row>
    <row r="31" spans="1:16" s="28" customFormat="1" ht="30" customHeight="1" x14ac:dyDescent="0.3">
      <c r="A31" s="80" t="str">
        <f>IF($B$4="Assembly or Component Provider",DATA_RASIC_DESC!A24,IF($B$4="Consultancy Component Provider",DATA_RASIC_DESC!A24,IF($B$4="Make to Print",DATA_RASIC_DESC!A24,IF($B$4="Engineering Service Provider",DATA_RASIC_DESC!A24,IF($B$4="Full System Provider",DATA_RASIC_DESC!A24,IF($B$4="ESP_DOOR TRIM",DATA_RASIC_DESC!D24,IF($B$4="ESP_Partner_LEVEL_01",DATA_RASIC_DESC!G24,"")))))))</f>
        <v>PM.22</v>
      </c>
      <c r="B31" s="324" t="str">
        <f>IF($B$4="Assembly or Component Provider",DATA_RASIC_DESC!B24,IF($B$4="Consultancy Component Provider",DATA_RASIC_DESC!B24,IF($B$4="Make to Print",DATA_RASIC_DESC!B24,IF($B$4="Engineering Service Provider",DATA_RASIC_DESC!B24,IF($B$4="Full System Provider",DATA_RASIC_DESC!B24,IF($B$4="ESP_DOOR TRIM",DATA_RASIC_DESC!E24,IF($B$4="ESP_Partner_LEVEL_01",DATA_RASIC_DESC!H24,"")))))))</f>
        <v>Maintain all documentation &amp; status reports per JLR guidelines and follow document retention policy</v>
      </c>
      <c r="C31" s="325"/>
      <c r="D31" s="325"/>
      <c r="E31" s="325"/>
      <c r="F31" s="325"/>
      <c r="G31" s="325"/>
      <c r="H31" s="325"/>
      <c r="I31" s="325"/>
      <c r="J31" s="326"/>
      <c r="K31" s="40" t="str">
        <f>IF($B$4="Assembly or Component Provider",DATA_RASIC!Q24,IF($B$4="Consultancy Component Provider",DATA_RASIC!X24,IF($B$4="Make to Print",DATA_RASIC!AE24,IF($B$4="Engineering Service Provider",DATA_RASIC!C24,IF($B$4="Full System Provider",DATA_RASIC!J24,IF($B$4="ESP_DOOR TRIM",DATA_RASIC!AL24,IF($B$4="ESP_Partner_LEVEL_01",DATA_RASIC!AS24,"")))))))</f>
        <v>SHARE</v>
      </c>
      <c r="L31" s="40" t="str">
        <f>IF($B$4="Assembly or Component Provider",DATA_RASIC!R24,IF($B$4="Consultancy Component Provider",DATA_RASIC!Y24,IF($B$4="Make to Print",DATA_RASIC!AF24,IF($B$4="Engineering Service Provider",DATA_RASIC!D24,IF($B$4="Full System Provider",DATA_RASIC!K24,IF($B$4="ESP_DOOR TRIM",DATA_RASIC!AM24,IF($B$4="ESP_Partner_LEVEL_01",DATA_RASIC!AT24,"")))))))</f>
        <v>SHARE</v>
      </c>
      <c r="M31" s="40" t="str">
        <f>IF($B$4="Assembly or Component Provider",DATA_RASIC!S24,IF($B$4="Consultancy Component Provider",DATA_RASIC!Z24,IF($B$4="Make to Print",DATA_RASIC!AG24,IF($B$4="Engineering Service Provider",DATA_RASIC!E24,IF($B$4="Full System Provider",DATA_RASIC!L24,IF($B$4="ESP_DOOR TRIM",DATA_RASIC!AN24,IF($B$4="ESP_Partner_LEVEL_01",DATA_RASIC!AU24,"")))))))</f>
        <v>SHARE</v>
      </c>
      <c r="N31" s="40" t="str">
        <f>IF($B$4="Assembly or Component Provider",DATA_RASIC!T24,IF($B$4="Consultancy Component Provider",DATA_RASIC!AA24,IF($B$4="Make to Print",DATA_RASIC!AH24,IF($B$4="Engineering Service Provider",DATA_RASIC!F24,IF($B$4="Full System Provider",DATA_RASIC!M24,IF($B$4="ESP_DOOR TRIM",DATA_RASIC!AO24,IF($B$4="ESP_Partner_LEVEL_01",DATA_RASIC!AV24,"")))))))</f>
        <v>SHARE</v>
      </c>
      <c r="O31" s="40" t="str">
        <f>IF($B$4="Assembly or Component Provider",DATA_RASIC!U24,IF($B$4="Consultancy Component Provider",DATA_RASIC!AB24,IF($B$4="Make to Print",DATA_RASIC!AI24,IF($B$4="Engineering Service Provider",DATA_RASIC!G24,IF($B$4="Full System Provider",DATA_RASIC!N24,IF($B$4="ESP_DOOR TRIM",DATA_RASIC!AP24,IF($B$4="ESP_Partner_LEVEL_01",DATA_RASIC!AW24,"")))))))</f>
        <v>SHARE</v>
      </c>
      <c r="P31" s="40" t="str">
        <f>IF($B$4="Assembly or Component Provider",DATA_RASIC!V24,IF($B$4="Consultancy Component Provider",DATA_RASIC!AC24,IF($B$4="Make to Print",DATA_RASIC!AJ24,IF($B$4="Engineering Service Provider",DATA_RASIC!H24,IF($B$4="Full System Provider",DATA_RASIC!O24,IF($B$4="ESP_DOOR TRIM",DATA_RASIC!AQ24,IF($B$4="ESP_Partner_LEVEL_01",DATA_RASIC!AX24,"")))))))</f>
        <v>SHARE</v>
      </c>
    </row>
    <row r="32" spans="1:16" s="28" customFormat="1" ht="205.2" customHeight="1" x14ac:dyDescent="0.3">
      <c r="A32" s="80" t="str">
        <f>IF($B$4="Assembly or Component Provider",DATA_RASIC_DESC!A25,IF($B$4="Consultancy Component Provider",DATA_RASIC_DESC!A25,IF($B$4="Make to Print",DATA_RASIC_DESC!A25,IF($B$4="Engineering Service Provider",DATA_RASIC_DESC!A25,IF($B$4="Full System Provider",DATA_RASIC_DESC!A25,IF($B$4="ESP_DOOR TRIM",DATA_RASIC_DESC!D25,IF($B$4="ESP_Partner_LEVEL_01",DATA_RASIC_DESC!G25,"")))))))</f>
        <v>PM.23</v>
      </c>
      <c r="B32" s="324" t="str">
        <f>IF($B$4="Assembly or Component Provider",DATA_RASIC_DESC!B25,IF($B$4="Consultancy Component Provider",DATA_RASIC_DESC!B25,IF($B$4="Make to Print",DATA_RASIC_DESC!B25,IF($B$4="Engineering Service Provider",DATA_RASIC_DESC!B25,IF($B$4="Full System Provider",DATA_RASIC_DESC!B25,IF($B$4="ESP_DOOR TRIM",DATA_RASIC_DESC!E25,IF($B$4="ESP_Partner_LEVEL_01",DATA_RASIC_DESC!H25,"")))))))</f>
        <v>Perform Timing and Material Control support functions including:
· Support prototype / production build events and perform material control functions for modular assemblies
· JLR will provide a Support Plan for changes, if required, which the supplier must complete and return within 2 working days. Any response time exceptions are to be agreed with Jaguar Land Rover</v>
      </c>
      <c r="C32" s="325"/>
      <c r="D32" s="325"/>
      <c r="E32" s="325"/>
      <c r="F32" s="325"/>
      <c r="G32" s="325"/>
      <c r="H32" s="325"/>
      <c r="I32" s="325"/>
      <c r="J32" s="326"/>
      <c r="K32" s="40" t="str">
        <f>IF($B$4="Assembly or Component Provider",DATA_RASIC!Q25,IF($B$4="Consultancy Component Provider",DATA_RASIC!X25,IF($B$4="Make to Print",DATA_RASIC!AE25,IF($B$4="Engineering Service Provider",DATA_RASIC!C25,IF($B$4="Full System Provider",DATA_RASIC!J25,IF($B$4="ESP_DOOR TRIM",DATA_RASIC!AL25,IF($B$4="ESP_Partner_LEVEL_01",DATA_RASIC!AS25,"")))))))</f>
        <v>SHARE</v>
      </c>
      <c r="L32" s="40" t="str">
        <f>IF($B$4="Assembly or Component Provider",DATA_RASIC!R25,IF($B$4="Consultancy Component Provider",DATA_RASIC!Y25,IF($B$4="Make to Print",DATA_RASIC!AF25,IF($B$4="Engineering Service Provider",DATA_RASIC!D25,IF($B$4="Full System Provider",DATA_RASIC!K25,IF($B$4="ESP_DOOR TRIM",DATA_RASIC!AM25,IF($B$4="ESP_Partner_LEVEL_01",DATA_RASIC!AT25,"")))))))</f>
        <v>SHARE</v>
      </c>
      <c r="M32" s="40" t="str">
        <f>IF($B$4="Assembly or Component Provider",DATA_RASIC!S25,IF($B$4="Consultancy Component Provider",DATA_RASIC!Z25,IF($B$4="Make to Print",DATA_RASIC!AG25,IF($B$4="Engineering Service Provider",DATA_RASIC!E25,IF($B$4="Full System Provider",DATA_RASIC!L25,IF($B$4="ESP_DOOR TRIM",DATA_RASIC!AN25,IF($B$4="ESP_Partner_LEVEL_01",DATA_RASIC!AU25,"")))))))</f>
        <v>SHARE</v>
      </c>
      <c r="N32" s="40" t="str">
        <f>IF($B$4="Assembly or Component Provider",DATA_RASIC!T25,IF($B$4="Consultancy Component Provider",DATA_RASIC!AA25,IF($B$4="Make to Print",DATA_RASIC!AH25,IF($B$4="Engineering Service Provider",DATA_RASIC!F25,IF($B$4="Full System Provider",DATA_RASIC!M25,IF($B$4="ESP_DOOR TRIM",DATA_RASIC!AO25,IF($B$4="ESP_Partner_LEVEL_01",DATA_RASIC!AV25,"")))))))</f>
        <v>SHARE</v>
      </c>
      <c r="O32" s="40" t="str">
        <f>IF($B$4="Assembly or Component Provider",DATA_RASIC!U25,IF($B$4="Consultancy Component Provider",DATA_RASIC!AB25,IF($B$4="Make to Print",DATA_RASIC!AI25,IF($B$4="Engineering Service Provider",DATA_RASIC!G25,IF($B$4="Full System Provider",DATA_RASIC!N25,IF($B$4="ESP_DOOR TRIM",DATA_RASIC!AP25,IF($B$4="ESP_Partner_LEVEL_01",DATA_RASIC!AW25,"")))))))</f>
        <v>SHARE</v>
      </c>
      <c r="P32" s="40" t="str">
        <f>IF($B$4="Assembly or Component Provider",DATA_RASIC!V25,IF($B$4="Consultancy Component Provider",DATA_RASIC!AC25,IF($B$4="Make to Print",DATA_RASIC!AJ25,IF($B$4="Engineering Service Provider",DATA_RASIC!H25,IF($B$4="Full System Provider",DATA_RASIC!O25,IF($B$4="ESP_DOOR TRIM",DATA_RASIC!AQ25,IF($B$4="ESP_Partner_LEVEL_01",DATA_RASIC!AX25,"")))))))</f>
        <v>SHARE</v>
      </c>
    </row>
    <row r="33" spans="1:16" s="28" customFormat="1" ht="39" customHeight="1" x14ac:dyDescent="0.3">
      <c r="A33" s="80" t="str">
        <f>IF($B$4="Assembly or Component Provider",DATA_RASIC_DESC!A26,IF($B$4="Consultancy Component Provider",DATA_RASIC_DESC!A26,IF($B$4="Make to Print",DATA_RASIC_DESC!A26,IF($B$4="Engineering Service Provider",DATA_RASIC_DESC!A26,IF($B$4="Full System Provider",DATA_RASIC_DESC!A26,IF($B$4="ESP_DOOR TRIM",DATA_RASIC_DESC!D26,IF($B$4="ESP_Partner_LEVEL_01",DATA_RASIC_DESC!G26,"")))))))</f>
        <v>PM.24</v>
      </c>
      <c r="B33" s="324" t="str">
        <f>IF($B$4="Assembly or Component Provider",DATA_RASIC_DESC!B26,IF($B$4="Consultancy Component Provider",DATA_RASIC_DESC!B26,IF($B$4="Make to Print",DATA_RASIC_DESC!B26,IF($B$4="Engineering Service Provider",DATA_RASIC_DESC!B26,IF($B$4="Full System Provider",DATA_RASIC_DESC!B26,IF($B$4="ESP_DOOR TRIM",DATA_RASIC_DESC!E26,IF($B$4="ESP_Partner_LEVEL_01",DATA_RASIC_DESC!H26,"")))))))</f>
        <v>Review open issues on a regular basis and action in a timely manner to support Programme objectives</v>
      </c>
      <c r="C33" s="325"/>
      <c r="D33" s="325"/>
      <c r="E33" s="325"/>
      <c r="F33" s="325"/>
      <c r="G33" s="325"/>
      <c r="H33" s="325"/>
      <c r="I33" s="325"/>
      <c r="J33" s="326"/>
      <c r="K33" s="40" t="str">
        <f>IF($B$4="Assembly or Component Provider",DATA_RASIC!Q26,IF($B$4="Consultancy Component Provider",DATA_RASIC!X26,IF($B$4="Make to Print",DATA_RASIC!AE26,IF($B$4="Engineering Service Provider",DATA_RASIC!C26,IF($B$4="Full System Provider",DATA_RASIC!J26,IF($B$4="ESP_DOOR TRIM",DATA_RASIC!AL26,IF($B$4="ESP_Partner_LEVEL_01",DATA_RASIC!AS26,"")))))))</f>
        <v>SHARE</v>
      </c>
      <c r="L33" s="40" t="str">
        <f>IF($B$4="Assembly or Component Provider",DATA_RASIC!R26,IF($B$4="Consultancy Component Provider",DATA_RASIC!Y26,IF($B$4="Make to Print",DATA_RASIC!AF26,IF($B$4="Engineering Service Provider",DATA_RASIC!D26,IF($B$4="Full System Provider",DATA_RASIC!K26,IF($B$4="ESP_DOOR TRIM",DATA_RASIC!AM26,IF($B$4="ESP_Partner_LEVEL_01",DATA_RASIC!AT26,"")))))))</f>
        <v>SHARE</v>
      </c>
      <c r="M33" s="40" t="str">
        <f>IF($B$4="Assembly or Component Provider",DATA_RASIC!S26,IF($B$4="Consultancy Component Provider",DATA_RASIC!Z26,IF($B$4="Make to Print",DATA_RASIC!AG26,IF($B$4="Engineering Service Provider",DATA_RASIC!E26,IF($B$4="Full System Provider",DATA_RASIC!L26,IF($B$4="ESP_DOOR TRIM",DATA_RASIC!AN26,IF($B$4="ESP_Partner_LEVEL_01",DATA_RASIC!AU26,"")))))))</f>
        <v>SHARE</v>
      </c>
      <c r="N33" s="40" t="str">
        <f>IF($B$4="Assembly or Component Provider",DATA_RASIC!T26,IF($B$4="Consultancy Component Provider",DATA_RASIC!AA26,IF($B$4="Make to Print",DATA_RASIC!AH26,IF($B$4="Engineering Service Provider",DATA_RASIC!F26,IF($B$4="Full System Provider",DATA_RASIC!M26,IF($B$4="ESP_DOOR TRIM",DATA_RASIC!AO26,IF($B$4="ESP_Partner_LEVEL_01",DATA_RASIC!AV26,"")))))))</f>
        <v>SHARE</v>
      </c>
      <c r="O33" s="40" t="str">
        <f>IF($B$4="Assembly or Component Provider",DATA_RASIC!U26,IF($B$4="Consultancy Component Provider",DATA_RASIC!AB26,IF($B$4="Make to Print",DATA_RASIC!AI26,IF($B$4="Engineering Service Provider",DATA_RASIC!G26,IF($B$4="Full System Provider",DATA_RASIC!N26,IF($B$4="ESP_DOOR TRIM",DATA_RASIC!AP26,IF($B$4="ESP_Partner_LEVEL_01",DATA_RASIC!AW26,"")))))))</f>
        <v>SHARE</v>
      </c>
      <c r="P33" s="40" t="str">
        <f>IF($B$4="Assembly or Component Provider",DATA_RASIC!V26,IF($B$4="Consultancy Component Provider",DATA_RASIC!AC26,IF($B$4="Make to Print",DATA_RASIC!AJ26,IF($B$4="Engineering Service Provider",DATA_RASIC!H26,IF($B$4="Full System Provider",DATA_RASIC!O26,IF($B$4="ESP_DOOR TRIM",DATA_RASIC!AQ26,IF($B$4="ESP_Partner_LEVEL_01",DATA_RASIC!AX26,"")))))))</f>
        <v>SHARE</v>
      </c>
    </row>
    <row r="34" spans="1:16" s="28" customFormat="1" ht="39" customHeight="1" x14ac:dyDescent="0.3">
      <c r="A34" s="80" t="str">
        <f>IF($B$4="Assembly or Component Provider",DATA_RASIC_DESC!A27,IF($B$4="Consultancy Component Provider",DATA_RASIC_DESC!A27,IF($B$4="Make to Print",DATA_RASIC_DESC!A27,IF($B$4="Engineering Service Provider",DATA_RASIC_DESC!A27,IF($B$4="Full System Provider",DATA_RASIC_DESC!A27,IF($B$4="ESP_DOOR TRIM",DATA_RASIC_DESC!D27,IF($B$4="ESP_Partner_LEVEL_01",DATA_RASIC_DESC!G27,"")))))))</f>
        <v>PM.25</v>
      </c>
      <c r="B34" s="324" t="str">
        <f>IF($B$4="Assembly or Component Provider",DATA_RASIC_DESC!B27,IF($B$4="Consultancy Component Provider",DATA_RASIC_DESC!B27,IF($B$4="Make to Print",DATA_RASIC_DESC!B27,IF($B$4="Engineering Service Provider",DATA_RASIC_DESC!B27,IF($B$4="Full System Provider",DATA_RASIC_DESC!B27,IF($B$4="ESP_DOOR TRIM",DATA_RASIC_DESC!E27,IF($B$4="ESP_Partner_LEVEL_01",DATA_RASIC_DESC!H27,"")))))))</f>
        <v>Ensure open issue management follows the 8D philosophy</v>
      </c>
      <c r="C34" s="325"/>
      <c r="D34" s="325"/>
      <c r="E34" s="325"/>
      <c r="F34" s="325"/>
      <c r="G34" s="325"/>
      <c r="H34" s="325"/>
      <c r="I34" s="325"/>
      <c r="J34" s="326"/>
      <c r="K34" s="40" t="str">
        <f>IF($B$4="Assembly or Component Provider",DATA_RASIC!Q27,IF($B$4="Consultancy Component Provider",DATA_RASIC!X27,IF($B$4="Make to Print",DATA_RASIC!AE27,IF($B$4="Engineering Service Provider",DATA_RASIC!C27,IF($B$4="Full System Provider",DATA_RASIC!J27,IF($B$4="ESP_DOOR TRIM",DATA_RASIC!AL27,IF($B$4="ESP_Partner_LEVEL_01",DATA_RASIC!AS27,"")))))))</f>
        <v>SHARE</v>
      </c>
      <c r="L34" s="40" t="str">
        <f>IF($B$4="Assembly or Component Provider",DATA_RASIC!R27,IF($B$4="Consultancy Component Provider",DATA_RASIC!Y27,IF($B$4="Make to Print",DATA_RASIC!AF27,IF($B$4="Engineering Service Provider",DATA_RASIC!D27,IF($B$4="Full System Provider",DATA_RASIC!K27,IF($B$4="ESP_DOOR TRIM",DATA_RASIC!AM27,IF($B$4="ESP_Partner_LEVEL_01",DATA_RASIC!AT27,"")))))))</f>
        <v>SHARE</v>
      </c>
      <c r="M34" s="40" t="str">
        <f>IF($B$4="Assembly or Component Provider",DATA_RASIC!S27,IF($B$4="Consultancy Component Provider",DATA_RASIC!Z27,IF($B$4="Make to Print",DATA_RASIC!AG27,IF($B$4="Engineering Service Provider",DATA_RASIC!E27,IF($B$4="Full System Provider",DATA_RASIC!L27,IF($B$4="ESP_DOOR TRIM",DATA_RASIC!AN27,IF($B$4="ESP_Partner_LEVEL_01",DATA_RASIC!AU27,"")))))))</f>
        <v>SHARE</v>
      </c>
      <c r="N34" s="40" t="str">
        <f>IF($B$4="Assembly or Component Provider",DATA_RASIC!T27,IF($B$4="Consultancy Component Provider",DATA_RASIC!AA27,IF($B$4="Make to Print",DATA_RASIC!AH27,IF($B$4="Engineering Service Provider",DATA_RASIC!F27,IF($B$4="Full System Provider",DATA_RASIC!M27,IF($B$4="ESP_DOOR TRIM",DATA_RASIC!AO27,IF($B$4="ESP_Partner_LEVEL_01",DATA_RASIC!AV27,"")))))))</f>
        <v>SHARE</v>
      </c>
      <c r="O34" s="40" t="str">
        <f>IF($B$4="Assembly or Component Provider",DATA_RASIC!U27,IF($B$4="Consultancy Component Provider",DATA_RASIC!AB27,IF($B$4="Make to Print",DATA_RASIC!AI27,IF($B$4="Engineering Service Provider",DATA_RASIC!G27,IF($B$4="Full System Provider",DATA_RASIC!N27,IF($B$4="ESP_DOOR TRIM",DATA_RASIC!AP27,IF($B$4="ESP_Partner_LEVEL_01",DATA_RASIC!AW27,"")))))))</f>
        <v>SHARE</v>
      </c>
      <c r="P34" s="40" t="str">
        <f>IF($B$4="Assembly or Component Provider",DATA_RASIC!V27,IF($B$4="Consultancy Component Provider",DATA_RASIC!AC27,IF($B$4="Make to Print",DATA_RASIC!AJ27,IF($B$4="Engineering Service Provider",DATA_RASIC!H27,IF($B$4="Full System Provider",DATA_RASIC!O27,IF($B$4="ESP_DOOR TRIM",DATA_RASIC!AQ27,IF($B$4="ESP_Partner_LEVEL_01",DATA_RASIC!AX27,"")))))))</f>
        <v>SHARE</v>
      </c>
    </row>
    <row r="35" spans="1:16" s="28" customFormat="1" ht="39" customHeight="1" x14ac:dyDescent="0.3">
      <c r="A35" s="80" t="str">
        <f>IF($B$4="Assembly or Component Provider",DATA_RASIC_DESC!A28,IF($B$4="Consultancy Component Provider",DATA_RASIC_DESC!A28,IF($B$4="Make to Print",DATA_RASIC_DESC!A28,IF($B$4="Engineering Service Provider",DATA_RASIC_DESC!A28,IF($B$4="Full System Provider",DATA_RASIC_DESC!A28,IF($B$4="ESP_DOOR TRIM",DATA_RASIC_DESC!D28,IF($B$4="ESP_Partner_LEVEL_01",DATA_RASIC_DESC!G28,"")))))))</f>
        <v>-</v>
      </c>
      <c r="B35" s="324" t="str">
        <f>IF($B$4="Assembly or Component Provider",DATA_RASIC_DESC!B28,IF($B$4="Consultancy Component Provider",DATA_RASIC_DESC!B28,IF($B$4="Make to Print",DATA_RASIC_DESC!B28,IF($B$4="Engineering Service Provider",DATA_RASIC_DESC!B28,IF($B$4="Full System Provider",DATA_RASIC_DESC!B28,IF($B$4="ESP_DOOR TRIM",DATA_RASIC_DESC!E28,IF($B$4="ESP_Partner_LEVEL_01",DATA_RASIC_DESC!H28,"")))))))</f>
        <v>Reserved</v>
      </c>
      <c r="C35" s="325"/>
      <c r="D35" s="325"/>
      <c r="E35" s="325"/>
      <c r="F35" s="325"/>
      <c r="G35" s="325"/>
      <c r="H35" s="325"/>
      <c r="I35" s="325"/>
      <c r="J35" s="326"/>
      <c r="K35" s="40" t="str">
        <f>IF($B$4="Assembly or Component Provider",DATA_RASIC!Q28,IF($B$4="Consultancy Component Provider",DATA_RASIC!X28,IF($B$4="Make to Print",DATA_RASIC!AE28,IF($B$4="Engineering Service Provider",DATA_RASIC!C28,IF($B$4="Full System Provider",DATA_RASIC!J28,IF($B$4="ESP_DOOR TRIM",DATA_RASIC!AL28,IF($B$4="ESP_Partner_LEVEL_01",DATA_RASIC!AS28,"")))))))</f>
        <v>N/A</v>
      </c>
      <c r="L35" s="40" t="str">
        <f>IF($B$4="Assembly or Component Provider",DATA_RASIC!R28,IF($B$4="Consultancy Component Provider",DATA_RASIC!Y28,IF($B$4="Make to Print",DATA_RASIC!AF28,IF($B$4="Engineering Service Provider",DATA_RASIC!D28,IF($B$4="Full System Provider",DATA_RASIC!K28,IF($B$4="ESP_DOOR TRIM",DATA_RASIC!AM28,IF($B$4="ESP_Partner_LEVEL_01",DATA_RASIC!AT28,"")))))))</f>
        <v>-</v>
      </c>
      <c r="M35" s="40" t="str">
        <f>IF($B$4="Assembly or Component Provider",DATA_RASIC!S28,IF($B$4="Consultancy Component Provider",DATA_RASIC!Z28,IF($B$4="Make to Print",DATA_RASIC!AG28,IF($B$4="Engineering Service Provider",DATA_RASIC!E28,IF($B$4="Full System Provider",DATA_RASIC!L28,IF($B$4="ESP_DOOR TRIM",DATA_RASIC!AN28,IF($B$4="ESP_Partner_LEVEL_01",DATA_RASIC!AU28,"")))))))</f>
        <v>-</v>
      </c>
      <c r="N35" s="40" t="str">
        <f>IF($B$4="Assembly or Component Provider",DATA_RASIC!T28,IF($B$4="Consultancy Component Provider",DATA_RASIC!AA28,IF($B$4="Make to Print",DATA_RASIC!AH28,IF($B$4="Engineering Service Provider",DATA_RASIC!F28,IF($B$4="Full System Provider",DATA_RASIC!M28,IF($B$4="ESP_DOOR TRIM",DATA_RASIC!AO28,IF($B$4="ESP_Partner_LEVEL_01",DATA_RASIC!AV28,"")))))))</f>
        <v>-</v>
      </c>
      <c r="O35" s="40" t="str">
        <f>IF($B$4="Assembly or Component Provider",DATA_RASIC!U28,IF($B$4="Consultancy Component Provider",DATA_RASIC!AB28,IF($B$4="Make to Print",DATA_RASIC!AI28,IF($B$4="Engineering Service Provider",DATA_RASIC!G28,IF($B$4="Full System Provider",DATA_RASIC!N28,IF($B$4="ESP_DOOR TRIM",DATA_RASIC!AP28,IF($B$4="ESP_Partner_LEVEL_01",DATA_RASIC!AW28,"")))))))</f>
        <v>-</v>
      </c>
      <c r="P35" s="40" t="str">
        <f>IF($B$4="Assembly or Component Provider",DATA_RASIC!V28,IF($B$4="Consultancy Component Provider",DATA_RASIC!AC28,IF($B$4="Make to Print",DATA_RASIC!AJ28,IF($B$4="Engineering Service Provider",DATA_RASIC!H28,IF($B$4="Full System Provider",DATA_RASIC!O28,IF($B$4="ESP_DOOR TRIM",DATA_RASIC!AQ28,IF($B$4="ESP_Partner_LEVEL_01",DATA_RASIC!AX28,"")))))))</f>
        <v>-</v>
      </c>
    </row>
    <row r="36" spans="1:16" s="9" customFormat="1" ht="18" customHeight="1" x14ac:dyDescent="0.3">
      <c r="A36" s="602" t="s">
        <v>991</v>
      </c>
      <c r="B36" s="602"/>
      <c r="C36" s="602"/>
      <c r="D36" s="602"/>
      <c r="E36" s="602"/>
      <c r="F36" s="602"/>
      <c r="G36" s="602"/>
      <c r="H36" s="602"/>
      <c r="I36" s="602"/>
      <c r="J36" s="602"/>
      <c r="K36" s="603" t="s">
        <v>982</v>
      </c>
      <c r="L36" s="457"/>
      <c r="M36" s="457"/>
      <c r="N36" s="457"/>
      <c r="O36" s="604" t="s">
        <v>424</v>
      </c>
      <c r="P36" s="457"/>
    </row>
    <row r="37" spans="1:16" ht="18" customHeight="1" x14ac:dyDescent="0.3">
      <c r="A37" s="39" t="s">
        <v>983</v>
      </c>
      <c r="B37" s="588" t="s">
        <v>984</v>
      </c>
      <c r="C37" s="588"/>
      <c r="D37" s="588"/>
      <c r="E37" s="588"/>
      <c r="F37" s="588"/>
      <c r="G37" s="588"/>
      <c r="H37" s="588"/>
      <c r="I37" s="588"/>
      <c r="J37" s="588"/>
      <c r="K37" s="39" t="s">
        <v>985</v>
      </c>
      <c r="L37" s="39" t="s">
        <v>986</v>
      </c>
      <c r="M37" s="39" t="s">
        <v>987</v>
      </c>
      <c r="N37" s="39" t="s">
        <v>988</v>
      </c>
      <c r="O37" s="39" t="s">
        <v>989</v>
      </c>
      <c r="P37" s="39" t="s">
        <v>990</v>
      </c>
    </row>
    <row r="38" spans="1:16" ht="38.4" customHeight="1" x14ac:dyDescent="0.3">
      <c r="A38" s="80" t="str">
        <f>IF($B$4="Assembly or Component Provider",DATA_RASIC_DESC!A31,IF($B$4="Consultancy Component Provider",DATA_RASIC_DESC!A31,IF($B$4="Make to Print",DATA_RASIC_DESC!A31,IF($B$4="Engineering Service Provider",DATA_RASIC_DESC!A31,IF($B$4="Full System Provider",DATA_RASIC_DESC!A31,IF($B$4="ESP_DOOR TRIM",DATA_RASIC_DESC!D31,IF($B$4="ESP_Partner_LEVEL_01",DATA_RASIC_DESC!G31,"")))))))</f>
        <v>MB.1</v>
      </c>
      <c r="B38" s="432" t="str">
        <f>IF($B$4="Assembly or Component Provider",DATA_RASIC_DESC!B31,IF($B$4="Consultancy Component Provider",DATA_RASIC_DESC!B31,IF($B$4="Make to Print",DATA_RASIC_DESC!B31,IF($B$4="Engineering Service Provider",DATA_RASIC_DESC!B31,IF($B$4="Full System Provider",DATA_RASIC_DESC!B31,IF($B$4="ESP_DOOR TRIM",DATA_RASIC_DESC!E31,IF($B$4="ESP_Partner_LEVEL_01",DATA_RASIC_DESC!H31,"")))))))</f>
        <v>Define market and competitive vehicles</v>
      </c>
      <c r="C38" s="432"/>
      <c r="D38" s="432"/>
      <c r="E38" s="432"/>
      <c r="F38" s="432"/>
      <c r="G38" s="432"/>
      <c r="H38" s="432"/>
      <c r="I38" s="432"/>
      <c r="J38" s="432"/>
      <c r="K38" s="40" t="str">
        <f>IF($B$4="Assembly or Component Provider",DATA_RASIC!Q32,IF($B$4="Consultancy Component Provider",DATA_RASIC!X32,IF($B$4="Make to Print",DATA_RASIC!AE32,IF($B$4="Engineering Service Provider",DATA_RASIC!C32,IF($B$4="Full System Provider",DATA_RASIC!J32,IF($B$4="ESP_DOOR TRIM",DATA_RASIC!AL32,IF($B$4="ESP_Partner_LEVEL_01",DATA_RASIC!AS32,"")))))))</f>
        <v>JLR</v>
      </c>
      <c r="L38" s="40" t="str">
        <f>IF($B$4="Assembly or Component Provider",DATA_RASIC!R32,IF($B$4="Consultancy Component Provider",DATA_RASIC!Y32,IF($B$4="Make to Print",DATA_RASIC!AF32,IF($B$4="Engineering Service Provider",DATA_RASIC!D32,IF($B$4="Full System Provider",DATA_RASIC!K32,IF($B$4="ESP_DOOR TRIM",DATA_RASIC!AM32,IF($B$4="ESP_Partner_LEVEL_01",DATA_RASIC!AT32,"")))))))</f>
        <v>JLR</v>
      </c>
      <c r="M38" s="40" t="str">
        <f>IF($B$4="Assembly or Component Provider",DATA_RASIC!S32,IF($B$4="Consultancy Component Provider",DATA_RASIC!Z32,IF($B$4="Make to Print",DATA_RASIC!AG32,IF($B$4="Engineering Service Provider",DATA_RASIC!E32,IF($B$4="Full System Provider",DATA_RASIC!L32,IF($B$4="ESP_DOOR TRIM",DATA_RASIC!AN32,IF($B$4="ESP_Partner_LEVEL_01",DATA_RASIC!AU32,"")))))))</f>
        <v>JLR</v>
      </c>
      <c r="N38" s="40" t="str">
        <f>IF($B$4="Assembly or Component Provider",DATA_RASIC!T32,IF($B$4="Consultancy Component Provider",DATA_RASIC!AA32,IF($B$4="Make to Print",DATA_RASIC!AH32,IF($B$4="Engineering Service Provider",DATA_RASIC!F32,IF($B$4="Full System Provider",DATA_RASIC!M32,IF($B$4="ESP_DOOR TRIM",DATA_RASIC!AO32,IF($B$4="ESP_Partner_LEVEL_01",DATA_RASIC!AV32,"")))))))</f>
        <v>-</v>
      </c>
      <c r="O38" s="40" t="str">
        <f>IF($B$4="Assembly or Component Provider",DATA_RASIC!U32,IF($B$4="Consultancy Component Provider",DATA_RASIC!AB32,IF($B$4="Make to Print",DATA_RASIC!AI32,IF($B$4="Engineering Service Provider",DATA_RASIC!G32,IF($B$4="Full System Provider",DATA_RASIC!N32,IF($B$4="ESP_DOOR TRIM",DATA_RASIC!AP32,IF($B$4="ESP_Partner_LEVEL_01",DATA_RASIC!AW32,"")))))))</f>
        <v>SE</v>
      </c>
      <c r="P38" s="40" t="str">
        <f>IF($B$4="Assembly or Component Provider",DATA_RASIC!V32,IF($B$4="Consultancy Component Provider",DATA_RASIC!AC32,IF($B$4="Make to Print",DATA_RASIC!AJ32,IF($B$4="Engineering Service Provider",DATA_RASIC!H32,IF($B$4="Full System Provider",DATA_RASIC!O32,IF($B$4="ESP_DOOR TRIM",DATA_RASIC!AQ32,IF($B$4="ESP_Partner_LEVEL_01",DATA_RASIC!AX32,"")))))))</f>
        <v>-</v>
      </c>
    </row>
    <row r="39" spans="1:16" ht="38.4" customHeight="1" x14ac:dyDescent="0.3">
      <c r="A39" s="80" t="str">
        <f>IF($B$4="Assembly or Component Provider",DATA_RASIC_DESC!A32,IF($B$4="Consultancy Component Provider",DATA_RASIC_DESC!A32,IF($B$4="Make to Print",DATA_RASIC_DESC!A32,IF($B$4="Engineering Service Provider",DATA_RASIC_DESC!A32,IF($B$4="Full System Provider",DATA_RASIC_DESC!A32,IF($B$4="ESP_DOOR TRIM",DATA_RASIC_DESC!D32,IF($B$4="ESP_Partner_LEVEL_01",DATA_RASIC_DESC!G32,"")))))))</f>
        <v>MB.2</v>
      </c>
      <c r="B39" s="432" t="str">
        <f>IF($B$4="Assembly or Component Provider",DATA_RASIC_DESC!B32,IF($B$4="Consultancy Component Provider",DATA_RASIC_DESC!B32,IF($B$4="Make to Print",DATA_RASIC_DESC!B32,IF($B$4="Engineering Service Provider",DATA_RASIC_DESC!B32,IF($B$4="Full System Provider",DATA_RASIC_DESC!B32,IF($B$4="ESP_DOOR TRIM",DATA_RASIC_DESC!E32,IF($B$4="ESP_Partner_LEVEL_01",DATA_RASIC_DESC!H32,"")))))))</f>
        <v xml:space="preserve">Share competitive vehicle benchmarking information </v>
      </c>
      <c r="C39" s="432"/>
      <c r="D39" s="432"/>
      <c r="E39" s="432"/>
      <c r="F39" s="432"/>
      <c r="G39" s="432"/>
      <c r="H39" s="432"/>
      <c r="I39" s="432"/>
      <c r="J39" s="432"/>
      <c r="K39" s="40" t="str">
        <f>IF($B$4="Assembly or Component Provider",DATA_RASIC!Q33,IF($B$4="Consultancy Component Provider",DATA_RASIC!X33,IF($B$4="Make to Print",DATA_RASIC!AE33,IF($B$4="Engineering Service Provider",DATA_RASIC!C33,IF($B$4="Full System Provider",DATA_RASIC!J33,IF($B$4="ESP_DOOR TRIM",DATA_RASIC!AL33,IF($B$4="ESP_Partner_LEVEL_01",DATA_RASIC!AS33,"")))))))</f>
        <v>JLR</v>
      </c>
      <c r="L39" s="40" t="str">
        <f>IF($B$4="Assembly or Component Provider",DATA_RASIC!R33,IF($B$4="Consultancy Component Provider",DATA_RASIC!Y33,IF($B$4="Make to Print",DATA_RASIC!AF33,IF($B$4="Engineering Service Provider",DATA_RASIC!D33,IF($B$4="Full System Provider",DATA_RASIC!K33,IF($B$4="ESP_DOOR TRIM",DATA_RASIC!AM33,IF($B$4="ESP_Partner_LEVEL_01",DATA_RASIC!AT33,"")))))))</f>
        <v>JLR</v>
      </c>
      <c r="M39" s="40" t="str">
        <f>IF($B$4="Assembly or Component Provider",DATA_RASIC!S33,IF($B$4="Consultancy Component Provider",DATA_RASIC!Z33,IF($B$4="Make to Print",DATA_RASIC!AG33,IF($B$4="Engineering Service Provider",DATA_RASIC!E33,IF($B$4="Full System Provider",DATA_RASIC!L33,IF($B$4="ESP_DOOR TRIM",DATA_RASIC!AN33,IF($B$4="ESP_Partner_LEVEL_01",DATA_RASIC!AU33,"")))))))</f>
        <v>JLR</v>
      </c>
      <c r="N39" s="40" t="str">
        <f>IF($B$4="Assembly or Component Provider",DATA_RASIC!T33,IF($B$4="Consultancy Component Provider",DATA_RASIC!AA33,IF($B$4="Make to Print",DATA_RASIC!AH33,IF($B$4="Engineering Service Provider",DATA_RASIC!F33,IF($B$4="Full System Provider",DATA_RASIC!M33,IF($B$4="ESP_DOOR TRIM",DATA_RASIC!AO33,IF($B$4="ESP_Partner_LEVEL_01",DATA_RASIC!AV33,"")))))))</f>
        <v>-</v>
      </c>
      <c r="O39" s="40" t="str">
        <f>IF($B$4="Assembly or Component Provider",DATA_RASIC!U33,IF($B$4="Consultancy Component Provider",DATA_RASIC!AB33,IF($B$4="Make to Print",DATA_RASIC!AI33,IF($B$4="Engineering Service Provider",DATA_RASIC!G33,IF($B$4="Full System Provider",DATA_RASIC!N33,IF($B$4="ESP_DOOR TRIM",DATA_RASIC!AP33,IF($B$4="ESP_Partner_LEVEL_01",DATA_RASIC!AW33,"")))))))</f>
        <v>SE</v>
      </c>
      <c r="P39" s="40" t="str">
        <f>IF($B$4="Assembly or Component Provider",DATA_RASIC!V33,IF($B$4="Consultancy Component Provider",DATA_RASIC!AC33,IF($B$4="Make to Print",DATA_RASIC!AJ33,IF($B$4="Engineering Service Provider",DATA_RASIC!H33,IF($B$4="Full System Provider",DATA_RASIC!O33,IF($B$4="ESP_DOOR TRIM",DATA_RASIC!AQ33,IF($B$4="ESP_Partner_LEVEL_01",DATA_RASIC!AX33,"")))))))</f>
        <v>-</v>
      </c>
    </row>
    <row r="40" spans="1:16" ht="38.4" customHeight="1" x14ac:dyDescent="0.3">
      <c r="A40" s="80" t="str">
        <f>IF($B$4="Assembly or Component Provider",DATA_RASIC_DESC!A33,IF($B$4="Consultancy Component Provider",DATA_RASIC_DESC!A33,IF($B$4="Make to Print",DATA_RASIC_DESC!A33,IF($B$4="Engineering Service Provider",DATA_RASIC_DESC!A33,IF($B$4="Full System Provider",DATA_RASIC_DESC!A33,IF($B$4="ESP_DOOR TRIM",DATA_RASIC_DESC!D33,IF($B$4="ESP_Partner_LEVEL_01",DATA_RASIC_DESC!G33,"")))))))</f>
        <v>MB.3</v>
      </c>
      <c r="B40" s="432" t="str">
        <f>IF($B$4="Assembly or Component Provider",DATA_RASIC_DESC!B33,IF($B$4="Consultancy Component Provider",DATA_RASIC_DESC!B33,IF($B$4="Make to Print",DATA_RASIC_DESC!B33,IF($B$4="Engineering Service Provider",DATA_RASIC_DESC!B33,IF($B$4="Full System Provider",DATA_RASIC_DESC!B33,IF($B$4="ESP_DOOR TRIM",DATA_RASIC_DESC!E33,IF($B$4="ESP_Partner_LEVEL_01",DATA_RASIC_DESC!H33,"")))))))</f>
        <v xml:space="preserve">Provide customer desired attributes as required ;    e.g. QFD / PALS / Kano </v>
      </c>
      <c r="C40" s="432"/>
      <c r="D40" s="432"/>
      <c r="E40" s="432"/>
      <c r="F40" s="432"/>
      <c r="G40" s="432"/>
      <c r="H40" s="432"/>
      <c r="I40" s="432"/>
      <c r="J40" s="432"/>
      <c r="K40" s="40" t="str">
        <f>IF($B$4="Assembly or Component Provider",DATA_RASIC!Q34,IF($B$4="Consultancy Component Provider",DATA_RASIC!X34,IF($B$4="Make to Print",DATA_RASIC!AE34,IF($B$4="Engineering Service Provider",DATA_RASIC!C34,IF($B$4="Full System Provider",DATA_RASIC!J34,IF($B$4="ESP_DOOR TRIM",DATA_RASIC!AL34,IF($B$4="ESP_Partner_LEVEL_01",DATA_RASIC!AS34,"")))))))</f>
        <v>JLR</v>
      </c>
      <c r="L40" s="40" t="str">
        <f>IF($B$4="Assembly or Component Provider",DATA_RASIC!R34,IF($B$4="Consultancy Component Provider",DATA_RASIC!Y34,IF($B$4="Make to Print",DATA_RASIC!AF34,IF($B$4="Engineering Service Provider",DATA_RASIC!D34,IF($B$4="Full System Provider",DATA_RASIC!K34,IF($B$4="ESP_DOOR TRIM",DATA_RASIC!AM34,IF($B$4="ESP_Partner_LEVEL_01",DATA_RASIC!AT34,"")))))))</f>
        <v>JLR</v>
      </c>
      <c r="M40" s="40" t="str">
        <f>IF($B$4="Assembly or Component Provider",DATA_RASIC!S34,IF($B$4="Consultancy Component Provider",DATA_RASIC!Z34,IF($B$4="Make to Print",DATA_RASIC!AG34,IF($B$4="Engineering Service Provider",DATA_RASIC!E34,IF($B$4="Full System Provider",DATA_RASIC!L34,IF($B$4="ESP_DOOR TRIM",DATA_RASIC!AN34,IF($B$4="ESP_Partner_LEVEL_01",DATA_RASIC!AU34,"")))))))</f>
        <v>JLR</v>
      </c>
      <c r="N40" s="40" t="str">
        <f>IF($B$4="Assembly or Component Provider",DATA_RASIC!T34,IF($B$4="Consultancy Component Provider",DATA_RASIC!AA34,IF($B$4="Make to Print",DATA_RASIC!AH34,IF($B$4="Engineering Service Provider",DATA_RASIC!F34,IF($B$4="Full System Provider",DATA_RASIC!M34,IF($B$4="ESP_DOOR TRIM",DATA_RASIC!AO34,IF($B$4="ESP_Partner_LEVEL_01",DATA_RASIC!AV34,"")))))))</f>
        <v>-</v>
      </c>
      <c r="O40" s="40" t="str">
        <f>IF($B$4="Assembly or Component Provider",DATA_RASIC!U34,IF($B$4="Consultancy Component Provider",DATA_RASIC!AB34,IF($B$4="Make to Print",DATA_RASIC!AI34,IF($B$4="Engineering Service Provider",DATA_RASIC!G34,IF($B$4="Full System Provider",DATA_RASIC!N34,IF($B$4="ESP_DOOR TRIM",DATA_RASIC!AP34,IF($B$4="ESP_Partner_LEVEL_01",DATA_RASIC!AW34,"")))))))</f>
        <v>SE</v>
      </c>
      <c r="P40" s="40" t="str">
        <f>IF($B$4="Assembly or Component Provider",DATA_RASIC!V34,IF($B$4="Consultancy Component Provider",DATA_RASIC!AC34,IF($B$4="Make to Print",DATA_RASIC!AJ34,IF($B$4="Engineering Service Provider",DATA_RASIC!H34,IF($B$4="Full System Provider",DATA_RASIC!O34,IF($B$4="ESP_DOOR TRIM",DATA_RASIC!AQ34,IF($B$4="ESP_Partner_LEVEL_01",DATA_RASIC!AX34,"")))))))</f>
        <v>-</v>
      </c>
    </row>
    <row r="41" spans="1:16" ht="38.4" customHeight="1" x14ac:dyDescent="0.3">
      <c r="A41" s="80" t="str">
        <f>IF($B$4="Assembly or Component Provider",DATA_RASIC_DESC!A34,IF($B$4="Consultancy Component Provider",DATA_RASIC_DESC!A34,IF($B$4="Make to Print",DATA_RASIC_DESC!A34,IF($B$4="Engineering Service Provider",DATA_RASIC_DESC!A34,IF($B$4="Full System Provider",DATA_RASIC_DESC!A34,IF($B$4="ESP_DOOR TRIM",DATA_RASIC_DESC!D34,IF($B$4="ESP_Partner_LEVEL_01",DATA_RASIC_DESC!G34,"")))))))</f>
        <v>MB.4</v>
      </c>
      <c r="B41" s="432" t="str">
        <f>IF($B$4="Assembly or Component Provider",DATA_RASIC_DESC!B34,IF($B$4="Consultancy Component Provider",DATA_RASIC_DESC!B34,IF($B$4="Make to Print",DATA_RASIC_DESC!B34,IF($B$4="Engineering Service Provider",DATA_RASIC_DESC!B34,IF($B$4="Full System Provider",DATA_RASIC_DESC!B34,IF($B$4="ESP_DOOR TRIM",DATA_RASIC_DESC!E34,IF($B$4="ESP_Partner_LEVEL_01",DATA_RASIC_DESC!H34,"")))))))</f>
        <v>Provide commodity benchmarking information as required</v>
      </c>
      <c r="C41" s="432"/>
      <c r="D41" s="432"/>
      <c r="E41" s="432"/>
      <c r="F41" s="432"/>
      <c r="G41" s="432"/>
      <c r="H41" s="432"/>
      <c r="I41" s="432"/>
      <c r="J41" s="432"/>
      <c r="K41" s="40" t="str">
        <f>IF($B$4="Assembly or Component Provider",DATA_RASIC!Q35,IF($B$4="Consultancy Component Provider",DATA_RASIC!X35,IF($B$4="Make to Print",DATA_RASIC!AE35,IF($B$4="Engineering Service Provider",DATA_RASIC!C35,IF($B$4="Full System Provider",DATA_RASIC!J35,IF($B$4="ESP_DOOR TRIM",DATA_RASIC!AL35,IF($B$4="ESP_Partner_LEVEL_01",DATA_RASIC!AS35,"")))))))</f>
        <v>JLR</v>
      </c>
      <c r="L41" s="40" t="str">
        <f>IF($B$4="Assembly or Component Provider",DATA_RASIC!R35,IF($B$4="Consultancy Component Provider",DATA_RASIC!Y35,IF($B$4="Make to Print",DATA_RASIC!AF35,IF($B$4="Engineering Service Provider",DATA_RASIC!D35,IF($B$4="Full System Provider",DATA_RASIC!K35,IF($B$4="ESP_DOOR TRIM",DATA_RASIC!AM35,IF($B$4="ESP_Partner_LEVEL_01",DATA_RASIC!AT35,"")))))))</f>
        <v>JLR</v>
      </c>
      <c r="M41" s="40" t="str">
        <f>IF($B$4="Assembly or Component Provider",DATA_RASIC!S35,IF($B$4="Consultancy Component Provider",DATA_RASIC!Z35,IF($B$4="Make to Print",DATA_RASIC!AG35,IF($B$4="Engineering Service Provider",DATA_RASIC!E35,IF($B$4="Full System Provider",DATA_RASIC!L35,IF($B$4="ESP_DOOR TRIM",DATA_RASIC!AN35,IF($B$4="ESP_Partner_LEVEL_01",DATA_RASIC!AU35,"")))))))</f>
        <v>JLR</v>
      </c>
      <c r="N41" s="40" t="str">
        <f>IF($B$4="Assembly or Component Provider",DATA_RASIC!T35,IF($B$4="Consultancy Component Provider",DATA_RASIC!AA35,IF($B$4="Make to Print",DATA_RASIC!AH35,IF($B$4="Engineering Service Provider",DATA_RASIC!F35,IF($B$4="Full System Provider",DATA_RASIC!M35,IF($B$4="ESP_DOOR TRIM",DATA_RASIC!AO35,IF($B$4="ESP_Partner_LEVEL_01",DATA_RASIC!AV35,"")))))))</f>
        <v>-</v>
      </c>
      <c r="O41" s="40" t="str">
        <f>IF($B$4="Assembly or Component Provider",DATA_RASIC!U35,IF($B$4="Consultancy Component Provider",DATA_RASIC!AB35,IF($B$4="Make to Print",DATA_RASIC!AI35,IF($B$4="Engineering Service Provider",DATA_RASIC!G35,IF($B$4="Full System Provider",DATA_RASIC!N35,IF($B$4="ESP_DOOR TRIM",DATA_RASIC!AP35,IF($B$4="ESP_Partner_LEVEL_01",DATA_RASIC!AW35,"")))))))</f>
        <v>SE</v>
      </c>
      <c r="P41" s="40" t="str">
        <f>IF($B$4="Assembly or Component Provider",DATA_RASIC!V35,IF($B$4="Consultancy Component Provider",DATA_RASIC!AC35,IF($B$4="Make to Print",DATA_RASIC!AJ35,IF($B$4="Engineering Service Provider",DATA_RASIC!H35,IF($B$4="Full System Provider",DATA_RASIC!O35,IF($B$4="ESP_DOOR TRIM",DATA_RASIC!AQ35,IF($B$4="ESP_Partner_LEVEL_01",DATA_RASIC!AX35,"")))))))</f>
        <v>-</v>
      </c>
    </row>
    <row r="42" spans="1:16" ht="38.4" customHeight="1" x14ac:dyDescent="0.3">
      <c r="A42" s="80" t="str">
        <f>IF($B$4="Assembly or Component Provider",DATA_RASIC_DESC!A35,IF($B$4="Consultancy Component Provider",DATA_RASIC_DESC!A35,IF($B$4="Make to Print",DATA_RASIC_DESC!A35,IF($B$4="Engineering Service Provider",DATA_RASIC_DESC!A35,IF($B$4="Full System Provider",DATA_RASIC_DESC!A35,IF($B$4="ESP_DOOR TRIM",DATA_RASIC_DESC!D35,IF($B$4="ESP_Partner_LEVEL_01",DATA_RASIC_DESC!G35,"")))))))</f>
        <v>MB.5</v>
      </c>
      <c r="B42" s="432" t="str">
        <f>IF($B$4="Assembly or Component Provider",DATA_RASIC_DESC!B35,IF($B$4="Consultancy Component Provider",DATA_RASIC_DESC!B35,IF($B$4="Make to Print",DATA_RASIC_DESC!B35,IF($B$4="Engineering Service Provider",DATA_RASIC_DESC!B35,IF($B$4="Full System Provider",DATA_RASIC_DESC!B35,IF($B$4="ESP_DOOR TRIM",DATA_RASIC_DESC!E35,IF($B$4="ESP_Partner_LEVEL_01",DATA_RASIC_DESC!H35,"")))))))</f>
        <v xml:space="preserve">Provide competitive commodity teardown analysis </v>
      </c>
      <c r="C42" s="432"/>
      <c r="D42" s="432"/>
      <c r="E42" s="432"/>
      <c r="F42" s="432"/>
      <c r="G42" s="432"/>
      <c r="H42" s="432"/>
      <c r="I42" s="432"/>
      <c r="J42" s="432"/>
      <c r="K42" s="40" t="str">
        <f>IF($B$4="Assembly or Component Provider",DATA_RASIC!Q36,IF($B$4="Consultancy Component Provider",DATA_RASIC!X36,IF($B$4="Make to Print",DATA_RASIC!AE36,IF($B$4="Engineering Service Provider",DATA_RASIC!C36,IF($B$4="Full System Provider",DATA_RASIC!J36,IF($B$4="ESP_DOOR TRIM",DATA_RASIC!AL36,IF($B$4="ESP_Partner_LEVEL_01",DATA_RASIC!AS36,"")))))))</f>
        <v>JLR</v>
      </c>
      <c r="L42" s="40" t="str">
        <f>IF($B$4="Assembly or Component Provider",DATA_RASIC!R36,IF($B$4="Consultancy Component Provider",DATA_RASIC!Y36,IF($B$4="Make to Print",DATA_RASIC!AF36,IF($B$4="Engineering Service Provider",DATA_RASIC!D36,IF($B$4="Full System Provider",DATA_RASIC!K36,IF($B$4="ESP_DOOR TRIM",DATA_RASIC!AM36,IF($B$4="ESP_Partner_LEVEL_01",DATA_RASIC!AT36,"")))))))</f>
        <v>JLR</v>
      </c>
      <c r="M42" s="40" t="str">
        <f>IF($B$4="Assembly or Component Provider",DATA_RASIC!S36,IF($B$4="Consultancy Component Provider",DATA_RASIC!Z36,IF($B$4="Make to Print",DATA_RASIC!AG36,IF($B$4="Engineering Service Provider",DATA_RASIC!E36,IF($B$4="Full System Provider",DATA_RASIC!L36,IF($B$4="ESP_DOOR TRIM",DATA_RASIC!AN36,IF($B$4="ESP_Partner_LEVEL_01",DATA_RASIC!AU36,"")))))))</f>
        <v>JLR</v>
      </c>
      <c r="N42" s="40" t="str">
        <f>IF($B$4="Assembly or Component Provider",DATA_RASIC!T36,IF($B$4="Consultancy Component Provider",DATA_RASIC!AA36,IF($B$4="Make to Print",DATA_RASIC!AH36,IF($B$4="Engineering Service Provider",DATA_RASIC!F36,IF($B$4="Full System Provider",DATA_RASIC!M36,IF($B$4="ESP_DOOR TRIM",DATA_RASIC!AO36,IF($B$4="ESP_Partner_LEVEL_01",DATA_RASIC!AV36,"")))))))</f>
        <v>-</v>
      </c>
      <c r="O42" s="40" t="str">
        <f>IF($B$4="Assembly or Component Provider",DATA_RASIC!U36,IF($B$4="Consultancy Component Provider",DATA_RASIC!AB36,IF($B$4="Make to Print",DATA_RASIC!AI36,IF($B$4="Engineering Service Provider",DATA_RASIC!G36,IF($B$4="Full System Provider",DATA_RASIC!N36,IF($B$4="ESP_DOOR TRIM",DATA_RASIC!AP36,IF($B$4="ESP_Partner_LEVEL_01",DATA_RASIC!AW36,"")))))))</f>
        <v>SE</v>
      </c>
      <c r="P42" s="40" t="str">
        <f>IF($B$4="Assembly or Component Provider",DATA_RASIC!V36,IF($B$4="Consultancy Component Provider",DATA_RASIC!AC36,IF($B$4="Make to Print",DATA_RASIC!AJ36,IF($B$4="Engineering Service Provider",DATA_RASIC!H36,IF($B$4="Full System Provider",DATA_RASIC!O36,IF($B$4="ESP_DOOR TRIM",DATA_RASIC!AQ36,IF($B$4="ESP_Partner_LEVEL_01",DATA_RASIC!AX36,"")))))))</f>
        <v>SE</v>
      </c>
    </row>
    <row r="43" spans="1:16" ht="38.4" customHeight="1" x14ac:dyDescent="0.3">
      <c r="A43" s="80" t="str">
        <f>IF($B$4="Assembly or Component Provider",DATA_RASIC_DESC!A36,IF($B$4="Consultancy Component Provider",DATA_RASIC_DESC!A36,IF($B$4="Make to Print",DATA_RASIC_DESC!A36,IF($B$4="Engineering Service Provider",DATA_RASIC_DESC!A36,IF($B$4="Full System Provider",DATA_RASIC_DESC!A36,IF($B$4="ESP_DOOR TRIM",DATA_RASIC_DESC!D36,IF($B$4="ESP_Partner_LEVEL_01",DATA_RASIC_DESC!G36,"")))))))</f>
        <v>MB.6</v>
      </c>
      <c r="B43" s="432" t="str">
        <f>IF($B$4="Assembly or Component Provider",DATA_RASIC_DESC!B36,IF($B$4="Consultancy Component Provider",DATA_RASIC_DESC!B36,IF($B$4="Make to Print",DATA_RASIC_DESC!B36,IF($B$4="Engineering Service Provider",DATA_RASIC_DESC!B36,IF($B$4="Full System Provider",DATA_RASIC_DESC!B36,IF($B$4="ESP_DOOR TRIM",DATA_RASIC_DESC!E36,IF($B$4="ESP_Partner_LEVEL_01",DATA_RASIC_DESC!H36,"")))))))</f>
        <v>Develop Market Research Properties on styling as required</v>
      </c>
      <c r="C43" s="432"/>
      <c r="D43" s="432"/>
      <c r="E43" s="432"/>
      <c r="F43" s="432"/>
      <c r="G43" s="432"/>
      <c r="H43" s="432"/>
      <c r="I43" s="432"/>
      <c r="J43" s="432"/>
      <c r="K43" s="40" t="str">
        <f>IF($B$4="Assembly or Component Provider",DATA_RASIC!Q37,IF($B$4="Consultancy Component Provider",DATA_RASIC!X37,IF($B$4="Make to Print",DATA_RASIC!AE37,IF($B$4="Engineering Service Provider",DATA_RASIC!C37,IF($B$4="Full System Provider",DATA_RASIC!J37,IF($B$4="ESP_DOOR TRIM",DATA_RASIC!AL37,IF($B$4="ESP_Partner_LEVEL_01",DATA_RASIC!AS37,"")))))))</f>
        <v>JLR</v>
      </c>
      <c r="L43" s="40" t="str">
        <f>IF($B$4="Assembly or Component Provider",DATA_RASIC!R37,IF($B$4="Consultancy Component Provider",DATA_RASIC!Y37,IF($B$4="Make to Print",DATA_RASIC!AF37,IF($B$4="Engineering Service Provider",DATA_RASIC!D37,IF($B$4="Full System Provider",DATA_RASIC!K37,IF($B$4="ESP_DOOR TRIM",DATA_RASIC!AM37,IF($B$4="ESP_Partner_LEVEL_01",DATA_RASIC!AT37,"")))))))</f>
        <v>JLR</v>
      </c>
      <c r="M43" s="40" t="str">
        <f>IF($B$4="Assembly or Component Provider",DATA_RASIC!S37,IF($B$4="Consultancy Component Provider",DATA_RASIC!Z37,IF($B$4="Make to Print",DATA_RASIC!AG37,IF($B$4="Engineering Service Provider",DATA_RASIC!E37,IF($B$4="Full System Provider",DATA_RASIC!L37,IF($B$4="ESP_DOOR TRIM",DATA_RASIC!AN37,IF($B$4="ESP_Partner_LEVEL_01",DATA_RASIC!AU37,"")))))))</f>
        <v>JLR</v>
      </c>
      <c r="N43" s="40" t="str">
        <f>IF($B$4="Assembly or Component Provider",DATA_RASIC!T37,IF($B$4="Consultancy Component Provider",DATA_RASIC!AA37,IF($B$4="Make to Print",DATA_RASIC!AH37,IF($B$4="Engineering Service Provider",DATA_RASIC!F37,IF($B$4="Full System Provider",DATA_RASIC!M37,IF($B$4="ESP_DOOR TRIM",DATA_RASIC!AO37,IF($B$4="ESP_Partner_LEVEL_01",DATA_RASIC!AV37,"")))))))</f>
        <v>-</v>
      </c>
      <c r="O43" s="40" t="str">
        <f>IF($B$4="Assembly or Component Provider",DATA_RASIC!U37,IF($B$4="Consultancy Component Provider",DATA_RASIC!AB37,IF($B$4="Make to Print",DATA_RASIC!AI37,IF($B$4="Engineering Service Provider",DATA_RASIC!G37,IF($B$4="Full System Provider",DATA_RASIC!N37,IF($B$4="ESP_DOOR TRIM",DATA_RASIC!AP37,IF($B$4="ESP_Partner_LEVEL_01",DATA_RASIC!AW37,"")))))))</f>
        <v>SE</v>
      </c>
      <c r="P43" s="40" t="str">
        <f>IF($B$4="Assembly or Component Provider",DATA_RASIC!V37,IF($B$4="Consultancy Component Provider",DATA_RASIC!AC37,IF($B$4="Make to Print",DATA_RASIC!AJ37,IF($B$4="Engineering Service Provider",DATA_RASIC!H37,IF($B$4="Full System Provider",DATA_RASIC!O37,IF($B$4="ESP_DOOR TRIM",DATA_RASIC!AQ37,IF($B$4="ESP_Partner_LEVEL_01",DATA_RASIC!AX37,"")))))))</f>
        <v>SE</v>
      </c>
    </row>
    <row r="44" spans="1:16" ht="38.4" customHeight="1" x14ac:dyDescent="0.3">
      <c r="A44" s="80" t="str">
        <f>IF($B$4="Assembly or Component Provider",DATA_RASIC_DESC!A37,IF($B$4="Consultancy Component Provider",DATA_RASIC_DESC!A37,IF($B$4="Make to Print",DATA_RASIC_DESC!A37,IF($B$4="Engineering Service Provider",DATA_RASIC_DESC!A37,IF($B$4="Full System Provider",DATA_RASIC_DESC!A37,IF($B$4="ESP_DOOR TRIM",DATA_RASIC_DESC!D37,IF($B$4="ESP_Partner_LEVEL_01",DATA_RASIC_DESC!G37,"")))))))</f>
        <v>MB.7</v>
      </c>
      <c r="B44" s="432" t="str">
        <f>IF($B$4="Assembly or Component Provider",DATA_RASIC_DESC!B37,IF($B$4="Consultancy Component Provider",DATA_RASIC_DESC!B37,IF($B$4="Make to Print",DATA_RASIC_DESC!B37,IF($B$4="Engineering Service Provider",DATA_RASIC_DESC!B37,IF($B$4="Full System Provider",DATA_RASIC_DESC!B37,IF($B$4="ESP_DOOR TRIM",DATA_RASIC_DESC!E37,IF($B$4="ESP_Partner_LEVEL_01",DATA_RASIC_DESC!H37,"")))))))</f>
        <v>Undertake relevant market research, bench marking and value management to support target setting and attribute trade-off processes</v>
      </c>
      <c r="C44" s="432"/>
      <c r="D44" s="432"/>
      <c r="E44" s="432"/>
      <c r="F44" s="432"/>
      <c r="G44" s="432"/>
      <c r="H44" s="432"/>
      <c r="I44" s="432"/>
      <c r="J44" s="432"/>
      <c r="K44" s="40" t="str">
        <f>IF($B$4="Assembly or Component Provider",DATA_RASIC!Q38,IF($B$4="Consultancy Component Provider",DATA_RASIC!X38,IF($B$4="Make to Print",DATA_RASIC!AE38,IF($B$4="Engineering Service Provider",DATA_RASIC!C38,IF($B$4="Full System Provider",DATA_RASIC!J38,IF($B$4="ESP_DOOR TRIM",DATA_RASIC!AL38,IF($B$4="ESP_Partner_LEVEL_01",DATA_RASIC!AS38,"")))))))</f>
        <v>JLR</v>
      </c>
      <c r="L44" s="40" t="str">
        <f>IF($B$4="Assembly or Component Provider",DATA_RASIC!R38,IF($B$4="Consultancy Component Provider",DATA_RASIC!Y38,IF($B$4="Make to Print",DATA_RASIC!AF38,IF($B$4="Engineering Service Provider",DATA_RASIC!D38,IF($B$4="Full System Provider",DATA_RASIC!K38,IF($B$4="ESP_DOOR TRIM",DATA_RASIC!AM38,IF($B$4="ESP_Partner_LEVEL_01",DATA_RASIC!AT38,"")))))))</f>
        <v>JLR</v>
      </c>
      <c r="M44" s="40" t="str">
        <f>IF($B$4="Assembly or Component Provider",DATA_RASIC!S38,IF($B$4="Consultancy Component Provider",DATA_RASIC!Z38,IF($B$4="Make to Print",DATA_RASIC!AG38,IF($B$4="Engineering Service Provider",DATA_RASIC!E38,IF($B$4="Full System Provider",DATA_RASIC!L38,IF($B$4="ESP_DOOR TRIM",DATA_RASIC!AN38,IF($B$4="ESP_Partner_LEVEL_01",DATA_RASIC!AU38,"")))))))</f>
        <v>JLR</v>
      </c>
      <c r="N44" s="40" t="str">
        <f>IF($B$4="Assembly or Component Provider",DATA_RASIC!T38,IF($B$4="Consultancy Component Provider",DATA_RASIC!AA38,IF($B$4="Make to Print",DATA_RASIC!AH38,IF($B$4="Engineering Service Provider",DATA_RASIC!F38,IF($B$4="Full System Provider",DATA_RASIC!M38,IF($B$4="ESP_DOOR TRIM",DATA_RASIC!AO38,IF($B$4="ESP_Partner_LEVEL_01",DATA_RASIC!AV38,"")))))))</f>
        <v>-</v>
      </c>
      <c r="O44" s="40" t="str">
        <f>IF($B$4="Assembly or Component Provider",DATA_RASIC!U38,IF($B$4="Consultancy Component Provider",DATA_RASIC!AB38,IF($B$4="Make to Print",DATA_RASIC!AI38,IF($B$4="Engineering Service Provider",DATA_RASIC!G38,IF($B$4="Full System Provider",DATA_RASIC!N38,IF($B$4="ESP_DOOR TRIM",DATA_RASIC!AP38,IF($B$4="ESP_Partner_LEVEL_01",DATA_RASIC!AW38,"")))))))</f>
        <v>JLR</v>
      </c>
      <c r="P44" s="40" t="str">
        <f>IF($B$4="Assembly or Component Provider",DATA_RASIC!V38,IF($B$4="Consultancy Component Provider",DATA_RASIC!AC38,IF($B$4="Make to Print",DATA_RASIC!AJ38,IF($B$4="Engineering Service Provider",DATA_RASIC!H38,IF($B$4="Full System Provider",DATA_RASIC!O38,IF($B$4="ESP_DOOR TRIM",DATA_RASIC!AQ38,IF($B$4="ESP_Partner_LEVEL_01",DATA_RASIC!AX38,"")))))))</f>
        <v>JLR</v>
      </c>
    </row>
    <row r="45" spans="1:16" ht="38.4" customHeight="1" x14ac:dyDescent="0.3">
      <c r="A45" s="80" t="str">
        <f>IF($B$4="Assembly or Component Provider",DATA_RASIC_DESC!A38,IF($B$4="Consultancy Component Provider",DATA_RASIC_DESC!A38,IF($B$4="Make to Print",DATA_RASIC_DESC!A38,IF($B$4="Engineering Service Provider",DATA_RASIC_DESC!A38,IF($B$4="Full System Provider",DATA_RASIC_DESC!A38,IF($B$4="ESP_DOOR TRIM",DATA_RASIC_DESC!D38,IF($B$4="ESP_Partner_LEVEL_01",DATA_RASIC_DESC!G38,"")))))))</f>
        <v>-</v>
      </c>
      <c r="B45" s="432" t="str">
        <f>IF($B$4="Assembly or Component Provider",DATA_RASIC_DESC!B38,IF($B$4="Consultancy Component Provider",DATA_RASIC_DESC!B38,IF($B$4="Make to Print",DATA_RASIC_DESC!B38,IF($B$4="Engineering Service Provider",DATA_RASIC_DESC!B38,IF($B$4="Full System Provider",DATA_RASIC_DESC!B38,IF($B$4="ESP_DOOR TRIM",DATA_RASIC_DESC!E38,IF($B$4="ESP_Partner_LEVEL_01",DATA_RASIC_DESC!H38,"")))))))</f>
        <v>Reserved</v>
      </c>
      <c r="C45" s="432"/>
      <c r="D45" s="432"/>
      <c r="E45" s="432"/>
      <c r="F45" s="432"/>
      <c r="G45" s="432"/>
      <c r="H45" s="432"/>
      <c r="I45" s="432"/>
      <c r="J45" s="432"/>
      <c r="K45" s="40" t="str">
        <f>IF($B$4="Assembly or Component Provider",DATA_RASIC!Q39,IF($B$4="Consultancy Component Provider",DATA_RASIC!X39,IF($B$4="Make to Print",DATA_RASIC!AE39,IF($B$4="Engineering Service Provider",DATA_RASIC!C39,IF($B$4="Full System Provider",DATA_RASIC!J39,IF($B$4="ESP_DOOR TRIM",DATA_RASIC!AL39,IF($B$4="ESP_Partner_LEVEL_01",DATA_RASIC!AS39,"")))))))</f>
        <v>N/A</v>
      </c>
      <c r="L45" s="40" t="str">
        <f>IF($B$4="Assembly or Component Provider",DATA_RASIC!R39,IF($B$4="Consultancy Component Provider",DATA_RASIC!Y39,IF($B$4="Make to Print",DATA_RASIC!AF39,IF($B$4="Engineering Service Provider",DATA_RASIC!D39,IF($B$4="Full System Provider",DATA_RASIC!K39,IF($B$4="ESP_DOOR TRIM",DATA_RASIC!AM39,IF($B$4="ESP_Partner_LEVEL_01",DATA_RASIC!AT39,"")))))))</f>
        <v>-</v>
      </c>
      <c r="M45" s="40" t="str">
        <f>IF($B$4="Assembly or Component Provider",DATA_RASIC!S39,IF($B$4="Consultancy Component Provider",DATA_RASIC!Z39,IF($B$4="Make to Print",DATA_RASIC!AG39,IF($B$4="Engineering Service Provider",DATA_RASIC!E39,IF($B$4="Full System Provider",DATA_RASIC!L39,IF($B$4="ESP_DOOR TRIM",DATA_RASIC!AN39,IF($B$4="ESP_Partner_LEVEL_01",DATA_RASIC!AU39,"")))))))</f>
        <v>-</v>
      </c>
      <c r="N45" s="40" t="str">
        <f>IF($B$4="Assembly or Component Provider",DATA_RASIC!T39,IF($B$4="Consultancy Component Provider",DATA_RASIC!AA39,IF($B$4="Make to Print",DATA_RASIC!AH39,IF($B$4="Engineering Service Provider",DATA_RASIC!F39,IF($B$4="Full System Provider",DATA_RASIC!M39,IF($B$4="ESP_DOOR TRIM",DATA_RASIC!AO39,IF($B$4="ESP_Partner_LEVEL_01",DATA_RASIC!AV39,"")))))))</f>
        <v>-</v>
      </c>
      <c r="O45" s="40" t="str">
        <f>IF($B$4="Assembly or Component Provider",DATA_RASIC!U39,IF($B$4="Consultancy Component Provider",DATA_RASIC!AB39,IF($B$4="Make to Print",DATA_RASIC!AI39,IF($B$4="Engineering Service Provider",DATA_RASIC!G39,IF($B$4="Full System Provider",DATA_RASIC!N39,IF($B$4="ESP_DOOR TRIM",DATA_RASIC!AP39,IF($B$4="ESP_Partner_LEVEL_01",DATA_RASIC!AW39,"")))))))</f>
        <v>-</v>
      </c>
      <c r="P45" s="40" t="str">
        <f>IF($B$4="Assembly or Component Provider",DATA_RASIC!V39,IF($B$4="Consultancy Component Provider",DATA_RASIC!AC39,IF($B$4="Make to Print",DATA_RASIC!AJ39,IF($B$4="Engineering Service Provider",DATA_RASIC!H39,IF($B$4="Full System Provider",DATA_RASIC!O39,IF($B$4="ESP_DOOR TRIM",DATA_RASIC!AQ39,IF($B$4="ESP_Partner_LEVEL_01",DATA_RASIC!AX39,"")))))))</f>
        <v>-</v>
      </c>
    </row>
    <row r="46" spans="1:16" s="9" customFormat="1" ht="18" customHeight="1" x14ac:dyDescent="0.3">
      <c r="A46" s="602" t="s">
        <v>992</v>
      </c>
      <c r="B46" s="602"/>
      <c r="C46" s="602"/>
      <c r="D46" s="602"/>
      <c r="E46" s="602"/>
      <c r="F46" s="602"/>
      <c r="G46" s="602"/>
      <c r="H46" s="602"/>
      <c r="I46" s="602"/>
      <c r="J46" s="602"/>
      <c r="K46" s="603" t="s">
        <v>982</v>
      </c>
      <c r="L46" s="457"/>
      <c r="M46" s="457"/>
      <c r="N46" s="457"/>
      <c r="O46" s="604" t="s">
        <v>424</v>
      </c>
      <c r="P46" s="457"/>
    </row>
    <row r="47" spans="1:16" ht="18" customHeight="1" x14ac:dyDescent="0.3">
      <c r="A47" s="39" t="s">
        <v>983</v>
      </c>
      <c r="B47" s="588" t="s">
        <v>984</v>
      </c>
      <c r="C47" s="588"/>
      <c r="D47" s="588"/>
      <c r="E47" s="588"/>
      <c r="F47" s="588"/>
      <c r="G47" s="588"/>
      <c r="H47" s="588"/>
      <c r="I47" s="588"/>
      <c r="J47" s="588"/>
      <c r="K47" s="39" t="s">
        <v>985</v>
      </c>
      <c r="L47" s="39" t="s">
        <v>986</v>
      </c>
      <c r="M47" s="39" t="s">
        <v>987</v>
      </c>
      <c r="N47" s="39" t="s">
        <v>988</v>
      </c>
      <c r="O47" s="39" t="s">
        <v>989</v>
      </c>
      <c r="P47" s="39" t="s">
        <v>990</v>
      </c>
    </row>
    <row r="48" spans="1:16" ht="38.4" customHeight="1" x14ac:dyDescent="0.3">
      <c r="A48" s="80" t="str">
        <f>IF($B$4="Assembly or Component Provider",DATA_RASIC_DESC!A41,IF($B$4="Consultancy Component Provider",DATA_RASIC_DESC!A41,IF($B$4="Make to Print",DATA_RASIC_DESC!A41,IF($B$4="Engineering Service Provider",DATA_RASIC_DESC!A41,IF($B$4="Full System Provider",DATA_RASIC_DESC!A41,IF($B$4="ESP_DOOR TRIM",DATA_RASIC_DESC!D41,IF($B$4="ESP_Partner_LEVEL_01",DATA_RASIC_DESC!G41,"")))))))</f>
        <v>ES.1</v>
      </c>
      <c r="B48" s="432" t="str">
        <f>IF($B$4="Assembly or Component Provider",DATA_RASIC_DESC!B41,IF($B$4="Consultancy Component Provider",DATA_RASIC_DESC!B41,IF($B$4="Make to Print",DATA_RASIC_DESC!B41,IF($B$4="Engineering Service Provider",DATA_RASIC_DESC!B41,IF($B$4="Full System Provider",DATA_RASIC_DESC!B41,IF($B$4="ESP_DOOR TRIM",DATA_RASIC_DESC!E41,IF($B$4="ESP_Partner_LEVEL_01",DATA_RASIC_DESC!H41,"")))))))</f>
        <v>Develop, maintain, and provide product development Standards which consist of three elements: Requirements (e.g. System Design Specifications); Design Rules (Best practice rules); and Design Verification Methods, DVM's (e.g. Key life test)</v>
      </c>
      <c r="C48" s="432"/>
      <c r="D48" s="432"/>
      <c r="E48" s="432"/>
      <c r="F48" s="432"/>
      <c r="G48" s="432"/>
      <c r="H48" s="432"/>
      <c r="I48" s="432"/>
      <c r="J48" s="432"/>
      <c r="K48" s="40" t="str">
        <f>IF($B$4="Assembly or Component Provider",DATA_RASIC!Q43,IF($B$4="Consultancy Component Provider",DATA_RASIC!X43,IF($B$4="Make to Print",DATA_RASIC!AE43,IF($B$4="Engineering Service Provider",DATA_RASIC!C43,IF($B$4="Full System Provider",DATA_RASIC!J43,IF($B$4="ESP_DOOR TRIM",DATA_RASIC!AL43,IF($B$4="ESP_Partner_LEVEL_01",DATA_RASIC!AS43,"")))))))</f>
        <v>JLR</v>
      </c>
      <c r="L48" s="40" t="str">
        <f>IF($B$4="Assembly or Component Provider",DATA_RASIC!R43,IF($B$4="Consultancy Component Provider",DATA_RASIC!Y43,IF($B$4="Make to Print",DATA_RASIC!AF43,IF($B$4="Engineering Service Provider",DATA_RASIC!D43,IF($B$4="Full System Provider",DATA_RASIC!K43,IF($B$4="ESP_DOOR TRIM",DATA_RASIC!AM43,IF($B$4="ESP_Partner_LEVEL_01",DATA_RASIC!AT43,"")))))))</f>
        <v>JLR</v>
      </c>
      <c r="M48" s="40" t="str">
        <f>IF($B$4="Assembly or Component Provider",DATA_RASIC!S43,IF($B$4="Consultancy Component Provider",DATA_RASIC!Z43,IF($B$4="Make to Print",DATA_RASIC!AG43,IF($B$4="Engineering Service Provider",DATA_RASIC!E43,IF($B$4="Full System Provider",DATA_RASIC!L43,IF($B$4="ESP_DOOR TRIM",DATA_RASIC!AN43,IF($B$4="ESP_Partner_LEVEL_01",DATA_RASIC!AU43,"")))))))</f>
        <v>JLR</v>
      </c>
      <c r="N48" s="40" t="str">
        <f>IF($B$4="Assembly or Component Provider",DATA_RASIC!T43,IF($B$4="Consultancy Component Provider",DATA_RASIC!AA43,IF($B$4="Make to Print",DATA_RASIC!AH43,IF($B$4="Engineering Service Provider",DATA_RASIC!F43,IF($B$4="Full System Provider",DATA_RASIC!M43,IF($B$4="ESP_DOOR TRIM",DATA_RASIC!AO43,IF($B$4="ESP_Partner_LEVEL_01",DATA_RASIC!AV43,"")))))))</f>
        <v>SE</v>
      </c>
      <c r="O48" s="40" t="str">
        <f>IF($B$4="Assembly or Component Provider",DATA_RASIC!U43,IF($B$4="Consultancy Component Provider",DATA_RASIC!AB43,IF($B$4="Make to Print",DATA_RASIC!AI43,IF($B$4="Engineering Service Provider",DATA_RASIC!G43,IF($B$4="Full System Provider",DATA_RASIC!N43,IF($B$4="ESP_DOOR TRIM",DATA_RASIC!AP43,IF($B$4="ESP_Partner_LEVEL_01",DATA_RASIC!AW43,"")))))))</f>
        <v>-</v>
      </c>
      <c r="P48" s="40" t="str">
        <f>IF($B$4="Assembly or Component Provider",DATA_RASIC!V43,IF($B$4="Consultancy Component Provider",DATA_RASIC!AC43,IF($B$4="Make to Print",DATA_RASIC!AJ43,IF($B$4="Engineering Service Provider",DATA_RASIC!H43,IF($B$4="Full System Provider",DATA_RASIC!O43,IF($B$4="ESP_DOOR TRIM",DATA_RASIC!AQ43,IF($B$4="ESP_Partner_LEVEL_01",DATA_RASIC!AX43,"")))))))</f>
        <v>-</v>
      </c>
    </row>
    <row r="49" spans="1:16" ht="38.4" customHeight="1" x14ac:dyDescent="0.3">
      <c r="A49" s="80" t="str">
        <f>IF($B$4="Assembly or Component Provider",DATA_RASIC_DESC!A42,IF($B$4="Consultancy Component Provider",DATA_RASIC_DESC!A42,IF($B$4="Make to Print",DATA_RASIC_DESC!A42,IF($B$4="Engineering Service Provider",DATA_RASIC_DESC!A42,IF($B$4="Full System Provider",DATA_RASIC_DESC!A42,IF($B$4="ESP_DOOR TRIM",DATA_RASIC_DESC!D42,IF($B$4="ESP_Partner_LEVEL_01",DATA_RASIC_DESC!G42,"")))))))</f>
        <v>ES.2</v>
      </c>
      <c r="B49" s="432" t="str">
        <f>IF($B$4="Assembly or Component Provider",DATA_RASIC_DESC!B42,IF($B$4="Consultancy Component Provider",DATA_RASIC_DESC!B42,IF($B$4="Make to Print",DATA_RASIC_DESC!B42,IF($B$4="Engineering Service Provider",DATA_RASIC_DESC!B42,IF($B$4="Full System Provider",DATA_RASIC_DESC!B42,IF($B$4="ESP_DOOR TRIM",DATA_RASIC_DESC!E42,IF($B$4="ESP_Partner_LEVEL_01",DATA_RASIC_DESC!H42,"")))))))</f>
        <v>Develop and maintain Programme specific (Sub) System Design Specification (SDS) for system/subsystem &amp; all included components</v>
      </c>
      <c r="C49" s="432"/>
      <c r="D49" s="432"/>
      <c r="E49" s="432"/>
      <c r="F49" s="432"/>
      <c r="G49" s="432"/>
      <c r="H49" s="432"/>
      <c r="I49" s="432"/>
      <c r="J49" s="432"/>
      <c r="K49" s="40" t="str">
        <f>IF($B$4="Assembly or Component Provider",DATA_RASIC!Q44,IF($B$4="Consultancy Component Provider",DATA_RASIC!X44,IF($B$4="Make to Print",DATA_RASIC!AE44,IF($B$4="Engineering Service Provider",DATA_RASIC!C44,IF($B$4="Full System Provider",DATA_RASIC!J44,IF($B$4="ESP_DOOR TRIM",DATA_RASIC!AL44,IF($B$4="ESP_Partner_LEVEL_01",DATA_RASIC!AS44,"")))))))</f>
        <v>JLR</v>
      </c>
      <c r="L49" s="40" t="str">
        <f>IF($B$4="Assembly or Component Provider",DATA_RASIC!R44,IF($B$4="Consultancy Component Provider",DATA_RASIC!Y44,IF($B$4="Make to Print",DATA_RASIC!AF44,IF($B$4="Engineering Service Provider",DATA_RASIC!D44,IF($B$4="Full System Provider",DATA_RASIC!K44,IF($B$4="ESP_DOOR TRIM",DATA_RASIC!AM44,IF($B$4="ESP_Partner_LEVEL_01",DATA_RASIC!AT44,"")))))))</f>
        <v>JLR</v>
      </c>
      <c r="M49" s="40" t="str">
        <f>IF($B$4="Assembly or Component Provider",DATA_RASIC!S44,IF($B$4="Consultancy Component Provider",DATA_RASIC!Z44,IF($B$4="Make to Print",DATA_RASIC!AG44,IF($B$4="Engineering Service Provider",DATA_RASIC!E44,IF($B$4="Full System Provider",DATA_RASIC!L44,IF($B$4="ESP_DOOR TRIM",DATA_RASIC!AN44,IF($B$4="ESP_Partner_LEVEL_01",DATA_RASIC!AU44,"")))))))</f>
        <v>JLR</v>
      </c>
      <c r="N49" s="40" t="str">
        <f>IF($B$4="Assembly or Component Provider",DATA_RASIC!T44,IF($B$4="Consultancy Component Provider",DATA_RASIC!AA44,IF($B$4="Make to Print",DATA_RASIC!AH44,IF($B$4="Engineering Service Provider",DATA_RASIC!F44,IF($B$4="Full System Provider",DATA_RASIC!M44,IF($B$4="ESP_DOOR TRIM",DATA_RASIC!AO44,IF($B$4="ESP_Partner_LEVEL_01",DATA_RASIC!AV44,"")))))))</f>
        <v>SE</v>
      </c>
      <c r="O49" s="40" t="str">
        <f>IF($B$4="Assembly or Component Provider",DATA_RASIC!U44,IF($B$4="Consultancy Component Provider",DATA_RASIC!AB44,IF($B$4="Make to Print",DATA_RASIC!AI44,IF($B$4="Engineering Service Provider",DATA_RASIC!G44,IF($B$4="Full System Provider",DATA_RASIC!N44,IF($B$4="ESP_DOOR TRIM",DATA_RASIC!AP44,IF($B$4="ESP_Partner_LEVEL_01",DATA_RASIC!AW44,"")))))))</f>
        <v>-</v>
      </c>
      <c r="P49" s="40" t="str">
        <f>IF($B$4="Assembly or Component Provider",DATA_RASIC!V44,IF($B$4="Consultancy Component Provider",DATA_RASIC!AC44,IF($B$4="Make to Print",DATA_RASIC!AJ44,IF($B$4="Engineering Service Provider",DATA_RASIC!H44,IF($B$4="Full System Provider",DATA_RASIC!O44,IF($B$4="ESP_DOOR TRIM",DATA_RASIC!AQ44,IF($B$4="ESP_Partner_LEVEL_01",DATA_RASIC!AX44,"")))))))</f>
        <v>-</v>
      </c>
    </row>
    <row r="50" spans="1:16" ht="38.4" customHeight="1" x14ac:dyDescent="0.3">
      <c r="A50" s="80" t="str">
        <f>IF($B$4="Assembly or Component Provider",DATA_RASIC_DESC!A43,IF($B$4="Consultancy Component Provider",DATA_RASIC_DESC!A43,IF($B$4="Make to Print",DATA_RASIC_DESC!A43,IF($B$4="Engineering Service Provider",DATA_RASIC_DESC!A43,IF($B$4="Full System Provider",DATA_RASIC_DESC!A43,IF($B$4="ESP_DOOR TRIM",DATA_RASIC_DESC!D43,IF($B$4="ESP_Partner_LEVEL_01",DATA_RASIC_DESC!G43,"")))))))</f>
        <v>ES.3</v>
      </c>
      <c r="B50" s="432" t="str">
        <f>IF($B$4="Assembly or Component Provider",DATA_RASIC_DESC!B43,IF($B$4="Consultancy Component Provider",DATA_RASIC_DESC!B43,IF($B$4="Make to Print",DATA_RASIC_DESC!B43,IF($B$4="Engineering Service Provider",DATA_RASIC_DESC!B43,IF($B$4="Full System Provider",DATA_RASIC_DESC!B43,IF($B$4="ESP_DOOR TRIM",DATA_RASIC_DESC!E43,IF($B$4="ESP_Partner_LEVEL_01",DATA_RASIC_DESC!H43,"")))))))</f>
        <v>Develop and maintain Engineering Specifications for all component(s) per the SDS process</v>
      </c>
      <c r="C50" s="432"/>
      <c r="D50" s="432"/>
      <c r="E50" s="432"/>
      <c r="F50" s="432"/>
      <c r="G50" s="432"/>
      <c r="H50" s="432"/>
      <c r="I50" s="432"/>
      <c r="J50" s="432"/>
      <c r="K50" s="40" t="str">
        <f>IF($B$4="Assembly or Component Provider",DATA_RASIC!Q45,IF($B$4="Consultancy Component Provider",DATA_RASIC!X45,IF($B$4="Make to Print",DATA_RASIC!AE45,IF($B$4="Engineering Service Provider",DATA_RASIC!C45,IF($B$4="Full System Provider",DATA_RASIC!J45,IF($B$4="ESP_DOOR TRIM",DATA_RASIC!AL45,IF($B$4="ESP_Partner_LEVEL_01",DATA_RASIC!AS45,"")))))))</f>
        <v>JLR</v>
      </c>
      <c r="L50" s="40" t="str">
        <f>IF($B$4="Assembly or Component Provider",DATA_RASIC!R45,IF($B$4="Consultancy Component Provider",DATA_RASIC!Y45,IF($B$4="Make to Print",DATA_RASIC!AF45,IF($B$4="Engineering Service Provider",DATA_RASIC!D45,IF($B$4="Full System Provider",DATA_RASIC!K45,IF($B$4="ESP_DOOR TRIM",DATA_RASIC!AM45,IF($B$4="ESP_Partner_LEVEL_01",DATA_RASIC!AT45,"")))))))</f>
        <v>JLR</v>
      </c>
      <c r="M50" s="40" t="str">
        <f>IF($B$4="Assembly or Component Provider",DATA_RASIC!S45,IF($B$4="Consultancy Component Provider",DATA_RASIC!Z45,IF($B$4="Make to Print",DATA_RASIC!AG45,IF($B$4="Engineering Service Provider",DATA_RASIC!E45,IF($B$4="Full System Provider",DATA_RASIC!L45,IF($B$4="ESP_DOOR TRIM",DATA_RASIC!AN45,IF($B$4="ESP_Partner_LEVEL_01",DATA_RASIC!AU45,"")))))))</f>
        <v>JLR</v>
      </c>
      <c r="N50" s="40" t="str">
        <f>IF($B$4="Assembly or Component Provider",DATA_RASIC!T45,IF($B$4="Consultancy Component Provider",DATA_RASIC!AA45,IF($B$4="Make to Print",DATA_RASIC!AH45,IF($B$4="Engineering Service Provider",DATA_RASIC!F45,IF($B$4="Full System Provider",DATA_RASIC!M45,IF($B$4="ESP_DOOR TRIM",DATA_RASIC!AO45,IF($B$4="ESP_Partner_LEVEL_01",DATA_RASIC!AV45,"")))))))</f>
        <v>-</v>
      </c>
      <c r="O50" s="40" t="str">
        <f>IF($B$4="Assembly or Component Provider",DATA_RASIC!U45,IF($B$4="Consultancy Component Provider",DATA_RASIC!AB45,IF($B$4="Make to Print",DATA_RASIC!AI45,IF($B$4="Engineering Service Provider",DATA_RASIC!G45,IF($B$4="Full System Provider",DATA_RASIC!N45,IF($B$4="ESP_DOOR TRIM",DATA_RASIC!AP45,IF($B$4="ESP_Partner_LEVEL_01",DATA_RASIC!AW45,"")))))))</f>
        <v>-</v>
      </c>
      <c r="P50" s="40" t="str">
        <f>IF($B$4="Assembly or Component Provider",DATA_RASIC!V45,IF($B$4="Consultancy Component Provider",DATA_RASIC!AC45,IF($B$4="Make to Print",DATA_RASIC!AJ45,IF($B$4="Engineering Service Provider",DATA_RASIC!H45,IF($B$4="Full System Provider",DATA_RASIC!O45,IF($B$4="ESP_DOOR TRIM",DATA_RASIC!AQ45,IF($B$4="ESP_Partner_LEVEL_01",DATA_RASIC!AX45,"")))))))</f>
        <v>-</v>
      </c>
    </row>
    <row r="51" spans="1:16" ht="53.4" customHeight="1" x14ac:dyDescent="0.3">
      <c r="A51" s="80" t="str">
        <f>IF($B$4="Assembly or Component Provider",DATA_RASIC_DESC!A44,IF($B$4="Consultancy Component Provider",DATA_RASIC_DESC!A44,IF($B$4="Make to Print",DATA_RASIC_DESC!A44,IF($B$4="Engineering Service Provider",DATA_RASIC_DESC!A44,IF($B$4="Full System Provider",DATA_RASIC_DESC!A44,IF($B$4="ESP_DOOR TRIM",DATA_RASIC_DESC!D44,IF($B$4="ESP_Partner_LEVEL_01",DATA_RASIC_DESC!G44,"")))))))</f>
        <v>ES.4</v>
      </c>
      <c r="B51" s="432" t="str">
        <f>IF($B$4="Assembly or Component Provider",DATA_RASIC_DESC!B44,IF($B$4="Consultancy Component Provider",DATA_RASIC_DESC!B44,IF($B$4="Make to Print",DATA_RASIC_DESC!B44,IF($B$4="Engineering Service Provider",DATA_RASIC_DESC!B44,IF($B$4="Full System Provider",DATA_RASIC_DESC!B44,IF($B$4="ESP_DOOR TRIM",DATA_RASIC_DESC!E44,IF($B$4="ESP_Partner_LEVEL_01",DATA_RASIC_DESC!H44,"")))))))</f>
        <v>Meet all of Jaguar Land Rover's Corporate, Homologation, World Regulatory, Materials and Transportation requirements for all markets within Programme definition (e.g. FMVSS, etc.). Cost or timing affected by changes required after signing this document may be subject to re-negotiation</v>
      </c>
      <c r="C51" s="432"/>
      <c r="D51" s="432"/>
      <c r="E51" s="432"/>
      <c r="F51" s="432"/>
      <c r="G51" s="432"/>
      <c r="H51" s="432"/>
      <c r="I51" s="432"/>
      <c r="J51" s="432"/>
      <c r="K51" s="40" t="str">
        <f>IF($B$4="Assembly or Component Provider",DATA_RASIC!Q46,IF($B$4="Consultancy Component Provider",DATA_RASIC!X46,IF($B$4="Make to Print",DATA_RASIC!AE46,IF($B$4="Engineering Service Provider",DATA_RASIC!C46,IF($B$4="Full System Provider",DATA_RASIC!J46,IF($B$4="ESP_DOOR TRIM",DATA_RASIC!AL46,IF($B$4="ESP_Partner_LEVEL_01",DATA_RASIC!AS46,"")))))))</f>
        <v>JLR</v>
      </c>
      <c r="L51" s="40" t="str">
        <f>IF($B$4="Assembly or Component Provider",DATA_RASIC!R46,IF($B$4="Consultancy Component Provider",DATA_RASIC!Y46,IF($B$4="Make to Print",DATA_RASIC!AF46,IF($B$4="Engineering Service Provider",DATA_RASIC!D46,IF($B$4="Full System Provider",DATA_RASIC!K46,IF($B$4="ESP_DOOR TRIM",DATA_RASIC!AM46,IF($B$4="ESP_Partner_LEVEL_01",DATA_RASIC!AT46,"")))))))</f>
        <v>JLR</v>
      </c>
      <c r="M51" s="40" t="str">
        <f>IF($B$4="Assembly or Component Provider",DATA_RASIC!S46,IF($B$4="Consultancy Component Provider",DATA_RASIC!Z46,IF($B$4="Make to Print",DATA_RASIC!AG46,IF($B$4="Engineering Service Provider",DATA_RASIC!E46,IF($B$4="Full System Provider",DATA_RASIC!L46,IF($B$4="ESP_DOOR TRIM",DATA_RASIC!AN46,IF($B$4="ESP_Partner_LEVEL_01",DATA_RASIC!AU46,"")))))))</f>
        <v>JLR</v>
      </c>
      <c r="N51" s="40" t="str">
        <f>IF($B$4="Assembly or Component Provider",DATA_RASIC!T46,IF($B$4="Consultancy Component Provider",DATA_RASIC!AA46,IF($B$4="Make to Print",DATA_RASIC!AH46,IF($B$4="Engineering Service Provider",DATA_RASIC!F46,IF($B$4="Full System Provider",DATA_RASIC!M46,IF($B$4="ESP_DOOR TRIM",DATA_RASIC!AO46,IF($B$4="ESP_Partner_LEVEL_01",DATA_RASIC!AV46,"")))))))</f>
        <v>SE</v>
      </c>
      <c r="O51" s="40" t="str">
        <f>IF($B$4="Assembly or Component Provider",DATA_RASIC!U46,IF($B$4="Consultancy Component Provider",DATA_RASIC!AB46,IF($B$4="Make to Print",DATA_RASIC!AI46,IF($B$4="Engineering Service Provider",DATA_RASIC!G46,IF($B$4="Full System Provider",DATA_RASIC!N46,IF($B$4="ESP_DOOR TRIM",DATA_RASIC!AP46,IF($B$4="ESP_Partner_LEVEL_01",DATA_RASIC!AW46,"")))))))</f>
        <v>-</v>
      </c>
      <c r="P51" s="40" t="str">
        <f>IF($B$4="Assembly or Component Provider",DATA_RASIC!V46,IF($B$4="Consultancy Component Provider",DATA_RASIC!AC46,IF($B$4="Make to Print",DATA_RASIC!AJ46,IF($B$4="Engineering Service Provider",DATA_RASIC!H46,IF($B$4="Full System Provider",DATA_RASIC!O46,IF($B$4="ESP_DOOR TRIM",DATA_RASIC!AQ46,IF($B$4="ESP_Partner_LEVEL_01",DATA_RASIC!AX46,"")))))))</f>
        <v>-</v>
      </c>
    </row>
    <row r="52" spans="1:16" ht="38.4" customHeight="1" x14ac:dyDescent="0.3">
      <c r="A52" s="80" t="str">
        <f>IF($B$4="Assembly or Component Provider",DATA_RASIC_DESC!A45,IF($B$4="Consultancy Component Provider",DATA_RASIC_DESC!A45,IF($B$4="Make to Print",DATA_RASIC_DESC!A45,IF($B$4="Engineering Service Provider",DATA_RASIC_DESC!A45,IF($B$4="Full System Provider",DATA_RASIC_DESC!A45,IF($B$4="ESP_DOOR TRIM",DATA_RASIC_DESC!D45,IF($B$4="ESP_Partner_LEVEL_01",DATA_RASIC_DESC!G45,"")))))))</f>
        <v>ES.5</v>
      </c>
      <c r="B52" s="432" t="str">
        <f>IF($B$4="Assembly or Component Provider",DATA_RASIC_DESC!B45,IF($B$4="Consultancy Component Provider",DATA_RASIC_DESC!B45,IF($B$4="Make to Print",DATA_RASIC_DESC!B45,IF($B$4="Engineering Service Provider",DATA_RASIC_DESC!B45,IF($B$4="Full System Provider",DATA_RASIC_DESC!B45,IF($B$4="ESP_DOOR TRIM",DATA_RASIC_DESC!E45,IF($B$4="ESP_Partner_LEVEL_01",DATA_RASIC_DESC!H45,"")))))))</f>
        <v>Communicated and agree course of action in the event of  discovery of technical requirements discrepancy</v>
      </c>
      <c r="C52" s="432"/>
      <c r="D52" s="432"/>
      <c r="E52" s="432"/>
      <c r="F52" s="432"/>
      <c r="G52" s="432"/>
      <c r="H52" s="432"/>
      <c r="I52" s="432"/>
      <c r="J52" s="432"/>
      <c r="K52" s="40" t="str">
        <f>IF($B$4="Assembly or Component Provider",DATA_RASIC!Q47,IF($B$4="Consultancy Component Provider",DATA_RASIC!X47,IF($B$4="Make to Print",DATA_RASIC!AE47,IF($B$4="Engineering Service Provider",DATA_RASIC!C47,IF($B$4="Full System Provider",DATA_RASIC!J47,IF($B$4="ESP_DOOR TRIM",DATA_RASIC!AL47,IF($B$4="ESP_Partner_LEVEL_01",DATA_RASIC!AS47,"")))))))</f>
        <v>JLR</v>
      </c>
      <c r="L52" s="40" t="str">
        <f>IF($B$4="Assembly or Component Provider",DATA_RASIC!R47,IF($B$4="Consultancy Component Provider",DATA_RASIC!Y47,IF($B$4="Make to Print",DATA_RASIC!AF47,IF($B$4="Engineering Service Provider",DATA_RASIC!D47,IF($B$4="Full System Provider",DATA_RASIC!K47,IF($B$4="ESP_DOOR TRIM",DATA_RASIC!AM47,IF($B$4="ESP_Partner_LEVEL_01",DATA_RASIC!AT47,"")))))))</f>
        <v>JLR</v>
      </c>
      <c r="M52" s="40" t="str">
        <f>IF($B$4="Assembly or Component Provider",DATA_RASIC!S47,IF($B$4="Consultancy Component Provider",DATA_RASIC!Z47,IF($B$4="Make to Print",DATA_RASIC!AG47,IF($B$4="Engineering Service Provider",DATA_RASIC!E47,IF($B$4="Full System Provider",DATA_RASIC!L47,IF($B$4="ESP_DOOR TRIM",DATA_RASIC!AN47,IF($B$4="ESP_Partner_LEVEL_01",DATA_RASIC!AU47,"")))))))</f>
        <v>JLR</v>
      </c>
      <c r="N52" s="40" t="str">
        <f>IF($B$4="Assembly or Component Provider",DATA_RASIC!T47,IF($B$4="Consultancy Component Provider",DATA_RASIC!AA47,IF($B$4="Make to Print",DATA_RASIC!AH47,IF($B$4="Engineering Service Provider",DATA_RASIC!F47,IF($B$4="Full System Provider",DATA_RASIC!M47,IF($B$4="ESP_DOOR TRIM",DATA_RASIC!AO47,IF($B$4="ESP_Partner_LEVEL_01",DATA_RASIC!AV47,"")))))))</f>
        <v>SE</v>
      </c>
      <c r="O52" s="40" t="str">
        <f>IF($B$4="Assembly or Component Provider",DATA_RASIC!U47,IF($B$4="Consultancy Component Provider",DATA_RASIC!AB47,IF($B$4="Make to Print",DATA_RASIC!AI47,IF($B$4="Engineering Service Provider",DATA_RASIC!G47,IF($B$4="Full System Provider",DATA_RASIC!N47,IF($B$4="ESP_DOOR TRIM",DATA_RASIC!AP47,IF($B$4="ESP_Partner_LEVEL_01",DATA_RASIC!AW47,"")))))))</f>
        <v>-</v>
      </c>
      <c r="P52" s="40" t="str">
        <f>IF($B$4="Assembly or Component Provider",DATA_RASIC!V47,IF($B$4="Consultancy Component Provider",DATA_RASIC!AC47,IF($B$4="Make to Print",DATA_RASIC!AJ47,IF($B$4="Engineering Service Provider",DATA_RASIC!H47,IF($B$4="Full System Provider",DATA_RASIC!O47,IF($B$4="ESP_DOOR TRIM",DATA_RASIC!AQ47,IF($B$4="ESP_Partner_LEVEL_01",DATA_RASIC!AX47,"")))))))</f>
        <v>-</v>
      </c>
    </row>
    <row r="53" spans="1:16" ht="51" customHeight="1" x14ac:dyDescent="0.3">
      <c r="A53" s="80" t="str">
        <f>IF($B$4="Assembly or Component Provider",DATA_RASIC_DESC!A46,IF($B$4="Consultancy Component Provider",DATA_RASIC_DESC!A46,IF($B$4="Make to Print",DATA_RASIC_DESC!A46,IF($B$4="Engineering Service Provider",DATA_RASIC_DESC!A46,IF($B$4="Full System Provider",DATA_RASIC_DESC!A46,IF($B$4="ESP_DOOR TRIM",DATA_RASIC_DESC!D46,IF($B$4="ESP_Partner_LEVEL_01",DATA_RASIC_DESC!G46,"")))))))</f>
        <v>ES.6</v>
      </c>
      <c r="B53" s="432" t="str">
        <f>IF($B$4="Assembly or Component Provider",DATA_RASIC_DESC!B46,IF($B$4="Consultancy Component Provider",DATA_RASIC_DESC!B46,IF($B$4="Make to Print",DATA_RASIC_DESC!B46,IF($B$4="Engineering Service Provider",DATA_RASIC_DESC!B46,IF($B$4="Full System Provider",DATA_RASIC_DESC!B46,IF($B$4="ESP_DOOR TRIM",DATA_RASIC_DESC!E46,IF($B$4="ESP_Partner_LEVEL_01",DATA_RASIC_DESC!H46,"")))))))</f>
        <v>Meet all of Jaguar Land Rover's Corporate, Homologation, World Regulatory, Materials and Transportation requirements for all markets within Programme definition as cascaded in commodity specific RMDV by JLR to SE responsible list. Cost or timing affected by changes required after signing this document may be subject to re-negotiation</v>
      </c>
      <c r="C53" s="432"/>
      <c r="D53" s="432"/>
      <c r="E53" s="432"/>
      <c r="F53" s="432"/>
      <c r="G53" s="432"/>
      <c r="H53" s="432"/>
      <c r="I53" s="432"/>
      <c r="J53" s="432"/>
      <c r="K53" s="40" t="str">
        <f>IF($B$4="Assembly or Component Provider",DATA_RASIC!Q48,IF($B$4="Consultancy Component Provider",DATA_RASIC!X48,IF($B$4="Make to Print",DATA_RASIC!AE48,IF($B$4="Engineering Service Provider",DATA_RASIC!C48,IF($B$4="Full System Provider",DATA_RASIC!J48,IF($B$4="ESP_DOOR TRIM",DATA_RASIC!AL48,IF($B$4="ESP_Partner_LEVEL_01",DATA_RASIC!AS48,"")))))))</f>
        <v>SE</v>
      </c>
      <c r="L53" s="40" t="str">
        <f>IF($B$4="Assembly or Component Provider",DATA_RASIC!R48,IF($B$4="Consultancy Component Provider",DATA_RASIC!Y48,IF($B$4="Make to Print",DATA_RASIC!AF48,IF($B$4="Engineering Service Provider",DATA_RASIC!D48,IF($B$4="Full System Provider",DATA_RASIC!K48,IF($B$4="ESP_DOOR TRIM",DATA_RASIC!AM48,IF($B$4="ESP_Partner_LEVEL_01",DATA_RASIC!AT48,"")))))))</f>
        <v>SE</v>
      </c>
      <c r="M53" s="40" t="str">
        <f>IF($B$4="Assembly or Component Provider",DATA_RASIC!S48,IF($B$4="Consultancy Component Provider",DATA_RASIC!Z48,IF($B$4="Make to Print",DATA_RASIC!AG48,IF($B$4="Engineering Service Provider",DATA_RASIC!E48,IF($B$4="Full System Provider",DATA_RASIC!L48,IF($B$4="ESP_DOOR TRIM",DATA_RASIC!AN48,IF($B$4="ESP_Partner_LEVEL_01",DATA_RASIC!AU48,"")))))))</f>
        <v>JLR</v>
      </c>
      <c r="N53" s="40" t="str">
        <f>IF($B$4="Assembly or Component Provider",DATA_RASIC!T48,IF($B$4="Consultancy Component Provider",DATA_RASIC!AA48,IF($B$4="Make to Print",DATA_RASIC!AH48,IF($B$4="Engineering Service Provider",DATA_RASIC!F48,IF($B$4="Full System Provider",DATA_RASIC!M48,IF($B$4="ESP_DOOR TRIM",DATA_RASIC!AO48,IF($B$4="ESP_Partner_LEVEL_01",DATA_RASIC!AV48,"")))))))</f>
        <v>SE</v>
      </c>
      <c r="O53" s="40" t="str">
        <f>IF($B$4="Assembly or Component Provider",DATA_RASIC!U48,IF($B$4="Consultancy Component Provider",DATA_RASIC!AB48,IF($B$4="Make to Print",DATA_RASIC!AI48,IF($B$4="Engineering Service Provider",DATA_RASIC!G48,IF($B$4="Full System Provider",DATA_RASIC!N48,IF($B$4="ESP_DOOR TRIM",DATA_RASIC!AP48,IF($B$4="ESP_Partner_LEVEL_01",DATA_RASIC!AW48,"")))))))</f>
        <v>-</v>
      </c>
      <c r="P53" s="40" t="str">
        <f>IF($B$4="Assembly or Component Provider",DATA_RASIC!V48,IF($B$4="Consultancy Component Provider",DATA_RASIC!AC48,IF($B$4="Make to Print",DATA_RASIC!AJ48,IF($B$4="Engineering Service Provider",DATA_RASIC!H48,IF($B$4="Full System Provider",DATA_RASIC!O48,IF($B$4="ESP_DOOR TRIM",DATA_RASIC!AQ48,IF($B$4="ESP_Partner_LEVEL_01",DATA_RASIC!AX48,"")))))))</f>
        <v>-</v>
      </c>
    </row>
    <row r="54" spans="1:16" ht="76.2" customHeight="1" x14ac:dyDescent="0.3">
      <c r="A54" s="80" t="str">
        <f>IF($B$4="Assembly or Component Provider",DATA_RASIC_DESC!A47,IF($B$4="Consultancy Component Provider",DATA_RASIC_DESC!A47,IF($B$4="Make to Print",DATA_RASIC_DESC!A47,IF($B$4="Engineering Service Provider",DATA_RASIC_DESC!A47,IF($B$4="Full System Provider",DATA_RASIC_DESC!A47,IF($B$4="ESP_DOOR TRIM",DATA_RASIC_DESC!D47,IF($B$4="ESP_Partner_LEVEL_01",DATA_RASIC_DESC!G47,"")))))))</f>
        <v>-</v>
      </c>
      <c r="B54" s="432" t="str">
        <f>IF($B$4="Assembly or Component Provider",DATA_RASIC_DESC!B47,IF($B$4="Consultancy Component Provider",DATA_RASIC_DESC!B47,IF($B$4="Make to Print",DATA_RASIC_DESC!B47,IF($B$4="Engineering Service Provider",DATA_RASIC_DESC!B47,IF($B$4="Full System Provider",DATA_RASIC_DESC!B47,IF($B$4="ESP_DOOR TRIM",DATA_RASIC_DESC!E47,IF($B$4="ESP_Partner_LEVEL_01",DATA_RASIC_DESC!H47,"")))))))</f>
        <v>Reserved</v>
      </c>
      <c r="C54" s="432"/>
      <c r="D54" s="432"/>
      <c r="E54" s="432"/>
      <c r="F54" s="432"/>
      <c r="G54" s="432"/>
      <c r="H54" s="432"/>
      <c r="I54" s="432"/>
      <c r="J54" s="432"/>
      <c r="K54" s="40" t="str">
        <f>IF($B$4="Assembly or Component Provider",DATA_RASIC!Q49,IF($B$4="Consultancy Component Provider",DATA_RASIC!X49,IF($B$4="Make to Print",DATA_RASIC!AE49,IF($B$4="Engineering Service Provider",DATA_RASIC!C49,IF($B$4="Full System Provider",DATA_RASIC!J49,IF($B$4="ESP_DOOR TRIM",DATA_RASIC!AL49,IF($B$4="ESP_Partner_LEVEL_01",DATA_RASIC!AS49,"")))))))</f>
        <v>N/A</v>
      </c>
      <c r="L54" s="40" t="str">
        <f>IF($B$4="Assembly or Component Provider",DATA_RASIC!R49,IF($B$4="Consultancy Component Provider",DATA_RASIC!Y49,IF($B$4="Make to Print",DATA_RASIC!AF49,IF($B$4="Engineering Service Provider",DATA_RASIC!D49,IF($B$4="Full System Provider",DATA_RASIC!K49,IF($B$4="ESP_DOOR TRIM",DATA_RASIC!AM49,IF($B$4="ESP_Partner_LEVEL_01",DATA_RASIC!AT49,"")))))))</f>
        <v>-</v>
      </c>
      <c r="M54" s="40" t="str">
        <f>IF($B$4="Assembly or Component Provider",DATA_RASIC!S49,IF($B$4="Consultancy Component Provider",DATA_RASIC!Z49,IF($B$4="Make to Print",DATA_RASIC!AG49,IF($B$4="Engineering Service Provider",DATA_RASIC!E49,IF($B$4="Full System Provider",DATA_RASIC!L49,IF($B$4="ESP_DOOR TRIM",DATA_RASIC!AN49,IF($B$4="ESP_Partner_LEVEL_01",DATA_RASIC!AU49,"")))))))</f>
        <v>-</v>
      </c>
      <c r="N54" s="40" t="str">
        <f>IF($B$4="Assembly or Component Provider",DATA_RASIC!T49,IF($B$4="Consultancy Component Provider",DATA_RASIC!AA49,IF($B$4="Make to Print",DATA_RASIC!AH49,IF($B$4="Engineering Service Provider",DATA_RASIC!F49,IF($B$4="Full System Provider",DATA_RASIC!M49,IF($B$4="ESP_DOOR TRIM",DATA_RASIC!AO49,IF($B$4="ESP_Partner_LEVEL_01",DATA_RASIC!AV49,"")))))))</f>
        <v>-</v>
      </c>
      <c r="O54" s="40" t="str">
        <f>IF($B$4="Assembly or Component Provider",DATA_RASIC!U49,IF($B$4="Consultancy Component Provider",DATA_RASIC!AB49,IF($B$4="Make to Print",DATA_RASIC!AI49,IF($B$4="Engineering Service Provider",DATA_RASIC!G49,IF($B$4="Full System Provider",DATA_RASIC!N49,IF($B$4="ESP_DOOR TRIM",DATA_RASIC!AP49,IF($B$4="ESP_Partner_LEVEL_01",DATA_RASIC!AW49,"")))))))</f>
        <v>-</v>
      </c>
      <c r="P54" s="40" t="str">
        <f>IF($B$4="Assembly or Component Provider",DATA_RASIC!V49,IF($B$4="Consultancy Component Provider",DATA_RASIC!AC49,IF($B$4="Make to Print",DATA_RASIC!AJ49,IF($B$4="Engineering Service Provider",DATA_RASIC!H49,IF($B$4="Full System Provider",DATA_RASIC!O49,IF($B$4="ESP_DOOR TRIM",DATA_RASIC!AQ49,IF($B$4="ESP_Partner_LEVEL_01",DATA_RASIC!AX49,"")))))))</f>
        <v>-</v>
      </c>
    </row>
    <row r="55" spans="1:16" s="9" customFormat="1" ht="18" customHeight="1" x14ac:dyDescent="0.3">
      <c r="A55" s="602" t="s">
        <v>993</v>
      </c>
      <c r="B55" s="602"/>
      <c r="C55" s="602"/>
      <c r="D55" s="602"/>
      <c r="E55" s="602"/>
      <c r="F55" s="602"/>
      <c r="G55" s="602"/>
      <c r="H55" s="602"/>
      <c r="I55" s="602"/>
      <c r="J55" s="602"/>
      <c r="K55" s="603" t="s">
        <v>982</v>
      </c>
      <c r="L55" s="457"/>
      <c r="M55" s="457"/>
      <c r="N55" s="457"/>
      <c r="O55" s="604" t="s">
        <v>424</v>
      </c>
      <c r="P55" s="457"/>
    </row>
    <row r="56" spans="1:16" ht="18" customHeight="1" x14ac:dyDescent="0.3">
      <c r="A56" s="39" t="s">
        <v>983</v>
      </c>
      <c r="B56" s="588" t="s">
        <v>984</v>
      </c>
      <c r="C56" s="588"/>
      <c r="D56" s="588"/>
      <c r="E56" s="588"/>
      <c r="F56" s="588"/>
      <c r="G56" s="588"/>
      <c r="H56" s="588"/>
      <c r="I56" s="588"/>
      <c r="J56" s="588"/>
      <c r="K56" s="39" t="s">
        <v>985</v>
      </c>
      <c r="L56" s="39" t="s">
        <v>986</v>
      </c>
      <c r="M56" s="39" t="s">
        <v>987</v>
      </c>
      <c r="N56" s="39" t="s">
        <v>988</v>
      </c>
      <c r="O56" s="39" t="s">
        <v>989</v>
      </c>
      <c r="P56" s="39" t="s">
        <v>990</v>
      </c>
    </row>
    <row r="57" spans="1:16" ht="170.4" customHeight="1" x14ac:dyDescent="0.3">
      <c r="A57" s="80" t="str">
        <f>IF($B$4="Assembly or Component Provider",DATA_RASIC_DESC!A50,IF($B$4="Consultancy Component Provider",DATA_RASIC_DESC!A50,IF($B$4="Make to Print",DATA_RASIC_DESC!A50,IF($B$4="Engineering Service Provider",DATA_RASIC_DESC!A50,IF($B$4="Full System Provider",DATA_RASIC_DESC!A50,IF($B$4="ESP_DOOR TRIM",DATA_RASIC_DESC!D50,IF($B$4="ESP_Partner_LEVEL_01",DATA_RASIC_DESC!G50,"")))))))</f>
        <v>DE.1</v>
      </c>
      <c r="B57" s="432" t="str">
        <f>IF($B$4="Assembly or Component Provider",DATA_RASIC_DESC!B50,IF($B$4="Consultancy Component Provider",DATA_RASIC_DESC!B50,IF($B$4="Make to Print",DATA_RASIC_DESC!B50,IF($B$4="Engineering Service Provider",DATA_RASIC_DESC!B50,IF($B$4="Full System Provider",DATA_RASIC_DESC!B50,IF($B$4="ESP_DOOR TRIM",DATA_RASIC_DESC!E50,IF($B$4="ESP_Partner_LEVEL_01",DATA_RASIC_DESC!H50,"")))))))</f>
        <v>Throughout the Product Development Process, Jaguar Land Rover's Engineers shall proactively assist suppliers to ensure a "Flawless Product" launch of a component, system and module (including but not limited to the following events):
· Know the customer requirements (including service components)
· Participate actively in supplier technical and process capability / design reviews
· Conduct problem resolution and continuous improvement efforts
· Lead periodic risk assessment of Jaguar Land Rover's / Supplier readiness
· Communicate Programme assessment status, including the sign–off and approval of progress throughout the product development process 
· Review and approve all supplier deliverables 
· Identify, measure, monitor and control critical to quality characteristics of the product / launch
· Assure that all of Jaguar Land Rover's methodologies / processes are maximised and enhanced</v>
      </c>
      <c r="C57" s="432"/>
      <c r="D57" s="432"/>
      <c r="E57" s="432"/>
      <c r="F57" s="432"/>
      <c r="G57" s="432"/>
      <c r="H57" s="432"/>
      <c r="I57" s="432"/>
      <c r="J57" s="432"/>
      <c r="K57" s="40" t="str">
        <f>IF($B$4="Assembly or Component Provider",DATA_RASIC!Q53,IF($B$4="Consultancy Component Provider",DATA_RASIC!X53,IF($B$4="Make to Print",DATA_RASIC!AE53,IF($B$4="Engineering Service Provider",DATA_RASIC!C53,IF($B$4="Full System Provider",DATA_RASIC!J53,IF($B$4="ESP_DOOR TRIM",DATA_RASIC!AL53,IF($B$4="ESP_Partner_LEVEL_01",DATA_RASIC!AS53,"")))))))</f>
        <v>JLR</v>
      </c>
      <c r="L57" s="40" t="str">
        <f>IF($B$4="Assembly or Component Provider",DATA_RASIC!R53,IF($B$4="Consultancy Component Provider",DATA_RASIC!Y53,IF($B$4="Make to Print",DATA_RASIC!AF53,IF($B$4="Engineering Service Provider",DATA_RASIC!D53,IF($B$4="Full System Provider",DATA_RASIC!K53,IF($B$4="ESP_DOOR TRIM",DATA_RASIC!AM53,IF($B$4="ESP_Partner_LEVEL_01",DATA_RASIC!AT53,"")))))))</f>
        <v>JLR</v>
      </c>
      <c r="M57" s="40" t="str">
        <f>IF($B$4="Assembly or Component Provider",DATA_RASIC!S53,IF($B$4="Consultancy Component Provider",DATA_RASIC!Z53,IF($B$4="Make to Print",DATA_RASIC!AG53,IF($B$4="Engineering Service Provider",DATA_RASIC!E53,IF($B$4="Full System Provider",DATA_RASIC!L53,IF($B$4="ESP_DOOR TRIM",DATA_RASIC!AN53,IF($B$4="ESP_Partner_LEVEL_01",DATA_RASIC!AU53,"")))))))</f>
        <v>JLR</v>
      </c>
      <c r="N57" s="40" t="str">
        <f>IF($B$4="Assembly or Component Provider",DATA_RASIC!T53,IF($B$4="Consultancy Component Provider",DATA_RASIC!AA53,IF($B$4="Make to Print",DATA_RASIC!AH53,IF($B$4="Engineering Service Provider",DATA_RASIC!F53,IF($B$4="Full System Provider",DATA_RASIC!M53,IF($B$4="ESP_DOOR TRIM",DATA_RASIC!AO53,IF($B$4="ESP_Partner_LEVEL_01",DATA_RASIC!AV53,"")))))))</f>
        <v>SE</v>
      </c>
      <c r="O57" s="40" t="str">
        <f>IF($B$4="Assembly or Component Provider",DATA_RASIC!U53,IF($B$4="Consultancy Component Provider",DATA_RASIC!AB53,IF($B$4="Make to Print",DATA_RASIC!AI53,IF($B$4="Engineering Service Provider",DATA_RASIC!G53,IF($B$4="Full System Provider",DATA_RASIC!N53,IF($B$4="ESP_DOOR TRIM",DATA_RASIC!AP53,IF($B$4="ESP_Partner_LEVEL_01",DATA_RASIC!AW53,"")))))))</f>
        <v>-</v>
      </c>
      <c r="P57" s="40" t="str">
        <f>IF($B$4="Assembly or Component Provider",DATA_RASIC!V53,IF($B$4="Consultancy Component Provider",DATA_RASIC!AC53,IF($B$4="Make to Print",DATA_RASIC!AJ53,IF($B$4="Engineering Service Provider",DATA_RASIC!H53,IF($B$4="Full System Provider",DATA_RASIC!O53,IF($B$4="ESP_DOOR TRIM",DATA_RASIC!AQ53,IF($B$4="ESP_Partner_LEVEL_01",DATA_RASIC!AX53,"")))))))</f>
        <v>-</v>
      </c>
    </row>
    <row r="58" spans="1:16" ht="42.6" customHeight="1" x14ac:dyDescent="0.3">
      <c r="A58" s="80" t="str">
        <f>IF($B$4="Assembly or Component Provider",DATA_RASIC_DESC!A51,IF($B$4="Consultancy Component Provider",DATA_RASIC_DESC!A51,IF($B$4="Make to Print",DATA_RASIC_DESC!A51,IF($B$4="Engineering Service Provider",DATA_RASIC_DESC!A51,IF($B$4="Full System Provider",DATA_RASIC_DESC!A51,IF($B$4="ESP_DOOR TRIM",DATA_RASIC_DESC!D51,IF($B$4="ESP_Partner_LEVEL_01",DATA_RASIC_DESC!G51,"")))))))</f>
        <v>DE.2</v>
      </c>
      <c r="B58" s="432" t="str">
        <f>IF($B$4="Assembly or Component Provider",DATA_RASIC_DESC!B51,IF($B$4="Consultancy Component Provider",DATA_RASIC_DESC!B51,IF($B$4="Make to Print",DATA_RASIC_DESC!B51,IF($B$4="Engineering Service Provider",DATA_RASIC_DESC!B51,IF($B$4="Full System Provider",DATA_RASIC_DESC!B51,IF($B$4="ESP_DOOR TRIM",DATA_RASIC_DESC!E51,IF($B$4="ESP_Partner_LEVEL_01",DATA_RASIC_DESC!H51,"")))))))</f>
        <v>Define system attributes &amp; requirements of all interfacing commodities ( e.g.  Headlamp-cleaning / washer bottle)</v>
      </c>
      <c r="C58" s="432"/>
      <c r="D58" s="432"/>
      <c r="E58" s="432"/>
      <c r="F58" s="432"/>
      <c r="G58" s="432"/>
      <c r="H58" s="432"/>
      <c r="I58" s="432"/>
      <c r="J58" s="432"/>
      <c r="K58" s="40" t="str">
        <f>IF($B$4="Assembly or Component Provider",DATA_RASIC!Q54,IF($B$4="Consultancy Component Provider",DATA_RASIC!X54,IF($B$4="Make to Print",DATA_RASIC!AE54,IF($B$4="Engineering Service Provider",DATA_RASIC!C54,IF($B$4="Full System Provider",DATA_RASIC!J54,IF($B$4="ESP_DOOR TRIM",DATA_RASIC!AL54,IF($B$4="ESP_Partner_LEVEL_01",DATA_RASIC!AS54,"")))))))</f>
        <v>JLR</v>
      </c>
      <c r="L58" s="40" t="str">
        <f>IF($B$4="Assembly or Component Provider",DATA_RASIC!R54,IF($B$4="Consultancy Component Provider",DATA_RASIC!Y54,IF($B$4="Make to Print",DATA_RASIC!AF54,IF($B$4="Engineering Service Provider",DATA_RASIC!D54,IF($B$4="Full System Provider",DATA_RASIC!K54,IF($B$4="ESP_DOOR TRIM",DATA_RASIC!AM54,IF($B$4="ESP_Partner_LEVEL_01",DATA_RASIC!AT54,"")))))))</f>
        <v>JLR</v>
      </c>
      <c r="M58" s="40" t="str">
        <f>IF($B$4="Assembly or Component Provider",DATA_RASIC!S54,IF($B$4="Consultancy Component Provider",DATA_RASIC!Z54,IF($B$4="Make to Print",DATA_RASIC!AG54,IF($B$4="Engineering Service Provider",DATA_RASIC!E54,IF($B$4="Full System Provider",DATA_RASIC!L54,IF($B$4="ESP_DOOR TRIM",DATA_RASIC!AN54,IF($B$4="ESP_Partner_LEVEL_01",DATA_RASIC!AU54,"")))))))</f>
        <v>JLR</v>
      </c>
      <c r="N58" s="40" t="str">
        <f>IF($B$4="Assembly or Component Provider",DATA_RASIC!T54,IF($B$4="Consultancy Component Provider",DATA_RASIC!AA54,IF($B$4="Make to Print",DATA_RASIC!AH54,IF($B$4="Engineering Service Provider",DATA_RASIC!F54,IF($B$4="Full System Provider",DATA_RASIC!M54,IF($B$4="ESP_DOOR TRIM",DATA_RASIC!AO54,IF($B$4="ESP_Partner_LEVEL_01",DATA_RASIC!AV54,"")))))))</f>
        <v>SE</v>
      </c>
      <c r="O58" s="40" t="str">
        <f>IF($B$4="Assembly or Component Provider",DATA_RASIC!U54,IF($B$4="Consultancy Component Provider",DATA_RASIC!AB54,IF($B$4="Make to Print",DATA_RASIC!AI54,IF($B$4="Engineering Service Provider",DATA_RASIC!G54,IF($B$4="Full System Provider",DATA_RASIC!N54,IF($B$4="ESP_DOOR TRIM",DATA_RASIC!AP54,IF($B$4="ESP_Partner_LEVEL_01",DATA_RASIC!AW54,"")))))))</f>
        <v>-</v>
      </c>
      <c r="P58" s="40" t="str">
        <f>IF($B$4="Assembly or Component Provider",DATA_RASIC!V54,IF($B$4="Consultancy Component Provider",DATA_RASIC!AC54,IF($B$4="Make to Print",DATA_RASIC!AJ54,IF($B$4="Engineering Service Provider",DATA_RASIC!H54,IF($B$4="Full System Provider",DATA_RASIC!O54,IF($B$4="ESP_DOOR TRIM",DATA_RASIC!AQ54,IF($B$4="ESP_Partner_LEVEL_01",DATA_RASIC!AX54,"")))))))</f>
        <v>-</v>
      </c>
    </row>
    <row r="59" spans="1:16" ht="42.6" customHeight="1" x14ac:dyDescent="0.3">
      <c r="A59" s="80" t="str">
        <f>IF($B$4="Assembly or Component Provider",DATA_RASIC_DESC!A52,IF($B$4="Consultancy Component Provider",DATA_RASIC_DESC!A52,IF($B$4="Make to Print",DATA_RASIC_DESC!A52,IF($B$4="Engineering Service Provider",DATA_RASIC_DESC!A52,IF($B$4="Full System Provider",DATA_RASIC_DESC!A52,IF($B$4="ESP_DOOR TRIM",DATA_RASIC_DESC!D52,IF($B$4="ESP_Partner_LEVEL_01",DATA_RASIC_DESC!G52,"")))))))</f>
        <v>DE.3</v>
      </c>
      <c r="B59" s="432" t="str">
        <f>IF($B$4="Assembly or Component Provider",DATA_RASIC_DESC!B52,IF($B$4="Consultancy Component Provider",DATA_RASIC_DESC!B52,IF($B$4="Make to Print",DATA_RASIC_DESC!B52,IF($B$4="Engineering Service Provider",DATA_RASIC_DESC!B52,IF($B$4="Full System Provider",DATA_RASIC_DESC!B52,IF($B$4="ESP_DOOR TRIM",DATA_RASIC_DESC!E52,IF($B$4="ESP_Partner_LEVEL_01",DATA_RASIC_DESC!H52,"")))))))</f>
        <v>Develop vehicle package for the commodity. JLR to issue list of components within package, supplier responsible for monitoring updates to parts within supplier systems. JLR to issue list of DS’s</v>
      </c>
      <c r="C59" s="432"/>
      <c r="D59" s="432"/>
      <c r="E59" s="432"/>
      <c r="F59" s="432"/>
      <c r="G59" s="432"/>
      <c r="H59" s="432"/>
      <c r="I59" s="432"/>
      <c r="J59" s="432"/>
      <c r="K59" s="40" t="str">
        <f>IF($B$4="Assembly or Component Provider",DATA_RASIC!Q55,IF($B$4="Consultancy Component Provider",DATA_RASIC!X55,IF($B$4="Make to Print",DATA_RASIC!AE55,IF($B$4="Engineering Service Provider",DATA_RASIC!C55,IF($B$4="Full System Provider",DATA_RASIC!J55,IF($B$4="ESP_DOOR TRIM",DATA_RASIC!AL55,IF($B$4="ESP_Partner_LEVEL_01",DATA_RASIC!AS55,"")))))))</f>
        <v>JLR</v>
      </c>
      <c r="L59" s="40" t="str">
        <f>IF($B$4="Assembly or Component Provider",DATA_RASIC!R55,IF($B$4="Consultancy Component Provider",DATA_RASIC!Y55,IF($B$4="Make to Print",DATA_RASIC!AF55,IF($B$4="Engineering Service Provider",DATA_RASIC!D55,IF($B$4="Full System Provider",DATA_RASIC!K55,IF($B$4="ESP_DOOR TRIM",DATA_RASIC!AM55,IF($B$4="ESP_Partner_LEVEL_01",DATA_RASIC!AT55,"")))))))</f>
        <v>JLR</v>
      </c>
      <c r="M59" s="40" t="str">
        <f>IF($B$4="Assembly or Component Provider",DATA_RASIC!S55,IF($B$4="Consultancy Component Provider",DATA_RASIC!Z55,IF($B$4="Make to Print",DATA_RASIC!AG55,IF($B$4="Engineering Service Provider",DATA_RASIC!E55,IF($B$4="Full System Provider",DATA_RASIC!L55,IF($B$4="ESP_DOOR TRIM",DATA_RASIC!AN55,IF($B$4="ESP_Partner_LEVEL_01",DATA_RASIC!AU55,"")))))))</f>
        <v>JLR</v>
      </c>
      <c r="N59" s="40" t="str">
        <f>IF($B$4="Assembly or Component Provider",DATA_RASIC!T55,IF($B$4="Consultancy Component Provider",DATA_RASIC!AA55,IF($B$4="Make to Print",DATA_RASIC!AH55,IF($B$4="Engineering Service Provider",DATA_RASIC!F55,IF($B$4="Full System Provider",DATA_RASIC!M55,IF($B$4="ESP_DOOR TRIM",DATA_RASIC!AO55,IF($B$4="ESP_Partner_LEVEL_01",DATA_RASIC!AV55,"")))))))</f>
        <v>SE</v>
      </c>
      <c r="O59" s="40" t="str">
        <f>IF($B$4="Assembly or Component Provider",DATA_RASIC!U55,IF($B$4="Consultancy Component Provider",DATA_RASIC!AB55,IF($B$4="Make to Print",DATA_RASIC!AI55,IF($B$4="Engineering Service Provider",DATA_RASIC!G55,IF($B$4="Full System Provider",DATA_RASIC!N55,IF($B$4="ESP_DOOR TRIM",DATA_RASIC!AP55,IF($B$4="ESP_Partner_LEVEL_01",DATA_RASIC!AW55,"")))))))</f>
        <v>-</v>
      </c>
      <c r="P59" s="40" t="str">
        <f>IF($B$4="Assembly or Component Provider",DATA_RASIC!V55,IF($B$4="Consultancy Component Provider",DATA_RASIC!AC55,IF($B$4="Make to Print",DATA_RASIC!AJ55,IF($B$4="Engineering Service Provider",DATA_RASIC!H55,IF($B$4="Full System Provider",DATA_RASIC!O55,IF($B$4="ESP_DOOR TRIM",DATA_RASIC!AQ55,IF($B$4="ESP_Partner_LEVEL_01",DATA_RASIC!AX55,"")))))))</f>
        <v>-</v>
      </c>
    </row>
    <row r="60" spans="1:16" ht="42.6" customHeight="1" x14ac:dyDescent="0.3">
      <c r="A60" s="80" t="str">
        <f>IF($B$4="Assembly or Component Provider",DATA_RASIC_DESC!A53,IF($B$4="Consultancy Component Provider",DATA_RASIC_DESC!A53,IF($B$4="Make to Print",DATA_RASIC_DESC!A53,IF($B$4="Engineering Service Provider",DATA_RASIC_DESC!A53,IF($B$4="Full System Provider",DATA_RASIC_DESC!A53,IF($B$4="ESP_DOOR TRIM",DATA_RASIC_DESC!D53,IF($B$4="ESP_Partner_LEVEL_01",DATA_RASIC_DESC!G53,"")))))))</f>
        <v>DE.4</v>
      </c>
      <c r="B60" s="432" t="str">
        <f>IF($B$4="Assembly or Component Provider",DATA_RASIC_DESC!B53,IF($B$4="Consultancy Component Provider",DATA_RASIC_DESC!B53,IF($B$4="Make to Print",DATA_RASIC_DESC!B53,IF($B$4="Engineering Service Provider",DATA_RASIC_DESC!B53,IF($B$4="Full System Provider",DATA_RASIC_DESC!B53,IF($B$4="ESP_DOOR TRIM",DATA_RASIC_DESC!E53,IF($B$4="ESP_Partner_LEVEL_01",DATA_RASIC_DESC!H53,"")))))))</f>
        <v>Take ownership of and maintain parts in WERS which are manufactured by Jaguar Land Rover or are “build-to-print” parts not supplier designed, prior to the use of WERS and if required</v>
      </c>
      <c r="C60" s="432"/>
      <c r="D60" s="432"/>
      <c r="E60" s="432"/>
      <c r="F60" s="432"/>
      <c r="G60" s="432"/>
      <c r="H60" s="432"/>
      <c r="I60" s="432"/>
      <c r="J60" s="432"/>
      <c r="K60" s="40" t="str">
        <f>IF($B$4="Assembly or Component Provider",DATA_RASIC!Q56,IF($B$4="Consultancy Component Provider",DATA_RASIC!X56,IF($B$4="Make to Print",DATA_RASIC!AE56,IF($B$4="Engineering Service Provider",DATA_RASIC!C56,IF($B$4="Full System Provider",DATA_RASIC!J56,IF($B$4="ESP_DOOR TRIM",DATA_RASIC!AL56,IF($B$4="ESP_Partner_LEVEL_01",DATA_RASIC!AS56,"")))))))</f>
        <v>JLR</v>
      </c>
      <c r="L60" s="40" t="str">
        <f>IF($B$4="Assembly or Component Provider",DATA_RASIC!R56,IF($B$4="Consultancy Component Provider",DATA_RASIC!Y56,IF($B$4="Make to Print",DATA_RASIC!AF56,IF($B$4="Engineering Service Provider",DATA_RASIC!D56,IF($B$4="Full System Provider",DATA_RASIC!K56,IF($B$4="ESP_DOOR TRIM",DATA_RASIC!AM56,IF($B$4="ESP_Partner_LEVEL_01",DATA_RASIC!AT56,"")))))))</f>
        <v>JLR</v>
      </c>
      <c r="M60" s="40" t="str">
        <f>IF($B$4="Assembly or Component Provider",DATA_RASIC!S56,IF($B$4="Consultancy Component Provider",DATA_RASIC!Z56,IF($B$4="Make to Print",DATA_RASIC!AG56,IF($B$4="Engineering Service Provider",DATA_RASIC!E56,IF($B$4="Full System Provider",DATA_RASIC!L56,IF($B$4="ESP_DOOR TRIM",DATA_RASIC!AN56,IF($B$4="ESP_Partner_LEVEL_01",DATA_RASIC!AU56,"")))))))</f>
        <v>JLR</v>
      </c>
      <c r="N60" s="40" t="str">
        <f>IF($B$4="Assembly or Component Provider",DATA_RASIC!T56,IF($B$4="Consultancy Component Provider",DATA_RASIC!AA56,IF($B$4="Make to Print",DATA_RASIC!AH56,IF($B$4="Engineering Service Provider",DATA_RASIC!F56,IF($B$4="Full System Provider",DATA_RASIC!M56,IF($B$4="ESP_DOOR TRIM",DATA_RASIC!AO56,IF($B$4="ESP_Partner_LEVEL_01",DATA_RASIC!AV56,"")))))))</f>
        <v>SE</v>
      </c>
      <c r="O60" s="40" t="str">
        <f>IF($B$4="Assembly or Component Provider",DATA_RASIC!U56,IF($B$4="Consultancy Component Provider",DATA_RASIC!AB56,IF($B$4="Make to Print",DATA_RASIC!AI56,IF($B$4="Engineering Service Provider",DATA_RASIC!G56,IF($B$4="Full System Provider",DATA_RASIC!N56,IF($B$4="ESP_DOOR TRIM",DATA_RASIC!AP56,IF($B$4="ESP_Partner_LEVEL_01",DATA_RASIC!AW56,"")))))))</f>
        <v>-</v>
      </c>
      <c r="P60" s="40" t="str">
        <f>IF($B$4="Assembly or Component Provider",DATA_RASIC!V56,IF($B$4="Consultancy Component Provider",DATA_RASIC!AC56,IF($B$4="Make to Print",DATA_RASIC!AJ56,IF($B$4="Engineering Service Provider",DATA_RASIC!H56,IF($B$4="Full System Provider",DATA_RASIC!O56,IF($B$4="ESP_DOOR TRIM",DATA_RASIC!AQ56,IF($B$4="ESP_Partner_LEVEL_01",DATA_RASIC!AX56,"")))))))</f>
        <v>-</v>
      </c>
    </row>
    <row r="61" spans="1:16" ht="42.6" customHeight="1" x14ac:dyDescent="0.3">
      <c r="A61" s="80" t="str">
        <f>IF($B$4="Assembly or Component Provider",DATA_RASIC_DESC!A54,IF($B$4="Consultancy Component Provider",DATA_RASIC_DESC!A54,IF($B$4="Make to Print",DATA_RASIC_DESC!A54,IF($B$4="Engineering Service Provider",DATA_RASIC_DESC!A54,IF($B$4="Full System Provider",DATA_RASIC_DESC!A54,IF($B$4="ESP_DOOR TRIM",DATA_RASIC_DESC!D54,IF($B$4="ESP_Partner_LEVEL_01",DATA_RASIC_DESC!G54,"")))))))</f>
        <v>DE.5</v>
      </c>
      <c r="B61" s="432" t="str">
        <f>IF($B$4="Assembly or Component Provider",DATA_RASIC_DESC!B54,IF($B$4="Consultancy Component Provider",DATA_RASIC_DESC!B54,IF($B$4="Make to Print",DATA_RASIC_DESC!B54,IF($B$4="Engineering Service Provider",DATA_RASIC_DESC!B54,IF($B$4="Full System Provider",DATA_RASIC_DESC!B54,IF($B$4="ESP_DOOR TRIM",DATA_RASIC_DESC!E54,IF($B$4="ESP_Partner_LEVEL_01",DATA_RASIC_DESC!H54,"")))))))</f>
        <v>Perform engineering change control process on other modules and released components affecting the supplied module that requires supplier engineering feasibility concurrence</v>
      </c>
      <c r="C61" s="432"/>
      <c r="D61" s="432"/>
      <c r="E61" s="432"/>
      <c r="F61" s="432"/>
      <c r="G61" s="432"/>
      <c r="H61" s="432"/>
      <c r="I61" s="432"/>
      <c r="J61" s="432"/>
      <c r="K61" s="40" t="str">
        <f>IF($B$4="Assembly or Component Provider",DATA_RASIC!Q57,IF($B$4="Consultancy Component Provider",DATA_RASIC!X57,IF($B$4="Make to Print",DATA_RASIC!AE57,IF($B$4="Engineering Service Provider",DATA_RASIC!C57,IF($B$4="Full System Provider",DATA_RASIC!J57,IF($B$4="ESP_DOOR TRIM",DATA_RASIC!AL57,IF($B$4="ESP_Partner_LEVEL_01",DATA_RASIC!AS57,"")))))))</f>
        <v>JLR</v>
      </c>
      <c r="L61" s="40" t="str">
        <f>IF($B$4="Assembly or Component Provider",DATA_RASIC!R57,IF($B$4="Consultancy Component Provider",DATA_RASIC!Y57,IF($B$4="Make to Print",DATA_RASIC!AF57,IF($B$4="Engineering Service Provider",DATA_RASIC!D57,IF($B$4="Full System Provider",DATA_RASIC!K57,IF($B$4="ESP_DOOR TRIM",DATA_RASIC!AM57,IF($B$4="ESP_Partner_LEVEL_01",DATA_RASIC!AT57,"")))))))</f>
        <v>JLR</v>
      </c>
      <c r="M61" s="40" t="str">
        <f>IF($B$4="Assembly or Component Provider",DATA_RASIC!S57,IF($B$4="Consultancy Component Provider",DATA_RASIC!Z57,IF($B$4="Make to Print",DATA_RASIC!AG57,IF($B$4="Engineering Service Provider",DATA_RASIC!E57,IF($B$4="Full System Provider",DATA_RASIC!L57,IF($B$4="ESP_DOOR TRIM",DATA_RASIC!AN57,IF($B$4="ESP_Partner_LEVEL_01",DATA_RASIC!AU57,"")))))))</f>
        <v>JLR</v>
      </c>
      <c r="N61" s="40" t="str">
        <f>IF($B$4="Assembly or Component Provider",DATA_RASIC!T57,IF($B$4="Consultancy Component Provider",DATA_RASIC!AA57,IF($B$4="Make to Print",DATA_RASIC!AH57,IF($B$4="Engineering Service Provider",DATA_RASIC!F57,IF($B$4="Full System Provider",DATA_RASIC!M57,IF($B$4="ESP_DOOR TRIM",DATA_RASIC!AO57,IF($B$4="ESP_Partner_LEVEL_01",DATA_RASIC!AV57,"")))))))</f>
        <v>SE</v>
      </c>
      <c r="O61" s="40" t="str">
        <f>IF($B$4="Assembly or Component Provider",DATA_RASIC!U57,IF($B$4="Consultancy Component Provider",DATA_RASIC!AB57,IF($B$4="Make to Print",DATA_RASIC!AI57,IF($B$4="Engineering Service Provider",DATA_RASIC!G57,IF($B$4="Full System Provider",DATA_RASIC!N57,IF($B$4="ESP_DOOR TRIM",DATA_RASIC!AP57,IF($B$4="ESP_Partner_LEVEL_01",DATA_RASIC!AW57,"")))))))</f>
        <v>-</v>
      </c>
      <c r="P61" s="40" t="str">
        <f>IF($B$4="Assembly or Component Provider",DATA_RASIC!V57,IF($B$4="Consultancy Component Provider",DATA_RASIC!AC57,IF($B$4="Make to Print",DATA_RASIC!AJ57,IF($B$4="Engineering Service Provider",DATA_RASIC!H57,IF($B$4="Full System Provider",DATA_RASIC!O57,IF($B$4="ESP_DOOR TRIM",DATA_RASIC!AQ57,IF($B$4="ESP_Partner_LEVEL_01",DATA_RASIC!AX57,"")))))))</f>
        <v>SE</v>
      </c>
    </row>
    <row r="62" spans="1:16" ht="148.19999999999999" customHeight="1" x14ac:dyDescent="0.3">
      <c r="A62" s="80" t="str">
        <f>IF($B$4="Assembly or Component Provider",DATA_RASIC_DESC!A55,IF($B$4="Consultancy Component Provider",DATA_RASIC_DESC!A55,IF($B$4="Make to Print",DATA_RASIC_DESC!A55,IF($B$4="Engineering Service Provider",DATA_RASIC_DESC!A55,IF($B$4="Full System Provider",DATA_RASIC_DESC!A55,IF($B$4="ESP_DOOR TRIM",DATA_RASIC_DESC!D55,IF($B$4="ESP_Partner_LEVEL_01",DATA_RASIC_DESC!G55,"")))))))</f>
        <v>DE.6</v>
      </c>
      <c r="B62" s="432" t="str">
        <f>IF($B$4="Assembly or Component Provider",DATA_RASIC_DESC!B55,IF($B$4="Consultancy Component Provider",DATA_RASIC_DESC!B55,IF($B$4="Make to Print",DATA_RASIC_DESC!B55,IF($B$4="Engineering Service Provider",DATA_RASIC_DESC!B55,IF($B$4="Full System Provider",DATA_RASIC_DESC!B55,IF($B$4="ESP_DOOR TRIM",DATA_RASIC_DESC!E55,IF($B$4="ESP_Partner_LEVEL_01",DATA_RASIC_DESC!H55,"")))))))</f>
        <v>Provide common hard points per Generic Architecture Process (GAP) to support package/architecture design</v>
      </c>
      <c r="C62" s="432"/>
      <c r="D62" s="432"/>
      <c r="E62" s="432"/>
      <c r="F62" s="432"/>
      <c r="G62" s="432"/>
      <c r="H62" s="432"/>
      <c r="I62" s="432"/>
      <c r="J62" s="432"/>
      <c r="K62" s="40" t="str">
        <f>IF($B$4="Assembly or Component Provider",DATA_RASIC!Q58,IF($B$4="Consultancy Component Provider",DATA_RASIC!X58,IF($B$4="Make to Print",DATA_RASIC!AE58,IF($B$4="Engineering Service Provider",DATA_RASIC!C58,IF($B$4="Full System Provider",DATA_RASIC!J58,IF($B$4="ESP_DOOR TRIM",DATA_RASIC!AL58,IF($B$4="ESP_Partner_LEVEL_01",DATA_RASIC!AS58,"")))))))</f>
        <v>JLR</v>
      </c>
      <c r="L62" s="40" t="str">
        <f>IF($B$4="Assembly or Component Provider",DATA_RASIC!R58,IF($B$4="Consultancy Component Provider",DATA_RASIC!Y58,IF($B$4="Make to Print",DATA_RASIC!AF58,IF($B$4="Engineering Service Provider",DATA_RASIC!D58,IF($B$4="Full System Provider",DATA_RASIC!K58,IF($B$4="ESP_DOOR TRIM",DATA_RASIC!AM58,IF($B$4="ESP_Partner_LEVEL_01",DATA_RASIC!AT58,"")))))))</f>
        <v>JLR</v>
      </c>
      <c r="M62" s="40" t="str">
        <f>IF($B$4="Assembly or Component Provider",DATA_RASIC!S58,IF($B$4="Consultancy Component Provider",DATA_RASIC!Z58,IF($B$4="Make to Print",DATA_RASIC!AG58,IF($B$4="Engineering Service Provider",DATA_RASIC!E58,IF($B$4="Full System Provider",DATA_RASIC!L58,IF($B$4="ESP_DOOR TRIM",DATA_RASIC!AN58,IF($B$4="ESP_Partner_LEVEL_01",DATA_RASIC!AU58,"")))))))</f>
        <v>JLR</v>
      </c>
      <c r="N62" s="40" t="str">
        <f>IF($B$4="Assembly or Component Provider",DATA_RASIC!T58,IF($B$4="Consultancy Component Provider",DATA_RASIC!AA58,IF($B$4="Make to Print",DATA_RASIC!AH58,IF($B$4="Engineering Service Provider",DATA_RASIC!F58,IF($B$4="Full System Provider",DATA_RASIC!M58,IF($B$4="ESP_DOOR TRIM",DATA_RASIC!AO58,IF($B$4="ESP_Partner_LEVEL_01",DATA_RASIC!AV58,"")))))))</f>
        <v>SE</v>
      </c>
      <c r="O62" s="40" t="str">
        <f>IF($B$4="Assembly or Component Provider",DATA_RASIC!U58,IF($B$4="Consultancy Component Provider",DATA_RASIC!AB58,IF($B$4="Make to Print",DATA_RASIC!AI58,IF($B$4="Engineering Service Provider",DATA_RASIC!G58,IF($B$4="Full System Provider",DATA_RASIC!N58,IF($B$4="ESP_DOOR TRIM",DATA_RASIC!AP58,IF($B$4="ESP_Partner_LEVEL_01",DATA_RASIC!AW58,"")))))))</f>
        <v>-</v>
      </c>
      <c r="P62" s="40" t="str">
        <f>IF($B$4="Assembly or Component Provider",DATA_RASIC!V58,IF($B$4="Consultancy Component Provider",DATA_RASIC!AC58,IF($B$4="Make to Print",DATA_RASIC!AJ58,IF($B$4="Engineering Service Provider",DATA_RASIC!H58,IF($B$4="Full System Provider",DATA_RASIC!O58,IF($B$4="ESP_DOOR TRIM",DATA_RASIC!AQ58,IF($B$4="ESP_Partner_LEVEL_01",DATA_RASIC!AX58,"")))))))</f>
        <v>SE</v>
      </c>
    </row>
    <row r="63" spans="1:16" ht="114.6" customHeight="1" x14ac:dyDescent="0.3">
      <c r="A63" s="80" t="str">
        <f>IF($B$4="Assembly or Component Provider",DATA_RASIC_DESC!A56,IF($B$4="Consultancy Component Provider",DATA_RASIC_DESC!A56,IF($B$4="Make to Print",DATA_RASIC_DESC!A56,IF($B$4="Engineering Service Provider",DATA_RASIC_DESC!A56,IF($B$4="Full System Provider",DATA_RASIC_DESC!A56,IF($B$4="ESP_DOOR TRIM",DATA_RASIC_DESC!D56,IF($B$4="ESP_Partner_LEVEL_01",DATA_RASIC_DESC!G56,"")))))))</f>
        <v>DE.7</v>
      </c>
      <c r="B63" s="432" t="str">
        <f>IF($B$4="Assembly or Component Provider",DATA_RASIC_DESC!B56,IF($B$4="Consultancy Component Provider",DATA_RASIC_DESC!B56,IF($B$4="Make to Print",DATA_RASIC_DESC!B56,IF($B$4="Engineering Service Provider",DATA_RASIC_DESC!B56,IF($B$4="Full System Provider",DATA_RASIC_DESC!B56,IF($B$4="ESP_DOOR TRIM",DATA_RASIC_DESC!E56,IF($B$4="ESP_Partner_LEVEL_01",DATA_RASIC_DESC!H56,"")))))))</f>
        <v>Ensure CAD-to-BOM alignment throughout Programme</v>
      </c>
      <c r="C63" s="432"/>
      <c r="D63" s="432"/>
      <c r="E63" s="432"/>
      <c r="F63" s="432"/>
      <c r="G63" s="432"/>
      <c r="H63" s="432"/>
      <c r="I63" s="432"/>
      <c r="J63" s="432"/>
      <c r="K63" s="40" t="str">
        <f>IF($B$4="Assembly or Component Provider",DATA_RASIC!Q59,IF($B$4="Consultancy Component Provider",DATA_RASIC!X59,IF($B$4="Make to Print",DATA_RASIC!AE59,IF($B$4="Engineering Service Provider",DATA_RASIC!C59,IF($B$4="Full System Provider",DATA_RASIC!J59,IF($B$4="ESP_DOOR TRIM",DATA_RASIC!AL59,IF($B$4="ESP_Partner_LEVEL_01",DATA_RASIC!AS59,"")))))))</f>
        <v>JLR</v>
      </c>
      <c r="L63" s="40" t="str">
        <f>IF($B$4="Assembly or Component Provider",DATA_RASIC!R59,IF($B$4="Consultancy Component Provider",DATA_RASIC!Y59,IF($B$4="Make to Print",DATA_RASIC!AF59,IF($B$4="Engineering Service Provider",DATA_RASIC!D59,IF($B$4="Full System Provider",DATA_RASIC!K59,IF($B$4="ESP_DOOR TRIM",DATA_RASIC!AM59,IF($B$4="ESP_Partner_LEVEL_01",DATA_RASIC!AT59,"")))))))</f>
        <v>JLR</v>
      </c>
      <c r="M63" s="40" t="str">
        <f>IF($B$4="Assembly or Component Provider",DATA_RASIC!S59,IF($B$4="Consultancy Component Provider",DATA_RASIC!Z59,IF($B$4="Make to Print",DATA_RASIC!AG59,IF($B$4="Engineering Service Provider",DATA_RASIC!E59,IF($B$4="Full System Provider",DATA_RASIC!L59,IF($B$4="ESP_DOOR TRIM",DATA_RASIC!AN59,IF($B$4="ESP_Partner_LEVEL_01",DATA_RASIC!AU59,"")))))))</f>
        <v>JLR</v>
      </c>
      <c r="N63" s="40" t="str">
        <f>IF($B$4="Assembly or Component Provider",DATA_RASIC!T59,IF($B$4="Consultancy Component Provider",DATA_RASIC!AA59,IF($B$4="Make to Print",DATA_RASIC!AH59,IF($B$4="Engineering Service Provider",DATA_RASIC!F59,IF($B$4="Full System Provider",DATA_RASIC!M59,IF($B$4="ESP_DOOR TRIM",DATA_RASIC!AO59,IF($B$4="ESP_Partner_LEVEL_01",DATA_RASIC!AV59,"")))))))</f>
        <v>SE</v>
      </c>
      <c r="O63" s="40" t="str">
        <f>IF($B$4="Assembly or Component Provider",DATA_RASIC!U59,IF($B$4="Consultancy Component Provider",DATA_RASIC!AB59,IF($B$4="Make to Print",DATA_RASIC!AI59,IF($B$4="Engineering Service Provider",DATA_RASIC!G59,IF($B$4="Full System Provider",DATA_RASIC!N59,IF($B$4="ESP_DOOR TRIM",DATA_RASIC!AP59,IF($B$4="ESP_Partner_LEVEL_01",DATA_RASIC!AW59,"")))))))</f>
        <v>-</v>
      </c>
      <c r="P63" s="40" t="str">
        <f>IF($B$4="Assembly or Component Provider",DATA_RASIC!V59,IF($B$4="Consultancy Component Provider",DATA_RASIC!AC59,IF($B$4="Make to Print",DATA_RASIC!AJ59,IF($B$4="Engineering Service Provider",DATA_RASIC!H59,IF($B$4="Full System Provider",DATA_RASIC!O59,IF($B$4="ESP_DOOR TRIM",DATA_RASIC!AQ59,IF($B$4="ESP_Partner_LEVEL_01",DATA_RASIC!AX59,"")))))))</f>
        <v>-</v>
      </c>
    </row>
    <row r="64" spans="1:16" ht="159.6" customHeight="1" x14ac:dyDescent="0.3">
      <c r="A64" s="80" t="str">
        <f>IF($B$4="Assembly or Component Provider",DATA_RASIC_DESC!A57,IF($B$4="Consultancy Component Provider",DATA_RASIC_DESC!A57,IF($B$4="Make to Print",DATA_RASIC_DESC!A57,IF($B$4="Engineering Service Provider",DATA_RASIC_DESC!A57,IF($B$4="Full System Provider",DATA_RASIC_DESC!A57,IF($B$4="ESP_DOOR TRIM",DATA_RASIC_DESC!D57,IF($B$4="ESP_Partner_LEVEL_01",DATA_RASIC_DESC!G57,"")))))))</f>
        <v>DE.8</v>
      </c>
      <c r="B64" s="432" t="str">
        <f>IF($B$4="Assembly or Component Provider",DATA_RASIC_DESC!B57,IF($B$4="Consultancy Component Provider",DATA_RASIC_DESC!B57,IF($B$4="Make to Print",DATA_RASIC_DESC!B57,IF($B$4="Engineering Service Provider",DATA_RASIC_DESC!B57,IF($B$4="Full System Provider",DATA_RASIC_DESC!B57,IF($B$4="ESP_DOOR TRIM",DATA_RASIC_DESC!E57,IF($B$4="ESP_Partner_LEVEL_01",DATA_RASIC_DESC!H57,"")))))))</f>
        <v>Support throughout Jaguar Land Rover's Product Development Process to ensure a "Flawless Product" launch (including but not limited to the following events):
· Customer requirements (including service components)
· Supplier technical and process capability / design reviews
· Programme improvement efforts &amp; recovery plans
· Communicate all identified risks to Jaguar Land Rover
· Product / Programme status reviews
· Ensure all deliverables are met 
· All critical to quality characteristics of the product / launch
· Develop product and process assurance plans that maximise the use of supplier technical resources while ensuring both product and process requirements are met</v>
      </c>
      <c r="C64" s="432"/>
      <c r="D64" s="432"/>
      <c r="E64" s="432"/>
      <c r="F64" s="432"/>
      <c r="G64" s="432"/>
      <c r="H64" s="432"/>
      <c r="I64" s="432"/>
      <c r="J64" s="432"/>
      <c r="K64" s="40" t="str">
        <f>IF($B$4="Assembly or Component Provider",DATA_RASIC!Q60,IF($B$4="Consultancy Component Provider",DATA_RASIC!X60,IF($B$4="Make to Print",DATA_RASIC!AE60,IF($B$4="Engineering Service Provider",DATA_RASIC!C60,IF($B$4="Full System Provider",DATA_RASIC!J60,IF($B$4="ESP_DOOR TRIM",DATA_RASIC!AL60,IF($B$4="ESP_Partner_LEVEL_01",DATA_RASIC!AS60,"")))))))</f>
        <v>SE</v>
      </c>
      <c r="L64" s="40" t="str">
        <f>IF($B$4="Assembly or Component Provider",DATA_RASIC!R60,IF($B$4="Consultancy Component Provider",DATA_RASIC!Y60,IF($B$4="Make to Print",DATA_RASIC!AF60,IF($B$4="Engineering Service Provider",DATA_RASIC!D60,IF($B$4="Full System Provider",DATA_RASIC!K60,IF($B$4="ESP_DOOR TRIM",DATA_RASIC!AM60,IF($B$4="ESP_Partner_LEVEL_01",DATA_RASIC!AT60,"")))))))</f>
        <v>SE</v>
      </c>
      <c r="M64" s="40" t="str">
        <f>IF($B$4="Assembly or Component Provider",DATA_RASIC!S60,IF($B$4="Consultancy Component Provider",DATA_RASIC!Z60,IF($B$4="Make to Print",DATA_RASIC!AG60,IF($B$4="Engineering Service Provider",DATA_RASIC!E60,IF($B$4="Full System Provider",DATA_RASIC!L60,IF($B$4="ESP_DOOR TRIM",DATA_RASIC!AN60,IF($B$4="ESP_Partner_LEVEL_01",DATA_RASIC!AU60,"")))))))</f>
        <v>-</v>
      </c>
      <c r="N64" s="40" t="str">
        <f>IF($B$4="Assembly or Component Provider",DATA_RASIC!T60,IF($B$4="Consultancy Component Provider",DATA_RASIC!AA60,IF($B$4="Make to Print",DATA_RASIC!AH60,IF($B$4="Engineering Service Provider",DATA_RASIC!F60,IF($B$4="Full System Provider",DATA_RASIC!M60,IF($B$4="ESP_DOOR TRIM",DATA_RASIC!AO60,IF($B$4="ESP_Partner_LEVEL_01",DATA_RASIC!AV60,"")))))))</f>
        <v>JLR</v>
      </c>
      <c r="O64" s="40" t="str">
        <f>IF($B$4="Assembly or Component Provider",DATA_RASIC!U60,IF($B$4="Consultancy Component Provider",DATA_RASIC!AB60,IF($B$4="Make to Print",DATA_RASIC!AI60,IF($B$4="Engineering Service Provider",DATA_RASIC!G60,IF($B$4="Full System Provider",DATA_RASIC!N60,IF($B$4="ESP_DOOR TRIM",DATA_RASIC!AP60,IF($B$4="ESP_Partner_LEVEL_01",DATA_RASIC!AW60,"")))))))</f>
        <v>-</v>
      </c>
      <c r="P64" s="40" t="str">
        <f>IF($B$4="Assembly or Component Provider",DATA_RASIC!V60,IF($B$4="Consultancy Component Provider",DATA_RASIC!AC60,IF($B$4="Make to Print",DATA_RASIC!AJ60,IF($B$4="Engineering Service Provider",DATA_RASIC!H60,IF($B$4="Full System Provider",DATA_RASIC!O60,IF($B$4="ESP_DOOR TRIM",DATA_RASIC!AQ60,IF($B$4="ESP_Partner_LEVEL_01",DATA_RASIC!AX60,"")))))))</f>
        <v>-</v>
      </c>
    </row>
    <row r="65" spans="1:16" ht="36" customHeight="1" x14ac:dyDescent="0.3">
      <c r="A65" s="80" t="str">
        <f>IF($B$4="Assembly or Component Provider",DATA_RASIC_DESC!A58,IF($B$4="Consultancy Component Provider",DATA_RASIC_DESC!A58,IF($B$4="Make to Print",DATA_RASIC_DESC!A58,IF($B$4="Engineering Service Provider",DATA_RASIC_DESC!A58,IF($B$4="Full System Provider",DATA_RASIC_DESC!A58,IF($B$4="ESP_DOOR TRIM",DATA_RASIC_DESC!D58,IF($B$4="ESP_Partner_LEVEL_01",DATA_RASIC_DESC!G58,"")))))))</f>
        <v>DE.9</v>
      </c>
      <c r="B65" s="432" t="str">
        <f>IF($B$4="Assembly or Component Provider",DATA_RASIC_DESC!B58,IF($B$4="Consultancy Component Provider",DATA_RASIC_DESC!B58,IF($B$4="Make to Print",DATA_RASIC_DESC!B58,IF($B$4="Engineering Service Provider",DATA_RASIC_DESC!B58,IF($B$4="Full System Provider",DATA_RASIC_DESC!B58,IF($B$4="ESP_DOOR TRIM",DATA_RASIC_DESC!E58,IF($B$4="ESP_Partner_LEVEL_01",DATA_RASIC_DESC!H58,"")))))))</f>
        <v xml:space="preserve">Incorporate all optimisation improvements to design   </v>
      </c>
      <c r="C65" s="432"/>
      <c r="D65" s="432"/>
      <c r="E65" s="432"/>
      <c r="F65" s="432"/>
      <c r="G65" s="432"/>
      <c r="H65" s="432"/>
      <c r="I65" s="432"/>
      <c r="J65" s="432"/>
      <c r="K65" s="40" t="str">
        <f>IF($B$4="Assembly or Component Provider",DATA_RASIC!Q61,IF($B$4="Consultancy Component Provider",DATA_RASIC!X61,IF($B$4="Make to Print",DATA_RASIC!AE61,IF($B$4="Engineering Service Provider",DATA_RASIC!C61,IF($B$4="Full System Provider",DATA_RASIC!J61,IF($B$4="ESP_DOOR TRIM",DATA_RASIC!AL61,IF($B$4="ESP_Partner_LEVEL_01",DATA_RASIC!AS61,"")))))))</f>
        <v>JLR</v>
      </c>
      <c r="L65" s="40" t="str">
        <f>IF($B$4="Assembly or Component Provider",DATA_RASIC!R61,IF($B$4="Consultancy Component Provider",DATA_RASIC!Y61,IF($B$4="Make to Print",DATA_RASIC!AF61,IF($B$4="Engineering Service Provider",DATA_RASIC!D61,IF($B$4="Full System Provider",DATA_RASIC!K61,IF($B$4="ESP_DOOR TRIM",DATA_RASIC!AM61,IF($B$4="ESP_Partner_LEVEL_01",DATA_RASIC!AT61,"")))))))</f>
        <v>SE</v>
      </c>
      <c r="M65" s="40" t="str">
        <f>IF($B$4="Assembly or Component Provider",DATA_RASIC!S61,IF($B$4="Consultancy Component Provider",DATA_RASIC!Z61,IF($B$4="Make to Print",DATA_RASIC!AG61,IF($B$4="Engineering Service Provider",DATA_RASIC!E61,IF($B$4="Full System Provider",DATA_RASIC!L61,IF($B$4="ESP_DOOR TRIM",DATA_RASIC!AN61,IF($B$4="ESP_Partner_LEVEL_01",DATA_RASIC!AU61,"")))))))</f>
        <v>JLR</v>
      </c>
      <c r="N65" s="40" t="str">
        <f>IF($B$4="Assembly or Component Provider",DATA_RASIC!T61,IF($B$4="Consultancy Component Provider",DATA_RASIC!AA61,IF($B$4="Make to Print",DATA_RASIC!AH61,IF($B$4="Engineering Service Provider",DATA_RASIC!F61,IF($B$4="Full System Provider",DATA_RASIC!M61,IF($B$4="ESP_DOOR TRIM",DATA_RASIC!AO61,IF($B$4="ESP_Partner_LEVEL_01",DATA_RASIC!AV61,"")))))))</f>
        <v>-</v>
      </c>
      <c r="O65" s="40" t="str">
        <f>IF($B$4="Assembly or Component Provider",DATA_RASIC!U61,IF($B$4="Consultancy Component Provider",DATA_RASIC!AB61,IF($B$4="Make to Print",DATA_RASIC!AI61,IF($B$4="Engineering Service Provider",DATA_RASIC!G61,IF($B$4="Full System Provider",DATA_RASIC!N61,IF($B$4="ESP_DOOR TRIM",DATA_RASIC!AP61,IF($B$4="ESP_Partner_LEVEL_01",DATA_RASIC!AW61,"")))))))</f>
        <v>-</v>
      </c>
      <c r="P65" s="40" t="str">
        <f>IF($B$4="Assembly or Component Provider",DATA_RASIC!V61,IF($B$4="Consultancy Component Provider",DATA_RASIC!AC61,IF($B$4="Make to Print",DATA_RASIC!AJ61,IF($B$4="Engineering Service Provider",DATA_RASIC!H61,IF($B$4="Full System Provider",DATA_RASIC!O61,IF($B$4="ESP_DOOR TRIM",DATA_RASIC!AQ61,IF($B$4="ESP_Partner_LEVEL_01",DATA_RASIC!AX61,"")))))))</f>
        <v>-</v>
      </c>
    </row>
    <row r="66" spans="1:16" ht="30.6" customHeight="1" x14ac:dyDescent="0.3">
      <c r="A66" s="80" t="str">
        <f>IF($B$4="Assembly or Component Provider",DATA_RASIC_DESC!A59,IF($B$4="Consultancy Component Provider",DATA_RASIC_DESC!A59,IF($B$4="Make to Print",DATA_RASIC_DESC!A59,IF($B$4="Engineering Service Provider",DATA_RASIC_DESC!A59,IF($B$4="Full System Provider",DATA_RASIC_DESC!A59,IF($B$4="ESP_DOOR TRIM",DATA_RASIC_DESC!D59,IF($B$4="ESP_Partner_LEVEL_01",DATA_RASIC_DESC!G59,"")))))))</f>
        <v>DE.10</v>
      </c>
      <c r="B66" s="432" t="str">
        <f>IF($B$4="Assembly or Component Provider",DATA_RASIC_DESC!B59,IF($B$4="Consultancy Component Provider",DATA_RASIC_DESC!B59,IF($B$4="Make to Print",DATA_RASIC_DESC!B59,IF($B$4="Engineering Service Provider",DATA_RASIC_DESC!B59,IF($B$4="Full System Provider",DATA_RASIC_DESC!B59,IF($B$4="ESP_DOOR TRIM",DATA_RASIC_DESC!E59,IF($B$4="ESP_Partner_LEVEL_01",DATA_RASIC_DESC!H59,"")))))))</f>
        <v xml:space="preserve">Use hard points provided by Jaguar Land Rover for package/architecture </v>
      </c>
      <c r="C66" s="432"/>
      <c r="D66" s="432"/>
      <c r="E66" s="432"/>
      <c r="F66" s="432"/>
      <c r="G66" s="432"/>
      <c r="H66" s="432"/>
      <c r="I66" s="432"/>
      <c r="J66" s="432"/>
      <c r="K66" s="40" t="str">
        <f>IF($B$4="Assembly or Component Provider",DATA_RASIC!Q62,IF($B$4="Consultancy Component Provider",DATA_RASIC!X62,IF($B$4="Make to Print",DATA_RASIC!AE62,IF($B$4="Engineering Service Provider",DATA_RASIC!C62,IF($B$4="Full System Provider",DATA_RASIC!J62,IF($B$4="ESP_DOOR TRIM",DATA_RASIC!AL62,IF($B$4="ESP_Partner_LEVEL_01",DATA_RASIC!AS62,"")))))))</f>
        <v>JLR</v>
      </c>
      <c r="L66" s="40" t="str">
        <f>IF($B$4="Assembly or Component Provider",DATA_RASIC!R62,IF($B$4="Consultancy Component Provider",DATA_RASIC!Y62,IF($B$4="Make to Print",DATA_RASIC!AF62,IF($B$4="Engineering Service Provider",DATA_RASIC!D62,IF($B$4="Full System Provider",DATA_RASIC!K62,IF($B$4="ESP_DOOR TRIM",DATA_RASIC!AM62,IF($B$4="ESP_Partner_LEVEL_01",DATA_RASIC!AT62,"")))))))</f>
        <v>SE</v>
      </c>
      <c r="M66" s="40" t="str">
        <f>IF($B$4="Assembly or Component Provider",DATA_RASIC!S62,IF($B$4="Consultancy Component Provider",DATA_RASIC!Z62,IF($B$4="Make to Print",DATA_RASIC!AG62,IF($B$4="Engineering Service Provider",DATA_RASIC!E62,IF($B$4="Full System Provider",DATA_RASIC!L62,IF($B$4="ESP_DOOR TRIM",DATA_RASIC!AN62,IF($B$4="ESP_Partner_LEVEL_01",DATA_RASIC!AU62,"")))))))</f>
        <v>JLR</v>
      </c>
      <c r="N66" s="40" t="str">
        <f>IF($B$4="Assembly or Component Provider",DATA_RASIC!T62,IF($B$4="Consultancy Component Provider",DATA_RASIC!AA62,IF($B$4="Make to Print",DATA_RASIC!AH62,IF($B$4="Engineering Service Provider",DATA_RASIC!F62,IF($B$4="Full System Provider",DATA_RASIC!M62,IF($B$4="ESP_DOOR TRIM",DATA_RASIC!AO62,IF($B$4="ESP_Partner_LEVEL_01",DATA_RASIC!AV62,"")))))))</f>
        <v>-</v>
      </c>
      <c r="O66" s="40" t="str">
        <f>IF($B$4="Assembly or Component Provider",DATA_RASIC!U62,IF($B$4="Consultancy Component Provider",DATA_RASIC!AB62,IF($B$4="Make to Print",DATA_RASIC!AI62,IF($B$4="Engineering Service Provider",DATA_RASIC!G62,IF($B$4="Full System Provider",DATA_RASIC!N62,IF($B$4="ESP_DOOR TRIM",DATA_RASIC!AP62,IF($B$4="ESP_Partner_LEVEL_01",DATA_RASIC!AW62,"")))))))</f>
        <v>-</v>
      </c>
      <c r="P66" s="40" t="str">
        <f>IF($B$4="Assembly or Component Provider",DATA_RASIC!V62,IF($B$4="Consultancy Component Provider",DATA_RASIC!AC62,IF($B$4="Make to Print",DATA_RASIC!AJ62,IF($B$4="Engineering Service Provider",DATA_RASIC!H62,IF($B$4="Full System Provider",DATA_RASIC!O62,IF($B$4="ESP_DOOR TRIM",DATA_RASIC!AQ62,IF($B$4="ESP_Partner_LEVEL_01",DATA_RASIC!AX62,"")))))))</f>
        <v>-</v>
      </c>
    </row>
    <row r="67" spans="1:16" ht="30.6" customHeight="1" x14ac:dyDescent="0.3">
      <c r="A67" s="80" t="str">
        <f>IF($B$4="Assembly or Component Provider",DATA_RASIC_DESC!A60,IF($B$4="Consultancy Component Provider",DATA_RASIC_DESC!A60,IF($B$4="Make to Print",DATA_RASIC_DESC!A60,IF($B$4="Engineering Service Provider",DATA_RASIC_DESC!A60,IF($B$4="Full System Provider",DATA_RASIC_DESC!A60,IF($B$4="ESP_DOOR TRIM",DATA_RASIC_DESC!D60,IF($B$4="ESP_Partner_LEVEL_01",DATA_RASIC_DESC!G60,"")))))))</f>
        <v>DE.11</v>
      </c>
      <c r="B67" s="432" t="str">
        <f>IF($B$4="Assembly or Component Provider",DATA_RASIC_DESC!B60,IF($B$4="Consultancy Component Provider",DATA_RASIC_DESC!B60,IF($B$4="Make to Print",DATA_RASIC_DESC!B60,IF($B$4="Engineering Service Provider",DATA_RASIC_DESC!B60,IF($B$4="Full System Provider",DATA_RASIC_DESC!B60,IF($B$4="ESP_DOOR TRIM",DATA_RASIC_DESC!E60,IF($B$4="ESP_Partner_LEVEL_01",DATA_RASIC_DESC!H60,"")))))))</f>
        <v>Use WERS as the master Programme BOM including key attribute data for all parts, if required.</v>
      </c>
      <c r="C67" s="432"/>
      <c r="D67" s="432"/>
      <c r="E67" s="432"/>
      <c r="F67" s="432"/>
      <c r="G67" s="432"/>
      <c r="H67" s="432"/>
      <c r="I67" s="432"/>
      <c r="J67" s="432"/>
      <c r="K67" s="40" t="str">
        <f>IF($B$4="Assembly or Component Provider",DATA_RASIC!Q63,IF($B$4="Consultancy Component Provider",DATA_RASIC!X63,IF($B$4="Make to Print",DATA_RASIC!AE63,IF($B$4="Engineering Service Provider",DATA_RASIC!C63,IF($B$4="Full System Provider",DATA_RASIC!J63,IF($B$4="ESP_DOOR TRIM",DATA_RASIC!AL63,IF($B$4="ESP_Partner_LEVEL_01",DATA_RASIC!AS63,"")))))))</f>
        <v>JLR</v>
      </c>
      <c r="L67" s="40" t="str">
        <f>IF($B$4="Assembly or Component Provider",DATA_RASIC!R63,IF($B$4="Consultancy Component Provider",DATA_RASIC!Y63,IF($B$4="Make to Print",DATA_RASIC!AF63,IF($B$4="Engineering Service Provider",DATA_RASIC!D63,IF($B$4="Full System Provider",DATA_RASIC!K63,IF($B$4="ESP_DOOR TRIM",DATA_RASIC!AM63,IF($B$4="ESP_Partner_LEVEL_01",DATA_RASIC!AT63,"")))))))</f>
        <v>JLR</v>
      </c>
      <c r="M67" s="40" t="str">
        <f>IF($B$4="Assembly or Component Provider",DATA_RASIC!S63,IF($B$4="Consultancy Component Provider",DATA_RASIC!Z63,IF($B$4="Make to Print",DATA_RASIC!AG63,IF($B$4="Engineering Service Provider",DATA_RASIC!E63,IF($B$4="Full System Provider",DATA_RASIC!L63,IF($B$4="ESP_DOOR TRIM",DATA_RASIC!AN63,IF($B$4="ESP_Partner_LEVEL_01",DATA_RASIC!AU63,"")))))))</f>
        <v>JLR</v>
      </c>
      <c r="N67" s="40" t="str">
        <f>IF($B$4="Assembly or Component Provider",DATA_RASIC!T63,IF($B$4="Consultancy Component Provider",DATA_RASIC!AA63,IF($B$4="Make to Print",DATA_RASIC!AH63,IF($B$4="Engineering Service Provider",DATA_RASIC!F63,IF($B$4="Full System Provider",DATA_RASIC!M63,IF($B$4="ESP_DOOR TRIM",DATA_RASIC!AO63,IF($B$4="ESP_Partner_LEVEL_01",DATA_RASIC!AV63,"")))))))</f>
        <v>SE</v>
      </c>
      <c r="O67" s="40" t="str">
        <f>IF($B$4="Assembly or Component Provider",DATA_RASIC!U63,IF($B$4="Consultancy Component Provider",DATA_RASIC!AB63,IF($B$4="Make to Print",DATA_RASIC!AI63,IF($B$4="Engineering Service Provider",DATA_RASIC!G63,IF($B$4="Full System Provider",DATA_RASIC!N63,IF($B$4="ESP_DOOR TRIM",DATA_RASIC!AP63,IF($B$4="ESP_Partner_LEVEL_01",DATA_RASIC!AW63,"")))))))</f>
        <v>SE</v>
      </c>
      <c r="P67" s="40" t="str">
        <f>IF($B$4="Assembly or Component Provider",DATA_RASIC!V63,IF($B$4="Consultancy Component Provider",DATA_RASIC!AC63,IF($B$4="Make to Print",DATA_RASIC!AJ63,IF($B$4="Engineering Service Provider",DATA_RASIC!H63,IF($B$4="Full System Provider",DATA_RASIC!O63,IF($B$4="ESP_DOOR TRIM",DATA_RASIC!AQ63,IF($B$4="ESP_Partner_LEVEL_01",DATA_RASIC!AX63,"")))))))</f>
        <v>SE</v>
      </c>
    </row>
    <row r="68" spans="1:16" ht="30.6" customHeight="1" x14ac:dyDescent="0.3">
      <c r="A68" s="80" t="str">
        <f>IF($B$4="Assembly or Component Provider",DATA_RASIC_DESC!A61,IF($B$4="Consultancy Component Provider",DATA_RASIC_DESC!A61,IF($B$4="Make to Print",DATA_RASIC_DESC!A61,IF($B$4="Engineering Service Provider",DATA_RASIC_DESC!A61,IF($B$4="Full System Provider",DATA_RASIC_DESC!A61,IF($B$4="ESP_DOOR TRIM",DATA_RASIC_DESC!D61,IF($B$4="ESP_Partner_LEVEL_01",DATA_RASIC_DESC!G61,"")))))))</f>
        <v>DE.12</v>
      </c>
      <c r="B68" s="432" t="str">
        <f>IF($B$4="Assembly or Component Provider",DATA_RASIC_DESC!B61,IF($B$4="Consultancy Component Provider",DATA_RASIC_DESC!B61,IF($B$4="Make to Print",DATA_RASIC_DESC!B61,IF($B$4="Engineering Service Provider",DATA_RASIC_DESC!B61,IF($B$4="Full System Provider",DATA_RASIC_DESC!B61,IF($B$4="ESP_DOOR TRIM",DATA_RASIC_DESC!E61,IF($B$4="ESP_Partner_LEVEL_01",DATA_RASIC_DESC!H61,"")))))))</f>
        <v>Take ownership of parts which are loaded in WERS, create new entries as required and maintain accurate records, prior to the use of WERS and if required</v>
      </c>
      <c r="C68" s="432"/>
      <c r="D68" s="432"/>
      <c r="E68" s="432"/>
      <c r="F68" s="432"/>
      <c r="G68" s="432"/>
      <c r="H68" s="432"/>
      <c r="I68" s="432"/>
      <c r="J68" s="432"/>
      <c r="K68" s="40" t="str">
        <f>IF($B$4="Assembly or Component Provider",DATA_RASIC!Q64,IF($B$4="Consultancy Component Provider",DATA_RASIC!X64,IF($B$4="Make to Print",DATA_RASIC!AE64,IF($B$4="Engineering Service Provider",DATA_RASIC!C64,IF($B$4="Full System Provider",DATA_RASIC!J64,IF($B$4="ESP_DOOR TRIM",DATA_RASIC!AL64,IF($B$4="ESP_Partner_LEVEL_01",DATA_RASIC!AS64,"")))))))</f>
        <v>JLR</v>
      </c>
      <c r="L68" s="40" t="str">
        <f>IF($B$4="Assembly or Component Provider",DATA_RASIC!R64,IF($B$4="Consultancy Component Provider",DATA_RASIC!Y64,IF($B$4="Make to Print",DATA_RASIC!AF64,IF($B$4="Engineering Service Provider",DATA_RASIC!D64,IF($B$4="Full System Provider",DATA_RASIC!K64,IF($B$4="ESP_DOOR TRIM",DATA_RASIC!AM64,IF($B$4="ESP_Partner_LEVEL_01",DATA_RASIC!AT64,"")))))))</f>
        <v>JLR</v>
      </c>
      <c r="M68" s="40" t="str">
        <f>IF($B$4="Assembly or Component Provider",DATA_RASIC!S64,IF($B$4="Consultancy Component Provider",DATA_RASIC!Z64,IF($B$4="Make to Print",DATA_RASIC!AG64,IF($B$4="Engineering Service Provider",DATA_RASIC!E64,IF($B$4="Full System Provider",DATA_RASIC!L64,IF($B$4="ESP_DOOR TRIM",DATA_RASIC!AN64,IF($B$4="ESP_Partner_LEVEL_01",DATA_RASIC!AU64,"")))))))</f>
        <v>JLR</v>
      </c>
      <c r="N68" s="40" t="str">
        <f>IF($B$4="Assembly or Component Provider",DATA_RASIC!T64,IF($B$4="Consultancy Component Provider",DATA_RASIC!AA64,IF($B$4="Make to Print",DATA_RASIC!AH64,IF($B$4="Engineering Service Provider",DATA_RASIC!F64,IF($B$4="Full System Provider",DATA_RASIC!M64,IF($B$4="ESP_DOOR TRIM",DATA_RASIC!AO64,IF($B$4="ESP_Partner_LEVEL_01",DATA_RASIC!AV64,"")))))))</f>
        <v>-</v>
      </c>
      <c r="O68" s="40" t="str">
        <f>IF($B$4="Assembly or Component Provider",DATA_RASIC!U64,IF($B$4="Consultancy Component Provider",DATA_RASIC!AB64,IF($B$4="Make to Print",DATA_RASIC!AI64,IF($B$4="Engineering Service Provider",DATA_RASIC!G64,IF($B$4="Full System Provider",DATA_RASIC!N64,IF($B$4="ESP_DOOR TRIM",DATA_RASIC!AP64,IF($B$4="ESP_Partner_LEVEL_01",DATA_RASIC!AW64,"")))))))</f>
        <v>-</v>
      </c>
      <c r="P68" s="40" t="str">
        <f>IF($B$4="Assembly or Component Provider",DATA_RASIC!V64,IF($B$4="Consultancy Component Provider",DATA_RASIC!AC64,IF($B$4="Make to Print",DATA_RASIC!AJ64,IF($B$4="Engineering Service Provider",DATA_RASIC!H64,IF($B$4="Full System Provider",DATA_RASIC!O64,IF($B$4="ESP_DOOR TRIM",DATA_RASIC!AQ64,IF($B$4="ESP_Partner_LEVEL_01",DATA_RASIC!AX64,"")))))))</f>
        <v>-</v>
      </c>
    </row>
    <row r="69" spans="1:16" ht="30.6" customHeight="1" x14ac:dyDescent="0.3">
      <c r="A69" s="80" t="str">
        <f>IF($B$4="Assembly or Component Provider",DATA_RASIC_DESC!A62,IF($B$4="Consultancy Component Provider",DATA_RASIC_DESC!A62,IF($B$4="Make to Print",DATA_RASIC_DESC!A62,IF($B$4="Engineering Service Provider",DATA_RASIC_DESC!A62,IF($B$4="Full System Provider",DATA_RASIC_DESC!A62,IF($B$4="ESP_DOOR TRIM",DATA_RASIC_DESC!D62,IF($B$4="ESP_Partner_LEVEL_01",DATA_RASIC_DESC!G62,"")))))))</f>
        <v>DE.13</v>
      </c>
      <c r="B69" s="432" t="str">
        <f>IF($B$4="Assembly or Component Provider",DATA_RASIC_DESC!B62,IF($B$4="Consultancy Component Provider",DATA_RASIC_DESC!B62,IF($B$4="Make to Print",DATA_RASIC_DESC!B62,IF($B$4="Engineering Service Provider",DATA_RASIC_DESC!B62,IF($B$4="Full System Provider",DATA_RASIC_DESC!B62,IF($B$4="ESP_DOOR TRIM",DATA_RASIC_DESC!E62,IF($B$4="ESP_Partner_LEVEL_01",DATA_RASIC_DESC!H62,"")))))))</f>
        <v>Obtain WERS access, remote access and training (as required)</v>
      </c>
      <c r="C69" s="432"/>
      <c r="D69" s="432"/>
      <c r="E69" s="432"/>
      <c r="F69" s="432"/>
      <c r="G69" s="432"/>
      <c r="H69" s="432"/>
      <c r="I69" s="432"/>
      <c r="J69" s="432"/>
      <c r="K69" s="40" t="str">
        <f>IF($B$4="Assembly or Component Provider",DATA_RASIC!Q65,IF($B$4="Consultancy Component Provider",DATA_RASIC!X65,IF($B$4="Make to Print",DATA_RASIC!AE65,IF($B$4="Engineering Service Provider",DATA_RASIC!C65,IF($B$4="Full System Provider",DATA_RASIC!J65,IF($B$4="ESP_DOOR TRIM",DATA_RASIC!AL65,IF($B$4="ESP_Partner_LEVEL_01",DATA_RASIC!AS65,"")))))))</f>
        <v>JLR</v>
      </c>
      <c r="L69" s="40" t="str">
        <f>IF($B$4="Assembly or Component Provider",DATA_RASIC!R65,IF($B$4="Consultancy Component Provider",DATA_RASIC!Y65,IF($B$4="Make to Print",DATA_RASIC!AF65,IF($B$4="Engineering Service Provider",DATA_RASIC!D65,IF($B$4="Full System Provider",DATA_RASIC!K65,IF($B$4="ESP_DOOR TRIM",DATA_RASIC!AM65,IF($B$4="ESP_Partner_LEVEL_01",DATA_RASIC!AT65,"")))))))</f>
        <v>JLR</v>
      </c>
      <c r="M69" s="40" t="str">
        <f>IF($B$4="Assembly or Component Provider",DATA_RASIC!S65,IF($B$4="Consultancy Component Provider",DATA_RASIC!Z65,IF($B$4="Make to Print",DATA_RASIC!AG65,IF($B$4="Engineering Service Provider",DATA_RASIC!E65,IF($B$4="Full System Provider",DATA_RASIC!L65,IF($B$4="ESP_DOOR TRIM",DATA_RASIC!AN65,IF($B$4="ESP_Partner_LEVEL_01",DATA_RASIC!AU65,"")))))))</f>
        <v>JLR</v>
      </c>
      <c r="N69" s="40" t="str">
        <f>IF($B$4="Assembly or Component Provider",DATA_RASIC!T65,IF($B$4="Consultancy Component Provider",DATA_RASIC!AA65,IF($B$4="Make to Print",DATA_RASIC!AH65,IF($B$4="Engineering Service Provider",DATA_RASIC!F65,IF($B$4="Full System Provider",DATA_RASIC!M65,IF($B$4="ESP_DOOR TRIM",DATA_RASIC!AO65,IF($B$4="ESP_Partner_LEVEL_01",DATA_RASIC!AV65,"")))))))</f>
        <v>SE</v>
      </c>
      <c r="O69" s="40" t="str">
        <f>IF($B$4="Assembly or Component Provider",DATA_RASIC!U65,IF($B$4="Consultancy Component Provider",DATA_RASIC!AB65,IF($B$4="Make to Print",DATA_RASIC!AI65,IF($B$4="Engineering Service Provider",DATA_RASIC!G65,IF($B$4="Full System Provider",DATA_RASIC!N65,IF($B$4="ESP_DOOR TRIM",DATA_RASIC!AP65,IF($B$4="ESP_Partner_LEVEL_01",DATA_RASIC!AW65,"")))))))</f>
        <v>SE</v>
      </c>
      <c r="P69" s="40" t="str">
        <f>IF($B$4="Assembly or Component Provider",DATA_RASIC!V65,IF($B$4="Consultancy Component Provider",DATA_RASIC!AC65,IF($B$4="Make to Print",DATA_RASIC!AJ65,IF($B$4="Engineering Service Provider",DATA_RASIC!H65,IF($B$4="Full System Provider",DATA_RASIC!O65,IF($B$4="ESP_DOOR TRIM",DATA_RASIC!AQ65,IF($B$4="ESP_Partner_LEVEL_01",DATA_RASIC!AX65,"")))))))</f>
        <v>SE</v>
      </c>
    </row>
    <row r="70" spans="1:16" ht="104.4" customHeight="1" x14ac:dyDescent="0.3">
      <c r="A70" s="80" t="str">
        <f>IF($B$4="Assembly or Component Provider",DATA_RASIC_DESC!A63,IF($B$4="Consultancy Component Provider",DATA_RASIC_DESC!A63,IF($B$4="Make to Print",DATA_RASIC_DESC!A63,IF($B$4="Engineering Service Provider",DATA_RASIC_DESC!A63,IF($B$4="Full System Provider",DATA_RASIC_DESC!A63,IF($B$4="ESP_DOOR TRIM",DATA_RASIC_DESC!D63,IF($B$4="ESP_Partner_LEVEL_01",DATA_RASIC_DESC!G63,"")))))))</f>
        <v>DE.14</v>
      </c>
      <c r="B70" s="432" t="str">
        <f>IF($B$4="Assembly or Component Provider",DATA_RASIC_DESC!B63,IF($B$4="Consultancy Component Provider",DATA_RASIC_DESC!B63,IF($B$4="Make to Print",DATA_RASIC_DESC!B63,IF($B$4="Engineering Service Provider",DATA_RASIC_DESC!B63,IF($B$4="Full System Provider",DATA_RASIC_DESC!B63,IF($B$4="ESP_DOOR TRIM",DATA_RASIC_DESC!E63,IF($B$4="ESP_Partner_LEVEL_01",DATA_RASIC_DESC!H63,"")))))))</f>
        <v>Demonstrate the use of the following disciplines:
Design for Assembly
Design for Manufacturing
Total Cost Management
Design for Service
Design for Environment/Recyclability/Re-manufacturing</v>
      </c>
      <c r="C70" s="432"/>
      <c r="D70" s="432"/>
      <c r="E70" s="432"/>
      <c r="F70" s="432"/>
      <c r="G70" s="432"/>
      <c r="H70" s="432"/>
      <c r="I70" s="432"/>
      <c r="J70" s="432"/>
      <c r="K70" s="40" t="str">
        <f>IF($B$4="Assembly or Component Provider",DATA_RASIC!Q66,IF($B$4="Consultancy Component Provider",DATA_RASIC!X66,IF($B$4="Make to Print",DATA_RASIC!AE66,IF($B$4="Engineering Service Provider",DATA_RASIC!C66,IF($B$4="Full System Provider",DATA_RASIC!J66,IF($B$4="ESP_DOOR TRIM",DATA_RASIC!AL66,IF($B$4="ESP_Partner_LEVEL_01",DATA_RASIC!AS66,"")))))))</f>
        <v>JLR</v>
      </c>
      <c r="L70" s="40" t="str">
        <f>IF($B$4="Assembly or Component Provider",DATA_RASIC!R66,IF($B$4="Consultancy Component Provider",DATA_RASIC!Y66,IF($B$4="Make to Print",DATA_RASIC!AF66,IF($B$4="Engineering Service Provider",DATA_RASIC!D66,IF($B$4="Full System Provider",DATA_RASIC!K66,IF($B$4="ESP_DOOR TRIM",DATA_RASIC!AM66,IF($B$4="ESP_Partner_LEVEL_01",DATA_RASIC!AT66,"")))))))</f>
        <v>JLR</v>
      </c>
      <c r="M70" s="40" t="str">
        <f>IF($B$4="Assembly or Component Provider",DATA_RASIC!S66,IF($B$4="Consultancy Component Provider",DATA_RASIC!Z66,IF($B$4="Make to Print",DATA_RASIC!AG66,IF($B$4="Engineering Service Provider",DATA_RASIC!E66,IF($B$4="Full System Provider",DATA_RASIC!L66,IF($B$4="ESP_DOOR TRIM",DATA_RASIC!AN66,IF($B$4="ESP_Partner_LEVEL_01",DATA_RASIC!AU66,"")))))))</f>
        <v>JLR</v>
      </c>
      <c r="N70" s="40" t="str">
        <f>IF($B$4="Assembly or Component Provider",DATA_RASIC!T66,IF($B$4="Consultancy Component Provider",DATA_RASIC!AA66,IF($B$4="Make to Print",DATA_RASIC!AH66,IF($B$4="Engineering Service Provider",DATA_RASIC!F66,IF($B$4="Full System Provider",DATA_RASIC!M66,IF($B$4="ESP_DOOR TRIM",DATA_RASIC!AO66,IF($B$4="ESP_Partner_LEVEL_01",DATA_RASIC!AV66,"")))))))</f>
        <v>-</v>
      </c>
      <c r="O70" s="40" t="str">
        <f>IF($B$4="Assembly or Component Provider",DATA_RASIC!U66,IF($B$4="Consultancy Component Provider",DATA_RASIC!AB66,IF($B$4="Make to Print",DATA_RASIC!AI66,IF($B$4="Engineering Service Provider",DATA_RASIC!G66,IF($B$4="Full System Provider",DATA_RASIC!N66,IF($B$4="ESP_DOOR TRIM",DATA_RASIC!AP66,IF($B$4="ESP_Partner_LEVEL_01",DATA_RASIC!AW66,"")))))))</f>
        <v>-</v>
      </c>
      <c r="P70" s="40" t="str">
        <f>IF($B$4="Assembly or Component Provider",DATA_RASIC!V66,IF($B$4="Consultancy Component Provider",DATA_RASIC!AC66,IF($B$4="Make to Print",DATA_RASIC!AJ66,IF($B$4="Engineering Service Provider",DATA_RASIC!H66,IF($B$4="Full System Provider",DATA_RASIC!O66,IF($B$4="ESP_DOOR TRIM",DATA_RASIC!AQ66,IF($B$4="ESP_Partner_LEVEL_01",DATA_RASIC!AX66,"")))))))</f>
        <v>-</v>
      </c>
    </row>
    <row r="71" spans="1:16" ht="24.6" customHeight="1" x14ac:dyDescent="0.3">
      <c r="A71" s="80" t="str">
        <f>IF($B$4="Assembly or Component Provider",DATA_RASIC_DESC!A64,IF($B$4="Consultancy Component Provider",DATA_RASIC_DESC!A64,IF($B$4="Make to Print",DATA_RASIC_DESC!A64,IF($B$4="Engineering Service Provider",DATA_RASIC_DESC!A64,IF($B$4="Full System Provider",DATA_RASIC_DESC!A64,IF($B$4="ESP_DOOR TRIM",DATA_RASIC_DESC!D64,IF($B$4="ESP_Partner_LEVEL_01",DATA_RASIC_DESC!G64,"")))))))</f>
        <v>DE.15</v>
      </c>
      <c r="B71" s="432" t="str">
        <f>IF($B$4="Assembly or Component Provider",DATA_RASIC_DESC!B64,IF($B$4="Consultancy Component Provider",DATA_RASIC_DESC!B64,IF($B$4="Make to Print",DATA_RASIC_DESC!B64,IF($B$4="Engineering Service Provider",DATA_RASIC_DESC!B64,IF($B$4="Full System Provider",DATA_RASIC_DESC!B64,IF($B$4="ESP_DOOR TRIM",DATA_RASIC_DESC!E64,IF($B$4="ESP_Partner_LEVEL_01",DATA_RASIC_DESC!H64,"")))))))</f>
        <v xml:space="preserve">Develop Total Cost Management Plan (TCM)  </v>
      </c>
      <c r="C71" s="432"/>
      <c r="D71" s="432"/>
      <c r="E71" s="432"/>
      <c r="F71" s="432"/>
      <c r="G71" s="432"/>
      <c r="H71" s="432"/>
      <c r="I71" s="432"/>
      <c r="J71" s="432"/>
      <c r="K71" s="40" t="str">
        <f>IF($B$4="Assembly or Component Provider",DATA_RASIC!Q67,IF($B$4="Consultancy Component Provider",DATA_RASIC!X67,IF($B$4="Make to Print",DATA_RASIC!AE67,IF($B$4="Engineering Service Provider",DATA_RASIC!C67,IF($B$4="Full System Provider",DATA_RASIC!J67,IF($B$4="ESP_DOOR TRIM",DATA_RASIC!AL67,IF($B$4="ESP_Partner_LEVEL_01",DATA_RASIC!AS67,"")))))))</f>
        <v>JLR</v>
      </c>
      <c r="L71" s="40" t="str">
        <f>IF($B$4="Assembly or Component Provider",DATA_RASIC!R67,IF($B$4="Consultancy Component Provider",DATA_RASIC!Y67,IF($B$4="Make to Print",DATA_RASIC!AF67,IF($B$4="Engineering Service Provider",DATA_RASIC!D67,IF($B$4="Full System Provider",DATA_RASIC!K67,IF($B$4="ESP_DOOR TRIM",DATA_RASIC!AM67,IF($B$4="ESP_Partner_LEVEL_01",DATA_RASIC!AT67,"")))))))</f>
        <v>SHARE</v>
      </c>
      <c r="M71" s="40" t="str">
        <f>IF($B$4="Assembly or Component Provider",DATA_RASIC!S67,IF($B$4="Consultancy Component Provider",DATA_RASIC!Z67,IF($B$4="Make to Print",DATA_RASIC!AG67,IF($B$4="Engineering Service Provider",DATA_RASIC!E67,IF($B$4="Full System Provider",DATA_RASIC!L67,IF($B$4="ESP_DOOR TRIM",DATA_RASIC!AN67,IF($B$4="ESP_Partner_LEVEL_01",DATA_RASIC!AU67,"")))))))</f>
        <v>SHARE</v>
      </c>
      <c r="N71" s="40" t="str">
        <f>IF($B$4="Assembly or Component Provider",DATA_RASIC!T67,IF($B$4="Consultancy Component Provider",DATA_RASIC!AA67,IF($B$4="Make to Print",DATA_RASIC!AH67,IF($B$4="Engineering Service Provider",DATA_RASIC!F67,IF($B$4="Full System Provider",DATA_RASIC!M67,IF($B$4="ESP_DOOR TRIM",DATA_RASIC!AO67,IF($B$4="ESP_Partner_LEVEL_01",DATA_RASIC!AV67,"")))))))</f>
        <v>SHARE</v>
      </c>
      <c r="O71" s="40" t="str">
        <f>IF($B$4="Assembly or Component Provider",DATA_RASIC!U67,IF($B$4="Consultancy Component Provider",DATA_RASIC!AB67,IF($B$4="Make to Print",DATA_RASIC!AI67,IF($B$4="Engineering Service Provider",DATA_RASIC!G67,IF($B$4="Full System Provider",DATA_RASIC!N67,IF($B$4="ESP_DOOR TRIM",DATA_RASIC!AP67,IF($B$4="ESP_Partner_LEVEL_01",DATA_RASIC!AW67,"")))))))</f>
        <v>SHARE</v>
      </c>
      <c r="P71" s="40" t="str">
        <f>IF($B$4="Assembly or Component Provider",DATA_RASIC!V67,IF($B$4="Consultancy Component Provider",DATA_RASIC!AC67,IF($B$4="Make to Print",DATA_RASIC!AJ67,IF($B$4="Engineering Service Provider",DATA_RASIC!H67,IF($B$4="Full System Provider",DATA_RASIC!O67,IF($B$4="ESP_DOOR TRIM",DATA_RASIC!AQ67,IF($B$4="ESP_Partner_LEVEL_01",DATA_RASIC!AX67,"")))))))</f>
        <v>SHARE</v>
      </c>
    </row>
    <row r="72" spans="1:16" ht="81" customHeight="1" x14ac:dyDescent="0.3">
      <c r="A72" s="80" t="str">
        <f>IF($B$4="Assembly or Component Provider",DATA_RASIC_DESC!A65,IF($B$4="Consultancy Component Provider",DATA_RASIC_DESC!A65,IF($B$4="Make to Print",DATA_RASIC_DESC!A65,IF($B$4="Engineering Service Provider",DATA_RASIC_DESC!A65,IF($B$4="Full System Provider",DATA_RASIC_DESC!A65,IF($B$4="ESP_DOOR TRIM",DATA_RASIC_DESC!D65,IF($B$4="ESP_Partner_LEVEL_01",DATA_RASIC_DESC!G65,"")))))))</f>
        <v>DE.16</v>
      </c>
      <c r="B72" s="432" t="str">
        <f>IF($B$4="Assembly or Component Provider",DATA_RASIC_DESC!B65,IF($B$4="Consultancy Component Provider",DATA_RASIC_DESC!B65,IF($B$4="Make to Print",DATA_RASIC_DESC!B65,IF($B$4="Engineering Service Provider",DATA_RASIC_DESC!B65,IF($B$4="Full System Provider",DATA_RASIC_DESC!B65,IF($B$4="ESP_DOOR TRIM",DATA_RASIC_DESC!E65,IF($B$4="ESP_Partner_LEVEL_01",DATA_RASIC_DESC!H65,"")))))))</f>
        <v>Engineering prove-out including:
• Development and maintenance of DVP&amp;R for RMDV elements cascaded to SE
Development and maintenance of Design (SE and JLR on individual basis) &amp; Process FMEAs - SE
• Compliance with design rules and other technical requirements - SE
• Evidence of compliance to technical requirements as cascaded via RMDV - SE</v>
      </c>
      <c r="C72" s="432"/>
      <c r="D72" s="432"/>
      <c r="E72" s="432"/>
      <c r="F72" s="432"/>
      <c r="G72" s="432"/>
      <c r="H72" s="432"/>
      <c r="I72" s="432"/>
      <c r="J72" s="432"/>
      <c r="K72" s="40" t="str">
        <f>IF($B$4="Assembly or Component Provider",DATA_RASIC!Q68,IF($B$4="Consultancy Component Provider",DATA_RASIC!X68,IF($B$4="Make to Print",DATA_RASIC!AE68,IF($B$4="Engineering Service Provider",DATA_RASIC!C68,IF($B$4="Full System Provider",DATA_RASIC!J68,IF($B$4="ESP_DOOR TRIM",DATA_RASIC!AL68,IF($B$4="ESP_Partner_LEVEL_01",DATA_RASIC!AS68,"")))))))</f>
        <v>JLR</v>
      </c>
      <c r="L72" s="40" t="str">
        <f>IF($B$4="Assembly or Component Provider",DATA_RASIC!R68,IF($B$4="Consultancy Component Provider",DATA_RASIC!Y68,IF($B$4="Make to Print",DATA_RASIC!AF68,IF($B$4="Engineering Service Provider",DATA_RASIC!D68,IF($B$4="Full System Provider",DATA_RASIC!K68,IF($B$4="ESP_DOOR TRIM",DATA_RASIC!AM68,IF($B$4="ESP_Partner_LEVEL_01",DATA_RASIC!AT68,"")))))))</f>
        <v>JLR</v>
      </c>
      <c r="M72" s="40" t="str">
        <f>IF($B$4="Assembly or Component Provider",DATA_RASIC!S68,IF($B$4="Consultancy Component Provider",DATA_RASIC!Z68,IF($B$4="Make to Print",DATA_RASIC!AG68,IF($B$4="Engineering Service Provider",DATA_RASIC!E68,IF($B$4="Full System Provider",DATA_RASIC!L68,IF($B$4="ESP_DOOR TRIM",DATA_RASIC!AN68,IF($B$4="ESP_Partner_LEVEL_01",DATA_RASIC!AU68,"")))))))</f>
        <v>JLR</v>
      </c>
      <c r="N72" s="40" t="str">
        <f>IF($B$4="Assembly or Component Provider",DATA_RASIC!T68,IF($B$4="Consultancy Component Provider",DATA_RASIC!AA68,IF($B$4="Make to Print",DATA_RASIC!AH68,IF($B$4="Engineering Service Provider",DATA_RASIC!F68,IF($B$4="Full System Provider",DATA_RASIC!M68,IF($B$4="ESP_DOOR TRIM",DATA_RASIC!AO68,IF($B$4="ESP_Partner_LEVEL_01",DATA_RASIC!AV68,"")))))))</f>
        <v>SE</v>
      </c>
      <c r="O72" s="40" t="str">
        <f>IF($B$4="Assembly or Component Provider",DATA_RASIC!U68,IF($B$4="Consultancy Component Provider",DATA_RASIC!AB68,IF($B$4="Make to Print",DATA_RASIC!AI68,IF($B$4="Engineering Service Provider",DATA_RASIC!G68,IF($B$4="Full System Provider",DATA_RASIC!N68,IF($B$4="ESP_DOOR TRIM",DATA_RASIC!AP68,IF($B$4="ESP_Partner_LEVEL_01",DATA_RASIC!AW68,"")))))))</f>
        <v>-</v>
      </c>
      <c r="P72" s="40" t="str">
        <f>IF($B$4="Assembly or Component Provider",DATA_RASIC!V68,IF($B$4="Consultancy Component Provider",DATA_RASIC!AC68,IF($B$4="Make to Print",DATA_RASIC!AJ68,IF($B$4="Engineering Service Provider",DATA_RASIC!H68,IF($B$4="Full System Provider",DATA_RASIC!O68,IF($B$4="ESP_DOOR TRIM",DATA_RASIC!AQ68,IF($B$4="ESP_Partner_LEVEL_01",DATA_RASIC!AX68,"")))))))</f>
        <v>-</v>
      </c>
    </row>
    <row r="73" spans="1:16" ht="81" customHeight="1" x14ac:dyDescent="0.3">
      <c r="A73" s="80" t="str">
        <f>IF($B$4="Assembly or Component Provider",DATA_RASIC_DESC!A66,IF($B$4="Consultancy Component Provider",DATA_RASIC_DESC!A66,IF($B$4="Make to Print",DATA_RASIC_DESC!A66,IF($B$4="Engineering Service Provider",DATA_RASIC_DESC!A66,IF($B$4="Full System Provider",DATA_RASIC_DESC!A66,IF($B$4="ESP_DOOR TRIM",DATA_RASIC_DESC!D66,IF($B$4="ESP_Partner_LEVEL_01",DATA_RASIC_DESC!G66,"")))))))</f>
        <v>DE.17</v>
      </c>
      <c r="B73" s="432" t="str">
        <f>IF($B$4="Assembly or Component Provider",DATA_RASIC_DESC!B66,IF($B$4="Consultancy Component Provider",DATA_RASIC_DESC!B66,IF($B$4="Make to Print",DATA_RASIC_DESC!B66,IF($B$4="Engineering Service Provider",DATA_RASIC_DESC!B66,IF($B$4="Full System Provider",DATA_RASIC_DESC!B66,IF($B$4="ESP_DOOR TRIM",DATA_RASIC_DESC!E66,IF($B$4="ESP_Partner_LEVEL_01",DATA_RASIC_DESC!H66,"")))))))</f>
        <v>Production prove-out including:
• Design for Manufacture. Tooling and process feasibility
• Mould flow of all injection moulded parts
• Development and maintenance of  Design &amp; Process FMEAs 55-7025
• Evidence of compliance to technical requirements</v>
      </c>
      <c r="C73" s="432"/>
      <c r="D73" s="432"/>
      <c r="E73" s="432"/>
      <c r="F73" s="432"/>
      <c r="G73" s="432"/>
      <c r="H73" s="432"/>
      <c r="I73" s="432"/>
      <c r="J73" s="432"/>
      <c r="K73" s="40" t="str">
        <f>IF($B$4="Assembly or Component Provider",DATA_RASIC!Q69,IF($B$4="Consultancy Component Provider",DATA_RASIC!X69,IF($B$4="Make to Print",DATA_RASIC!AE69,IF($B$4="Engineering Service Provider",DATA_RASIC!C69,IF($B$4="Full System Provider",DATA_RASIC!J69,IF($B$4="ESP_DOOR TRIM",DATA_RASIC!AL69,IF($B$4="ESP_Partner_LEVEL_01",DATA_RASIC!AS69,"")))))))</f>
        <v>SE</v>
      </c>
      <c r="L73" s="40" t="str">
        <f>IF($B$4="Assembly or Component Provider",DATA_RASIC!R69,IF($B$4="Consultancy Component Provider",DATA_RASIC!Y69,IF($B$4="Make to Print",DATA_RASIC!AF69,IF($B$4="Engineering Service Provider",DATA_RASIC!D69,IF($B$4="Full System Provider",DATA_RASIC!K69,IF($B$4="ESP_DOOR TRIM",DATA_RASIC!AM69,IF($B$4="ESP_Partner_LEVEL_01",DATA_RASIC!AT69,"")))))))</f>
        <v>SE</v>
      </c>
      <c r="M73" s="40" t="str">
        <f>IF($B$4="Assembly or Component Provider",DATA_RASIC!S69,IF($B$4="Consultancy Component Provider",DATA_RASIC!Z69,IF($B$4="Make to Print",DATA_RASIC!AG69,IF($B$4="Engineering Service Provider",DATA_RASIC!E69,IF($B$4="Full System Provider",DATA_RASIC!L69,IF($B$4="ESP_DOOR TRIM",DATA_RASIC!AN69,IF($B$4="ESP_Partner_LEVEL_01",DATA_RASIC!AU69,"")))))))</f>
        <v>SE</v>
      </c>
      <c r="N73" s="40" t="str">
        <f>IF($B$4="Assembly or Component Provider",DATA_RASIC!T69,IF($B$4="Consultancy Component Provider",DATA_RASIC!AA69,IF($B$4="Make to Print",DATA_RASIC!AH69,IF($B$4="Engineering Service Provider",DATA_RASIC!F69,IF($B$4="Full System Provider",DATA_RASIC!M69,IF($B$4="ESP_DOOR TRIM",DATA_RASIC!AO69,IF($B$4="ESP_Partner_LEVEL_01",DATA_RASIC!AV69,"")))))))</f>
        <v>JLR</v>
      </c>
      <c r="O73" s="40" t="str">
        <f>IF($B$4="Assembly or Component Provider",DATA_RASIC!U69,IF($B$4="Consultancy Component Provider",DATA_RASIC!AB69,IF($B$4="Make to Print",DATA_RASIC!AI69,IF($B$4="Engineering Service Provider",DATA_RASIC!G69,IF($B$4="Full System Provider",DATA_RASIC!N69,IF($B$4="ESP_DOOR TRIM",DATA_RASIC!AP69,IF($B$4="ESP_Partner_LEVEL_01",DATA_RASIC!AW69,"")))))))</f>
        <v>JLR</v>
      </c>
      <c r="P73" s="40" t="str">
        <f>IF($B$4="Assembly or Component Provider",DATA_RASIC!V69,IF($B$4="Consultancy Component Provider",DATA_RASIC!AC69,IF($B$4="Make to Print",DATA_RASIC!AJ69,IF($B$4="Engineering Service Provider",DATA_RASIC!H69,IF($B$4="Full System Provider",DATA_RASIC!O69,IF($B$4="ESP_DOOR TRIM",DATA_RASIC!AQ69,IF($B$4="ESP_Partner_LEVEL_01",DATA_RASIC!AX69,"")))))))</f>
        <v>-</v>
      </c>
    </row>
    <row r="74" spans="1:16" ht="69.599999999999994" customHeight="1" x14ac:dyDescent="0.3">
      <c r="A74" s="80" t="str">
        <f>IF($B$4="Assembly or Component Provider",DATA_RASIC_DESC!A67,IF($B$4="Consultancy Component Provider",DATA_RASIC_DESC!A67,IF($B$4="Make to Print",DATA_RASIC_DESC!A67,IF($B$4="Engineering Service Provider",DATA_RASIC_DESC!A67,IF($B$4="Full System Provider",DATA_RASIC_DESC!A67,IF($B$4="ESP_DOOR TRIM",DATA_RASIC_DESC!D67,IF($B$4="ESP_Partner_LEVEL_01",DATA_RASIC_DESC!G67,"")))))))</f>
        <v>DE.18</v>
      </c>
      <c r="B74" s="432" t="str">
        <f>IF($B$4="Assembly or Component Provider",DATA_RASIC_DESC!B67,IF($B$4="Consultancy Component Provider",DATA_RASIC_DESC!B67,IF($B$4="Make to Print",DATA_RASIC_DESC!B67,IF($B$4="Engineering Service Provider",DATA_RASIC_DESC!B67,IF($B$4="Full System Provider",DATA_RASIC_DESC!B67,IF($B$4="ESP_DOOR TRIM",DATA_RASIC_DESC!E67,IF($B$4="ESP_Partner_LEVEL_01",DATA_RASIC_DESC!H67,"")))))))</f>
        <v>Design Compatibility Review and Structures Support including the alignment/maintenance of Programme compliant, CAD, ECAD and related drawing data (incl. schematics) with the BOM at serviceable level in support of defined deliverables / timings and throughout service life of the vehicle</v>
      </c>
      <c r="C74" s="432"/>
      <c r="D74" s="432"/>
      <c r="E74" s="432"/>
      <c r="F74" s="432"/>
      <c r="G74" s="432"/>
      <c r="H74" s="432"/>
      <c r="I74" s="432"/>
      <c r="J74" s="432"/>
      <c r="K74" s="40" t="str">
        <f>IF($B$4="Assembly or Component Provider",DATA_RASIC!Q70,IF($B$4="Consultancy Component Provider",DATA_RASIC!X70,IF($B$4="Make to Print",DATA_RASIC!AE70,IF($B$4="Engineering Service Provider",DATA_RASIC!C70,IF($B$4="Full System Provider",DATA_RASIC!J70,IF($B$4="ESP_DOOR TRIM",DATA_RASIC!AL70,IF($B$4="ESP_Partner_LEVEL_01",DATA_RASIC!AS70,"")))))))</f>
        <v>JLR</v>
      </c>
      <c r="L74" s="40" t="str">
        <f>IF($B$4="Assembly or Component Provider",DATA_RASIC!R70,IF($B$4="Consultancy Component Provider",DATA_RASIC!Y70,IF($B$4="Make to Print",DATA_RASIC!AF70,IF($B$4="Engineering Service Provider",DATA_RASIC!D70,IF($B$4="Full System Provider",DATA_RASIC!K70,IF($B$4="ESP_DOOR TRIM",DATA_RASIC!AM70,IF($B$4="ESP_Partner_LEVEL_01",DATA_RASIC!AT70,"")))))))</f>
        <v>JLR</v>
      </c>
      <c r="M74" s="40" t="str">
        <f>IF($B$4="Assembly or Component Provider",DATA_RASIC!S70,IF($B$4="Consultancy Component Provider",DATA_RASIC!Z70,IF($B$4="Make to Print",DATA_RASIC!AG70,IF($B$4="Engineering Service Provider",DATA_RASIC!E70,IF($B$4="Full System Provider",DATA_RASIC!L70,IF($B$4="ESP_DOOR TRIM",DATA_RASIC!AN70,IF($B$4="ESP_Partner_LEVEL_01",DATA_RASIC!AU70,"")))))))</f>
        <v>JLR</v>
      </c>
      <c r="N74" s="40" t="str">
        <f>IF($B$4="Assembly or Component Provider",DATA_RASIC!T70,IF($B$4="Consultancy Component Provider",DATA_RASIC!AA70,IF($B$4="Make to Print",DATA_RASIC!AH70,IF($B$4="Engineering Service Provider",DATA_RASIC!F70,IF($B$4="Full System Provider",DATA_RASIC!M70,IF($B$4="ESP_DOOR TRIM",DATA_RASIC!AO70,IF($B$4="ESP_Partner_LEVEL_01",DATA_RASIC!AV70,"")))))))</f>
        <v>SE</v>
      </c>
      <c r="O74" s="40" t="str">
        <f>IF($B$4="Assembly or Component Provider",DATA_RASIC!U70,IF($B$4="Consultancy Component Provider",DATA_RASIC!AB70,IF($B$4="Make to Print",DATA_RASIC!AI70,IF($B$4="Engineering Service Provider",DATA_RASIC!G70,IF($B$4="Full System Provider",DATA_RASIC!N70,IF($B$4="ESP_DOOR TRIM",DATA_RASIC!AP70,IF($B$4="ESP_Partner_LEVEL_01",DATA_RASIC!AW70,"")))))))</f>
        <v>-</v>
      </c>
      <c r="P74" s="40" t="str">
        <f>IF($B$4="Assembly or Component Provider",DATA_RASIC!V70,IF($B$4="Consultancy Component Provider",DATA_RASIC!AC70,IF($B$4="Make to Print",DATA_RASIC!AJ70,IF($B$4="Engineering Service Provider",DATA_RASIC!H70,IF($B$4="Full System Provider",DATA_RASIC!O70,IF($B$4="ESP_DOOR TRIM",DATA_RASIC!AQ70,IF($B$4="ESP_Partner_LEVEL_01",DATA_RASIC!AX70,"")))))))</f>
        <v>-</v>
      </c>
    </row>
    <row r="75" spans="1:16" ht="69.599999999999994" customHeight="1" x14ac:dyDescent="0.3">
      <c r="A75" s="80" t="str">
        <f>IF($B$4="Assembly or Component Provider",DATA_RASIC_DESC!A68,IF($B$4="Consultancy Component Provider",DATA_RASIC_DESC!A68,IF($B$4="Make to Print",DATA_RASIC_DESC!A68,IF($B$4="Engineering Service Provider",DATA_RASIC_DESC!A68,IF($B$4="Full System Provider",DATA_RASIC_DESC!A68,IF($B$4="ESP_DOOR TRIM",DATA_RASIC_DESC!D68,IF($B$4="ESP_Partner_LEVEL_01",DATA_RASIC_DESC!G68,"")))))))</f>
        <v>DE.19</v>
      </c>
      <c r="B75" s="432" t="str">
        <f>IF($B$4="Assembly or Component Provider",DATA_RASIC_DESC!B68,IF($B$4="Consultancy Component Provider",DATA_RASIC_DESC!B68,IF($B$4="Make to Print",DATA_RASIC_DESC!B68,IF($B$4="Engineering Service Provider",DATA_RASIC_DESC!B68,IF($B$4="Full System Provider",DATA_RASIC_DESC!B68,IF($B$4="ESP_DOOR TRIM",DATA_RASIC_DESC!E68,IF($B$4="ESP_Partner_LEVEL_01",DATA_RASIC_DESC!H68,"")))))))</f>
        <v>Part Trademarks:  Supplier CAD files for production &amp; service parts and accessories will comply with Directive E-108:  Automotive Parts &amp; Accessories Branding Directive (E-108 AUTOMOTIVE PARTS AND ACCESSORIES BRANDING DIRECTIVE) . Regardless of the country of origin, Supplier trademarks/trade names and part numbers may not be applied to automotive parts</v>
      </c>
      <c r="C75" s="432"/>
      <c r="D75" s="432"/>
      <c r="E75" s="432"/>
      <c r="F75" s="432"/>
      <c r="G75" s="432"/>
      <c r="H75" s="432"/>
      <c r="I75" s="432"/>
      <c r="J75" s="432"/>
      <c r="K75" s="40" t="str">
        <f>IF($B$4="Assembly or Component Provider",DATA_RASIC!Q71,IF($B$4="Consultancy Component Provider",DATA_RASIC!X71,IF($B$4="Make to Print",DATA_RASIC!AE71,IF($B$4="Engineering Service Provider",DATA_RASIC!C71,IF($B$4="Full System Provider",DATA_RASIC!J71,IF($B$4="ESP_DOOR TRIM",DATA_RASIC!AL71,IF($B$4="ESP_Partner_LEVEL_01",DATA_RASIC!AS71,"")))))))</f>
        <v>SE</v>
      </c>
      <c r="L75" s="40" t="str">
        <f>IF($B$4="Assembly or Component Provider",DATA_RASIC!R71,IF($B$4="Consultancy Component Provider",DATA_RASIC!Y71,IF($B$4="Make to Print",DATA_RASIC!AF71,IF($B$4="Engineering Service Provider",DATA_RASIC!D71,IF($B$4="Full System Provider",DATA_RASIC!K71,IF($B$4="ESP_DOOR TRIM",DATA_RASIC!AM71,IF($B$4="ESP_Partner_LEVEL_01",DATA_RASIC!AT71,"")))))))</f>
        <v>JLR</v>
      </c>
      <c r="M75" s="40" t="str">
        <f>IF($B$4="Assembly or Component Provider",DATA_RASIC!S71,IF($B$4="Consultancy Component Provider",DATA_RASIC!Z71,IF($B$4="Make to Print",DATA_RASIC!AG71,IF($B$4="Engineering Service Provider",DATA_RASIC!E71,IF($B$4="Full System Provider",DATA_RASIC!L71,IF($B$4="ESP_DOOR TRIM",DATA_RASIC!AN71,IF($B$4="ESP_Partner_LEVEL_01",DATA_RASIC!AU71,"")))))))</f>
        <v>JLR</v>
      </c>
      <c r="N75" s="40" t="str">
        <f>IF($B$4="Assembly or Component Provider",DATA_RASIC!T71,IF($B$4="Consultancy Component Provider",DATA_RASIC!AA71,IF($B$4="Make to Print",DATA_RASIC!AH71,IF($B$4="Engineering Service Provider",DATA_RASIC!F71,IF($B$4="Full System Provider",DATA_RASIC!M71,IF($B$4="ESP_DOOR TRIM",DATA_RASIC!AO71,IF($B$4="ESP_Partner_LEVEL_01",DATA_RASIC!AV71,"")))))))</f>
        <v>JLR</v>
      </c>
      <c r="O75" s="40" t="str">
        <f>IF($B$4="Assembly or Component Provider",DATA_RASIC!U71,IF($B$4="Consultancy Component Provider",DATA_RASIC!AB71,IF($B$4="Make to Print",DATA_RASIC!AI71,IF($B$4="Engineering Service Provider",DATA_RASIC!G71,IF($B$4="Full System Provider",DATA_RASIC!N71,IF($B$4="ESP_DOOR TRIM",DATA_RASIC!AP71,IF($B$4="ESP_Partner_LEVEL_01",DATA_RASIC!AW71,"")))))))</f>
        <v>-</v>
      </c>
      <c r="P75" s="40" t="str">
        <f>IF($B$4="Assembly or Component Provider",DATA_RASIC!V71,IF($B$4="Consultancy Component Provider",DATA_RASIC!AC71,IF($B$4="Make to Print",DATA_RASIC!AJ71,IF($B$4="Engineering Service Provider",DATA_RASIC!H71,IF($B$4="Full System Provider",DATA_RASIC!O71,IF($B$4="ESP_DOOR TRIM",DATA_RASIC!AQ71,IF($B$4="ESP_Partner_LEVEL_01",DATA_RASIC!AX71,"")))))))</f>
        <v>-</v>
      </c>
    </row>
    <row r="76" spans="1:16" ht="31.95" customHeight="1" x14ac:dyDescent="0.3">
      <c r="A76" s="80" t="str">
        <f>IF($B$4="Assembly or Component Provider",DATA_RASIC_DESC!A69,IF($B$4="Consultancy Component Provider",DATA_RASIC_DESC!A69,IF($B$4="Make to Print",DATA_RASIC_DESC!A69,IF($B$4="Engineering Service Provider",DATA_RASIC_DESC!A69,IF($B$4="Full System Provider",DATA_RASIC_DESC!A69,IF($B$4="ESP_DOOR TRIM",DATA_RASIC_DESC!D69,IF($B$4="ESP_Partner_LEVEL_01",DATA_RASIC_DESC!G69,"")))))))</f>
        <v>DE.20</v>
      </c>
      <c r="B76" s="432" t="str">
        <f>IF($B$4="Assembly or Component Provider",DATA_RASIC_DESC!B69,IF($B$4="Consultancy Component Provider",DATA_RASIC_DESC!B69,IF($B$4="Make to Print",DATA_RASIC_DESC!B69,IF($B$4="Engineering Service Provider",DATA_RASIC_DESC!B69,IF($B$4="Full System Provider",DATA_RASIC_DESC!B69,IF($B$4="ESP_DOOR TRIM",DATA_RASIC_DESC!E69,IF($B$4="ESP_Partner_LEVEL_01",DATA_RASIC_DESC!H69,"")))))))</f>
        <v>Develop and maintain Risk and Opportunity list for cost/weight/investment/function for all targets from Programme inception to launch</v>
      </c>
      <c r="C76" s="432"/>
      <c r="D76" s="432"/>
      <c r="E76" s="432"/>
      <c r="F76" s="432"/>
      <c r="G76" s="432"/>
      <c r="H76" s="432"/>
      <c r="I76" s="432"/>
      <c r="J76" s="432"/>
      <c r="K76" s="40" t="str">
        <f>IF($B$4="Assembly or Component Provider",DATA_RASIC!Q72,IF($B$4="Consultancy Component Provider",DATA_RASIC!X72,IF($B$4="Make to Print",DATA_RASIC!AE72,IF($B$4="Engineering Service Provider",DATA_RASIC!C72,IF($B$4="Full System Provider",DATA_RASIC!J72,IF($B$4="ESP_DOOR TRIM",DATA_RASIC!AL72,IF($B$4="ESP_Partner_LEVEL_01",DATA_RASIC!AS72,"")))))))</f>
        <v>JLR</v>
      </c>
      <c r="L76" s="40" t="str">
        <f>IF($B$4="Assembly or Component Provider",DATA_RASIC!R72,IF($B$4="Consultancy Component Provider",DATA_RASIC!Y72,IF($B$4="Make to Print",DATA_RASIC!AF72,IF($B$4="Engineering Service Provider",DATA_RASIC!D72,IF($B$4="Full System Provider",DATA_RASIC!K72,IF($B$4="ESP_DOOR TRIM",DATA_RASIC!AM72,IF($B$4="ESP_Partner_LEVEL_01",DATA_RASIC!AT72,"")))))))</f>
        <v>JLR</v>
      </c>
      <c r="M76" s="40" t="str">
        <f>IF($B$4="Assembly or Component Provider",DATA_RASIC!S72,IF($B$4="Consultancy Component Provider",DATA_RASIC!Z72,IF($B$4="Make to Print",DATA_RASIC!AG72,IF($B$4="Engineering Service Provider",DATA_RASIC!E72,IF($B$4="Full System Provider",DATA_RASIC!L72,IF($B$4="ESP_DOOR TRIM",DATA_RASIC!AN72,IF($B$4="ESP_Partner_LEVEL_01",DATA_RASIC!AU72,"")))))))</f>
        <v>JLR</v>
      </c>
      <c r="N76" s="40" t="str">
        <f>IF($B$4="Assembly or Component Provider",DATA_RASIC!T72,IF($B$4="Consultancy Component Provider",DATA_RASIC!AA72,IF($B$4="Make to Print",DATA_RASIC!AH72,IF($B$4="Engineering Service Provider",DATA_RASIC!F72,IF($B$4="Full System Provider",DATA_RASIC!M72,IF($B$4="ESP_DOOR TRIM",DATA_RASIC!AO72,IF($B$4="ESP_Partner_LEVEL_01",DATA_RASIC!AV72,"")))))))</f>
        <v>SE</v>
      </c>
      <c r="O76" s="40" t="str">
        <f>IF($B$4="Assembly or Component Provider",DATA_RASIC!U72,IF($B$4="Consultancy Component Provider",DATA_RASIC!AB72,IF($B$4="Make to Print",DATA_RASIC!AI72,IF($B$4="Engineering Service Provider",DATA_RASIC!G72,IF($B$4="Full System Provider",DATA_RASIC!N72,IF($B$4="ESP_DOOR TRIM",DATA_RASIC!AP72,IF($B$4="ESP_Partner_LEVEL_01",DATA_RASIC!AW72,"")))))))</f>
        <v>-</v>
      </c>
      <c r="P76" s="40" t="str">
        <f>IF($B$4="Assembly or Component Provider",DATA_RASIC!V72,IF($B$4="Consultancy Component Provider",DATA_RASIC!AC72,IF($B$4="Make to Print",DATA_RASIC!AJ72,IF($B$4="Engineering Service Provider",DATA_RASIC!H72,IF($B$4="Full System Provider",DATA_RASIC!O72,IF($B$4="ESP_DOOR TRIM",DATA_RASIC!AQ72,IF($B$4="ESP_Partner_LEVEL_01",DATA_RASIC!AX72,"")))))))</f>
        <v>-</v>
      </c>
    </row>
    <row r="77" spans="1:16" ht="31.95" customHeight="1" x14ac:dyDescent="0.3">
      <c r="A77" s="80" t="str">
        <f>IF($B$4="Assembly or Component Provider",DATA_RASIC_DESC!A70,IF($B$4="Consultancy Component Provider",DATA_RASIC_DESC!A70,IF($B$4="Make to Print",DATA_RASIC_DESC!A70,IF($B$4="Engineering Service Provider",DATA_RASIC_DESC!A70,IF($B$4="Full System Provider",DATA_RASIC_DESC!A70,IF($B$4="ESP_DOOR TRIM",DATA_RASIC_DESC!D70,IF($B$4="ESP_Partner_LEVEL_01",DATA_RASIC_DESC!G70,"")))))))</f>
        <v>DE.21</v>
      </c>
      <c r="B77" s="432" t="str">
        <f>IF($B$4="Assembly or Component Provider",DATA_RASIC_DESC!B70,IF($B$4="Consultancy Component Provider",DATA_RASIC_DESC!B70,IF($B$4="Make to Print",DATA_RASIC_DESC!B70,IF($B$4="Engineering Service Provider",DATA_RASIC_DESC!B70,IF($B$4="Full System Provider",DATA_RASIC_DESC!B70,IF($B$4="ESP_DOOR TRIM",DATA_RASIC_DESC!E70,IF($B$4="ESP_Partner_LEVEL_01",DATA_RASIC_DESC!H70,"")))))))</f>
        <v xml:space="preserve">Optimise vehicle to support Programme targets; provide package/design improvements to supplier   </v>
      </c>
      <c r="C77" s="432"/>
      <c r="D77" s="432"/>
      <c r="E77" s="432"/>
      <c r="F77" s="432"/>
      <c r="G77" s="432"/>
      <c r="H77" s="432"/>
      <c r="I77" s="432"/>
      <c r="J77" s="432"/>
      <c r="K77" s="40" t="str">
        <f>IF($B$4="Assembly or Component Provider",DATA_RASIC!Q73,IF($B$4="Consultancy Component Provider",DATA_RASIC!X73,IF($B$4="Make to Print",DATA_RASIC!AE73,IF($B$4="Engineering Service Provider",DATA_RASIC!C73,IF($B$4="Full System Provider",DATA_RASIC!J73,IF($B$4="ESP_DOOR TRIM",DATA_RASIC!AL73,IF($B$4="ESP_Partner_LEVEL_01",DATA_RASIC!AS73,"")))))))</f>
        <v>JLR</v>
      </c>
      <c r="L77" s="40" t="str">
        <f>IF($B$4="Assembly or Component Provider",DATA_RASIC!R73,IF($B$4="Consultancy Component Provider",DATA_RASIC!Y73,IF($B$4="Make to Print",DATA_RASIC!AF73,IF($B$4="Engineering Service Provider",DATA_RASIC!D73,IF($B$4="Full System Provider",DATA_RASIC!K73,IF($B$4="ESP_DOOR TRIM",DATA_RASIC!AM73,IF($B$4="ESP_Partner_LEVEL_01",DATA_RASIC!AT73,"")))))))</f>
        <v>JLR</v>
      </c>
      <c r="M77" s="40" t="str">
        <f>IF($B$4="Assembly or Component Provider",DATA_RASIC!S73,IF($B$4="Consultancy Component Provider",DATA_RASIC!Z73,IF($B$4="Make to Print",DATA_RASIC!AG73,IF($B$4="Engineering Service Provider",DATA_RASIC!E73,IF($B$4="Full System Provider",DATA_RASIC!L73,IF($B$4="ESP_DOOR TRIM",DATA_RASIC!AN73,IF($B$4="ESP_Partner_LEVEL_01",DATA_RASIC!AU73,"")))))))</f>
        <v>JLR</v>
      </c>
      <c r="N77" s="40" t="str">
        <f>IF($B$4="Assembly or Component Provider",DATA_RASIC!T73,IF($B$4="Consultancy Component Provider",DATA_RASIC!AA73,IF($B$4="Make to Print",DATA_RASIC!AH73,IF($B$4="Engineering Service Provider",DATA_RASIC!F73,IF($B$4="Full System Provider",DATA_RASIC!M73,IF($B$4="ESP_DOOR TRIM",DATA_RASIC!AO73,IF($B$4="ESP_Partner_LEVEL_01",DATA_RASIC!AV73,"")))))))</f>
        <v>SE</v>
      </c>
      <c r="O77" s="40" t="str">
        <f>IF($B$4="Assembly or Component Provider",DATA_RASIC!U73,IF($B$4="Consultancy Component Provider",DATA_RASIC!AB73,IF($B$4="Make to Print",DATA_RASIC!AI73,IF($B$4="Engineering Service Provider",DATA_RASIC!G73,IF($B$4="Full System Provider",DATA_RASIC!N73,IF($B$4="ESP_DOOR TRIM",DATA_RASIC!AP73,IF($B$4="ESP_Partner_LEVEL_01",DATA_RASIC!AW73,"")))))))</f>
        <v>-</v>
      </c>
      <c r="P77" s="40" t="str">
        <f>IF($B$4="Assembly or Component Provider",DATA_RASIC!V73,IF($B$4="Consultancy Component Provider",DATA_RASIC!AC73,IF($B$4="Make to Print",DATA_RASIC!AJ73,IF($B$4="Engineering Service Provider",DATA_RASIC!H73,IF($B$4="Full System Provider",DATA_RASIC!O73,IF($B$4="ESP_DOOR TRIM",DATA_RASIC!AQ73,IF($B$4="ESP_Partner_LEVEL_01",DATA_RASIC!AX73,"")))))))</f>
        <v>-</v>
      </c>
    </row>
    <row r="78" spans="1:16" ht="66" customHeight="1" x14ac:dyDescent="0.3">
      <c r="A78" s="80" t="str">
        <f>IF($B$4="Assembly or Component Provider",DATA_RASIC_DESC!A71,IF($B$4="Consultancy Component Provider",DATA_RASIC_DESC!A71,IF($B$4="Make to Print",DATA_RASIC_DESC!A71,IF($B$4="Engineering Service Provider",DATA_RASIC_DESC!A71,IF($B$4="Full System Provider",DATA_RASIC_DESC!A71,IF($B$4="ESP_DOOR TRIM",DATA_RASIC_DESC!D71,IF($B$4="ESP_Partner_LEVEL_01",DATA_RASIC_DESC!G71,"")))))))</f>
        <v>DE.22</v>
      </c>
      <c r="B78" s="432" t="str">
        <f>IF($B$4="Assembly or Component Provider",DATA_RASIC_DESC!B71,IF($B$4="Consultancy Component Provider",DATA_RASIC_DESC!B71,IF($B$4="Make to Print",DATA_RASIC_DESC!B71,IF($B$4="Engineering Service Provider",DATA_RASIC_DESC!B71,IF($B$4="Full System Provider",DATA_RASIC_DESC!B71,IF($B$4="ESP_DOOR TRIM",DATA_RASIC_DESC!E71,IF($B$4="ESP_Partner_LEVEL_01",DATA_RASIC_DESC!H71,"")))))))</f>
        <v>Develop technical commodity targets (for the component, etc.)  including:
· Warranty analysis to support quality targets
· Design systems/components for service part complexity reduction, ease of maintenance and/or repair at a competitive cost</v>
      </c>
      <c r="C78" s="432"/>
      <c r="D78" s="432"/>
      <c r="E78" s="432"/>
      <c r="F78" s="432"/>
      <c r="G78" s="432"/>
      <c r="H78" s="432"/>
      <c r="I78" s="432"/>
      <c r="J78" s="432"/>
      <c r="K78" s="40" t="str">
        <f>IF($B$4="Assembly or Component Provider",DATA_RASIC!Q74,IF($B$4="Consultancy Component Provider",DATA_RASIC!X74,IF($B$4="Make to Print",DATA_RASIC!AE74,IF($B$4="Engineering Service Provider",DATA_RASIC!C74,IF($B$4="Full System Provider",DATA_RASIC!J74,IF($B$4="ESP_DOOR TRIM",DATA_RASIC!AL74,IF($B$4="ESP_Partner_LEVEL_01",DATA_RASIC!AS74,"")))))))</f>
        <v>JLR</v>
      </c>
      <c r="L78" s="40" t="str">
        <f>IF($B$4="Assembly or Component Provider",DATA_RASIC!R74,IF($B$4="Consultancy Component Provider",DATA_RASIC!Y74,IF($B$4="Make to Print",DATA_RASIC!AF74,IF($B$4="Engineering Service Provider",DATA_RASIC!D74,IF($B$4="Full System Provider",DATA_RASIC!K74,IF($B$4="ESP_DOOR TRIM",DATA_RASIC!AM74,IF($B$4="ESP_Partner_LEVEL_01",DATA_RASIC!AT74,"")))))))</f>
        <v>JLR</v>
      </c>
      <c r="M78" s="40" t="str">
        <f>IF($B$4="Assembly or Component Provider",DATA_RASIC!S74,IF($B$4="Consultancy Component Provider",DATA_RASIC!Z74,IF($B$4="Make to Print",DATA_RASIC!AG74,IF($B$4="Engineering Service Provider",DATA_RASIC!E74,IF($B$4="Full System Provider",DATA_RASIC!L74,IF($B$4="ESP_DOOR TRIM",DATA_RASIC!AN74,IF($B$4="ESP_Partner_LEVEL_01",DATA_RASIC!AU74,"")))))))</f>
        <v>JLR</v>
      </c>
      <c r="N78" s="40" t="str">
        <f>IF($B$4="Assembly or Component Provider",DATA_RASIC!T74,IF($B$4="Consultancy Component Provider",DATA_RASIC!AA74,IF($B$4="Make to Print",DATA_RASIC!AH74,IF($B$4="Engineering Service Provider",DATA_RASIC!F74,IF($B$4="Full System Provider",DATA_RASIC!M74,IF($B$4="ESP_DOOR TRIM",DATA_RASIC!AO74,IF($B$4="ESP_Partner_LEVEL_01",DATA_RASIC!AV74,"")))))))</f>
        <v>SE</v>
      </c>
      <c r="O78" s="40" t="str">
        <f>IF($B$4="Assembly or Component Provider",DATA_RASIC!U74,IF($B$4="Consultancy Component Provider",DATA_RASIC!AB74,IF($B$4="Make to Print",DATA_RASIC!AI74,IF($B$4="Engineering Service Provider",DATA_RASIC!G74,IF($B$4="Full System Provider",DATA_RASIC!N74,IF($B$4="ESP_DOOR TRIM",DATA_RASIC!AP74,IF($B$4="ESP_Partner_LEVEL_01",DATA_RASIC!AW74,"")))))))</f>
        <v>-</v>
      </c>
      <c r="P78" s="40" t="str">
        <f>IF($B$4="Assembly or Component Provider",DATA_RASIC!V74,IF($B$4="Consultancy Component Provider",DATA_RASIC!AC74,IF($B$4="Make to Print",DATA_RASIC!AJ74,IF($B$4="Engineering Service Provider",DATA_RASIC!H74,IF($B$4="Full System Provider",DATA_RASIC!O74,IF($B$4="ESP_DOOR TRIM",DATA_RASIC!AQ74,IF($B$4="ESP_Partner_LEVEL_01",DATA_RASIC!AX74,"")))))))</f>
        <v>-</v>
      </c>
    </row>
    <row r="79" spans="1:16" ht="36" customHeight="1" x14ac:dyDescent="0.3">
      <c r="A79" s="80" t="str">
        <f>IF($B$4="Assembly or Component Provider",DATA_RASIC_DESC!A72,IF($B$4="Consultancy Component Provider",DATA_RASIC_DESC!A72,IF($B$4="Make to Print",DATA_RASIC_DESC!A72,IF($B$4="Engineering Service Provider",DATA_RASIC_DESC!A72,IF($B$4="Full System Provider",DATA_RASIC_DESC!A72,IF($B$4="ESP_DOOR TRIM",DATA_RASIC_DESC!D72,IF($B$4="ESP_Partner_LEVEL_01",DATA_RASIC_DESC!G72,"")))))))</f>
        <v>DE.23</v>
      </c>
      <c r="B79" s="432" t="str">
        <f>IF($B$4="Assembly or Component Provider",DATA_RASIC_DESC!B72,IF($B$4="Consultancy Component Provider",DATA_RASIC_DESC!B72,IF($B$4="Make to Print",DATA_RASIC_DESC!B72,IF($B$4="Engineering Service Provider",DATA_RASIC_DESC!B72,IF($B$4="Full System Provider",DATA_RASIC_DESC!B72,IF($B$4="ESP_DOOR TRIM",DATA_RASIC_DESC!E72,IF($B$4="ESP_Partner_LEVEL_01",DATA_RASIC_DESC!H72,"")))))))</f>
        <v>Identification and design of recyclable and remanufacturing capable components, as directed by JLR and agreed with the supplier in advance</v>
      </c>
      <c r="C79" s="432"/>
      <c r="D79" s="432"/>
      <c r="E79" s="432"/>
      <c r="F79" s="432"/>
      <c r="G79" s="432"/>
      <c r="H79" s="432"/>
      <c r="I79" s="432"/>
      <c r="J79" s="432"/>
      <c r="K79" s="40" t="str">
        <f>IF($B$4="Assembly or Component Provider",DATA_RASIC!Q75,IF($B$4="Consultancy Component Provider",DATA_RASIC!X75,IF($B$4="Make to Print",DATA_RASIC!AE75,IF($B$4="Engineering Service Provider",DATA_RASIC!C75,IF($B$4="Full System Provider",DATA_RASIC!J75,IF($B$4="ESP_DOOR TRIM",DATA_RASIC!AL75,IF($B$4="ESP_Partner_LEVEL_01",DATA_RASIC!AS75,"")))))))</f>
        <v>SE</v>
      </c>
      <c r="L79" s="40" t="str">
        <f>IF($B$4="Assembly or Component Provider",DATA_RASIC!R75,IF($B$4="Consultancy Component Provider",DATA_RASIC!Y75,IF($B$4="Make to Print",DATA_RASIC!AF75,IF($B$4="Engineering Service Provider",DATA_RASIC!D75,IF($B$4="Full System Provider",DATA_RASIC!K75,IF($B$4="ESP_DOOR TRIM",DATA_RASIC!AM75,IF($B$4="ESP_Partner_LEVEL_01",DATA_RASIC!AT75,"")))))))</f>
        <v>SE</v>
      </c>
      <c r="M79" s="40" t="str">
        <f>IF($B$4="Assembly or Component Provider",DATA_RASIC!S75,IF($B$4="Consultancy Component Provider",DATA_RASIC!Z75,IF($B$4="Make to Print",DATA_RASIC!AG75,IF($B$4="Engineering Service Provider",DATA_RASIC!E75,IF($B$4="Full System Provider",DATA_RASIC!L75,IF($B$4="ESP_DOOR TRIM",DATA_RASIC!AN75,IF($B$4="ESP_Partner_LEVEL_01",DATA_RASIC!AU75,"")))))))</f>
        <v>JLR</v>
      </c>
      <c r="N79" s="40" t="str">
        <f>IF($B$4="Assembly or Component Provider",DATA_RASIC!T75,IF($B$4="Consultancy Component Provider",DATA_RASIC!AA75,IF($B$4="Make to Print",DATA_RASIC!AH75,IF($B$4="Engineering Service Provider",DATA_RASIC!F75,IF($B$4="Full System Provider",DATA_RASIC!M75,IF($B$4="ESP_DOOR TRIM",DATA_RASIC!AO75,IF($B$4="ESP_Partner_LEVEL_01",DATA_RASIC!AV75,"")))))))</f>
        <v>-</v>
      </c>
      <c r="O79" s="40" t="str">
        <f>IF($B$4="Assembly or Component Provider",DATA_RASIC!U75,IF($B$4="Consultancy Component Provider",DATA_RASIC!AB75,IF($B$4="Make to Print",DATA_RASIC!AI75,IF($B$4="Engineering Service Provider",DATA_RASIC!G75,IF($B$4="Full System Provider",DATA_RASIC!N75,IF($B$4="ESP_DOOR TRIM",DATA_RASIC!AP75,IF($B$4="ESP_Partner_LEVEL_01",DATA_RASIC!AW75,"")))))))</f>
        <v>JLR</v>
      </c>
      <c r="P79" s="40" t="str">
        <f>IF($B$4="Assembly or Component Provider",DATA_RASIC!V75,IF($B$4="Consultancy Component Provider",DATA_RASIC!AC75,IF($B$4="Make to Print",DATA_RASIC!AJ75,IF($B$4="Engineering Service Provider",DATA_RASIC!H75,IF($B$4="Full System Provider",DATA_RASIC!O75,IF($B$4="ESP_DOOR TRIM",DATA_RASIC!AQ75,IF($B$4="ESP_Partner_LEVEL_01",DATA_RASIC!AX75,"")))))))</f>
        <v>-</v>
      </c>
    </row>
    <row r="80" spans="1:16" ht="60.6" customHeight="1" x14ac:dyDescent="0.3">
      <c r="A80" s="80" t="str">
        <f>IF($B$4="Assembly or Component Provider",DATA_RASIC_DESC!A73,IF($B$4="Consultancy Component Provider",DATA_RASIC_DESC!A73,IF($B$4="Make to Print",DATA_RASIC_DESC!A73,IF($B$4="Engineering Service Provider",DATA_RASIC_DESC!A73,IF($B$4="Full System Provider",DATA_RASIC_DESC!A73,IF($B$4="ESP_DOOR TRIM",DATA_RASIC_DESC!D73,IF($B$4="ESP_Partner_LEVEL_01",DATA_RASIC_DESC!G73,"")))))))</f>
        <v>DE.24</v>
      </c>
      <c r="B80" s="432" t="str">
        <f>IF($B$4="Assembly or Component Provider",DATA_RASIC_DESC!B73,IF($B$4="Consultancy Component Provider",DATA_RASIC_DESC!B73,IF($B$4="Make to Print",DATA_RASIC_DESC!B73,IF($B$4="Engineering Service Provider",DATA_RASIC_DESC!B73,IF($B$4="Full System Provider",DATA_RASIC_DESC!B73,IF($B$4="ESP_DOOR TRIM",DATA_RASIC_DESC!E73,IF($B$4="ESP_Partner_LEVEL_01",DATA_RASIC_DESC!H73,"")))))))</f>
        <v>Design systems and components to be serviced with and/or without existing special service tools</v>
      </c>
      <c r="C80" s="432"/>
      <c r="D80" s="432"/>
      <c r="E80" s="432"/>
      <c r="F80" s="432"/>
      <c r="G80" s="432"/>
      <c r="H80" s="432"/>
      <c r="I80" s="432"/>
      <c r="J80" s="432"/>
      <c r="K80" s="40" t="str">
        <f>IF($B$4="Assembly or Component Provider",DATA_RASIC!Q76,IF($B$4="Consultancy Component Provider",DATA_RASIC!X76,IF($B$4="Make to Print",DATA_RASIC!AE76,IF($B$4="Engineering Service Provider",DATA_RASIC!C76,IF($B$4="Full System Provider",DATA_RASIC!J76,IF($B$4="ESP_DOOR TRIM",DATA_RASIC!AL76,IF($B$4="ESP_Partner_LEVEL_01",DATA_RASIC!AS76,"")))))))</f>
        <v>JLR</v>
      </c>
      <c r="L80" s="40" t="str">
        <f>IF($B$4="Assembly or Component Provider",DATA_RASIC!R76,IF($B$4="Consultancy Component Provider",DATA_RASIC!Y76,IF($B$4="Make to Print",DATA_RASIC!AF76,IF($B$4="Engineering Service Provider",DATA_RASIC!D76,IF($B$4="Full System Provider",DATA_RASIC!K76,IF($B$4="ESP_DOOR TRIM",DATA_RASIC!AM76,IF($B$4="ESP_Partner_LEVEL_01",DATA_RASIC!AT76,"")))))))</f>
        <v>JLR</v>
      </c>
      <c r="M80" s="40" t="str">
        <f>IF($B$4="Assembly or Component Provider",DATA_RASIC!S76,IF($B$4="Consultancy Component Provider",DATA_RASIC!Z76,IF($B$4="Make to Print",DATA_RASIC!AG76,IF($B$4="Engineering Service Provider",DATA_RASIC!E76,IF($B$4="Full System Provider",DATA_RASIC!L76,IF($B$4="ESP_DOOR TRIM",DATA_RASIC!AN76,IF($B$4="ESP_Partner_LEVEL_01",DATA_RASIC!AU76,"")))))))</f>
        <v>JLR</v>
      </c>
      <c r="N80" s="40" t="str">
        <f>IF($B$4="Assembly or Component Provider",DATA_RASIC!T76,IF($B$4="Consultancy Component Provider",DATA_RASIC!AA76,IF($B$4="Make to Print",DATA_RASIC!AH76,IF($B$4="Engineering Service Provider",DATA_RASIC!F76,IF($B$4="Full System Provider",DATA_RASIC!M76,IF($B$4="ESP_DOOR TRIM",DATA_RASIC!AO76,IF($B$4="ESP_Partner_LEVEL_01",DATA_RASIC!AV76,"")))))))</f>
        <v>SE</v>
      </c>
      <c r="O80" s="40" t="str">
        <f>IF($B$4="Assembly or Component Provider",DATA_RASIC!U76,IF($B$4="Consultancy Component Provider",DATA_RASIC!AB76,IF($B$4="Make to Print",DATA_RASIC!AI76,IF($B$4="Engineering Service Provider",DATA_RASIC!G76,IF($B$4="Full System Provider",DATA_RASIC!N76,IF($B$4="ESP_DOOR TRIM",DATA_RASIC!AP76,IF($B$4="ESP_Partner_LEVEL_01",DATA_RASIC!AW76,"")))))))</f>
        <v>-</v>
      </c>
      <c r="P80" s="40" t="str">
        <f>IF($B$4="Assembly or Component Provider",DATA_RASIC!V76,IF($B$4="Consultancy Component Provider",DATA_RASIC!AC76,IF($B$4="Make to Print",DATA_RASIC!AJ76,IF($B$4="Engineering Service Provider",DATA_RASIC!H76,IF($B$4="Full System Provider",DATA_RASIC!O76,IF($B$4="ESP_DOOR TRIM",DATA_RASIC!AQ76,IF($B$4="ESP_Partner_LEVEL_01",DATA_RASIC!AX76,"")))))))</f>
        <v>-</v>
      </c>
    </row>
    <row r="81" spans="1:16" ht="82.95" customHeight="1" x14ac:dyDescent="0.3">
      <c r="A81" s="80" t="str">
        <f>IF($B$4="Assembly or Component Provider",DATA_RASIC_DESC!A74,IF($B$4="Consultancy Component Provider",DATA_RASIC_DESC!A74,IF($B$4="Make to Print",DATA_RASIC_DESC!A74,IF($B$4="Engineering Service Provider",DATA_RASIC_DESC!A74,IF($B$4="Full System Provider",DATA_RASIC_DESC!A74,IF($B$4="ESP_DOOR TRIM",DATA_RASIC_DESC!D74,IF($B$4="ESP_Partner_LEVEL_01",DATA_RASIC_DESC!G74,"")))))))</f>
        <v>DE.25</v>
      </c>
      <c r="B81" s="432" t="str">
        <f>IF($B$4="Assembly or Component Provider",DATA_RASIC_DESC!B74,IF($B$4="Consultancy Component Provider",DATA_RASIC_DESC!B74,IF($B$4="Make to Print",DATA_RASIC_DESC!B74,IF($B$4="Engineering Service Provider",DATA_RASIC_DESC!B74,IF($B$4="Full System Provider",DATA_RASIC_DESC!B74,IF($B$4="ESP_DOOR TRIM",DATA_RASIC_DESC!E74,IF($B$4="ESP_Partner_LEVEL_01",DATA_RASIC_DESC!H74,"")))))))</f>
        <v>Cooperatively develop, prove-out and provide support for collision and vehicle repair/removal procedures and documentation</v>
      </c>
      <c r="C81" s="432"/>
      <c r="D81" s="432"/>
      <c r="E81" s="432"/>
      <c r="F81" s="432"/>
      <c r="G81" s="432"/>
      <c r="H81" s="432"/>
      <c r="I81" s="432"/>
      <c r="J81" s="432"/>
      <c r="K81" s="40" t="str">
        <f>IF($B$4="Assembly or Component Provider",DATA_RASIC!Q77,IF($B$4="Consultancy Component Provider",DATA_RASIC!X77,IF($B$4="Make to Print",DATA_RASIC!AE77,IF($B$4="Engineering Service Provider",DATA_RASIC!C77,IF($B$4="Full System Provider",DATA_RASIC!J77,IF($B$4="ESP_DOOR TRIM",DATA_RASIC!AL77,IF($B$4="ESP_Partner_LEVEL_01",DATA_RASIC!AS77,"")))))))</f>
        <v>SHARE</v>
      </c>
      <c r="L81" s="40" t="str">
        <f>IF($B$4="Assembly or Component Provider",DATA_RASIC!R77,IF($B$4="Consultancy Component Provider",DATA_RASIC!Y77,IF($B$4="Make to Print",DATA_RASIC!AF77,IF($B$4="Engineering Service Provider",DATA_RASIC!D77,IF($B$4="Full System Provider",DATA_RASIC!K77,IF($B$4="ESP_DOOR TRIM",DATA_RASIC!AM77,IF($B$4="ESP_Partner_LEVEL_01",DATA_RASIC!AT77,"")))))))</f>
        <v>SHARE</v>
      </c>
      <c r="M81" s="40" t="str">
        <f>IF($B$4="Assembly or Component Provider",DATA_RASIC!S77,IF($B$4="Consultancy Component Provider",DATA_RASIC!Z77,IF($B$4="Make to Print",DATA_RASIC!AG77,IF($B$4="Engineering Service Provider",DATA_RASIC!E77,IF($B$4="Full System Provider",DATA_RASIC!L77,IF($B$4="ESP_DOOR TRIM",DATA_RASIC!AN77,IF($B$4="ESP_Partner_LEVEL_01",DATA_RASIC!AU77,"")))))))</f>
        <v>SHARE</v>
      </c>
      <c r="N81" s="40" t="str">
        <f>IF($B$4="Assembly or Component Provider",DATA_RASIC!T77,IF($B$4="Consultancy Component Provider",DATA_RASIC!AA77,IF($B$4="Make to Print",DATA_RASIC!AH77,IF($B$4="Engineering Service Provider",DATA_RASIC!F77,IF($B$4="Full System Provider",DATA_RASIC!M77,IF($B$4="ESP_DOOR TRIM",DATA_RASIC!AO77,IF($B$4="ESP_Partner_LEVEL_01",DATA_RASIC!AV77,"")))))))</f>
        <v>SHARE</v>
      </c>
      <c r="O81" s="40" t="str">
        <f>IF($B$4="Assembly or Component Provider",DATA_RASIC!U77,IF($B$4="Consultancy Component Provider",DATA_RASIC!AB77,IF($B$4="Make to Print",DATA_RASIC!AI77,IF($B$4="Engineering Service Provider",DATA_RASIC!G77,IF($B$4="Full System Provider",DATA_RASIC!N77,IF($B$4="ESP_DOOR TRIM",DATA_RASIC!AP77,IF($B$4="ESP_Partner_LEVEL_01",DATA_RASIC!AW77,"")))))))</f>
        <v>-</v>
      </c>
      <c r="P81" s="40" t="str">
        <f>IF($B$4="Assembly or Component Provider",DATA_RASIC!V77,IF($B$4="Consultancy Component Provider",DATA_RASIC!AC77,IF($B$4="Make to Print",DATA_RASIC!AJ77,IF($B$4="Engineering Service Provider",DATA_RASIC!H77,IF($B$4="Full System Provider",DATA_RASIC!O77,IF($B$4="ESP_DOOR TRIM",DATA_RASIC!AQ77,IF($B$4="ESP_Partner_LEVEL_01",DATA_RASIC!AX77,"")))))))</f>
        <v>-</v>
      </c>
    </row>
    <row r="82" spans="1:16" ht="95.4" customHeight="1" x14ac:dyDescent="0.3">
      <c r="A82" s="80" t="str">
        <f>IF($B$4="Assembly or Component Provider",DATA_RASIC_DESC!A75,IF($B$4="Consultancy Component Provider",DATA_RASIC_DESC!A75,IF($B$4="Make to Print",DATA_RASIC_DESC!A75,IF($B$4="Engineering Service Provider",DATA_RASIC_DESC!A75,IF($B$4="Full System Provider",DATA_RASIC_DESC!A75,IF($B$4="ESP_DOOR TRIM",DATA_RASIC_DESC!D75,IF($B$4="ESP_Partner_LEVEL_01",DATA_RASIC_DESC!G75,"")))))))</f>
        <v>DE.26</v>
      </c>
      <c r="B82" s="432" t="str">
        <f>IF($B$4="Assembly or Component Provider",DATA_RASIC_DESC!B75,IF($B$4="Consultancy Component Provider",DATA_RASIC_DESC!B75,IF($B$4="Make to Print",DATA_RASIC_DESC!B75,IF($B$4="Engineering Service Provider",DATA_RASIC_DESC!B75,IF($B$4="Full System Provider",DATA_RASIC_DESC!B75,IF($B$4="ESP_DOOR TRIM",DATA_RASIC_DESC!E75,IF($B$4="ESP_Partner_LEVEL_01",DATA_RASIC_DESC!H75,"")))))))</f>
        <v>Ensure design &amp; compliance with production &amp; aftermarket homologation requirements for all serviced parts (including parts provided by lower tier suppliers)</v>
      </c>
      <c r="C82" s="432"/>
      <c r="D82" s="432"/>
      <c r="E82" s="432"/>
      <c r="F82" s="432"/>
      <c r="G82" s="432"/>
      <c r="H82" s="432"/>
      <c r="I82" s="432"/>
      <c r="J82" s="432"/>
      <c r="K82" s="40" t="str">
        <f>IF($B$4="Assembly or Component Provider",DATA_RASIC!Q78,IF($B$4="Consultancy Component Provider",DATA_RASIC!X78,IF($B$4="Make to Print",DATA_RASIC!AE78,IF($B$4="Engineering Service Provider",DATA_RASIC!C78,IF($B$4="Full System Provider",DATA_RASIC!J78,IF($B$4="ESP_DOOR TRIM",DATA_RASIC!AL78,IF($B$4="ESP_Partner_LEVEL_01",DATA_RASIC!AS78,"")))))))</f>
        <v>JLR</v>
      </c>
      <c r="L82" s="40" t="str">
        <f>IF($B$4="Assembly or Component Provider",DATA_RASIC!R78,IF($B$4="Consultancy Component Provider",DATA_RASIC!Y78,IF($B$4="Make to Print",DATA_RASIC!AF78,IF($B$4="Engineering Service Provider",DATA_RASIC!D78,IF($B$4="Full System Provider",DATA_RASIC!K78,IF($B$4="ESP_DOOR TRIM",DATA_RASIC!AM78,IF($B$4="ESP_Partner_LEVEL_01",DATA_RASIC!AT78,"")))))))</f>
        <v>SE</v>
      </c>
      <c r="M82" s="40" t="str">
        <f>IF($B$4="Assembly or Component Provider",DATA_RASIC!S78,IF($B$4="Consultancy Component Provider",DATA_RASIC!Z78,IF($B$4="Make to Print",DATA_RASIC!AG78,IF($B$4="Engineering Service Provider",DATA_RASIC!E78,IF($B$4="Full System Provider",DATA_RASIC!L78,IF($B$4="ESP_DOOR TRIM",DATA_RASIC!AN78,IF($B$4="ESP_Partner_LEVEL_01",DATA_RASIC!AU78,"")))))))</f>
        <v>JLR</v>
      </c>
      <c r="N82" s="40" t="str">
        <f>IF($B$4="Assembly or Component Provider",DATA_RASIC!T78,IF($B$4="Consultancy Component Provider",DATA_RASIC!AA78,IF($B$4="Make to Print",DATA_RASIC!AH78,IF($B$4="Engineering Service Provider",DATA_RASIC!F78,IF($B$4="Full System Provider",DATA_RASIC!M78,IF($B$4="ESP_DOOR TRIM",DATA_RASIC!AO78,IF($B$4="ESP_Partner_LEVEL_01",DATA_RASIC!AV78,"")))))))</f>
        <v>JLR</v>
      </c>
      <c r="O82" s="40" t="str">
        <f>IF($B$4="Assembly or Component Provider",DATA_RASIC!U78,IF($B$4="Consultancy Component Provider",DATA_RASIC!AB78,IF($B$4="Make to Print",DATA_RASIC!AI78,IF($B$4="Engineering Service Provider",DATA_RASIC!G78,IF($B$4="Full System Provider",DATA_RASIC!N78,IF($B$4="ESP_DOOR TRIM",DATA_RASIC!AP78,IF($B$4="ESP_Partner_LEVEL_01",DATA_RASIC!AW78,"")))))))</f>
        <v>-</v>
      </c>
      <c r="P82" s="40" t="str">
        <f>IF($B$4="Assembly or Component Provider",DATA_RASIC!V78,IF($B$4="Consultancy Component Provider",DATA_RASIC!AC78,IF($B$4="Make to Print",DATA_RASIC!AJ78,IF($B$4="Engineering Service Provider",DATA_RASIC!H78,IF($B$4="Full System Provider",DATA_RASIC!O78,IF($B$4="ESP_DOOR TRIM",DATA_RASIC!AQ78,IF($B$4="ESP_Partner_LEVEL_01",DATA_RASIC!AX78,"")))))))</f>
        <v>-</v>
      </c>
    </row>
    <row r="83" spans="1:16" ht="103.2" customHeight="1" x14ac:dyDescent="0.3">
      <c r="A83" s="80" t="str">
        <f>IF($B$4="Assembly or Component Provider",DATA_RASIC_DESC!A76,IF($B$4="Consultancy Component Provider",DATA_RASIC_DESC!A76,IF($B$4="Make to Print",DATA_RASIC_DESC!A76,IF($B$4="Engineering Service Provider",DATA_RASIC_DESC!A76,IF($B$4="Full System Provider",DATA_RASIC_DESC!A76,IF($B$4="ESP_DOOR TRIM",DATA_RASIC_DESC!D76,IF($B$4="ESP_Partner_LEVEL_01",DATA_RASIC_DESC!G76,"")))))))</f>
        <v>DE.27</v>
      </c>
      <c r="B83" s="432" t="str">
        <f>IF($B$4="Assembly or Component Provider",DATA_RASIC_DESC!B76,IF($B$4="Consultancy Component Provider",DATA_RASIC_DESC!B76,IF($B$4="Make to Print",DATA_RASIC_DESC!B76,IF($B$4="Engineering Service Provider",DATA_RASIC_DESC!B76,IF($B$4="Full System Provider",DATA_RASIC_DESC!B76,IF($B$4="ESP_DOOR TRIM",DATA_RASIC_DESC!E76,IF($B$4="ESP_Partner_LEVEL_01",DATA_RASIC_DESC!H76,"")))))))</f>
        <v>Service part, fastener, finish, lubricant and fluid commonality/complexity reduction within JLR assembly plants and dealer service applications</v>
      </c>
      <c r="C83" s="432"/>
      <c r="D83" s="432"/>
      <c r="E83" s="432"/>
      <c r="F83" s="432"/>
      <c r="G83" s="432"/>
      <c r="H83" s="432"/>
      <c r="I83" s="432"/>
      <c r="J83" s="432"/>
      <c r="K83" s="40" t="str">
        <f>IF($B$4="Assembly or Component Provider",DATA_RASIC!Q79,IF($B$4="Consultancy Component Provider",DATA_RASIC!X79,IF($B$4="Make to Print",DATA_RASIC!AE79,IF($B$4="Engineering Service Provider",DATA_RASIC!C79,IF($B$4="Full System Provider",DATA_RASIC!J79,IF($B$4="ESP_DOOR TRIM",DATA_RASIC!AL79,IF($B$4="ESP_Partner_LEVEL_01",DATA_RASIC!AS79,"")))))))</f>
        <v>JLR</v>
      </c>
      <c r="L83" s="40" t="str">
        <f>IF($B$4="Assembly or Component Provider",DATA_RASIC!R79,IF($B$4="Consultancy Component Provider",DATA_RASIC!Y79,IF($B$4="Make to Print",DATA_RASIC!AF79,IF($B$4="Engineering Service Provider",DATA_RASIC!D79,IF($B$4="Full System Provider",DATA_RASIC!K79,IF($B$4="ESP_DOOR TRIM",DATA_RASIC!AM79,IF($B$4="ESP_Partner_LEVEL_01",DATA_RASIC!AT79,"")))))))</f>
        <v>SE</v>
      </c>
      <c r="M83" s="40" t="str">
        <f>IF($B$4="Assembly or Component Provider",DATA_RASIC!S79,IF($B$4="Consultancy Component Provider",DATA_RASIC!Z79,IF($B$4="Make to Print",DATA_RASIC!AG79,IF($B$4="Engineering Service Provider",DATA_RASIC!E79,IF($B$4="Full System Provider",DATA_RASIC!L79,IF($B$4="ESP_DOOR TRIM",DATA_RASIC!AN79,IF($B$4="ESP_Partner_LEVEL_01",DATA_RASIC!AU79,"")))))))</f>
        <v>JLR</v>
      </c>
      <c r="N83" s="40" t="str">
        <f>IF($B$4="Assembly or Component Provider",DATA_RASIC!T79,IF($B$4="Consultancy Component Provider",DATA_RASIC!AA79,IF($B$4="Make to Print",DATA_RASIC!AH79,IF($B$4="Engineering Service Provider",DATA_RASIC!F79,IF($B$4="Full System Provider",DATA_RASIC!M79,IF($B$4="ESP_DOOR TRIM",DATA_RASIC!AO79,IF($B$4="ESP_Partner_LEVEL_01",DATA_RASIC!AV79,"")))))))</f>
        <v>JLR</v>
      </c>
      <c r="O83" s="40" t="str">
        <f>IF($B$4="Assembly or Component Provider",DATA_RASIC!U79,IF($B$4="Consultancy Component Provider",DATA_RASIC!AB79,IF($B$4="Make to Print",DATA_RASIC!AI79,IF($B$4="Engineering Service Provider",DATA_RASIC!G79,IF($B$4="Full System Provider",DATA_RASIC!N79,IF($B$4="ESP_DOOR TRIM",DATA_RASIC!AP79,IF($B$4="ESP_Partner_LEVEL_01",DATA_RASIC!AW79,"")))))))</f>
        <v>-</v>
      </c>
      <c r="P83" s="40" t="str">
        <f>IF($B$4="Assembly or Component Provider",DATA_RASIC!V79,IF($B$4="Consultancy Component Provider",DATA_RASIC!AC79,IF($B$4="Make to Print",DATA_RASIC!AJ79,IF($B$4="Engineering Service Provider",DATA_RASIC!H79,IF($B$4="Full System Provider",DATA_RASIC!O79,IF($B$4="ESP_DOOR TRIM",DATA_RASIC!AQ79,IF($B$4="ESP_Partner_LEVEL_01",DATA_RASIC!AX79,"")))))))</f>
        <v>-</v>
      </c>
    </row>
    <row r="84" spans="1:16" ht="77.400000000000006" customHeight="1" x14ac:dyDescent="0.3">
      <c r="A84" s="80" t="str">
        <f>IF($B$4="Assembly or Component Provider",DATA_RASIC_DESC!A77,IF($B$4="Consultancy Component Provider",DATA_RASIC_DESC!A77,IF($B$4="Make to Print",DATA_RASIC_DESC!A77,IF($B$4="Engineering Service Provider",DATA_RASIC_DESC!A77,IF($B$4="Full System Provider",DATA_RASIC_DESC!A77,IF($B$4="ESP_DOOR TRIM",DATA_RASIC_DESC!D77,IF($B$4="ESP_Partner_LEVEL_01",DATA_RASIC_DESC!G77,"")))))))</f>
        <v>DE.28</v>
      </c>
      <c r="B84" s="432" t="str">
        <f>IF($B$4="Assembly or Component Provider",DATA_RASIC_DESC!B77,IF($B$4="Consultancy Component Provider",DATA_RASIC_DESC!B77,IF($B$4="Make to Print",DATA_RASIC_DESC!B77,IF($B$4="Engineering Service Provider",DATA_RASIC_DESC!B77,IF($B$4="Full System Provider",DATA_RASIC_DESC!B77,IF($B$4="ESP_DOOR TRIM",DATA_RASIC_DESC!E77,IF($B$4="ESP_Partner_LEVEL_01",DATA_RASIC_DESC!H77,"")))))))</f>
        <v>Collaborate and provide product information/data to support service publication development (including adjacent "black box" systems/subsystems needed to support serviceability procedures)</v>
      </c>
      <c r="C84" s="432"/>
      <c r="D84" s="432"/>
      <c r="E84" s="432"/>
      <c r="F84" s="432"/>
      <c r="G84" s="432"/>
      <c r="H84" s="432"/>
      <c r="I84" s="432"/>
      <c r="J84" s="432"/>
      <c r="K84" s="40" t="str">
        <f>IF($B$4="Assembly or Component Provider",DATA_RASIC!Q80,IF($B$4="Consultancy Component Provider",DATA_RASIC!X80,IF($B$4="Make to Print",DATA_RASIC!AE80,IF($B$4="Engineering Service Provider",DATA_RASIC!C80,IF($B$4="Full System Provider",DATA_RASIC!J80,IF($B$4="ESP_DOOR TRIM",DATA_RASIC!AL80,IF($B$4="ESP_Partner_LEVEL_01",DATA_RASIC!AS80,"")))))))</f>
        <v>JLR</v>
      </c>
      <c r="L84" s="40" t="str">
        <f>IF($B$4="Assembly or Component Provider",DATA_RASIC!R80,IF($B$4="Consultancy Component Provider",DATA_RASIC!Y80,IF($B$4="Make to Print",DATA_RASIC!AF80,IF($B$4="Engineering Service Provider",DATA_RASIC!D80,IF($B$4="Full System Provider",DATA_RASIC!K80,IF($B$4="ESP_DOOR TRIM",DATA_RASIC!AM80,IF($B$4="ESP_Partner_LEVEL_01",DATA_RASIC!AT80,"")))))))</f>
        <v>SE</v>
      </c>
      <c r="M84" s="40" t="str">
        <f>IF($B$4="Assembly or Component Provider",DATA_RASIC!S80,IF($B$4="Consultancy Component Provider",DATA_RASIC!Z80,IF($B$4="Make to Print",DATA_RASIC!AG80,IF($B$4="Engineering Service Provider",DATA_RASIC!E80,IF($B$4="Full System Provider",DATA_RASIC!L80,IF($B$4="ESP_DOOR TRIM",DATA_RASIC!AN80,IF($B$4="ESP_Partner_LEVEL_01",DATA_RASIC!AU80,"")))))))</f>
        <v>JLR</v>
      </c>
      <c r="N84" s="40" t="str">
        <f>IF($B$4="Assembly or Component Provider",DATA_RASIC!T80,IF($B$4="Consultancy Component Provider",DATA_RASIC!AA80,IF($B$4="Make to Print",DATA_RASIC!AH80,IF($B$4="Engineering Service Provider",DATA_RASIC!F80,IF($B$4="Full System Provider",DATA_RASIC!M80,IF($B$4="ESP_DOOR TRIM",DATA_RASIC!AO80,IF($B$4="ESP_Partner_LEVEL_01",DATA_RASIC!AV80,"")))))))</f>
        <v>-</v>
      </c>
      <c r="O84" s="40" t="str">
        <f>IF($B$4="Assembly or Component Provider",DATA_RASIC!U80,IF($B$4="Consultancy Component Provider",DATA_RASIC!AB80,IF($B$4="Make to Print",DATA_RASIC!AI80,IF($B$4="Engineering Service Provider",DATA_RASIC!G80,IF($B$4="Full System Provider",DATA_RASIC!N80,IF($B$4="ESP_DOOR TRIM",DATA_RASIC!AP80,IF($B$4="ESP_Partner_LEVEL_01",DATA_RASIC!AW80,"")))))))</f>
        <v>-</v>
      </c>
      <c r="P84" s="40" t="str">
        <f>IF($B$4="Assembly or Component Provider",DATA_RASIC!V80,IF($B$4="Consultancy Component Provider",DATA_RASIC!AC80,IF($B$4="Make to Print",DATA_RASIC!AJ80,IF($B$4="Engineering Service Provider",DATA_RASIC!H80,IF($B$4="Full System Provider",DATA_RASIC!O80,IF($B$4="ESP_DOOR TRIM",DATA_RASIC!AQ80,IF($B$4="ESP_Partner_LEVEL_01",DATA_RASIC!AX80,"")))))))</f>
        <v>-</v>
      </c>
    </row>
    <row r="85" spans="1:16" ht="71.400000000000006" customHeight="1" x14ac:dyDescent="0.3">
      <c r="A85" s="80" t="str">
        <f>IF($B$4="Assembly or Component Provider",DATA_RASIC_DESC!A78,IF($B$4="Consultancy Component Provider",DATA_RASIC_DESC!A78,IF($B$4="Make to Print",DATA_RASIC_DESC!A78,IF($B$4="Engineering Service Provider",DATA_RASIC_DESC!A78,IF($B$4="Full System Provider",DATA_RASIC_DESC!A78,IF($B$4="ESP_DOOR TRIM",DATA_RASIC_DESC!D78,IF($B$4="ESP_Partner_LEVEL_01",DATA_RASIC_DESC!G78,"")))))))</f>
        <v>-</v>
      </c>
      <c r="B85" s="432" t="str">
        <f>IF($B$4="Assembly or Component Provider",DATA_RASIC_DESC!B78,IF($B$4="Consultancy Component Provider",DATA_RASIC_DESC!B78,IF($B$4="Make to Print",DATA_RASIC_DESC!B78,IF($B$4="Engineering Service Provider",DATA_RASIC_DESC!B78,IF($B$4="Full System Provider",DATA_RASIC_DESC!B78,IF($B$4="ESP_DOOR TRIM",DATA_RASIC_DESC!E78,IF($B$4="ESP_Partner_LEVEL_01",DATA_RASIC_DESC!H78,"")))))))</f>
        <v>Reserved</v>
      </c>
      <c r="C85" s="432"/>
      <c r="D85" s="432"/>
      <c r="E85" s="432"/>
      <c r="F85" s="432"/>
      <c r="G85" s="432"/>
      <c r="H85" s="432"/>
      <c r="I85" s="432"/>
      <c r="J85" s="432"/>
      <c r="K85" s="40" t="str">
        <f>IF($B$4="Assembly or Component Provider",DATA_RASIC!Q81,IF($B$4="Consultancy Component Provider",DATA_RASIC!X81,IF($B$4="Make to Print",DATA_RASIC!AE81,IF($B$4="Engineering Service Provider",DATA_RASIC!C81,IF($B$4="Full System Provider",DATA_RASIC!J81,IF($B$4="ESP_DOOR TRIM",DATA_RASIC!AL81,IF($B$4="ESP_Partner_LEVEL_01",DATA_RASIC!AS81,"")))))))</f>
        <v>N/A</v>
      </c>
      <c r="L85" s="40" t="str">
        <f>IF($B$4="Assembly or Component Provider",DATA_RASIC!R81,IF($B$4="Consultancy Component Provider",DATA_RASIC!Y81,IF($B$4="Make to Print",DATA_RASIC!AF81,IF($B$4="Engineering Service Provider",DATA_RASIC!D81,IF($B$4="Full System Provider",DATA_RASIC!K81,IF($B$4="ESP_DOOR TRIM",DATA_RASIC!AM81,IF($B$4="ESP_Partner_LEVEL_01",DATA_RASIC!AT81,"")))))))</f>
        <v>-</v>
      </c>
      <c r="M85" s="40" t="str">
        <f>IF($B$4="Assembly or Component Provider",DATA_RASIC!S81,IF($B$4="Consultancy Component Provider",DATA_RASIC!Z81,IF($B$4="Make to Print",DATA_RASIC!AG81,IF($B$4="Engineering Service Provider",DATA_RASIC!E81,IF($B$4="Full System Provider",DATA_RASIC!L81,IF($B$4="ESP_DOOR TRIM",DATA_RASIC!AN81,IF($B$4="ESP_Partner_LEVEL_01",DATA_RASIC!AU81,"")))))))</f>
        <v>-</v>
      </c>
      <c r="N85" s="40" t="str">
        <f>IF($B$4="Assembly or Component Provider",DATA_RASIC!T81,IF($B$4="Consultancy Component Provider",DATA_RASIC!AA81,IF($B$4="Make to Print",DATA_RASIC!AH81,IF($B$4="Engineering Service Provider",DATA_RASIC!F81,IF($B$4="Full System Provider",DATA_RASIC!M81,IF($B$4="ESP_DOOR TRIM",DATA_RASIC!AO81,IF($B$4="ESP_Partner_LEVEL_01",DATA_RASIC!AV81,"")))))))</f>
        <v>-</v>
      </c>
      <c r="O85" s="40" t="str">
        <f>IF($B$4="Assembly or Component Provider",DATA_RASIC!U81,IF($B$4="Consultancy Component Provider",DATA_RASIC!AB81,IF($B$4="Make to Print",DATA_RASIC!AI81,IF($B$4="Engineering Service Provider",DATA_RASIC!G81,IF($B$4="Full System Provider",DATA_RASIC!N81,IF($B$4="ESP_DOOR TRIM",DATA_RASIC!AP81,IF($B$4="ESP_Partner_LEVEL_01",DATA_RASIC!AW81,"")))))))</f>
        <v>-</v>
      </c>
      <c r="P85" s="40" t="str">
        <f>IF($B$4="Assembly or Component Provider",DATA_RASIC!V81,IF($B$4="Consultancy Component Provider",DATA_RASIC!AC81,IF($B$4="Make to Print",DATA_RASIC!AJ81,IF($B$4="Engineering Service Provider",DATA_RASIC!H81,IF($B$4="Full System Provider",DATA_RASIC!O81,IF($B$4="ESP_DOOR TRIM",DATA_RASIC!AQ81,IF($B$4="ESP_Partner_LEVEL_01",DATA_RASIC!AX81,"")))))))</f>
        <v>-</v>
      </c>
    </row>
    <row r="86" spans="1:16" ht="60.6" customHeight="1" x14ac:dyDescent="0.3">
      <c r="A86" s="80" t="str">
        <f>IF($B$4="Assembly or Component Provider",DATA_RASIC_DESC!A79,IF($B$4="Consultancy Component Provider",DATA_RASIC_DESC!A79,IF($B$4="Make to Print",DATA_RASIC_DESC!A79,IF($B$4="Engineering Service Provider",DATA_RASIC_DESC!A79,IF($B$4="Full System Provider",DATA_RASIC_DESC!A79,IF($B$4="ESP_DOOR TRIM",DATA_RASIC_DESC!D79,IF($B$4="ESP_Partner_LEVEL_01",DATA_RASIC_DESC!G79,"")))))))</f>
        <v>-</v>
      </c>
      <c r="B86" s="432" t="str">
        <f>IF($B$4="Assembly or Component Provider",DATA_RASIC_DESC!B79,IF($B$4="Consultancy Component Provider",DATA_RASIC_DESC!B79,IF($B$4="Make to Print",DATA_RASIC_DESC!B79,IF($B$4="Engineering Service Provider",DATA_RASIC_DESC!B79,IF($B$4="Full System Provider",DATA_RASIC_DESC!B79,IF($B$4="ESP_DOOR TRIM",DATA_RASIC_DESC!E79,IF($B$4="ESP_Partner_LEVEL_01",DATA_RASIC_DESC!H79,"")))))))</f>
        <v>Reserved</v>
      </c>
      <c r="C86" s="432"/>
      <c r="D86" s="432"/>
      <c r="E86" s="432"/>
      <c r="F86" s="432"/>
      <c r="G86" s="432"/>
      <c r="H86" s="432"/>
      <c r="I86" s="432"/>
      <c r="J86" s="432"/>
      <c r="K86" s="40" t="str">
        <f>IF($B$4="Assembly or Component Provider",DATA_RASIC!Q82,IF($B$4="Consultancy Component Provider",DATA_RASIC!X82,IF($B$4="Make to Print",DATA_RASIC!AE82,IF($B$4="Engineering Service Provider",DATA_RASIC!C82,IF($B$4="Full System Provider",DATA_RASIC!J82,IF($B$4="ESP_DOOR TRIM",DATA_RASIC!AL82,IF($B$4="ESP_Partner_LEVEL_01",DATA_RASIC!AS82,"")))))))</f>
        <v>N/A</v>
      </c>
      <c r="L86" s="40" t="str">
        <f>IF($B$4="Assembly or Component Provider",DATA_RASIC!R82,IF($B$4="Consultancy Component Provider",DATA_RASIC!Y82,IF($B$4="Make to Print",DATA_RASIC!AF82,IF($B$4="Engineering Service Provider",DATA_RASIC!D82,IF($B$4="Full System Provider",DATA_RASIC!K82,IF($B$4="ESP_DOOR TRIM",DATA_RASIC!AM82,IF($B$4="ESP_Partner_LEVEL_01",DATA_RASIC!AT82,"")))))))</f>
        <v>-</v>
      </c>
      <c r="M86" s="40" t="str">
        <f>IF($B$4="Assembly or Component Provider",DATA_RASIC!S82,IF($B$4="Consultancy Component Provider",DATA_RASIC!Z82,IF($B$4="Make to Print",DATA_RASIC!AG82,IF($B$4="Engineering Service Provider",DATA_RASIC!E82,IF($B$4="Full System Provider",DATA_RASIC!L82,IF($B$4="ESP_DOOR TRIM",DATA_RASIC!AN82,IF($B$4="ESP_Partner_LEVEL_01",DATA_RASIC!AU82,"")))))))</f>
        <v>-</v>
      </c>
      <c r="N86" s="40" t="str">
        <f>IF($B$4="Assembly or Component Provider",DATA_RASIC!T82,IF($B$4="Consultancy Component Provider",DATA_RASIC!AA82,IF($B$4="Make to Print",DATA_RASIC!AH82,IF($B$4="Engineering Service Provider",DATA_RASIC!F82,IF($B$4="Full System Provider",DATA_RASIC!M82,IF($B$4="ESP_DOOR TRIM",DATA_RASIC!AO82,IF($B$4="ESP_Partner_LEVEL_01",DATA_RASIC!AV82,"")))))))</f>
        <v>-</v>
      </c>
      <c r="O86" s="40" t="str">
        <f>IF($B$4="Assembly or Component Provider",DATA_RASIC!U82,IF($B$4="Consultancy Component Provider",DATA_RASIC!AB82,IF($B$4="Make to Print",DATA_RASIC!AI82,IF($B$4="Engineering Service Provider",DATA_RASIC!G82,IF($B$4="Full System Provider",DATA_RASIC!N82,IF($B$4="ESP_DOOR TRIM",DATA_RASIC!AP82,IF($B$4="ESP_Partner_LEVEL_01",DATA_RASIC!AW82,"")))))))</f>
        <v>-</v>
      </c>
      <c r="P86" s="40" t="str">
        <f>IF($B$4="Assembly or Component Provider",DATA_RASIC!V82,IF($B$4="Consultancy Component Provider",DATA_RASIC!AC82,IF($B$4="Make to Print",DATA_RASIC!AJ82,IF($B$4="Engineering Service Provider",DATA_RASIC!H82,IF($B$4="Full System Provider",DATA_RASIC!O82,IF($B$4="ESP_DOOR TRIM",DATA_RASIC!AQ82,IF($B$4="ESP_Partner_LEVEL_01",DATA_RASIC!AX82,"")))))))</f>
        <v>-</v>
      </c>
    </row>
    <row r="87" spans="1:16" ht="36" customHeight="1" x14ac:dyDescent="0.3">
      <c r="A87" s="80" t="str">
        <f>IF($B$4="Assembly or Component Provider",DATA_RASIC_DESC!A80,IF($B$4="Consultancy Component Provider",DATA_RASIC_DESC!A80,IF($B$4="Make to Print",DATA_RASIC_DESC!A80,IF($B$4="Engineering Service Provider",DATA_RASIC_DESC!A80,IF($B$4="Full System Provider",DATA_RASIC_DESC!A80,IF($B$4="ESP_DOOR TRIM",DATA_RASIC_DESC!D80,IF($B$4="ESP_Partner_LEVEL_01",DATA_RASIC_DESC!G80,"")))))))</f>
        <v>-</v>
      </c>
      <c r="B87" s="432" t="str">
        <f>IF($B$4="Assembly or Component Provider",DATA_RASIC_DESC!B80,IF($B$4="Consultancy Component Provider",DATA_RASIC_DESC!B80,IF($B$4="Make to Print",DATA_RASIC_DESC!B80,IF($B$4="Engineering Service Provider",DATA_RASIC_DESC!B80,IF($B$4="Full System Provider",DATA_RASIC_DESC!B80,IF($B$4="ESP_DOOR TRIM",DATA_RASIC_DESC!E80,IF($B$4="ESP_Partner_LEVEL_01",DATA_RASIC_DESC!H80,"")))))))</f>
        <v>Reserved</v>
      </c>
      <c r="C87" s="432"/>
      <c r="D87" s="432"/>
      <c r="E87" s="432"/>
      <c r="F87" s="432"/>
      <c r="G87" s="432"/>
      <c r="H87" s="432"/>
      <c r="I87" s="432"/>
      <c r="J87" s="432"/>
      <c r="K87" s="40" t="str">
        <f>IF($B$4="Assembly or Component Provider",DATA_RASIC!Q83,IF($B$4="Consultancy Component Provider",DATA_RASIC!X83,IF($B$4="Make to Print",DATA_RASIC!AE83,IF($B$4="Engineering Service Provider",DATA_RASIC!C83,IF($B$4="Full System Provider",DATA_RASIC!J83,IF($B$4="ESP_DOOR TRIM",DATA_RASIC!AL83,IF($B$4="ESP_Partner_LEVEL_01",DATA_RASIC!AS83,"")))))))</f>
        <v>N/A</v>
      </c>
      <c r="L87" s="40" t="str">
        <f>IF($B$4="Assembly or Component Provider",DATA_RASIC!R83,IF($B$4="Consultancy Component Provider",DATA_RASIC!Y83,IF($B$4="Make to Print",DATA_RASIC!AF83,IF($B$4="Engineering Service Provider",DATA_RASIC!D83,IF($B$4="Full System Provider",DATA_RASIC!K83,IF($B$4="ESP_DOOR TRIM",DATA_RASIC!AM83,IF($B$4="ESP_Partner_LEVEL_01",DATA_RASIC!AT83,"")))))))</f>
        <v>-</v>
      </c>
      <c r="M87" s="40" t="str">
        <f>IF($B$4="Assembly or Component Provider",DATA_RASIC!S83,IF($B$4="Consultancy Component Provider",DATA_RASIC!Z83,IF($B$4="Make to Print",DATA_RASIC!AG83,IF($B$4="Engineering Service Provider",DATA_RASIC!E83,IF($B$4="Full System Provider",DATA_RASIC!L83,IF($B$4="ESP_DOOR TRIM",DATA_RASIC!AN83,IF($B$4="ESP_Partner_LEVEL_01",DATA_RASIC!AU83,"")))))))</f>
        <v>-</v>
      </c>
      <c r="N87" s="40" t="str">
        <f>IF($B$4="Assembly or Component Provider",DATA_RASIC!T83,IF($B$4="Consultancy Component Provider",DATA_RASIC!AA83,IF($B$4="Make to Print",DATA_RASIC!AH83,IF($B$4="Engineering Service Provider",DATA_RASIC!F83,IF($B$4="Full System Provider",DATA_RASIC!M83,IF($B$4="ESP_DOOR TRIM",DATA_RASIC!AO83,IF($B$4="ESP_Partner_LEVEL_01",DATA_RASIC!AV83,"")))))))</f>
        <v>-</v>
      </c>
      <c r="O87" s="40" t="str">
        <f>IF($B$4="Assembly or Component Provider",DATA_RASIC!U83,IF($B$4="Consultancy Component Provider",DATA_RASIC!AB83,IF($B$4="Make to Print",DATA_RASIC!AI83,IF($B$4="Engineering Service Provider",DATA_RASIC!G83,IF($B$4="Full System Provider",DATA_RASIC!N83,IF($B$4="ESP_DOOR TRIM",DATA_RASIC!AP83,IF($B$4="ESP_Partner_LEVEL_01",DATA_RASIC!AW83,"")))))))</f>
        <v>-</v>
      </c>
      <c r="P87" s="40" t="str">
        <f>IF($B$4="Assembly or Component Provider",DATA_RASIC!V83,IF($B$4="Consultancy Component Provider",DATA_RASIC!AC83,IF($B$4="Make to Print",DATA_RASIC!AJ83,IF($B$4="Engineering Service Provider",DATA_RASIC!H83,IF($B$4="Full System Provider",DATA_RASIC!O83,IF($B$4="ESP_DOOR TRIM",DATA_RASIC!AQ83,IF($B$4="ESP_Partner_LEVEL_01",DATA_RASIC!AX83,"")))))))</f>
        <v>-</v>
      </c>
    </row>
    <row r="88" spans="1:16" ht="69.599999999999994" customHeight="1" x14ac:dyDescent="0.3">
      <c r="A88" s="80" t="str">
        <f>IF($B$4="Assembly or Component Provider",DATA_RASIC_DESC!A81,IF($B$4="Consultancy Component Provider",DATA_RASIC_DESC!A81,IF($B$4="Make to Print",DATA_RASIC_DESC!A81,IF($B$4="Engineering Service Provider",DATA_RASIC_DESC!A81,IF($B$4="Full System Provider",DATA_RASIC_DESC!A81,IF($B$4="ESP_DOOR TRIM",DATA_RASIC_DESC!D81,IF($B$4="ESP_Partner_LEVEL_01",DATA_RASIC_DESC!G81,"")))))))</f>
        <v>-</v>
      </c>
      <c r="B88" s="432" t="str">
        <f>IF($B$4="Assembly or Component Provider",DATA_RASIC_DESC!B81,IF($B$4="Consultancy Component Provider",DATA_RASIC_DESC!B81,IF($B$4="Make to Print",DATA_RASIC_DESC!B81,IF($B$4="Engineering Service Provider",DATA_RASIC_DESC!B81,IF($B$4="Full System Provider",DATA_RASIC_DESC!B81,IF($B$4="ESP_DOOR TRIM",DATA_RASIC_DESC!E81,IF($B$4="ESP_Partner_LEVEL_01",DATA_RASIC_DESC!H81,"")))))))</f>
        <v>Reserved</v>
      </c>
      <c r="C88" s="432"/>
      <c r="D88" s="432"/>
      <c r="E88" s="432"/>
      <c r="F88" s="432"/>
      <c r="G88" s="432"/>
      <c r="H88" s="432"/>
      <c r="I88" s="432"/>
      <c r="J88" s="432"/>
      <c r="K88" s="40" t="str">
        <f>IF($B$4="Assembly or Component Provider",DATA_RASIC!Q84,IF($B$4="Consultancy Component Provider",DATA_RASIC!X84,IF($B$4="Make to Print",DATA_RASIC!AE84,IF($B$4="Engineering Service Provider",DATA_RASIC!C84,IF($B$4="Full System Provider",DATA_RASIC!J84,IF($B$4="ESP_DOOR TRIM",DATA_RASIC!AL84,IF($B$4="ESP_Partner_LEVEL_01",DATA_RASIC!AS84,"")))))))</f>
        <v>N/A</v>
      </c>
      <c r="L88" s="40" t="str">
        <f>IF($B$4="Assembly or Component Provider",DATA_RASIC!R84,IF($B$4="Consultancy Component Provider",DATA_RASIC!Y84,IF($B$4="Make to Print",DATA_RASIC!AF84,IF($B$4="Engineering Service Provider",DATA_RASIC!D84,IF($B$4="Full System Provider",DATA_RASIC!K84,IF($B$4="ESP_DOOR TRIM",DATA_RASIC!AM84,IF($B$4="ESP_Partner_LEVEL_01",DATA_RASIC!AT84,"")))))))</f>
        <v>-</v>
      </c>
      <c r="M88" s="40" t="str">
        <f>IF($B$4="Assembly or Component Provider",DATA_RASIC!S84,IF($B$4="Consultancy Component Provider",DATA_RASIC!Z84,IF($B$4="Make to Print",DATA_RASIC!AG84,IF($B$4="Engineering Service Provider",DATA_RASIC!E84,IF($B$4="Full System Provider",DATA_RASIC!L84,IF($B$4="ESP_DOOR TRIM",DATA_RASIC!AN84,IF($B$4="ESP_Partner_LEVEL_01",DATA_RASIC!AU84,"")))))))</f>
        <v>-</v>
      </c>
      <c r="N88" s="40" t="str">
        <f>IF($B$4="Assembly or Component Provider",DATA_RASIC!T84,IF($B$4="Consultancy Component Provider",DATA_RASIC!AA84,IF($B$4="Make to Print",DATA_RASIC!AH84,IF($B$4="Engineering Service Provider",DATA_RASIC!F84,IF($B$4="Full System Provider",DATA_RASIC!M84,IF($B$4="ESP_DOOR TRIM",DATA_RASIC!AO84,IF($B$4="ESP_Partner_LEVEL_01",DATA_RASIC!AV84,"")))))))</f>
        <v>-</v>
      </c>
      <c r="O88" s="40" t="str">
        <f>IF($B$4="Assembly or Component Provider",DATA_RASIC!U84,IF($B$4="Consultancy Component Provider",DATA_RASIC!AB84,IF($B$4="Make to Print",DATA_RASIC!AI84,IF($B$4="Engineering Service Provider",DATA_RASIC!G84,IF($B$4="Full System Provider",DATA_RASIC!N84,IF($B$4="ESP_DOOR TRIM",DATA_RASIC!AP84,IF($B$4="ESP_Partner_LEVEL_01",DATA_RASIC!AW84,"")))))))</f>
        <v>-</v>
      </c>
      <c r="P88" s="40" t="str">
        <f>IF($B$4="Assembly or Component Provider",DATA_RASIC!V84,IF($B$4="Consultancy Component Provider",DATA_RASIC!AC84,IF($B$4="Make to Print",DATA_RASIC!AJ84,IF($B$4="Engineering Service Provider",DATA_RASIC!H84,IF($B$4="Full System Provider",DATA_RASIC!O84,IF($B$4="ESP_DOOR TRIM",DATA_RASIC!AQ84,IF($B$4="ESP_Partner_LEVEL_01",DATA_RASIC!AX84,"")))))))</f>
        <v>-</v>
      </c>
    </row>
    <row r="89" spans="1:16" ht="63" customHeight="1" x14ac:dyDescent="0.3">
      <c r="A89" s="80" t="str">
        <f>IF($B$4="Assembly or Component Provider",DATA_RASIC_DESC!A82,IF($B$4="Consultancy Component Provider",DATA_RASIC_DESC!A82,IF($B$4="Make to Print",DATA_RASIC_DESC!A82,IF($B$4="Engineering Service Provider",DATA_RASIC_DESC!A82,IF($B$4="Full System Provider",DATA_RASIC_DESC!A82,IF($B$4="ESP_DOOR TRIM",DATA_RASIC_DESC!D82,IF($B$4="ESP_Partner_LEVEL_01",DATA_RASIC_DESC!G82,"")))))))</f>
        <v>-</v>
      </c>
      <c r="B89" s="432" t="str">
        <f>IF($B$4="Assembly or Component Provider",DATA_RASIC_DESC!B82,IF($B$4="Consultancy Component Provider",DATA_RASIC_DESC!B82,IF($B$4="Make to Print",DATA_RASIC_DESC!B82,IF($B$4="Engineering Service Provider",DATA_RASIC_DESC!B82,IF($B$4="Full System Provider",DATA_RASIC_DESC!B82,IF($B$4="ESP_DOOR TRIM",DATA_RASIC_DESC!E82,IF($B$4="ESP_Partner_LEVEL_01",DATA_RASIC_DESC!H82,"")))))))</f>
        <v>Reserved</v>
      </c>
      <c r="C89" s="432"/>
      <c r="D89" s="432"/>
      <c r="E89" s="432"/>
      <c r="F89" s="432"/>
      <c r="G89" s="432"/>
      <c r="H89" s="432"/>
      <c r="I89" s="432"/>
      <c r="J89" s="432"/>
      <c r="K89" s="40" t="str">
        <f>IF($B$4="Assembly or Component Provider",DATA_RASIC!Q85,IF($B$4="Consultancy Component Provider",DATA_RASIC!X85,IF($B$4="Make to Print",DATA_RASIC!AE85,IF($B$4="Engineering Service Provider",DATA_RASIC!C85,IF($B$4="Full System Provider",DATA_RASIC!J85,IF($B$4="ESP_DOOR TRIM",DATA_RASIC!AL85,IF($B$4="ESP_Partner_LEVEL_01",DATA_RASIC!AS85,"")))))))</f>
        <v>N/A</v>
      </c>
      <c r="L89" s="40" t="str">
        <f>IF($B$4="Assembly or Component Provider",DATA_RASIC!R85,IF($B$4="Consultancy Component Provider",DATA_RASIC!Y85,IF($B$4="Make to Print",DATA_RASIC!AF85,IF($B$4="Engineering Service Provider",DATA_RASIC!D85,IF($B$4="Full System Provider",DATA_RASIC!K85,IF($B$4="ESP_DOOR TRIM",DATA_RASIC!AM85,IF($B$4="ESP_Partner_LEVEL_01",DATA_RASIC!AT85,"")))))))</f>
        <v>-</v>
      </c>
      <c r="M89" s="40" t="str">
        <f>IF($B$4="Assembly or Component Provider",DATA_RASIC!S85,IF($B$4="Consultancy Component Provider",DATA_RASIC!Z85,IF($B$4="Make to Print",DATA_RASIC!AG85,IF($B$4="Engineering Service Provider",DATA_RASIC!E85,IF($B$4="Full System Provider",DATA_RASIC!L85,IF($B$4="ESP_DOOR TRIM",DATA_RASIC!AN85,IF($B$4="ESP_Partner_LEVEL_01",DATA_RASIC!AU85,"")))))))</f>
        <v>-</v>
      </c>
      <c r="N89" s="40" t="str">
        <f>IF($B$4="Assembly or Component Provider",DATA_RASIC!T85,IF($B$4="Consultancy Component Provider",DATA_RASIC!AA85,IF($B$4="Make to Print",DATA_RASIC!AH85,IF($B$4="Engineering Service Provider",DATA_RASIC!F85,IF($B$4="Full System Provider",DATA_RASIC!M85,IF($B$4="ESP_DOOR TRIM",DATA_RASIC!AO85,IF($B$4="ESP_Partner_LEVEL_01",DATA_RASIC!AV85,"")))))))</f>
        <v>-</v>
      </c>
      <c r="O89" s="40" t="str">
        <f>IF($B$4="Assembly or Component Provider",DATA_RASIC!U85,IF($B$4="Consultancy Component Provider",DATA_RASIC!AB85,IF($B$4="Make to Print",DATA_RASIC!AI85,IF($B$4="Engineering Service Provider",DATA_RASIC!G85,IF($B$4="Full System Provider",DATA_RASIC!N85,IF($B$4="ESP_DOOR TRIM",DATA_RASIC!AP85,IF($B$4="ESP_Partner_LEVEL_01",DATA_RASIC!AW85,"")))))))</f>
        <v>-</v>
      </c>
      <c r="P89" s="40" t="str">
        <f>IF($B$4="Assembly or Component Provider",DATA_RASIC!V85,IF($B$4="Consultancy Component Provider",DATA_RASIC!AC85,IF($B$4="Make to Print",DATA_RASIC!AJ85,IF($B$4="Engineering Service Provider",DATA_RASIC!H85,IF($B$4="Full System Provider",DATA_RASIC!O85,IF($B$4="ESP_DOOR TRIM",DATA_RASIC!AQ85,IF($B$4="ESP_Partner_LEVEL_01",DATA_RASIC!AX85,"")))))))</f>
        <v>-</v>
      </c>
    </row>
    <row r="90" spans="1:16" ht="64.95" customHeight="1" x14ac:dyDescent="0.3">
      <c r="A90" s="80" t="str">
        <f>IF($B$4="Assembly or Component Provider",DATA_RASIC_DESC!A83,IF($B$4="Consultancy Component Provider",DATA_RASIC_DESC!A83,IF($B$4="Make to Print",DATA_RASIC_DESC!A83,IF($B$4="Engineering Service Provider",DATA_RASIC_DESC!A83,IF($B$4="Full System Provider",DATA_RASIC_DESC!A83,IF($B$4="ESP_DOOR TRIM",DATA_RASIC_DESC!D83,IF($B$4="ESP_Partner_LEVEL_01",DATA_RASIC_DESC!G83,"")))))))</f>
        <v>-</v>
      </c>
      <c r="B90" s="432" t="str">
        <f>IF($B$4="Assembly or Component Provider",DATA_RASIC_DESC!B83,IF($B$4="Consultancy Component Provider",DATA_RASIC_DESC!B83,IF($B$4="Make to Print",DATA_RASIC_DESC!B83,IF($B$4="Engineering Service Provider",DATA_RASIC_DESC!B83,IF($B$4="Full System Provider",DATA_RASIC_DESC!B83,IF($B$4="ESP_DOOR TRIM",DATA_RASIC_DESC!E83,IF($B$4="ESP_Partner_LEVEL_01",DATA_RASIC_DESC!H83,"")))))))</f>
        <v>Reserved</v>
      </c>
      <c r="C90" s="432"/>
      <c r="D90" s="432"/>
      <c r="E90" s="432"/>
      <c r="F90" s="432"/>
      <c r="G90" s="432"/>
      <c r="H90" s="432"/>
      <c r="I90" s="432"/>
      <c r="J90" s="432"/>
      <c r="K90" s="40" t="str">
        <f>IF($B$4="Assembly or Component Provider",DATA_RASIC!Q86,IF($B$4="Consultancy Component Provider",DATA_RASIC!X86,IF($B$4="Make to Print",DATA_RASIC!AE86,IF($B$4="Engineering Service Provider",DATA_RASIC!C86,IF($B$4="Full System Provider",DATA_RASIC!J86,IF($B$4="ESP_DOOR TRIM",DATA_RASIC!AL86,IF($B$4="ESP_Partner_LEVEL_01",DATA_RASIC!AS86,"")))))))</f>
        <v>N/A</v>
      </c>
      <c r="L90" s="40" t="str">
        <f>IF($B$4="Assembly or Component Provider",DATA_RASIC!R86,IF($B$4="Consultancy Component Provider",DATA_RASIC!Y86,IF($B$4="Make to Print",DATA_RASIC!AF86,IF($B$4="Engineering Service Provider",DATA_RASIC!D86,IF($B$4="Full System Provider",DATA_RASIC!K86,IF($B$4="ESP_DOOR TRIM",DATA_RASIC!AM86,IF($B$4="ESP_Partner_LEVEL_01",DATA_RASIC!AT86,"")))))))</f>
        <v>-</v>
      </c>
      <c r="M90" s="40" t="str">
        <f>IF($B$4="Assembly or Component Provider",DATA_RASIC!S86,IF($B$4="Consultancy Component Provider",DATA_RASIC!Z86,IF($B$4="Make to Print",DATA_RASIC!AG86,IF($B$4="Engineering Service Provider",DATA_RASIC!E86,IF($B$4="Full System Provider",DATA_RASIC!L86,IF($B$4="ESP_DOOR TRIM",DATA_RASIC!AN86,IF($B$4="ESP_Partner_LEVEL_01",DATA_RASIC!AU86,"")))))))</f>
        <v>-</v>
      </c>
      <c r="N90" s="40" t="str">
        <f>IF($B$4="Assembly or Component Provider",DATA_RASIC!T86,IF($B$4="Consultancy Component Provider",DATA_RASIC!AA86,IF($B$4="Make to Print",DATA_RASIC!AH86,IF($B$4="Engineering Service Provider",DATA_RASIC!F86,IF($B$4="Full System Provider",DATA_RASIC!M86,IF($B$4="ESP_DOOR TRIM",DATA_RASIC!AO86,IF($B$4="ESP_Partner_LEVEL_01",DATA_RASIC!AV86,"")))))))</f>
        <v>-</v>
      </c>
      <c r="O90" s="40" t="str">
        <f>IF($B$4="Assembly or Component Provider",DATA_RASIC!U86,IF($B$4="Consultancy Component Provider",DATA_RASIC!AB86,IF($B$4="Make to Print",DATA_RASIC!AI86,IF($B$4="Engineering Service Provider",DATA_RASIC!G86,IF($B$4="Full System Provider",DATA_RASIC!N86,IF($B$4="ESP_DOOR TRIM",DATA_RASIC!AP86,IF($B$4="ESP_Partner_LEVEL_01",DATA_RASIC!AW86,"")))))))</f>
        <v>-</v>
      </c>
      <c r="P90" s="40" t="str">
        <f>IF($B$4="Assembly or Component Provider",DATA_RASIC!V86,IF($B$4="Consultancy Component Provider",DATA_RASIC!AC86,IF($B$4="Make to Print",DATA_RASIC!AJ86,IF($B$4="Engineering Service Provider",DATA_RASIC!H86,IF($B$4="Full System Provider",DATA_RASIC!O86,IF($B$4="ESP_DOOR TRIM",DATA_RASIC!AQ86,IF($B$4="ESP_Partner_LEVEL_01",DATA_RASIC!AX86,"")))))))</f>
        <v>-</v>
      </c>
    </row>
    <row r="91" spans="1:16" ht="43.95" customHeight="1" x14ac:dyDescent="0.3">
      <c r="A91" s="80" t="str">
        <f>IF($B$4="Assembly or Component Provider",DATA_RASIC_DESC!A84,IF($B$4="Consultancy Component Provider",DATA_RASIC_DESC!A84,IF($B$4="Make to Print",DATA_RASIC_DESC!A84,IF($B$4="Engineering Service Provider",DATA_RASIC_DESC!A84,IF($B$4="Full System Provider",DATA_RASIC_DESC!A84,IF($B$4="ESP_DOOR TRIM",DATA_RASIC_DESC!D84,IF($B$4="ESP_Partner_LEVEL_01",DATA_RASIC_DESC!G84,"")))))))</f>
        <v>-</v>
      </c>
      <c r="B91" s="432" t="str">
        <f>IF($B$4="Assembly or Component Provider",DATA_RASIC_DESC!B84,IF($B$4="Consultancy Component Provider",DATA_RASIC_DESC!B84,IF($B$4="Make to Print",DATA_RASIC_DESC!B84,IF($B$4="Engineering Service Provider",DATA_RASIC_DESC!B84,IF($B$4="Full System Provider",DATA_RASIC_DESC!B84,IF($B$4="ESP_DOOR TRIM",DATA_RASIC_DESC!E84,IF($B$4="ESP_Partner_LEVEL_01",DATA_RASIC_DESC!H84,"")))))))</f>
        <v>Reserved</v>
      </c>
      <c r="C91" s="432"/>
      <c r="D91" s="432"/>
      <c r="E91" s="432"/>
      <c r="F91" s="432"/>
      <c r="G91" s="432"/>
      <c r="H91" s="432"/>
      <c r="I91" s="432"/>
      <c r="J91" s="432"/>
      <c r="K91" s="40" t="str">
        <f>IF($B$4="Assembly or Component Provider",DATA_RASIC!Q87,IF($B$4="Consultancy Component Provider",DATA_RASIC!X87,IF($B$4="Make to Print",DATA_RASIC!AE87,IF($B$4="Engineering Service Provider",DATA_RASIC!C87,IF($B$4="Full System Provider",DATA_RASIC!J87,IF($B$4="ESP_DOOR TRIM",DATA_RASIC!AL87,IF($B$4="ESP_Partner_LEVEL_01",DATA_RASIC!AS87,"")))))))</f>
        <v>N/A</v>
      </c>
      <c r="L91" s="40" t="str">
        <f>IF($B$4="Assembly or Component Provider",DATA_RASIC!R87,IF($B$4="Consultancy Component Provider",DATA_RASIC!Y87,IF($B$4="Make to Print",DATA_RASIC!AF87,IF($B$4="Engineering Service Provider",DATA_RASIC!D87,IF($B$4="Full System Provider",DATA_RASIC!K87,IF($B$4="ESP_DOOR TRIM",DATA_RASIC!AM87,IF($B$4="ESP_Partner_LEVEL_01",DATA_RASIC!AT87,"")))))))</f>
        <v>-</v>
      </c>
      <c r="M91" s="40" t="str">
        <f>IF($B$4="Assembly or Component Provider",DATA_RASIC!S87,IF($B$4="Consultancy Component Provider",DATA_RASIC!Z87,IF($B$4="Make to Print",DATA_RASIC!AG87,IF($B$4="Engineering Service Provider",DATA_RASIC!E87,IF($B$4="Full System Provider",DATA_RASIC!L87,IF($B$4="ESP_DOOR TRIM",DATA_RASIC!AN87,IF($B$4="ESP_Partner_LEVEL_01",DATA_RASIC!AU87,"")))))))</f>
        <v>-</v>
      </c>
      <c r="N91" s="40" t="str">
        <f>IF($B$4="Assembly or Component Provider",DATA_RASIC!T87,IF($B$4="Consultancy Component Provider",DATA_RASIC!AA87,IF($B$4="Make to Print",DATA_RASIC!AH87,IF($B$4="Engineering Service Provider",DATA_RASIC!F87,IF($B$4="Full System Provider",DATA_RASIC!M87,IF($B$4="ESP_DOOR TRIM",DATA_RASIC!AO87,IF($B$4="ESP_Partner_LEVEL_01",DATA_RASIC!AV87,"")))))))</f>
        <v>-</v>
      </c>
      <c r="O91" s="40" t="str">
        <f>IF($B$4="Assembly or Component Provider",DATA_RASIC!U87,IF($B$4="Consultancy Component Provider",DATA_RASIC!AB87,IF($B$4="Make to Print",DATA_RASIC!AI87,IF($B$4="Engineering Service Provider",DATA_RASIC!G87,IF($B$4="Full System Provider",DATA_RASIC!N87,IF($B$4="ESP_DOOR TRIM",DATA_RASIC!AP87,IF($B$4="ESP_Partner_LEVEL_01",DATA_RASIC!AW87,"")))))))</f>
        <v>-</v>
      </c>
      <c r="P91" s="40" t="str">
        <f>IF($B$4="Assembly or Component Provider",DATA_RASIC!V87,IF($B$4="Consultancy Component Provider",DATA_RASIC!AC87,IF($B$4="Make to Print",DATA_RASIC!AJ87,IF($B$4="Engineering Service Provider",DATA_RASIC!H87,IF($B$4="Full System Provider",DATA_RASIC!O87,IF($B$4="ESP_DOOR TRIM",DATA_RASIC!AQ87,IF($B$4="ESP_Partner_LEVEL_01",DATA_RASIC!AX87,"")))))))</f>
        <v>-</v>
      </c>
    </row>
    <row r="92" spans="1:16" ht="43.95" customHeight="1" x14ac:dyDescent="0.3">
      <c r="A92" s="80" t="str">
        <f>IF($B$4="Assembly or Component Provider",DATA_RASIC_DESC!A85,IF($B$4="Consultancy Component Provider",DATA_RASIC_DESC!A85,IF($B$4="Make to Print",DATA_RASIC_DESC!A85,IF($B$4="Engineering Service Provider",DATA_RASIC_DESC!A85,IF($B$4="Full System Provider",DATA_RASIC_DESC!A85,IF($B$4="ESP_DOOR TRIM",DATA_RASIC_DESC!D85,IF($B$4="ESP_Partner_LEVEL_01",DATA_RASIC_DESC!G85,"")))))))</f>
        <v>-</v>
      </c>
      <c r="B92" s="432" t="str">
        <f>IF($B$4="Assembly or Component Provider",DATA_RASIC_DESC!B85,IF($B$4="Consultancy Component Provider",DATA_RASIC_DESC!B85,IF($B$4="Make to Print",DATA_RASIC_DESC!B85,IF($B$4="Engineering Service Provider",DATA_RASIC_DESC!B85,IF($B$4="Full System Provider",DATA_RASIC_DESC!B85,IF($B$4="ESP_DOOR TRIM",DATA_RASIC_DESC!E85,IF($B$4="ESP_Partner_LEVEL_01",DATA_RASIC_DESC!H85,"")))))))</f>
        <v>Reserved</v>
      </c>
      <c r="C92" s="432"/>
      <c r="D92" s="432"/>
      <c r="E92" s="432"/>
      <c r="F92" s="432"/>
      <c r="G92" s="432"/>
      <c r="H92" s="432"/>
      <c r="I92" s="432"/>
      <c r="J92" s="432"/>
      <c r="K92" s="40" t="str">
        <f>IF($B$4="Assembly or Component Provider",DATA_RASIC!Q88,IF($B$4="Consultancy Component Provider",DATA_RASIC!X88,IF($B$4="Make to Print",DATA_RASIC!AE88,IF($B$4="Engineering Service Provider",DATA_RASIC!C88,IF($B$4="Full System Provider",DATA_RASIC!J88,IF($B$4="ESP_DOOR TRIM",DATA_RASIC!AL88,IF($B$4="ESP_Partner_LEVEL_01",DATA_RASIC!AS88,"")))))))</f>
        <v>N/A</v>
      </c>
      <c r="L92" s="40" t="str">
        <f>IF($B$4="Assembly or Component Provider",DATA_RASIC!R88,IF($B$4="Consultancy Component Provider",DATA_RASIC!Y88,IF($B$4="Make to Print",DATA_RASIC!AF88,IF($B$4="Engineering Service Provider",DATA_RASIC!D88,IF($B$4="Full System Provider",DATA_RASIC!K88,IF($B$4="ESP_DOOR TRIM",DATA_RASIC!AM88,IF($B$4="ESP_Partner_LEVEL_01",DATA_RASIC!AT88,"")))))))</f>
        <v>-</v>
      </c>
      <c r="M92" s="40" t="str">
        <f>IF($B$4="Assembly or Component Provider",DATA_RASIC!S88,IF($B$4="Consultancy Component Provider",DATA_RASIC!Z88,IF($B$4="Make to Print",DATA_RASIC!AG88,IF($B$4="Engineering Service Provider",DATA_RASIC!E88,IF($B$4="Full System Provider",DATA_RASIC!L88,IF($B$4="ESP_DOOR TRIM",DATA_RASIC!AN88,IF($B$4="ESP_Partner_LEVEL_01",DATA_RASIC!AU88,"")))))))</f>
        <v>-</v>
      </c>
      <c r="N92" s="40" t="str">
        <f>IF($B$4="Assembly or Component Provider",DATA_RASIC!T88,IF($B$4="Consultancy Component Provider",DATA_RASIC!AA88,IF($B$4="Make to Print",DATA_RASIC!AH88,IF($B$4="Engineering Service Provider",DATA_RASIC!F88,IF($B$4="Full System Provider",DATA_RASIC!M88,IF($B$4="ESP_DOOR TRIM",DATA_RASIC!AO88,IF($B$4="ESP_Partner_LEVEL_01",DATA_RASIC!AV88,"")))))))</f>
        <v>-</v>
      </c>
      <c r="O92" s="40" t="str">
        <f>IF($B$4="Assembly or Component Provider",DATA_RASIC!U88,IF($B$4="Consultancy Component Provider",DATA_RASIC!AB88,IF($B$4="Make to Print",DATA_RASIC!AI88,IF($B$4="Engineering Service Provider",DATA_RASIC!G88,IF($B$4="Full System Provider",DATA_RASIC!N88,IF($B$4="ESP_DOOR TRIM",DATA_RASIC!AP88,IF($B$4="ESP_Partner_LEVEL_01",DATA_RASIC!AW88,"")))))))</f>
        <v>-</v>
      </c>
      <c r="P92" s="40" t="str">
        <f>IF($B$4="Assembly or Component Provider",DATA_RASIC!V88,IF($B$4="Consultancy Component Provider",DATA_RASIC!AC88,IF($B$4="Make to Print",DATA_RASIC!AJ88,IF($B$4="Engineering Service Provider",DATA_RASIC!H88,IF($B$4="Full System Provider",DATA_RASIC!O88,IF($B$4="ESP_DOOR TRIM",DATA_RASIC!AQ88,IF($B$4="ESP_Partner_LEVEL_01",DATA_RASIC!AX88,"")))))))</f>
        <v>-</v>
      </c>
    </row>
    <row r="93" spans="1:16" ht="43.95" customHeight="1" x14ac:dyDescent="0.3">
      <c r="A93" s="80" t="str">
        <f>IF($B$4="Assembly or Component Provider",DATA_RASIC_DESC!A86,IF($B$4="Consultancy Component Provider",DATA_RASIC_DESC!A86,IF($B$4="Make to Print",DATA_RASIC_DESC!A86,IF($B$4="Engineering Service Provider",DATA_RASIC_DESC!A86,IF($B$4="Full System Provider",DATA_RASIC_DESC!A86,IF($B$4="ESP_DOOR TRIM",DATA_RASIC_DESC!D86,IF($B$4="ESP_Partner_LEVEL_01",DATA_RASIC_DESC!G86,"")))))))</f>
        <v>-</v>
      </c>
      <c r="B93" s="432" t="str">
        <f>IF($B$4="Assembly or Component Provider",DATA_RASIC_DESC!B86,IF($B$4="Consultancy Component Provider",DATA_RASIC_DESC!B86,IF($B$4="Make to Print",DATA_RASIC_DESC!B86,IF($B$4="Engineering Service Provider",DATA_RASIC_DESC!B86,IF($B$4="Full System Provider",DATA_RASIC_DESC!B86,IF($B$4="ESP_DOOR TRIM",DATA_RASIC_DESC!E86,IF($B$4="ESP_Partner_LEVEL_01",DATA_RASIC_DESC!H86,"")))))))</f>
        <v>Reserved</v>
      </c>
      <c r="C93" s="432"/>
      <c r="D93" s="432"/>
      <c r="E93" s="432"/>
      <c r="F93" s="432"/>
      <c r="G93" s="432"/>
      <c r="H93" s="432"/>
      <c r="I93" s="432"/>
      <c r="J93" s="432"/>
      <c r="K93" s="40" t="str">
        <f>IF($B$4="Assembly or Component Provider",DATA_RASIC!Q89,IF($B$4="Consultancy Component Provider",DATA_RASIC!X89,IF($B$4="Make to Print",DATA_RASIC!AE89,IF($B$4="Engineering Service Provider",DATA_RASIC!C89,IF($B$4="Full System Provider",DATA_RASIC!J89,IF($B$4="ESP_DOOR TRIM",DATA_RASIC!AL89,IF($B$4="ESP_Partner_LEVEL_01",DATA_RASIC!AS89,"")))))))</f>
        <v>N/A</v>
      </c>
      <c r="L93" s="40" t="str">
        <f>IF($B$4="Assembly or Component Provider",DATA_RASIC!R89,IF($B$4="Consultancy Component Provider",DATA_RASIC!Y89,IF($B$4="Make to Print",DATA_RASIC!AF89,IF($B$4="Engineering Service Provider",DATA_RASIC!D89,IF($B$4="Full System Provider",DATA_RASIC!K89,IF($B$4="ESP_DOOR TRIM",DATA_RASIC!AM89,IF($B$4="ESP_Partner_LEVEL_01",DATA_RASIC!AT89,"")))))))</f>
        <v>-</v>
      </c>
      <c r="M93" s="40" t="str">
        <f>IF($B$4="Assembly or Component Provider",DATA_RASIC!S89,IF($B$4="Consultancy Component Provider",DATA_RASIC!Z89,IF($B$4="Make to Print",DATA_RASIC!AG89,IF($B$4="Engineering Service Provider",DATA_RASIC!E89,IF($B$4="Full System Provider",DATA_RASIC!L89,IF($B$4="ESP_DOOR TRIM",DATA_RASIC!AN89,IF($B$4="ESP_Partner_LEVEL_01",DATA_RASIC!AU89,"")))))))</f>
        <v>-</v>
      </c>
      <c r="N93" s="40" t="str">
        <f>IF($B$4="Assembly or Component Provider",DATA_RASIC!T89,IF($B$4="Consultancy Component Provider",DATA_RASIC!AA89,IF($B$4="Make to Print",DATA_RASIC!AH89,IF($B$4="Engineering Service Provider",DATA_RASIC!F89,IF($B$4="Full System Provider",DATA_RASIC!M89,IF($B$4="ESP_DOOR TRIM",DATA_RASIC!AO89,IF($B$4="ESP_Partner_LEVEL_01",DATA_RASIC!AV89,"")))))))</f>
        <v>-</v>
      </c>
      <c r="O93" s="40" t="str">
        <f>IF($B$4="Assembly or Component Provider",DATA_RASIC!U89,IF($B$4="Consultancy Component Provider",DATA_RASIC!AB89,IF($B$4="Make to Print",DATA_RASIC!AI89,IF($B$4="Engineering Service Provider",DATA_RASIC!G89,IF($B$4="Full System Provider",DATA_RASIC!N89,IF($B$4="ESP_DOOR TRIM",DATA_RASIC!AP89,IF($B$4="ESP_Partner_LEVEL_01",DATA_RASIC!AW89,"")))))))</f>
        <v>-</v>
      </c>
      <c r="P93" s="40" t="str">
        <f>IF($B$4="Assembly or Component Provider",DATA_RASIC!V89,IF($B$4="Consultancy Component Provider",DATA_RASIC!AC89,IF($B$4="Make to Print",DATA_RASIC!AJ89,IF($B$4="Engineering Service Provider",DATA_RASIC!H89,IF($B$4="Full System Provider",DATA_RASIC!O89,IF($B$4="ESP_DOOR TRIM",DATA_RASIC!AQ89,IF($B$4="ESP_Partner_LEVEL_01",DATA_RASIC!AX89,"")))))))</f>
        <v>-</v>
      </c>
    </row>
    <row r="94" spans="1:16" ht="43.95" customHeight="1" x14ac:dyDescent="0.3">
      <c r="A94" s="80" t="str">
        <f>IF($B$4="Assembly or Component Provider",DATA_RASIC_DESC!A87,IF($B$4="Consultancy Component Provider",DATA_RASIC_DESC!A87,IF($B$4="Make to Print",DATA_RASIC_DESC!A87,IF($B$4="Engineering Service Provider",DATA_RASIC_DESC!A87,IF($B$4="Full System Provider",DATA_RASIC_DESC!A87,IF($B$4="ESP_DOOR TRIM",DATA_RASIC_DESC!D87,IF($B$4="ESP_Partner_LEVEL_01",DATA_RASIC_DESC!G87,"")))))))</f>
        <v>-</v>
      </c>
      <c r="B94" s="432" t="str">
        <f>IF($B$4="Assembly or Component Provider",DATA_RASIC_DESC!B87,IF($B$4="Consultancy Component Provider",DATA_RASIC_DESC!B87,IF($B$4="Make to Print",DATA_RASIC_DESC!B87,IF($B$4="Engineering Service Provider",DATA_RASIC_DESC!B87,IF($B$4="Full System Provider",DATA_RASIC_DESC!B87,IF($B$4="ESP_DOOR TRIM",DATA_RASIC_DESC!E87,IF($B$4="ESP_Partner_LEVEL_01",DATA_RASIC_DESC!H87,"")))))))</f>
        <v>Reserved</v>
      </c>
      <c r="C94" s="432"/>
      <c r="D94" s="432"/>
      <c r="E94" s="432"/>
      <c r="F94" s="432"/>
      <c r="G94" s="432"/>
      <c r="H94" s="432"/>
      <c r="I94" s="432"/>
      <c r="J94" s="432"/>
      <c r="K94" s="40" t="str">
        <f>IF($B$4="Assembly or Component Provider",DATA_RASIC!Q90,IF($B$4="Consultancy Component Provider",DATA_RASIC!X90,IF($B$4="Make to Print",DATA_RASIC!AE90,IF($B$4="Engineering Service Provider",DATA_RASIC!C90,IF($B$4="Full System Provider",DATA_RASIC!J90,IF($B$4="ESP_DOOR TRIM",DATA_RASIC!AL90,IF($B$4="ESP_Partner_LEVEL_01",DATA_RASIC!AS90,"")))))))</f>
        <v>N/A</v>
      </c>
      <c r="L94" s="40" t="str">
        <f>IF($B$4="Assembly or Component Provider",DATA_RASIC!R90,IF($B$4="Consultancy Component Provider",DATA_RASIC!Y90,IF($B$4="Make to Print",DATA_RASIC!AF90,IF($B$4="Engineering Service Provider",DATA_RASIC!D90,IF($B$4="Full System Provider",DATA_RASIC!K90,IF($B$4="ESP_DOOR TRIM",DATA_RASIC!AM90,IF($B$4="ESP_Partner_LEVEL_01",DATA_RASIC!AT90,"")))))))</f>
        <v>-</v>
      </c>
      <c r="M94" s="40" t="str">
        <f>IF($B$4="Assembly or Component Provider",DATA_RASIC!S90,IF($B$4="Consultancy Component Provider",DATA_RASIC!Z90,IF($B$4="Make to Print",DATA_RASIC!AG90,IF($B$4="Engineering Service Provider",DATA_RASIC!E90,IF($B$4="Full System Provider",DATA_RASIC!L90,IF($B$4="ESP_DOOR TRIM",DATA_RASIC!AN90,IF($B$4="ESP_Partner_LEVEL_01",DATA_RASIC!AU90,"")))))))</f>
        <v>-</v>
      </c>
      <c r="N94" s="40" t="str">
        <f>IF($B$4="Assembly or Component Provider",DATA_RASIC!T90,IF($B$4="Consultancy Component Provider",DATA_RASIC!AA90,IF($B$4="Make to Print",DATA_RASIC!AH90,IF($B$4="Engineering Service Provider",DATA_RASIC!F90,IF($B$4="Full System Provider",DATA_RASIC!M90,IF($B$4="ESP_DOOR TRIM",DATA_RASIC!AO90,IF($B$4="ESP_Partner_LEVEL_01",DATA_RASIC!AV90,"")))))))</f>
        <v>-</v>
      </c>
      <c r="O94" s="40" t="str">
        <f>IF($B$4="Assembly or Component Provider",DATA_RASIC!U90,IF($B$4="Consultancy Component Provider",DATA_RASIC!AB90,IF($B$4="Make to Print",DATA_RASIC!AI90,IF($B$4="Engineering Service Provider",DATA_RASIC!G90,IF($B$4="Full System Provider",DATA_RASIC!N90,IF($B$4="ESP_DOOR TRIM",DATA_RASIC!AP90,IF($B$4="ESP_Partner_LEVEL_01",DATA_RASIC!AW90,"")))))))</f>
        <v>-</v>
      </c>
      <c r="P94" s="40" t="str">
        <f>IF($B$4="Assembly or Component Provider",DATA_RASIC!V90,IF($B$4="Consultancy Component Provider",DATA_RASIC!AC90,IF($B$4="Make to Print",DATA_RASIC!AJ90,IF($B$4="Engineering Service Provider",DATA_RASIC!H90,IF($B$4="Full System Provider",DATA_RASIC!O90,IF($B$4="ESP_DOOR TRIM",DATA_RASIC!AQ90,IF($B$4="ESP_Partner_LEVEL_01",DATA_RASIC!AX90,"")))))))</f>
        <v>-</v>
      </c>
    </row>
    <row r="95" spans="1:16" ht="43.95" customHeight="1" x14ac:dyDescent="0.3">
      <c r="A95" s="80" t="str">
        <f>IF($B$4="Assembly or Component Provider",DATA_RASIC_DESC!A88,IF($B$4="Consultancy Component Provider",DATA_RASIC_DESC!A88,IF($B$4="Make to Print",DATA_RASIC_DESC!A88,IF($B$4="Engineering Service Provider",DATA_RASIC_DESC!A88,IF($B$4="Full System Provider",DATA_RASIC_DESC!A88,IF($B$4="ESP_DOOR TRIM",DATA_RASIC_DESC!D88,IF($B$4="ESP_Partner_LEVEL_01",DATA_RASIC_DESC!G88,"")))))))</f>
        <v>-</v>
      </c>
      <c r="B95" s="432" t="str">
        <f>IF($B$4="Assembly or Component Provider",DATA_RASIC_DESC!B88,IF($B$4="Consultancy Component Provider",DATA_RASIC_DESC!B88,IF($B$4="Make to Print",DATA_RASIC_DESC!B88,IF($B$4="Engineering Service Provider",DATA_RASIC_DESC!B88,IF($B$4="Full System Provider",DATA_RASIC_DESC!B88,IF($B$4="ESP_DOOR TRIM",DATA_RASIC_DESC!E88,IF($B$4="ESP_Partner_LEVEL_01",DATA_RASIC_DESC!H88,"")))))))</f>
        <v>Reserved</v>
      </c>
      <c r="C95" s="432"/>
      <c r="D95" s="432"/>
      <c r="E95" s="432"/>
      <c r="F95" s="432"/>
      <c r="G95" s="432"/>
      <c r="H95" s="432"/>
      <c r="I95" s="432"/>
      <c r="J95" s="432"/>
      <c r="K95" s="40" t="str">
        <f>IF($B$4="Assembly or Component Provider",DATA_RASIC!Q91,IF($B$4="Consultancy Component Provider",DATA_RASIC!X91,IF($B$4="Make to Print",DATA_RASIC!AE91,IF($B$4="Engineering Service Provider",DATA_RASIC!C91,IF($B$4="Full System Provider",DATA_RASIC!J91,IF($B$4="ESP_DOOR TRIM",DATA_RASIC!AL91,IF($B$4="ESP_Partner_LEVEL_01",DATA_RASIC!AS91,"")))))))</f>
        <v>N/A</v>
      </c>
      <c r="L95" s="40" t="str">
        <f>IF($B$4="Assembly or Component Provider",DATA_RASIC!R91,IF($B$4="Consultancy Component Provider",DATA_RASIC!Y91,IF($B$4="Make to Print",DATA_RASIC!AF91,IF($B$4="Engineering Service Provider",DATA_RASIC!D91,IF($B$4="Full System Provider",DATA_RASIC!K91,IF($B$4="ESP_DOOR TRIM",DATA_RASIC!AM91,IF($B$4="ESP_Partner_LEVEL_01",DATA_RASIC!AT91,"")))))))</f>
        <v>-</v>
      </c>
      <c r="M95" s="40" t="str">
        <f>IF($B$4="Assembly or Component Provider",DATA_RASIC!S91,IF($B$4="Consultancy Component Provider",DATA_RASIC!Z91,IF($B$4="Make to Print",DATA_RASIC!AG91,IF($B$4="Engineering Service Provider",DATA_RASIC!E91,IF($B$4="Full System Provider",DATA_RASIC!L91,IF($B$4="ESP_DOOR TRIM",DATA_RASIC!AN91,IF($B$4="ESP_Partner_LEVEL_01",DATA_RASIC!AU91,"")))))))</f>
        <v>-</v>
      </c>
      <c r="N95" s="40" t="str">
        <f>IF($B$4="Assembly or Component Provider",DATA_RASIC!T91,IF($B$4="Consultancy Component Provider",DATA_RASIC!AA91,IF($B$4="Make to Print",DATA_RASIC!AH91,IF($B$4="Engineering Service Provider",DATA_RASIC!F91,IF($B$4="Full System Provider",DATA_RASIC!M91,IF($B$4="ESP_DOOR TRIM",DATA_RASIC!AO91,IF($B$4="ESP_Partner_LEVEL_01",DATA_RASIC!AV91,"")))))))</f>
        <v>-</v>
      </c>
      <c r="O95" s="40" t="str">
        <f>IF($B$4="Assembly or Component Provider",DATA_RASIC!U91,IF($B$4="Consultancy Component Provider",DATA_RASIC!AB91,IF($B$4="Make to Print",DATA_RASIC!AI91,IF($B$4="Engineering Service Provider",DATA_RASIC!G91,IF($B$4="Full System Provider",DATA_RASIC!N91,IF($B$4="ESP_DOOR TRIM",DATA_RASIC!AP91,IF($B$4="ESP_Partner_LEVEL_01",DATA_RASIC!AW91,"")))))))</f>
        <v>-</v>
      </c>
      <c r="P95" s="40" t="str">
        <f>IF($B$4="Assembly or Component Provider",DATA_RASIC!V91,IF($B$4="Consultancy Component Provider",DATA_RASIC!AC91,IF($B$4="Make to Print",DATA_RASIC!AJ91,IF($B$4="Engineering Service Provider",DATA_RASIC!H91,IF($B$4="Full System Provider",DATA_RASIC!O91,IF($B$4="ESP_DOOR TRIM",DATA_RASIC!AQ91,IF($B$4="ESP_Partner_LEVEL_01",DATA_RASIC!AX91,"")))))))</f>
        <v>-</v>
      </c>
    </row>
    <row r="96" spans="1:16" ht="18" customHeight="1" x14ac:dyDescent="0.3">
      <c r="A96" s="602" t="s">
        <v>994</v>
      </c>
      <c r="B96" s="602"/>
      <c r="C96" s="602"/>
      <c r="D96" s="602"/>
      <c r="E96" s="602"/>
      <c r="F96" s="602"/>
      <c r="G96" s="602"/>
      <c r="H96" s="602"/>
      <c r="I96" s="602"/>
      <c r="J96" s="602"/>
      <c r="K96" s="603" t="s">
        <v>982</v>
      </c>
      <c r="L96" s="457"/>
      <c r="M96" s="457"/>
      <c r="N96" s="457"/>
      <c r="O96" s="604" t="s">
        <v>424</v>
      </c>
      <c r="P96" s="457"/>
    </row>
    <row r="97" spans="1:16" ht="18" customHeight="1" x14ac:dyDescent="0.3">
      <c r="A97" s="39" t="s">
        <v>983</v>
      </c>
      <c r="B97" s="588" t="s">
        <v>984</v>
      </c>
      <c r="C97" s="588"/>
      <c r="D97" s="588"/>
      <c r="E97" s="588"/>
      <c r="F97" s="588"/>
      <c r="G97" s="588"/>
      <c r="H97" s="588"/>
      <c r="I97" s="588"/>
      <c r="J97" s="588"/>
      <c r="K97" s="39" t="s">
        <v>985</v>
      </c>
      <c r="L97" s="39" t="s">
        <v>986</v>
      </c>
      <c r="M97" s="39" t="s">
        <v>987</v>
      </c>
      <c r="N97" s="39" t="s">
        <v>988</v>
      </c>
      <c r="O97" s="39" t="s">
        <v>989</v>
      </c>
      <c r="P97" s="39" t="s">
        <v>990</v>
      </c>
    </row>
    <row r="98" spans="1:16" ht="34.950000000000003" customHeight="1" x14ac:dyDescent="0.3">
      <c r="A98" s="80" t="str">
        <f>IF($B$4="Assembly or Component Provider",DATA_RASIC_DESC!A91,IF($B$4="Consultancy Component Provider",DATA_RASIC_DESC!A91,IF($B$4="Make to Print",DATA_RASIC_DESC!A91,IF($B$4="Engineering Service Provider",DATA_RASIC_DESC!A91,IF($B$4="Full System Provider",DATA_RASIC_DESC!A91,IF($B$4="ESP_DOOR TRIM",DATA_RASIC_DESC!D91,IF($B$4="ESP_Partner_LEVEL_01",DATA_RASIC_DESC!G91,"")))))))</f>
        <v>TEST.1</v>
      </c>
      <c r="B98" s="432" t="str">
        <f>IF($B$4="Assembly or Component Provider",DATA_RASIC_DESC!B91,IF($B$4="Consultancy Component Provider",DATA_RASIC_DESC!B91,IF($B$4="Make to Print",DATA_RASIC_DESC!B91,IF($B$4="Engineering Service Provider",DATA_RASIC_DESC!B91,IF($B$4="Full System Provider",DATA_RASIC_DESC!B91,IF($B$4="ESP_DOOR TRIM",DATA_RASIC_DESC!E91,IF($B$4="ESP_Partner_LEVEL_01",DATA_RASIC_DESC!H91,"")))))))</f>
        <v>Governmental Regulatory/Homologation vehicle-level testing, including non-Vehicle regulatory requirements (e.g. RF licences)</v>
      </c>
      <c r="C98" s="432"/>
      <c r="D98" s="432"/>
      <c r="E98" s="432"/>
      <c r="F98" s="432"/>
      <c r="G98" s="432"/>
      <c r="H98" s="432"/>
      <c r="I98" s="432"/>
      <c r="J98" s="432"/>
      <c r="K98" s="40" t="str">
        <f>IF($B$4="Assembly or Component Provider",DATA_RASIC!Q95,IF($B$4="Consultancy Component Provider",DATA_RASIC!X95,IF($B$4="Make to Print",DATA_RASIC!AE95,IF($B$4="Engineering Service Provider",DATA_RASIC!C95,IF($B$4="Full System Provider",DATA_RASIC!J95,IF($B$4="ESP_DOOR TRIM",DATA_RASIC!AL95,IF($B$4="ESP_Partner_LEVEL_01",DATA_RASIC!AS95,"")))))))</f>
        <v>JLR</v>
      </c>
      <c r="L98" s="40" t="str">
        <f>IF($B$4="Assembly or Component Provider",DATA_RASIC!R95,IF($B$4="Consultancy Component Provider",DATA_RASIC!Y95,IF($B$4="Make to Print",DATA_RASIC!AF95,IF($B$4="Engineering Service Provider",DATA_RASIC!D95,IF($B$4="Full System Provider",DATA_RASIC!K95,IF($B$4="ESP_DOOR TRIM",DATA_RASIC!AM95,IF($B$4="ESP_Partner_LEVEL_01",DATA_RASIC!AT95,"")))))))</f>
        <v>JLR</v>
      </c>
      <c r="M98" s="40" t="str">
        <f>IF($B$4="Assembly or Component Provider",DATA_RASIC!S95,IF($B$4="Consultancy Component Provider",DATA_RASIC!Z95,IF($B$4="Make to Print",DATA_RASIC!AG95,IF($B$4="Engineering Service Provider",DATA_RASIC!E95,IF($B$4="Full System Provider",DATA_RASIC!L95,IF($B$4="ESP_DOOR TRIM",DATA_RASIC!AN95,IF($B$4="ESP_Partner_LEVEL_01",DATA_RASIC!AU95,"")))))))</f>
        <v>JLR</v>
      </c>
      <c r="N98" s="40" t="str">
        <f>IF($B$4="Assembly or Component Provider",DATA_RASIC!T95,IF($B$4="Consultancy Component Provider",DATA_RASIC!AA95,IF($B$4="Make to Print",DATA_RASIC!AH95,IF($B$4="Engineering Service Provider",DATA_RASIC!F95,IF($B$4="Full System Provider",DATA_RASIC!M95,IF($B$4="ESP_DOOR TRIM",DATA_RASIC!AO95,IF($B$4="ESP_Partner_LEVEL_01",DATA_RASIC!AV95,"")))))))</f>
        <v>-</v>
      </c>
      <c r="O98" s="40" t="str">
        <f>IF($B$4="Assembly or Component Provider",DATA_RASIC!U95,IF($B$4="Consultancy Component Provider",DATA_RASIC!AB95,IF($B$4="Make to Print",DATA_RASIC!AI95,IF($B$4="Engineering Service Provider",DATA_RASIC!G95,IF($B$4="Full System Provider",DATA_RASIC!N95,IF($B$4="ESP_DOOR TRIM",DATA_RASIC!AP95,IF($B$4="ESP_Partner_LEVEL_01",DATA_RASIC!AW95,"")))))))</f>
        <v>-</v>
      </c>
      <c r="P98" s="40" t="str">
        <f>IF($B$4="Assembly or Component Provider",DATA_RASIC!V95,IF($B$4="Consultancy Component Provider",DATA_RASIC!AC95,IF($B$4="Make to Print",DATA_RASIC!AJ95,IF($B$4="Engineering Service Provider",DATA_RASIC!H95,IF($B$4="Full System Provider",DATA_RASIC!O95,IF($B$4="ESP_DOOR TRIM",DATA_RASIC!AQ95,IF($B$4="ESP_Partner_LEVEL_01",DATA_RASIC!AX95,"")))))))</f>
        <v>SE</v>
      </c>
    </row>
    <row r="99" spans="1:16" ht="34.950000000000003" customHeight="1" x14ac:dyDescent="0.3">
      <c r="A99" s="80" t="str">
        <f>IF($B$4="Assembly or Component Provider",DATA_RASIC_DESC!A92,IF($B$4="Consultancy Component Provider",DATA_RASIC_DESC!A92,IF($B$4="Make to Print",DATA_RASIC_DESC!A92,IF($B$4="Engineering Service Provider",DATA_RASIC_DESC!A92,IF($B$4="Full System Provider",DATA_RASIC_DESC!A92,IF($B$4="ESP_DOOR TRIM",DATA_RASIC_DESC!D92,IF($B$4="ESP_Partner_LEVEL_01",DATA_RASIC_DESC!G92,"")))))))</f>
        <v>TEST.2</v>
      </c>
      <c r="B99" s="432" t="str">
        <f>IF($B$4="Assembly or Component Provider",DATA_RASIC_DESC!B92,IF($B$4="Consultancy Component Provider",DATA_RASIC_DESC!B92,IF($B$4="Make to Print",DATA_RASIC_DESC!B92,IF($B$4="Engineering Service Provider",DATA_RASIC_DESC!B92,IF($B$4="Full System Provider",DATA_RASIC_DESC!B92,IF($B$4="ESP_DOOR TRIM",DATA_RASIC_DESC!E92,IF($B$4="ESP_Partner_LEVEL_01",DATA_RASIC_DESC!H92,"")))))))</f>
        <v>Purchase parts for vehicle-level testing, as required</v>
      </c>
      <c r="C99" s="432"/>
      <c r="D99" s="432"/>
      <c r="E99" s="432"/>
      <c r="F99" s="432"/>
      <c r="G99" s="432"/>
      <c r="H99" s="432"/>
      <c r="I99" s="432"/>
      <c r="J99" s="432"/>
      <c r="K99" s="40" t="str">
        <f>IF($B$4="Assembly or Component Provider",DATA_RASIC!Q96,IF($B$4="Consultancy Component Provider",DATA_RASIC!X96,IF($B$4="Make to Print",DATA_RASIC!AE96,IF($B$4="Engineering Service Provider",DATA_RASIC!C96,IF($B$4="Full System Provider",DATA_RASIC!J96,IF($B$4="ESP_DOOR TRIM",DATA_RASIC!AL96,IF($B$4="ESP_Partner_LEVEL_01",DATA_RASIC!AS96,"")))))))</f>
        <v>JLR</v>
      </c>
      <c r="L99" s="40" t="str">
        <f>IF($B$4="Assembly or Component Provider",DATA_RASIC!R96,IF($B$4="Consultancy Component Provider",DATA_RASIC!Y96,IF($B$4="Make to Print",DATA_RASIC!AF96,IF($B$4="Engineering Service Provider",DATA_RASIC!D96,IF($B$4="Full System Provider",DATA_RASIC!K96,IF($B$4="ESP_DOOR TRIM",DATA_RASIC!AM96,IF($B$4="ESP_Partner_LEVEL_01",DATA_RASIC!AT96,"")))))))</f>
        <v>JLR</v>
      </c>
      <c r="M99" s="40" t="str">
        <f>IF($B$4="Assembly or Component Provider",DATA_RASIC!S96,IF($B$4="Consultancy Component Provider",DATA_RASIC!Z96,IF($B$4="Make to Print",DATA_RASIC!AG96,IF($B$4="Engineering Service Provider",DATA_RASIC!E96,IF($B$4="Full System Provider",DATA_RASIC!L96,IF($B$4="ESP_DOOR TRIM",DATA_RASIC!AN96,IF($B$4="ESP_Partner_LEVEL_01",DATA_RASIC!AU96,"")))))))</f>
        <v>JLR</v>
      </c>
      <c r="N99" s="40" t="str">
        <f>IF($B$4="Assembly or Component Provider",DATA_RASIC!T96,IF($B$4="Consultancy Component Provider",DATA_RASIC!AA96,IF($B$4="Make to Print",DATA_RASIC!AH96,IF($B$4="Engineering Service Provider",DATA_RASIC!F96,IF($B$4="Full System Provider",DATA_RASIC!M96,IF($B$4="ESP_DOOR TRIM",DATA_RASIC!AO96,IF($B$4="ESP_Partner_LEVEL_01",DATA_RASIC!AV96,"")))))))</f>
        <v>-</v>
      </c>
      <c r="O99" s="40" t="str">
        <f>IF($B$4="Assembly or Component Provider",DATA_RASIC!U96,IF($B$4="Consultancy Component Provider",DATA_RASIC!AB96,IF($B$4="Make to Print",DATA_RASIC!AI96,IF($B$4="Engineering Service Provider",DATA_RASIC!G96,IF($B$4="Full System Provider",DATA_RASIC!N96,IF($B$4="ESP_DOOR TRIM",DATA_RASIC!AP96,IF($B$4="ESP_Partner_LEVEL_01",DATA_RASIC!AW96,"")))))))</f>
        <v>-</v>
      </c>
      <c r="P99" s="40" t="str">
        <f>IF($B$4="Assembly or Component Provider",DATA_RASIC!V96,IF($B$4="Consultancy Component Provider",DATA_RASIC!AC96,IF($B$4="Make to Print",DATA_RASIC!AJ96,IF($B$4="Engineering Service Provider",DATA_RASIC!H96,IF($B$4="Full System Provider",DATA_RASIC!O96,IF($B$4="ESP_DOOR TRIM",DATA_RASIC!AQ96,IF($B$4="ESP_Partner_LEVEL_01",DATA_RASIC!AX96,"")))))))</f>
        <v>SE</v>
      </c>
    </row>
    <row r="100" spans="1:16" ht="34.950000000000003" customHeight="1" x14ac:dyDescent="0.3">
      <c r="A100" s="80" t="str">
        <f>IF($B$4="Assembly or Component Provider",DATA_RASIC_DESC!A93,IF($B$4="Consultancy Component Provider",DATA_RASIC_DESC!A93,IF($B$4="Make to Print",DATA_RASIC_DESC!A93,IF($B$4="Engineering Service Provider",DATA_RASIC_DESC!A93,IF($B$4="Full System Provider",DATA_RASIC_DESC!A93,IF($B$4="ESP_DOOR TRIM",DATA_RASIC_DESC!D93,IF($B$4="ESP_Partner_LEVEL_01",DATA_RASIC_DESC!G93,"")))))))</f>
        <v>TEST.3</v>
      </c>
      <c r="B100" s="432" t="str">
        <f>IF($B$4="Assembly or Component Provider",DATA_RASIC_DESC!B93,IF($B$4="Consultancy Component Provider",DATA_RASIC_DESC!B93,IF($B$4="Make to Print",DATA_RASIC_DESC!B93,IF($B$4="Engineering Service Provider",DATA_RASIC_DESC!B93,IF($B$4="Full System Provider",DATA_RASIC_DESC!B93,IF($B$4="ESP_DOOR TRIM",DATA_RASIC_DESC!E93,IF($B$4="ESP_Partner_LEVEL_01",DATA_RASIC_DESC!H93,"")))))))</f>
        <v xml:space="preserve">Provide access to test fleet and the test centres for suppliers to support vehicle testing of their parts </v>
      </c>
      <c r="C100" s="432"/>
      <c r="D100" s="432"/>
      <c r="E100" s="432"/>
      <c r="F100" s="432"/>
      <c r="G100" s="432"/>
      <c r="H100" s="432"/>
      <c r="I100" s="432"/>
      <c r="J100" s="432"/>
      <c r="K100" s="40" t="str">
        <f>IF($B$4="Assembly or Component Provider",DATA_RASIC!Q97,IF($B$4="Consultancy Component Provider",DATA_RASIC!X97,IF($B$4="Make to Print",DATA_RASIC!AE97,IF($B$4="Engineering Service Provider",DATA_RASIC!C97,IF($B$4="Full System Provider",DATA_RASIC!J97,IF($B$4="ESP_DOOR TRIM",DATA_RASIC!AL97,IF($B$4="ESP_Partner_LEVEL_01",DATA_RASIC!AS97,"")))))))</f>
        <v>JLR</v>
      </c>
      <c r="L100" s="40" t="str">
        <f>IF($B$4="Assembly or Component Provider",DATA_RASIC!R97,IF($B$4="Consultancy Component Provider",DATA_RASIC!Y97,IF($B$4="Make to Print",DATA_RASIC!AF97,IF($B$4="Engineering Service Provider",DATA_RASIC!D97,IF($B$4="Full System Provider",DATA_RASIC!K97,IF($B$4="ESP_DOOR TRIM",DATA_RASIC!AM97,IF($B$4="ESP_Partner_LEVEL_01",DATA_RASIC!AT97,"")))))))</f>
        <v>JLR</v>
      </c>
      <c r="M100" s="40" t="str">
        <f>IF($B$4="Assembly or Component Provider",DATA_RASIC!S97,IF($B$4="Consultancy Component Provider",DATA_RASIC!Z97,IF($B$4="Make to Print",DATA_RASIC!AG97,IF($B$4="Engineering Service Provider",DATA_RASIC!E97,IF($B$4="Full System Provider",DATA_RASIC!L97,IF($B$4="ESP_DOOR TRIM",DATA_RASIC!AN97,IF($B$4="ESP_Partner_LEVEL_01",DATA_RASIC!AU97,"")))))))</f>
        <v>JLR</v>
      </c>
      <c r="N100" s="40" t="str">
        <f>IF($B$4="Assembly or Component Provider",DATA_RASIC!T97,IF($B$4="Consultancy Component Provider",DATA_RASIC!AA97,IF($B$4="Make to Print",DATA_RASIC!AH97,IF($B$4="Engineering Service Provider",DATA_RASIC!F97,IF($B$4="Full System Provider",DATA_RASIC!M97,IF($B$4="ESP_DOOR TRIM",DATA_RASIC!AO97,IF($B$4="ESP_Partner_LEVEL_01",DATA_RASIC!AV97,"")))))))</f>
        <v>-</v>
      </c>
      <c r="O100" s="40" t="str">
        <f>IF($B$4="Assembly or Component Provider",DATA_RASIC!U97,IF($B$4="Consultancy Component Provider",DATA_RASIC!AB97,IF($B$4="Make to Print",DATA_RASIC!AI97,IF($B$4="Engineering Service Provider",DATA_RASIC!G97,IF($B$4="Full System Provider",DATA_RASIC!N97,IF($B$4="ESP_DOOR TRIM",DATA_RASIC!AP97,IF($B$4="ESP_Partner_LEVEL_01",DATA_RASIC!AW97,"")))))))</f>
        <v>-</v>
      </c>
      <c r="P100" s="40" t="str">
        <f>IF($B$4="Assembly or Component Provider",DATA_RASIC!V97,IF($B$4="Consultancy Component Provider",DATA_RASIC!AC97,IF($B$4="Make to Print",DATA_RASIC!AJ97,IF($B$4="Engineering Service Provider",DATA_RASIC!H97,IF($B$4="Full System Provider",DATA_RASIC!O97,IF($B$4="ESP_DOOR TRIM",DATA_RASIC!AQ97,IF($B$4="ESP_Partner_LEVEL_01",DATA_RASIC!AX97,"")))))))</f>
        <v>SE</v>
      </c>
    </row>
    <row r="101" spans="1:16" ht="34.950000000000003" customHeight="1" x14ac:dyDescent="0.3">
      <c r="A101" s="80" t="str">
        <f>IF($B$4="Assembly or Component Provider",DATA_RASIC_DESC!A94,IF($B$4="Consultancy Component Provider",DATA_RASIC_DESC!A94,IF($B$4="Make to Print",DATA_RASIC_DESC!A94,IF($B$4="Engineering Service Provider",DATA_RASIC_DESC!A94,IF($B$4="Full System Provider",DATA_RASIC_DESC!A94,IF($B$4="ESP_DOOR TRIM",DATA_RASIC_DESC!D94,IF($B$4="ESP_Partner_LEVEL_01",DATA_RASIC_DESC!G94,"")))))))</f>
        <v>TEST.4</v>
      </c>
      <c r="B101" s="432" t="str">
        <f>IF($B$4="Assembly or Component Provider",DATA_RASIC_DESC!B94,IF($B$4="Consultancy Component Provider",DATA_RASIC_DESC!B94,IF($B$4="Make to Print",DATA_RASIC_DESC!B94,IF($B$4="Engineering Service Provider",DATA_RASIC_DESC!B94,IF($B$4="Full System Provider",DATA_RASIC_DESC!B94,IF($B$4="ESP_DOOR TRIM",DATA_RASIC_DESC!E94,IF($B$4="ESP_Partner_LEVEL_01",DATA_RASIC_DESC!H94,"")))))))</f>
        <v>Jaguar Land Rover is to provide direction to supplier on gauge or check fixture design and construction (See PDS for details)</v>
      </c>
      <c r="C101" s="432"/>
      <c r="D101" s="432"/>
      <c r="E101" s="432"/>
      <c r="F101" s="432"/>
      <c r="G101" s="432"/>
      <c r="H101" s="432"/>
      <c r="I101" s="432"/>
      <c r="J101" s="432"/>
      <c r="K101" s="40" t="str">
        <f>IF($B$4="Assembly or Component Provider",DATA_RASIC!Q98,IF($B$4="Consultancy Component Provider",DATA_RASIC!X98,IF($B$4="Make to Print",DATA_RASIC!AE98,IF($B$4="Engineering Service Provider",DATA_RASIC!C98,IF($B$4="Full System Provider",DATA_RASIC!J98,IF($B$4="ESP_DOOR TRIM",DATA_RASIC!AL98,IF($B$4="ESP_Partner_LEVEL_01",DATA_RASIC!AS98,"")))))))</f>
        <v>JLR</v>
      </c>
      <c r="L101" s="40" t="str">
        <f>IF($B$4="Assembly or Component Provider",DATA_RASIC!R98,IF($B$4="Consultancy Component Provider",DATA_RASIC!Y98,IF($B$4="Make to Print",DATA_RASIC!AF98,IF($B$4="Engineering Service Provider",DATA_RASIC!D98,IF($B$4="Full System Provider",DATA_RASIC!K98,IF($B$4="ESP_DOOR TRIM",DATA_RASIC!AM98,IF($B$4="ESP_Partner_LEVEL_01",DATA_RASIC!AT98,"")))))))</f>
        <v>JLR</v>
      </c>
      <c r="M101" s="40" t="str">
        <f>IF($B$4="Assembly or Component Provider",DATA_RASIC!S98,IF($B$4="Consultancy Component Provider",DATA_RASIC!Z98,IF($B$4="Make to Print",DATA_RASIC!AG98,IF($B$4="Engineering Service Provider",DATA_RASIC!E98,IF($B$4="Full System Provider",DATA_RASIC!L98,IF($B$4="ESP_DOOR TRIM",DATA_RASIC!AN98,IF($B$4="ESP_Partner_LEVEL_01",DATA_RASIC!AU98,"")))))))</f>
        <v>JLR</v>
      </c>
      <c r="N101" s="40" t="str">
        <f>IF($B$4="Assembly or Component Provider",DATA_RASIC!T98,IF($B$4="Consultancy Component Provider",DATA_RASIC!AA98,IF($B$4="Make to Print",DATA_RASIC!AH98,IF($B$4="Engineering Service Provider",DATA_RASIC!F98,IF($B$4="Full System Provider",DATA_RASIC!M98,IF($B$4="ESP_DOOR TRIM",DATA_RASIC!AO98,IF($B$4="ESP_Partner_LEVEL_01",DATA_RASIC!AV98,"")))))))</f>
        <v>-</v>
      </c>
      <c r="O101" s="40" t="str">
        <f>IF($B$4="Assembly or Component Provider",DATA_RASIC!U98,IF($B$4="Consultancy Component Provider",DATA_RASIC!AB98,IF($B$4="Make to Print",DATA_RASIC!AI98,IF($B$4="Engineering Service Provider",DATA_RASIC!G98,IF($B$4="Full System Provider",DATA_RASIC!N98,IF($B$4="ESP_DOOR TRIM",DATA_RASIC!AP98,IF($B$4="ESP_Partner_LEVEL_01",DATA_RASIC!AW98,"")))))))</f>
        <v>-</v>
      </c>
      <c r="P101" s="40" t="str">
        <f>IF($B$4="Assembly or Component Provider",DATA_RASIC!V98,IF($B$4="Consultancy Component Provider",DATA_RASIC!AC98,IF($B$4="Make to Print",DATA_RASIC!AJ98,IF($B$4="Engineering Service Provider",DATA_RASIC!H98,IF($B$4="Full System Provider",DATA_RASIC!O98,IF($B$4="ESP_DOOR TRIM",DATA_RASIC!AQ98,IF($B$4="ESP_Partner_LEVEL_01",DATA_RASIC!AX98,"")))))))</f>
        <v>SE</v>
      </c>
    </row>
    <row r="102" spans="1:16" ht="60" customHeight="1" x14ac:dyDescent="0.3">
      <c r="A102" s="80" t="str">
        <f>IF($B$4="Assembly or Component Provider",DATA_RASIC_DESC!A95,IF($B$4="Consultancy Component Provider",DATA_RASIC_DESC!A95,IF($B$4="Make to Print",DATA_RASIC_DESC!A95,IF($B$4="Engineering Service Provider",DATA_RASIC_DESC!A95,IF($B$4="Full System Provider",DATA_RASIC_DESC!A95,IF($B$4="ESP_DOOR TRIM",DATA_RASIC_DESC!D95,IF($B$4="ESP_Partner_LEVEL_01",DATA_RASIC_DESC!G95,"")))))))</f>
        <v>TEST.5</v>
      </c>
      <c r="B102" s="432" t="str">
        <f>IF($B$4="Assembly or Component Provider",DATA_RASIC_DESC!B95,IF($B$4="Consultancy Component Provider",DATA_RASIC_DESC!B95,IF($B$4="Make to Print",DATA_RASIC_DESC!B95,IF($B$4="Engineering Service Provider",DATA_RASIC_DESC!B95,IF($B$4="Full System Provider",DATA_RASIC_DESC!B95,IF($B$4="ESP_DOOR TRIM",DATA_RASIC_DESC!E95,IF($B$4="ESP_Partner_LEVEL_01",DATA_RASIC_DESC!H95,"")))))))</f>
        <v>Provide pre-series parts according to agreed schedules supported by the agreed format PPIR documentation compatible with Jaguar Land Rover's PPIR strategy, tool and system protocols. ISIR documentation will also be required</v>
      </c>
      <c r="C102" s="432"/>
      <c r="D102" s="432"/>
      <c r="E102" s="432"/>
      <c r="F102" s="432"/>
      <c r="G102" s="432"/>
      <c r="H102" s="432"/>
      <c r="I102" s="432"/>
      <c r="J102" s="432"/>
      <c r="K102" s="40" t="str">
        <f>IF($B$4="Assembly or Component Provider",DATA_RASIC!Q99,IF($B$4="Consultancy Component Provider",DATA_RASIC!X99,IF($B$4="Make to Print",DATA_RASIC!AE99,IF($B$4="Engineering Service Provider",DATA_RASIC!C99,IF($B$4="Full System Provider",DATA_RASIC!J99,IF($B$4="ESP_DOOR TRIM",DATA_RASIC!AL99,IF($B$4="ESP_Partner_LEVEL_01",DATA_RASIC!AS99,"")))))))</f>
        <v>SE</v>
      </c>
      <c r="L102" s="40" t="str">
        <f>IF($B$4="Assembly or Component Provider",DATA_RASIC!R99,IF($B$4="Consultancy Component Provider",DATA_RASIC!Y99,IF($B$4="Make to Print",DATA_RASIC!AF99,IF($B$4="Engineering Service Provider",DATA_RASIC!D99,IF($B$4="Full System Provider",DATA_RASIC!K99,IF($B$4="ESP_DOOR TRIM",DATA_RASIC!AM99,IF($B$4="ESP_Partner_LEVEL_01",DATA_RASIC!AT99,"")))))))</f>
        <v>SE</v>
      </c>
      <c r="M102" s="40" t="str">
        <f>IF($B$4="Assembly or Component Provider",DATA_RASIC!S99,IF($B$4="Consultancy Component Provider",DATA_RASIC!Z99,IF($B$4="Make to Print",DATA_RASIC!AG99,IF($B$4="Engineering Service Provider",DATA_RASIC!E99,IF($B$4="Full System Provider",DATA_RASIC!L99,IF($B$4="ESP_DOOR TRIM",DATA_RASIC!AN99,IF($B$4="ESP_Partner_LEVEL_01",DATA_RASIC!AU99,"")))))))</f>
        <v>JLR</v>
      </c>
      <c r="N102" s="40" t="str">
        <f>IF($B$4="Assembly or Component Provider",DATA_RASIC!T99,IF($B$4="Consultancy Component Provider",DATA_RASIC!AA99,IF($B$4="Make to Print",DATA_RASIC!AH99,IF($B$4="Engineering Service Provider",DATA_RASIC!F99,IF($B$4="Full System Provider",DATA_RASIC!M99,IF($B$4="ESP_DOOR TRIM",DATA_RASIC!AO99,IF($B$4="ESP_Partner_LEVEL_01",DATA_RASIC!AV99,"")))))))</f>
        <v>-</v>
      </c>
      <c r="O102" s="40" t="str">
        <f>IF($B$4="Assembly or Component Provider",DATA_RASIC!U99,IF($B$4="Consultancy Component Provider",DATA_RASIC!AB99,IF($B$4="Make to Print",DATA_RASIC!AI99,IF($B$4="Engineering Service Provider",DATA_RASIC!G99,IF($B$4="Full System Provider",DATA_RASIC!N99,IF($B$4="ESP_DOOR TRIM",DATA_RASIC!AP99,IF($B$4="ESP_Partner_LEVEL_01",DATA_RASIC!AW99,"")))))))</f>
        <v>-</v>
      </c>
      <c r="P102" s="40" t="str">
        <f>IF($B$4="Assembly or Component Provider",DATA_RASIC!V99,IF($B$4="Consultancy Component Provider",DATA_RASIC!AC99,IF($B$4="Make to Print",DATA_RASIC!AJ99,IF($B$4="Engineering Service Provider",DATA_RASIC!H99,IF($B$4="Full System Provider",DATA_RASIC!O99,IF($B$4="ESP_DOOR TRIM",DATA_RASIC!AQ99,IF($B$4="ESP_Partner_LEVEL_01",DATA_RASIC!AX99,"")))))))</f>
        <v>JLR</v>
      </c>
    </row>
    <row r="103" spans="1:16" ht="51.6" customHeight="1" x14ac:dyDescent="0.3">
      <c r="A103" s="80" t="str">
        <f>IF($B$4="Assembly or Component Provider",DATA_RASIC_DESC!A96,IF($B$4="Consultancy Component Provider",DATA_RASIC_DESC!A96,IF($B$4="Make to Print",DATA_RASIC_DESC!A96,IF($B$4="Engineering Service Provider",DATA_RASIC_DESC!A96,IF($B$4="Full System Provider",DATA_RASIC_DESC!A96,IF($B$4="ESP_DOOR TRIM",DATA_RASIC_DESC!D96,IF($B$4="ESP_Partner_LEVEL_01",DATA_RASIC_DESC!G96,"")))))))</f>
        <v>TEST.6</v>
      </c>
      <c r="B103" s="432" t="str">
        <f>IF($B$4="Assembly or Component Provider",DATA_RASIC_DESC!B96,IF($B$4="Consultancy Component Provider",DATA_RASIC_DESC!B96,IF($B$4="Make to Print",DATA_RASIC_DESC!B96,IF($B$4="Engineering Service Provider",DATA_RASIC_DESC!B96,IF($B$4="Full System Provider",DATA_RASIC_DESC!B96,IF($B$4="ESP_DOOR TRIM",DATA_RASIC_DESC!E96,IF($B$4="ESP_Partner_LEVEL_01",DATA_RASIC_DESC!H96,"")))))))</f>
        <v>Provide gauge/checking fixture design in CAD by FDJ provided required information has been supplied by JLR Engineering.</v>
      </c>
      <c r="C103" s="432"/>
      <c r="D103" s="432"/>
      <c r="E103" s="432"/>
      <c r="F103" s="432"/>
      <c r="G103" s="432"/>
      <c r="H103" s="432"/>
      <c r="I103" s="432"/>
      <c r="J103" s="432"/>
      <c r="K103" s="40" t="str">
        <f>IF($B$4="Assembly or Component Provider",DATA_RASIC!Q100,IF($B$4="Consultancy Component Provider",DATA_RASIC!X100,IF($B$4="Make to Print",DATA_RASIC!AE100,IF($B$4="Engineering Service Provider",DATA_RASIC!C100,IF($B$4="Full System Provider",DATA_RASIC!J100,IF($B$4="ESP_DOOR TRIM",DATA_RASIC!AL100,IF($B$4="ESP_Partner_LEVEL_01",DATA_RASIC!AS100,"")))))))</f>
        <v>SE</v>
      </c>
      <c r="L103" s="40" t="str">
        <f>IF($B$4="Assembly or Component Provider",DATA_RASIC!R100,IF($B$4="Consultancy Component Provider",DATA_RASIC!Y100,IF($B$4="Make to Print",DATA_RASIC!AF100,IF($B$4="Engineering Service Provider",DATA_RASIC!D100,IF($B$4="Full System Provider",DATA_RASIC!K100,IF($B$4="ESP_DOOR TRIM",DATA_RASIC!AM100,IF($B$4="ESP_Partner_LEVEL_01",DATA_RASIC!AT100,"")))))))</f>
        <v>SE</v>
      </c>
      <c r="M103" s="40" t="str">
        <f>IF($B$4="Assembly or Component Provider",DATA_RASIC!S100,IF($B$4="Consultancy Component Provider",DATA_RASIC!Z100,IF($B$4="Make to Print",DATA_RASIC!AG100,IF($B$4="Engineering Service Provider",DATA_RASIC!E100,IF($B$4="Full System Provider",DATA_RASIC!L100,IF($B$4="ESP_DOOR TRIM",DATA_RASIC!AN100,IF($B$4="ESP_Partner_LEVEL_01",DATA_RASIC!AU100,"")))))))</f>
        <v>JLR</v>
      </c>
      <c r="N103" s="40" t="str">
        <f>IF($B$4="Assembly or Component Provider",DATA_RASIC!T100,IF($B$4="Consultancy Component Provider",DATA_RASIC!AA100,IF($B$4="Make to Print",DATA_RASIC!AH100,IF($B$4="Engineering Service Provider",DATA_RASIC!F100,IF($B$4="Full System Provider",DATA_RASIC!M100,IF($B$4="ESP_DOOR TRIM",DATA_RASIC!AO100,IF($B$4="ESP_Partner_LEVEL_01",DATA_RASIC!AV100,"")))))))</f>
        <v>JLR</v>
      </c>
      <c r="O103" s="40" t="str">
        <f>IF($B$4="Assembly or Component Provider",DATA_RASIC!U100,IF($B$4="Consultancy Component Provider",DATA_RASIC!AB100,IF($B$4="Make to Print",DATA_RASIC!AI100,IF($B$4="Engineering Service Provider",DATA_RASIC!G100,IF($B$4="Full System Provider",DATA_RASIC!N100,IF($B$4="ESP_DOOR TRIM",DATA_RASIC!AP100,IF($B$4="ESP_Partner_LEVEL_01",DATA_RASIC!AW100,"")))))))</f>
        <v>JLR</v>
      </c>
      <c r="P103" s="40" t="str">
        <f>IF($B$4="Assembly or Component Provider",DATA_RASIC!V100,IF($B$4="Consultancy Component Provider",DATA_RASIC!AC100,IF($B$4="Make to Print",DATA_RASIC!AJ100,IF($B$4="Engineering Service Provider",DATA_RASIC!H100,IF($B$4="Full System Provider",DATA_RASIC!O100,IF($B$4="ESP_DOOR TRIM",DATA_RASIC!AQ100,IF($B$4="ESP_Partner_LEVEL_01",DATA_RASIC!AX100,"")))))))</f>
        <v>JLR</v>
      </c>
    </row>
    <row r="104" spans="1:16" ht="54" customHeight="1" x14ac:dyDescent="0.3">
      <c r="A104" s="80" t="str">
        <f>IF($B$4="Assembly or Component Provider",DATA_RASIC_DESC!A97,IF($B$4="Consultancy Component Provider",DATA_RASIC_DESC!A97,IF($B$4="Make to Print",DATA_RASIC_DESC!A97,IF($B$4="Engineering Service Provider",DATA_RASIC_DESC!A97,IF($B$4="Full System Provider",DATA_RASIC_DESC!A97,IF($B$4="ESP_DOOR TRIM",DATA_RASIC_DESC!D97,IF($B$4="ESP_Partner_LEVEL_01",DATA_RASIC_DESC!G97,"")))))))</f>
        <v>TEST.7</v>
      </c>
      <c r="B104" s="432" t="str">
        <f>IF($B$4="Assembly or Component Provider",DATA_RASIC_DESC!B97,IF($B$4="Consultancy Component Provider",DATA_RASIC_DESC!B97,IF($B$4="Make to Print",DATA_RASIC_DESC!B97,IF($B$4="Engineering Service Provider",DATA_RASIC_DESC!B97,IF($B$4="Full System Provider",DATA_RASIC_DESC!B97,IF($B$4="ESP_DOOR TRIM",DATA_RASIC_DESC!E97,IF($B$4="ESP_Partner_LEVEL_01",DATA_RASIC_DESC!H97,"")))))))</f>
        <v>Develop and maintain DV &amp; PV plans for the commodity to verify compliance to all technical requirements, including Homologation/ Certification and governmental regulatory tests. Monitor and incorporate all available lessons-learned data and maintain test records</v>
      </c>
      <c r="C104" s="432"/>
      <c r="D104" s="432"/>
      <c r="E104" s="432"/>
      <c r="F104" s="432"/>
      <c r="G104" s="432"/>
      <c r="H104" s="432"/>
      <c r="I104" s="432"/>
      <c r="J104" s="432"/>
      <c r="K104" s="40" t="str">
        <f>IF($B$4="Assembly or Component Provider",DATA_RASIC!Q101,IF($B$4="Consultancy Component Provider",DATA_RASIC!X101,IF($B$4="Make to Print",DATA_RASIC!AE101,IF($B$4="Engineering Service Provider",DATA_RASIC!C101,IF($B$4="Full System Provider",DATA_RASIC!J101,IF($B$4="ESP_DOOR TRIM",DATA_RASIC!AL101,IF($B$4="ESP_Partner_LEVEL_01",DATA_RASIC!AS101,"")))))))</f>
        <v>JLR</v>
      </c>
      <c r="L104" s="40" t="str">
        <f>IF($B$4="Assembly or Component Provider",DATA_RASIC!R101,IF($B$4="Consultancy Component Provider",DATA_RASIC!Y101,IF($B$4="Make to Print",DATA_RASIC!AF101,IF($B$4="Engineering Service Provider",DATA_RASIC!D101,IF($B$4="Full System Provider",DATA_RASIC!K101,IF($B$4="ESP_DOOR TRIM",DATA_RASIC!AM101,IF($B$4="ESP_Partner_LEVEL_01",DATA_RASIC!AT101,"")))))))</f>
        <v>JLR</v>
      </c>
      <c r="M104" s="40" t="str">
        <f>IF($B$4="Assembly or Component Provider",DATA_RASIC!S101,IF($B$4="Consultancy Component Provider",DATA_RASIC!Z101,IF($B$4="Make to Print",DATA_RASIC!AG101,IF($B$4="Engineering Service Provider",DATA_RASIC!E101,IF($B$4="Full System Provider",DATA_RASIC!L101,IF($B$4="ESP_DOOR TRIM",DATA_RASIC!AN101,IF($B$4="ESP_Partner_LEVEL_01",DATA_RASIC!AU101,"")))))))</f>
        <v>JLR</v>
      </c>
      <c r="N104" s="40" t="str">
        <f>IF($B$4="Assembly or Component Provider",DATA_RASIC!T101,IF($B$4="Consultancy Component Provider",DATA_RASIC!AA101,IF($B$4="Make to Print",DATA_RASIC!AH101,IF($B$4="Engineering Service Provider",DATA_RASIC!F101,IF($B$4="Full System Provider",DATA_RASIC!M101,IF($B$4="ESP_DOOR TRIM",DATA_RASIC!AO101,IF($B$4="ESP_Partner_LEVEL_01",DATA_RASIC!AV101,"")))))))</f>
        <v>SE</v>
      </c>
      <c r="O104" s="40" t="str">
        <f>IF($B$4="Assembly or Component Provider",DATA_RASIC!U101,IF($B$4="Consultancy Component Provider",DATA_RASIC!AB101,IF($B$4="Make to Print",DATA_RASIC!AI101,IF($B$4="Engineering Service Provider",DATA_RASIC!G101,IF($B$4="Full System Provider",DATA_RASIC!N101,IF($B$4="ESP_DOOR TRIM",DATA_RASIC!AP101,IF($B$4="ESP_Partner_LEVEL_01",DATA_RASIC!AW101,"")))))))</f>
        <v>SE</v>
      </c>
      <c r="P104" s="40" t="str">
        <f>IF($B$4="Assembly or Component Provider",DATA_RASIC!V101,IF($B$4="Consultancy Component Provider",DATA_RASIC!AC101,IF($B$4="Make to Print",DATA_RASIC!AJ101,IF($B$4="Engineering Service Provider",DATA_RASIC!H101,IF($B$4="Full System Provider",DATA_RASIC!O101,IF($B$4="ESP_DOOR TRIM",DATA_RASIC!AQ101,IF($B$4="ESP_Partner_LEVEL_01",DATA_RASIC!AX101,"")))))))</f>
        <v>SE</v>
      </c>
    </row>
    <row r="105" spans="1:16" ht="54" customHeight="1" x14ac:dyDescent="0.3">
      <c r="A105" s="80" t="str">
        <f>IF($B$4="Assembly or Component Provider",DATA_RASIC_DESC!A98,IF($B$4="Consultancy Component Provider",DATA_RASIC_DESC!A98,IF($B$4="Make to Print",DATA_RASIC_DESC!A98,IF($B$4="Engineering Service Provider",DATA_RASIC_DESC!A98,IF($B$4="Full System Provider",DATA_RASIC_DESC!A98,IF($B$4="ESP_DOOR TRIM",DATA_RASIC_DESC!D98,IF($B$4="ESP_Partner_LEVEL_01",DATA_RASIC_DESC!G98,"")))))))</f>
        <v>TEST.8</v>
      </c>
      <c r="B105" s="432" t="str">
        <f>IF($B$4="Assembly or Component Provider",DATA_RASIC_DESC!B98,IF($B$4="Consultancy Component Provider",DATA_RASIC_DESC!B98,IF($B$4="Make to Print",DATA_RASIC_DESC!B98,IF($B$4="Engineering Service Provider",DATA_RASIC_DESC!B98,IF($B$4="Full System Provider",DATA_RASIC_DESC!B98,IF($B$4="ESP_DOOR TRIM",DATA_RASIC_DESC!E98,IF($B$4="ESP_Partner_LEVEL_01",DATA_RASIC_DESC!H98,"")))))))</f>
        <v>Conduct Production Verification tests; maintain records throughout product life for the commodity or all relevant components in accordance with the agreed production control plan</v>
      </c>
      <c r="C105" s="432"/>
      <c r="D105" s="432"/>
      <c r="E105" s="432"/>
      <c r="F105" s="432"/>
      <c r="G105" s="432"/>
      <c r="H105" s="432"/>
      <c r="I105" s="432"/>
      <c r="J105" s="432"/>
      <c r="K105" s="40" t="str">
        <f>IF($B$4="Assembly or Component Provider",DATA_RASIC!Q102,IF($B$4="Consultancy Component Provider",DATA_RASIC!X102,IF($B$4="Make to Print",DATA_RASIC!AE102,IF($B$4="Engineering Service Provider",DATA_RASIC!C102,IF($B$4="Full System Provider",DATA_RASIC!J102,IF($B$4="ESP_DOOR TRIM",DATA_RASIC!AL102,IF($B$4="ESP_Partner_LEVEL_01",DATA_RASIC!AS102,"")))))))</f>
        <v>SE</v>
      </c>
      <c r="L105" s="40" t="str">
        <f>IF($B$4="Assembly or Component Provider",DATA_RASIC!R102,IF($B$4="Consultancy Component Provider",DATA_RASIC!Y102,IF($B$4="Make to Print",DATA_RASIC!AF102,IF($B$4="Engineering Service Provider",DATA_RASIC!D102,IF($B$4="Full System Provider",DATA_RASIC!K102,IF($B$4="ESP_DOOR TRIM",DATA_RASIC!AM102,IF($B$4="ESP_Partner_LEVEL_01",DATA_RASIC!AT102,"")))))))</f>
        <v>SE</v>
      </c>
      <c r="M105" s="40" t="str">
        <f>IF($B$4="Assembly or Component Provider",DATA_RASIC!S102,IF($B$4="Consultancy Component Provider",DATA_RASIC!Z102,IF($B$4="Make to Print",DATA_RASIC!AG102,IF($B$4="Engineering Service Provider",DATA_RASIC!E102,IF($B$4="Full System Provider",DATA_RASIC!L102,IF($B$4="ESP_DOOR TRIM",DATA_RASIC!AN102,IF($B$4="ESP_Partner_LEVEL_01",DATA_RASIC!AU102,"")))))))</f>
        <v>JLR</v>
      </c>
      <c r="N105" s="40" t="str">
        <f>IF($B$4="Assembly or Component Provider",DATA_RASIC!T102,IF($B$4="Consultancy Component Provider",DATA_RASIC!AA102,IF($B$4="Make to Print",DATA_RASIC!AH102,IF($B$4="Engineering Service Provider",DATA_RASIC!F102,IF($B$4="Full System Provider",DATA_RASIC!M102,IF($B$4="ESP_DOOR TRIM",DATA_RASIC!AO102,IF($B$4="ESP_Partner_LEVEL_01",DATA_RASIC!AV102,"")))))))</f>
        <v>JLR</v>
      </c>
      <c r="O105" s="40" t="str">
        <f>IF($B$4="Assembly or Component Provider",DATA_RASIC!U102,IF($B$4="Consultancy Component Provider",DATA_RASIC!AB102,IF($B$4="Make to Print",DATA_RASIC!AI102,IF($B$4="Engineering Service Provider",DATA_RASIC!G102,IF($B$4="Full System Provider",DATA_RASIC!N102,IF($B$4="ESP_DOOR TRIM",DATA_RASIC!AP102,IF($B$4="ESP_Partner_LEVEL_01",DATA_RASIC!AW102,"")))))))</f>
        <v>JLR</v>
      </c>
      <c r="P105" s="40" t="str">
        <f>IF($B$4="Assembly or Component Provider",DATA_RASIC!V102,IF($B$4="Consultancy Component Provider",DATA_RASIC!AC102,IF($B$4="Make to Print",DATA_RASIC!AJ102,IF($B$4="Engineering Service Provider",DATA_RASIC!H102,IF($B$4="Full System Provider",DATA_RASIC!O102,IF($B$4="ESP_DOOR TRIM",DATA_RASIC!AQ102,IF($B$4="ESP_Partner_LEVEL_01",DATA_RASIC!AX102,"")))))))</f>
        <v>JLR</v>
      </c>
    </row>
    <row r="106" spans="1:16" ht="54" customHeight="1" x14ac:dyDescent="0.3">
      <c r="A106" s="80" t="str">
        <f>IF($B$4="Assembly or Component Provider",DATA_RASIC_DESC!A99,IF($B$4="Consultancy Component Provider",DATA_RASIC_DESC!A99,IF($B$4="Make to Print",DATA_RASIC_DESC!A99,IF($B$4="Engineering Service Provider",DATA_RASIC_DESC!A99,IF($B$4="Full System Provider",DATA_RASIC_DESC!A99,IF($B$4="ESP_DOOR TRIM",DATA_RASIC_DESC!D99,IF($B$4="ESP_Partner_LEVEL_01",DATA_RASIC_DESC!G99,"")))))))</f>
        <v>TEST.9</v>
      </c>
      <c r="B106" s="324" t="s">
        <v>995</v>
      </c>
      <c r="C106" s="325"/>
      <c r="D106" s="325"/>
      <c r="E106" s="325"/>
      <c r="F106" s="325"/>
      <c r="G106" s="325"/>
      <c r="H106" s="325"/>
      <c r="I106" s="325"/>
      <c r="J106" s="326"/>
      <c r="K106" s="40" t="s">
        <v>445</v>
      </c>
      <c r="L106" s="40" t="s">
        <v>445</v>
      </c>
      <c r="M106" s="40" t="s">
        <v>445</v>
      </c>
      <c r="N106" s="40" t="s">
        <v>445</v>
      </c>
      <c r="O106" s="40" t="str">
        <f>IF($B$4="Assembly or Component Provider",DATA_RASIC!U103,IF($B$4="Consultancy Component Provider",DATA_RASIC!AB103,IF($B$4="Make to Print",DATA_RASIC!AI103,IF($B$4="Engineering Service Provider",DATA_RASIC!G103,IF($B$4="Full System Provider",DATA_RASIC!N103,IF($B$4="ESP_DOOR TRIM",DATA_RASIC!AP103,IF($B$4="ESP_Partner_LEVEL_01",DATA_RASIC!AW103,"")))))))</f>
        <v>-</v>
      </c>
      <c r="P106" s="40" t="str">
        <f>IF($B$4="Assembly or Component Provider",DATA_RASIC!V103,IF($B$4="Consultancy Component Provider",DATA_RASIC!AC103,IF($B$4="Make to Print",DATA_RASIC!AJ103,IF($B$4="Engineering Service Provider",DATA_RASIC!H103,IF($B$4="Full System Provider",DATA_RASIC!O103,IF($B$4="ESP_DOOR TRIM",DATA_RASIC!AQ103,IF($B$4="ESP_Partner_LEVEL_01",DATA_RASIC!AX103,"")))))))</f>
        <v>-</v>
      </c>
    </row>
    <row r="107" spans="1:16" ht="54" customHeight="1" x14ac:dyDescent="0.3">
      <c r="A107" s="80" t="str">
        <f>IF($B$4="Assembly or Component Provider",DATA_RASIC_DESC!A100,IF($B$4="Consultancy Component Provider",DATA_RASIC_DESC!A100,IF($B$4="Make to Print",DATA_RASIC_DESC!A100,IF($B$4="Engineering Service Provider",DATA_RASIC_DESC!A100,IF($B$4="Full System Provider",DATA_RASIC_DESC!A100,IF($B$4="ESP_DOOR TRIM",DATA_RASIC_DESC!D100,IF($B$4="ESP_Partner_LEVEL_01",DATA_RASIC_DESC!G100,"")))))))</f>
        <v>TEST.10</v>
      </c>
      <c r="B107" s="324" t="s">
        <v>996</v>
      </c>
      <c r="C107" s="325"/>
      <c r="D107" s="325"/>
      <c r="E107" s="325"/>
      <c r="F107" s="325"/>
      <c r="G107" s="325"/>
      <c r="H107" s="325"/>
      <c r="I107" s="325"/>
      <c r="J107" s="326"/>
      <c r="K107" s="40" t="s">
        <v>997</v>
      </c>
      <c r="L107" s="40" t="s">
        <v>997</v>
      </c>
      <c r="M107" s="40" t="s">
        <v>997</v>
      </c>
      <c r="N107" s="40" t="s">
        <v>997</v>
      </c>
      <c r="O107" s="80" t="s">
        <v>998</v>
      </c>
      <c r="P107" s="80" t="s">
        <v>998</v>
      </c>
    </row>
    <row r="108" spans="1:16" ht="44.4" customHeight="1" x14ac:dyDescent="0.3">
      <c r="A108" s="80" t="str">
        <f>IF($B$4="Assembly or Component Provider",DATA_RASIC_DESC!A101,IF($B$4="Consultancy Component Provider",DATA_RASIC_DESC!A101,IF($B$4="Make to Print",DATA_RASIC_DESC!A101,IF($B$4="Engineering Service Provider",DATA_RASIC_DESC!A101,IF($B$4="Full System Provider",DATA_RASIC_DESC!A101,IF($B$4="ESP_DOOR TRIM",DATA_RASIC_DESC!D101,IF($B$4="ESP_Partner_LEVEL_01",DATA_RASIC_DESC!G101,"")))))))</f>
        <v>TEST.11</v>
      </c>
      <c r="B108" s="324" t="s">
        <v>999</v>
      </c>
      <c r="C108" s="325"/>
      <c r="D108" s="325"/>
      <c r="E108" s="325"/>
      <c r="F108" s="325"/>
      <c r="G108" s="325"/>
      <c r="H108" s="325"/>
      <c r="I108" s="325"/>
      <c r="J108" s="326"/>
      <c r="K108" s="40" t="s">
        <v>997</v>
      </c>
      <c r="L108" s="40" t="s">
        <v>997</v>
      </c>
      <c r="M108" s="40" t="str">
        <f>IF($B$4="Assembly or Component Provider",DATA_RASIC!S104,IF($B$4="Consultancy Component Provider",DATA_RASIC!Z104,IF($B$4="Make to Print",DATA_RASIC!AG104,IF($B$4="Engineering Service Provider",DATA_RASIC!E104,IF($B$4="Full System Provider",DATA_RASIC!L104,IF($B$4="ESP_DOOR TRIM",DATA_RASIC!AN104,IF($B$4="ESP_Partner_LEVEL_01",DATA_RASIC!AU104,"")))))))</f>
        <v>JLR</v>
      </c>
      <c r="N108" s="40" t="str">
        <f>IF($B$4="Assembly or Component Provider",DATA_RASIC!T104,IF($B$4="Consultancy Component Provider",DATA_RASIC!AA104,IF($B$4="Make to Print",DATA_RASIC!AH104,IF($B$4="Engineering Service Provider",DATA_RASIC!F104,IF($B$4="Full System Provider",DATA_RASIC!M104,IF($B$4="ESP_DOOR TRIM",DATA_RASIC!AO104,IF($B$4="ESP_Partner_LEVEL_01",DATA_RASIC!AV104,"")))))))</f>
        <v>SE</v>
      </c>
      <c r="O108" s="80" t="s">
        <v>998</v>
      </c>
      <c r="P108" s="80" t="s">
        <v>998</v>
      </c>
    </row>
    <row r="109" spans="1:16" ht="46.2" customHeight="1" x14ac:dyDescent="0.3">
      <c r="A109" s="80" t="str">
        <f>IF($B$4="Assembly or Component Provider",DATA_RASIC_DESC!A102,IF($B$4="Consultancy Component Provider",DATA_RASIC_DESC!A102,IF($B$4="Make to Print",DATA_RASIC_DESC!A102,IF($B$4="Engineering Service Provider",DATA_RASIC_DESC!A102,IF($B$4="Full System Provider",DATA_RASIC_DESC!A102,IF($B$4="ESP_DOOR TRIM",DATA_RASIC_DESC!D102,IF($B$4="ESP_Partner_LEVEL_01",DATA_RASIC_DESC!G102,"")))))))</f>
        <v>TEST.12</v>
      </c>
      <c r="B109" s="432" t="str">
        <f>IF($B$4="Assembly or Component Provider",DATA_RASIC_DESC!B101,IF($B$4="Consultancy Component Provider",DATA_RASIC_DESC!B101,IF($B$4="Make to Print",DATA_RASIC_DESC!B101,IF($B$4="Engineering Service Provider",DATA_RASIC_DESC!B101,IF($B$4="Full System Provider",DATA_RASIC_DESC!B101,IF($B$4="ESP_DOOR TRIM",DATA_RASIC_DESC!E101,IF($B$4="ESP_Partner_LEVEL_01",DATA_RASIC_DESC!H101,"")))))))</f>
        <v>Complete all Conformity of Production testing to plan using appropriate production parts.</v>
      </c>
      <c r="C109" s="432"/>
      <c r="D109" s="432"/>
      <c r="E109" s="432"/>
      <c r="F109" s="432"/>
      <c r="G109" s="432"/>
      <c r="H109" s="432"/>
      <c r="I109" s="432"/>
      <c r="J109" s="432"/>
      <c r="K109" s="40" t="str">
        <f>IF($B$4="Assembly or Component Provider",DATA_RASIC!Q105,IF($B$4="Consultancy Component Provider",DATA_RASIC!X105,IF($B$4="Make to Print",DATA_RASIC!AE105,IF($B$4="Engineering Service Provider",DATA_RASIC!C105,IF($B$4="Full System Provider",DATA_RASIC!J105,IF($B$4="ESP_DOOR TRIM",DATA_RASIC!AL105,IF($B$4="ESP_Partner_LEVEL_01",DATA_RASIC!AS105,"")))))))</f>
        <v>SE</v>
      </c>
      <c r="L109" s="40" t="str">
        <f>IF($B$4="Assembly or Component Provider",DATA_RASIC!R105,IF($B$4="Consultancy Component Provider",DATA_RASIC!Y105,IF($B$4="Make to Print",DATA_RASIC!AF105,IF($B$4="Engineering Service Provider",DATA_RASIC!D105,IF($B$4="Full System Provider",DATA_RASIC!K105,IF($B$4="ESP_DOOR TRIM",DATA_RASIC!AM105,IF($B$4="ESP_Partner_LEVEL_01",DATA_RASIC!AT105,"")))))))</f>
        <v>SE</v>
      </c>
      <c r="M109" s="40" t="str">
        <f>IF($B$4="Assembly or Component Provider",DATA_RASIC!S105,IF($B$4="Consultancy Component Provider",DATA_RASIC!Z105,IF($B$4="Make to Print",DATA_RASIC!AG105,IF($B$4="Engineering Service Provider",DATA_RASIC!E105,IF($B$4="Full System Provider",DATA_RASIC!L105,IF($B$4="ESP_DOOR TRIM",DATA_RASIC!AN105,IF($B$4="ESP_Partner_LEVEL_01",DATA_RASIC!AU105,"")))))))</f>
        <v>SE</v>
      </c>
      <c r="N109" s="40" t="str">
        <f>IF($B$4="Assembly or Component Provider",DATA_RASIC!T105,IF($B$4="Consultancy Component Provider",DATA_RASIC!AA105,IF($B$4="Make to Print",DATA_RASIC!AH105,IF($B$4="Engineering Service Provider",DATA_RASIC!F105,IF($B$4="Full System Provider",DATA_RASIC!M105,IF($B$4="ESP_DOOR TRIM",DATA_RASIC!AO105,IF($B$4="ESP_Partner_LEVEL_01",DATA_RASIC!AV105,"")))))))</f>
        <v>SE</v>
      </c>
      <c r="O109" s="40" t="str">
        <f>IF($B$4="Assembly or Component Provider",DATA_RASIC!U105,IF($B$4="Consultancy Component Provider",DATA_RASIC!AB105,IF($B$4="Make to Print",DATA_RASIC!AI105,IF($B$4="Engineering Service Provider",DATA_RASIC!G105,IF($B$4="Full System Provider",DATA_RASIC!N105,IF($B$4="ESP_DOOR TRIM",DATA_RASIC!AP105,IF($B$4="ESP_Partner_LEVEL_01",DATA_RASIC!AW105,"")))))))</f>
        <v>JLR</v>
      </c>
      <c r="P109" s="40" t="str">
        <f>IF($B$4="Assembly or Component Provider",DATA_RASIC!V105,IF($B$4="Consultancy Component Provider",DATA_RASIC!AC105,IF($B$4="Make to Print",DATA_RASIC!AJ105,IF($B$4="Engineering Service Provider",DATA_RASIC!H105,IF($B$4="Full System Provider",DATA_RASIC!O105,IF($B$4="ESP_DOOR TRIM",DATA_RASIC!AQ105,IF($B$4="ESP_Partner_LEVEL_01",DATA_RASIC!AX105,"")))))))</f>
        <v>JLR</v>
      </c>
    </row>
    <row r="110" spans="1:16" ht="46.2" customHeight="1" x14ac:dyDescent="0.3">
      <c r="A110" s="80" t="str">
        <f>IF($B$4="Assembly or Component Provider",DATA_RASIC_DESC!A103,IF($B$4="Consultancy Component Provider",DATA_RASIC_DESC!A103,IF($B$4="Make to Print",DATA_RASIC_DESC!A103,IF($B$4="Engineering Service Provider",DATA_RASIC_DESC!A103,IF($B$4="Full System Provider",DATA_RASIC_DESC!A103,IF($B$4="ESP_DOOR TRIM",DATA_RASIC_DESC!D103,IF($B$4="ESP_Partner_LEVEL_01",DATA_RASIC_DESC!G103,"")))))))</f>
        <v>TEST.13</v>
      </c>
      <c r="B110" s="432" t="str">
        <f>IF($B$4="Assembly or Component Provider",DATA_RASIC_DESC!B102,IF($B$4="Consultancy Component Provider",DATA_RASIC_DESC!B102,IF($B$4="Make to Print",DATA_RASIC_DESC!B102,IF($B$4="Engineering Service Provider",DATA_RASIC_DESC!B102,IF($B$4="Full System Provider",DATA_RASIC_DESC!B102,IF($B$4="ESP_DOOR TRIM",DATA_RASIC_DESC!E102,IF($B$4="ESP_Partner_LEVEL_01",DATA_RASIC_DESC!H102,"")))))))</f>
        <v xml:space="preserve">Provide appropriate production parts for completion of Conformity of Production testing. </v>
      </c>
      <c r="C110" s="432"/>
      <c r="D110" s="432"/>
      <c r="E110" s="432"/>
      <c r="F110" s="432"/>
      <c r="G110" s="432"/>
      <c r="H110" s="432"/>
      <c r="I110" s="432"/>
      <c r="J110" s="432"/>
      <c r="K110" s="40" t="str">
        <f>IF($B$4="Assembly or Component Provider",DATA_RASIC!Q106,IF($B$4="Consultancy Component Provider",DATA_RASIC!X106,IF($B$4="Make to Print",DATA_RASIC!AE106,IF($B$4="Engineering Service Provider",DATA_RASIC!C106,IF($B$4="Full System Provider",DATA_RASIC!J106,IF($B$4="ESP_DOOR TRIM",DATA_RASIC!AL106,IF($B$4="ESP_Partner_LEVEL_01",DATA_RASIC!AS106,"")))))))</f>
        <v>SE</v>
      </c>
      <c r="L110" s="40" t="str">
        <f>IF($B$4="Assembly or Component Provider",DATA_RASIC!R106,IF($B$4="Consultancy Component Provider",DATA_RASIC!Y106,IF($B$4="Make to Print",DATA_RASIC!AF106,IF($B$4="Engineering Service Provider",DATA_RASIC!D106,IF($B$4="Full System Provider",DATA_RASIC!K106,IF($B$4="ESP_DOOR TRIM",DATA_RASIC!AM106,IF($B$4="ESP_Partner_LEVEL_01",DATA_RASIC!AT106,"")))))))</f>
        <v>SE</v>
      </c>
      <c r="M110" s="40" t="str">
        <f>IF($B$4="Assembly or Component Provider",DATA_RASIC!S106,IF($B$4="Consultancy Component Provider",DATA_RASIC!Z106,IF($B$4="Make to Print",DATA_RASIC!AG106,IF($B$4="Engineering Service Provider",DATA_RASIC!E106,IF($B$4="Full System Provider",DATA_RASIC!L106,IF($B$4="ESP_DOOR TRIM",DATA_RASIC!AN106,IF($B$4="ESP_Partner_LEVEL_01",DATA_RASIC!AU106,"")))))))</f>
        <v>SE</v>
      </c>
      <c r="N110" s="40" t="str">
        <f>IF($B$4="Assembly or Component Provider",DATA_RASIC!T106,IF($B$4="Consultancy Component Provider",DATA_RASIC!AA106,IF($B$4="Make to Print",DATA_RASIC!AH106,IF($B$4="Engineering Service Provider",DATA_RASIC!F106,IF($B$4="Full System Provider",DATA_RASIC!M106,IF($B$4="ESP_DOOR TRIM",DATA_RASIC!AO106,IF($B$4="ESP_Partner_LEVEL_01",DATA_RASIC!AV106,"")))))))</f>
        <v>SE</v>
      </c>
      <c r="O110" s="40" t="str">
        <f>IF($B$4="Assembly or Component Provider",DATA_RASIC!U106,IF($B$4="Consultancy Component Provider",DATA_RASIC!AB106,IF($B$4="Make to Print",DATA_RASIC!AI106,IF($B$4="Engineering Service Provider",DATA_RASIC!G106,IF($B$4="Full System Provider",DATA_RASIC!N106,IF($B$4="ESP_DOOR TRIM",DATA_RASIC!AP106,IF($B$4="ESP_Partner_LEVEL_01",DATA_RASIC!AW106,"")))))))</f>
        <v>JLR</v>
      </c>
      <c r="P110" s="40" t="str">
        <f>IF($B$4="Assembly or Component Provider",DATA_RASIC!V106,IF($B$4="Consultancy Component Provider",DATA_RASIC!AC106,IF($B$4="Make to Print",DATA_RASIC!AJ106,IF($B$4="Engineering Service Provider",DATA_RASIC!H106,IF($B$4="Full System Provider",DATA_RASIC!O106,IF($B$4="ESP_DOOR TRIM",DATA_RASIC!AQ106,IF($B$4="ESP_Partner_LEVEL_01",DATA_RASIC!AX106,"")))))))</f>
        <v>JLR</v>
      </c>
    </row>
    <row r="111" spans="1:16" ht="46.2" customHeight="1" x14ac:dyDescent="0.3">
      <c r="A111" s="80" t="s">
        <v>1000</v>
      </c>
      <c r="B111" s="432" t="str">
        <f>IF($B$4="Assembly or Component Provider",DATA_RASIC_DESC!B103,IF($B$4="Consultancy Component Provider",DATA_RASIC_DESC!B103,IF($B$4="Make to Print",DATA_RASIC_DESC!B103,IF($B$4="Engineering Service Provider",DATA_RASIC_DESC!B103,IF($B$4="Full System Provider",DATA_RASIC_DESC!B103,IF($B$4="ESP_DOOR TRIM",DATA_RASIC_DESC!E103,IF($B$4="ESP_Partner_LEVEL_01",DATA_RASIC_DESC!H103,"")))))))</f>
        <v>Issue signed Conformity of Production test reports and notify all failures with a plan to re-establish compliance.</v>
      </c>
      <c r="C111" s="432"/>
      <c r="D111" s="432"/>
      <c r="E111" s="432"/>
      <c r="F111" s="432"/>
      <c r="G111" s="432"/>
      <c r="H111" s="432"/>
      <c r="I111" s="432"/>
      <c r="J111" s="432"/>
      <c r="K111" s="40" t="str">
        <f>IF($B$4="Assembly or Component Provider",DATA_RASIC!Q107,IF($B$4="Consultancy Component Provider",DATA_RASIC!X107,IF($B$4="Make to Print",DATA_RASIC!AE107,IF($B$4="Engineering Service Provider",DATA_RASIC!C107,IF($B$4="Full System Provider",DATA_RASIC!J107,IF($B$4="ESP_DOOR TRIM",DATA_RASIC!AL107,IF($B$4="ESP_Partner_LEVEL_01",DATA_RASIC!AS107,"")))))))</f>
        <v>SE</v>
      </c>
      <c r="L111" s="40" t="str">
        <f>IF($B$4="Assembly or Component Provider",DATA_RASIC!R107,IF($B$4="Consultancy Component Provider",DATA_RASIC!Y107,IF($B$4="Make to Print",DATA_RASIC!AF107,IF($B$4="Engineering Service Provider",DATA_RASIC!D107,IF($B$4="Full System Provider",DATA_RASIC!K107,IF($B$4="ESP_DOOR TRIM",DATA_RASIC!AM107,IF($B$4="ESP_Partner_LEVEL_01",DATA_RASIC!AT107,"")))))))</f>
        <v>SE</v>
      </c>
      <c r="M111" s="40" t="str">
        <f>IF($B$4="Assembly or Component Provider",DATA_RASIC!S107,IF($B$4="Consultancy Component Provider",DATA_RASIC!Z107,IF($B$4="Make to Print",DATA_RASIC!AG107,IF($B$4="Engineering Service Provider",DATA_RASIC!E107,IF($B$4="Full System Provider",DATA_RASIC!L107,IF($B$4="ESP_DOOR TRIM",DATA_RASIC!AN107,IF($B$4="ESP_Partner_LEVEL_01",DATA_RASIC!AU107,"")))))))</f>
        <v>SE</v>
      </c>
      <c r="N111" s="40" t="str">
        <f>IF($B$4="Assembly or Component Provider",DATA_RASIC!T107,IF($B$4="Consultancy Component Provider",DATA_RASIC!AA107,IF($B$4="Make to Print",DATA_RASIC!AH107,IF($B$4="Engineering Service Provider",DATA_RASIC!F107,IF($B$4="Full System Provider",DATA_RASIC!M107,IF($B$4="ESP_DOOR TRIM",DATA_RASIC!AO107,IF($B$4="ESP_Partner_LEVEL_01",DATA_RASIC!AV107,"")))))))</f>
        <v>SE</v>
      </c>
      <c r="O111" s="40" t="str">
        <f>IF($B$4="Assembly or Component Provider",DATA_RASIC!U107,IF($B$4="Consultancy Component Provider",DATA_RASIC!AB107,IF($B$4="Make to Print",DATA_RASIC!AI107,IF($B$4="Engineering Service Provider",DATA_RASIC!G107,IF($B$4="Full System Provider",DATA_RASIC!N107,IF($B$4="ESP_DOOR TRIM",DATA_RASIC!AP107,IF($B$4="ESP_Partner_LEVEL_01",DATA_RASIC!AW107,"")))))))</f>
        <v>JLR</v>
      </c>
      <c r="P111" s="40" t="str">
        <f>IF($B$4="Assembly or Component Provider",DATA_RASIC!V107,IF($B$4="Consultancy Component Provider",DATA_RASIC!AC107,IF($B$4="Make to Print",DATA_RASIC!AJ107,IF($B$4="Engineering Service Provider",DATA_RASIC!H107,IF($B$4="Full System Provider",DATA_RASIC!O107,IF($B$4="ESP_DOOR TRIM",DATA_RASIC!AQ107,IF($B$4="ESP_Partner_LEVEL_01",DATA_RASIC!AX107,"")))))))</f>
        <v>JLR</v>
      </c>
    </row>
    <row r="112" spans="1:16" s="9" customFormat="1" ht="18" customHeight="1" x14ac:dyDescent="0.3">
      <c r="A112" s="602" t="s">
        <v>1001</v>
      </c>
      <c r="B112" s="602"/>
      <c r="C112" s="602"/>
      <c r="D112" s="602"/>
      <c r="E112" s="602"/>
      <c r="F112" s="602"/>
      <c r="G112" s="602"/>
      <c r="H112" s="602"/>
      <c r="I112" s="602"/>
      <c r="J112" s="602"/>
      <c r="K112" s="603" t="s">
        <v>982</v>
      </c>
      <c r="L112" s="457"/>
      <c r="M112" s="457"/>
      <c r="N112" s="457"/>
      <c r="O112" s="604" t="s">
        <v>424</v>
      </c>
      <c r="P112" s="457"/>
    </row>
    <row r="113" spans="1:16" ht="18" customHeight="1" x14ac:dyDescent="0.3">
      <c r="A113" s="39" t="s">
        <v>983</v>
      </c>
      <c r="B113" s="588" t="s">
        <v>984</v>
      </c>
      <c r="C113" s="588"/>
      <c r="D113" s="588"/>
      <c r="E113" s="588"/>
      <c r="F113" s="588"/>
      <c r="G113" s="588"/>
      <c r="H113" s="588"/>
      <c r="I113" s="588"/>
      <c r="J113" s="588"/>
      <c r="K113" s="39" t="s">
        <v>985</v>
      </c>
      <c r="L113" s="39" t="s">
        <v>986</v>
      </c>
      <c r="M113" s="39" t="s">
        <v>987</v>
      </c>
      <c r="N113" s="39" t="s">
        <v>988</v>
      </c>
      <c r="O113" s="39" t="s">
        <v>989</v>
      </c>
      <c r="P113" s="39" t="s">
        <v>990</v>
      </c>
    </row>
    <row r="114" spans="1:16" ht="33.6" customHeight="1" x14ac:dyDescent="0.3">
      <c r="A114" s="80" t="str">
        <f>IF($B$4="Assembly or Component Provider",DATA_RASIC_DESC!A106,IF($B$4="Consultancy Component Provider",DATA_RASIC_DESC!A106,IF($B$4="Make to Print",DATA_RASIC_DESC!A106,IF($B$4="Engineering Service Provider",DATA_RASIC_DESC!A106,IF($B$4="Full System Provider",DATA_RASIC_DESC!A106,IF($B$4="ESP_DOOR TRIM",DATA_RASIC_DESC!D106,IF($B$4="ESP_Partner_LEVEL_01",DATA_RASIC_DESC!G106,"")))))))</f>
        <v>MNP.1</v>
      </c>
      <c r="B114" s="432" t="str">
        <f>IF($B$4="Assembly or Component Provider",DATA_RASIC_DESC!B106,IF($B$4="Consultancy Component Provider",DATA_RASIC_DESC!B106,IF($B$4="Make to Print",DATA_RASIC_DESC!B106,IF($B$4="Engineering Service Provider",DATA_RASIC_DESC!B106,IF($B$4="Full System Provider",DATA_RASIC_DESC!B106,IF($B$4="ESP_DOOR TRIM",DATA_RASIC_DESC!E106,IF($B$4="ESP_Partner_LEVEL_01",DATA_RASIC_DESC!H106,"")))))))</f>
        <v xml:space="preserve">Issue and execute Vehicle Programme Plan including prototype build schedule and tooling levels required   </v>
      </c>
      <c r="C114" s="432"/>
      <c r="D114" s="432"/>
      <c r="E114" s="432"/>
      <c r="F114" s="432"/>
      <c r="G114" s="432"/>
      <c r="H114" s="432"/>
      <c r="I114" s="432"/>
      <c r="J114" s="432"/>
      <c r="K114" s="40" t="str">
        <f>IF($B$4="Assembly or Component Provider",DATA_RASIC!Q111,IF($B$4="Consultancy Component Provider",DATA_RASIC!X111,IF($B$4="Make to Print",DATA_RASIC!AE111,IF($B$4="Engineering Service Provider",DATA_RASIC!C111,IF($B$4="Full System Provider",DATA_RASIC!J111,IF($B$4="ESP_DOOR TRIM",DATA_RASIC!AL111,IF($B$4="ESP_Partner_LEVEL_01",DATA_RASIC!AS111,"")))))))</f>
        <v>JLR</v>
      </c>
      <c r="L114" s="40" t="str">
        <f>IF($B$4="Assembly or Component Provider",DATA_RASIC!R111,IF($B$4="Consultancy Component Provider",DATA_RASIC!Y111,IF($B$4="Make to Print",DATA_RASIC!AF111,IF($B$4="Engineering Service Provider",DATA_RASIC!D111,IF($B$4="Full System Provider",DATA_RASIC!K111,IF($B$4="ESP_DOOR TRIM",DATA_RASIC!AM111,IF($B$4="ESP_Partner_LEVEL_01",DATA_RASIC!AT111,"")))))))</f>
        <v>JLR</v>
      </c>
      <c r="M114" s="40" t="str">
        <f>IF($B$4="Assembly or Component Provider",DATA_RASIC!S111,IF($B$4="Consultancy Component Provider",DATA_RASIC!Z111,IF($B$4="Make to Print",DATA_RASIC!AG111,IF($B$4="Engineering Service Provider",DATA_RASIC!E111,IF($B$4="Full System Provider",DATA_RASIC!L111,IF($B$4="ESP_DOOR TRIM",DATA_RASIC!AN111,IF($B$4="ESP_Partner_LEVEL_01",DATA_RASIC!AU111,"")))))))</f>
        <v>JLR</v>
      </c>
      <c r="N114" s="40" t="str">
        <f>IF($B$4="Assembly or Component Provider",DATA_RASIC!T111,IF($B$4="Consultancy Component Provider",DATA_RASIC!AA111,IF($B$4="Make to Print",DATA_RASIC!AH111,IF($B$4="Engineering Service Provider",DATA_RASIC!F111,IF($B$4="Full System Provider",DATA_RASIC!M111,IF($B$4="ESP_DOOR TRIM",DATA_RASIC!AO111,IF($B$4="ESP_Partner_LEVEL_01",DATA_RASIC!AV111,"")))))))</f>
        <v>SE</v>
      </c>
      <c r="O114" s="40" t="str">
        <f>IF($B$4="Assembly or Component Provider",DATA_RASIC!U111,IF($B$4="Consultancy Component Provider",DATA_RASIC!AB111,IF($B$4="Make to Print",DATA_RASIC!AI111,IF($B$4="Engineering Service Provider",DATA_RASIC!G111,IF($B$4="Full System Provider",DATA_RASIC!N111,IF($B$4="ESP_DOOR TRIM",DATA_RASIC!AP111,IF($B$4="ESP_Partner_LEVEL_01",DATA_RASIC!AW111,"")))))))</f>
        <v>-</v>
      </c>
      <c r="P114" s="40" t="str">
        <f>IF($B$4="Assembly or Component Provider",DATA_RASIC!V111,IF($B$4="Consultancy Component Provider",DATA_RASIC!AC111,IF($B$4="Make to Print",DATA_RASIC!AJ111,IF($B$4="Engineering Service Provider",DATA_RASIC!H111,IF($B$4="Full System Provider",DATA_RASIC!O111,IF($B$4="ESP_DOOR TRIM",DATA_RASIC!AQ111,IF($B$4="ESP_Partner_LEVEL_01",DATA_RASIC!AX111,"")))))))</f>
        <v>-</v>
      </c>
    </row>
    <row r="115" spans="1:16" ht="33.6" customHeight="1" x14ac:dyDescent="0.3">
      <c r="A115" s="80" t="str">
        <f>IF($B$4="Assembly or Component Provider",DATA_RASIC_DESC!A107,IF($B$4="Consultancy Component Provider",DATA_RASIC_DESC!A107,IF($B$4="Make to Print",DATA_RASIC_DESC!A107,IF($B$4="Engineering Service Provider",DATA_RASIC_DESC!A107,IF($B$4="Full System Provider",DATA_RASIC_DESC!A107,IF($B$4="ESP_DOOR TRIM",DATA_RASIC_DESC!D107,IF($B$4="ESP_Partner_LEVEL_01",DATA_RASIC_DESC!G107,"")))))))</f>
        <v>MNP.2</v>
      </c>
      <c r="B115" s="432" t="str">
        <f>IF($B$4="Assembly or Component Provider",DATA_RASIC_DESC!B107,IF($B$4="Consultancy Component Provider",DATA_RASIC_DESC!B107,IF($B$4="Make to Print",DATA_RASIC_DESC!B107,IF($B$4="Engineering Service Provider",DATA_RASIC_DESC!B107,IF($B$4="Full System Provider",DATA_RASIC_DESC!B107,IF($B$4="ESP_DOOR TRIM",DATA_RASIC_DESC!E107,IF($B$4="ESP_Partner_LEVEL_01",DATA_RASIC_DESC!H107,"")))))))</f>
        <v xml:space="preserve">Issue and execute Vehicle Testing &amp; Vehicle Sign-Off Schedule   </v>
      </c>
      <c r="C115" s="432"/>
      <c r="D115" s="432"/>
      <c r="E115" s="432"/>
      <c r="F115" s="432"/>
      <c r="G115" s="432"/>
      <c r="H115" s="432"/>
      <c r="I115" s="432"/>
      <c r="J115" s="432"/>
      <c r="K115" s="40" t="str">
        <f>IF($B$4="Assembly or Component Provider",DATA_RASIC!Q112,IF($B$4="Consultancy Component Provider",DATA_RASIC!X112,IF($B$4="Make to Print",DATA_RASIC!AE112,IF($B$4="Engineering Service Provider",DATA_RASIC!C112,IF($B$4="Full System Provider",DATA_RASIC!J112,IF($B$4="ESP_DOOR TRIM",DATA_RASIC!AL112,IF($B$4="ESP_Partner_LEVEL_01",DATA_RASIC!AS112,"")))))))</f>
        <v>JLR</v>
      </c>
      <c r="L115" s="40" t="str">
        <f>IF($B$4="Assembly or Component Provider",DATA_RASIC!R112,IF($B$4="Consultancy Component Provider",DATA_RASIC!Y112,IF($B$4="Make to Print",DATA_RASIC!AF112,IF($B$4="Engineering Service Provider",DATA_RASIC!D112,IF($B$4="Full System Provider",DATA_RASIC!K112,IF($B$4="ESP_DOOR TRIM",DATA_RASIC!AM112,IF($B$4="ESP_Partner_LEVEL_01",DATA_RASIC!AT112,"")))))))</f>
        <v>JLR</v>
      </c>
      <c r="M115" s="40" t="str">
        <f>IF($B$4="Assembly or Component Provider",DATA_RASIC!S112,IF($B$4="Consultancy Component Provider",DATA_RASIC!Z112,IF($B$4="Make to Print",DATA_RASIC!AG112,IF($B$4="Engineering Service Provider",DATA_RASIC!E112,IF($B$4="Full System Provider",DATA_RASIC!L112,IF($B$4="ESP_DOOR TRIM",DATA_RASIC!AN112,IF($B$4="ESP_Partner_LEVEL_01",DATA_RASIC!AU112,"")))))))</f>
        <v>JLR</v>
      </c>
      <c r="N115" s="40" t="str">
        <f>IF($B$4="Assembly or Component Provider",DATA_RASIC!T112,IF($B$4="Consultancy Component Provider",DATA_RASIC!AA112,IF($B$4="Make to Print",DATA_RASIC!AH112,IF($B$4="Engineering Service Provider",DATA_RASIC!F112,IF($B$4="Full System Provider",DATA_RASIC!M112,IF($B$4="ESP_DOOR TRIM",DATA_RASIC!AO112,IF($B$4="ESP_Partner_LEVEL_01",DATA_RASIC!AV112,"")))))))</f>
        <v>SE</v>
      </c>
      <c r="O115" s="40" t="str">
        <f>IF($B$4="Assembly or Component Provider",DATA_RASIC!U112,IF($B$4="Consultancy Component Provider",DATA_RASIC!AB112,IF($B$4="Make to Print",DATA_RASIC!AI112,IF($B$4="Engineering Service Provider",DATA_RASIC!G112,IF($B$4="Full System Provider",DATA_RASIC!N112,IF($B$4="ESP_DOOR TRIM",DATA_RASIC!AP112,IF($B$4="ESP_Partner_LEVEL_01",DATA_RASIC!AW112,"")))))))</f>
        <v>-</v>
      </c>
      <c r="P115" s="40" t="str">
        <f>IF($B$4="Assembly or Component Provider",DATA_RASIC!V112,IF($B$4="Consultancy Component Provider",DATA_RASIC!AC112,IF($B$4="Make to Print",DATA_RASIC!AJ112,IF($B$4="Engineering Service Provider",DATA_RASIC!H112,IF($B$4="Full System Provider",DATA_RASIC!O112,IF($B$4="ESP_DOOR TRIM",DATA_RASIC!AQ112,IF($B$4="ESP_Partner_LEVEL_01",DATA_RASIC!AX112,"")))))))</f>
        <v>-</v>
      </c>
    </row>
    <row r="116" spans="1:16" ht="33.6" customHeight="1" x14ac:dyDescent="0.3">
      <c r="A116" s="80" t="str">
        <f>IF($B$4="Assembly or Component Provider",DATA_RASIC_DESC!A108,IF($B$4="Consultancy Component Provider",DATA_RASIC_DESC!A108,IF($B$4="Make to Print",DATA_RASIC_DESC!A108,IF($B$4="Engineering Service Provider",DATA_RASIC_DESC!A108,IF($B$4="Full System Provider",DATA_RASIC_DESC!A108,IF($B$4="ESP_DOOR TRIM",DATA_RASIC_DESC!D108,IF($B$4="ESP_Partner_LEVEL_01",DATA_RASIC_DESC!G108,"")))))))</f>
        <v>MNP.3</v>
      </c>
      <c r="B116" s="432" t="str">
        <f>IF($B$4="Assembly or Component Provider",DATA_RASIC_DESC!B108,IF($B$4="Consultancy Component Provider",DATA_RASIC_DESC!B108,IF($B$4="Make to Print",DATA_RASIC_DESC!B108,IF($B$4="Engineering Service Provider",DATA_RASIC_DESC!B108,IF($B$4="Full System Provider",DATA_RASIC_DESC!B108,IF($B$4="ESP_DOOR TRIM",DATA_RASIC_DESC!E108,IF($B$4="ESP_Partner_LEVEL_01",DATA_RASIC_DESC!H108,"")))))))</f>
        <v xml:space="preserve">Issue and execute Vehicle Launch Plan </v>
      </c>
      <c r="C116" s="432"/>
      <c r="D116" s="432"/>
      <c r="E116" s="432"/>
      <c r="F116" s="432"/>
      <c r="G116" s="432"/>
      <c r="H116" s="432"/>
      <c r="I116" s="432"/>
      <c r="J116" s="432"/>
      <c r="K116" s="40" t="str">
        <f>IF($B$4="Assembly or Component Provider",DATA_RASIC!Q113,IF($B$4="Consultancy Component Provider",DATA_RASIC!X113,IF($B$4="Make to Print",DATA_RASIC!AE113,IF($B$4="Engineering Service Provider",DATA_RASIC!C113,IF($B$4="Full System Provider",DATA_RASIC!J113,IF($B$4="ESP_DOOR TRIM",DATA_RASIC!AL113,IF($B$4="ESP_Partner_LEVEL_01",DATA_RASIC!AS113,"")))))))</f>
        <v>JLR</v>
      </c>
      <c r="L116" s="40" t="str">
        <f>IF($B$4="Assembly or Component Provider",DATA_RASIC!R113,IF($B$4="Consultancy Component Provider",DATA_RASIC!Y113,IF($B$4="Make to Print",DATA_RASIC!AF113,IF($B$4="Engineering Service Provider",DATA_RASIC!D113,IF($B$4="Full System Provider",DATA_RASIC!K113,IF($B$4="ESP_DOOR TRIM",DATA_RASIC!AM113,IF($B$4="ESP_Partner_LEVEL_01",DATA_RASIC!AT113,"")))))))</f>
        <v>JLR</v>
      </c>
      <c r="M116" s="40" t="str">
        <f>IF($B$4="Assembly or Component Provider",DATA_RASIC!S113,IF($B$4="Consultancy Component Provider",DATA_RASIC!Z113,IF($B$4="Make to Print",DATA_RASIC!AG113,IF($B$4="Engineering Service Provider",DATA_RASIC!E113,IF($B$4="Full System Provider",DATA_RASIC!L113,IF($B$4="ESP_DOOR TRIM",DATA_RASIC!AN113,IF($B$4="ESP_Partner_LEVEL_01",DATA_RASIC!AU113,"")))))))</f>
        <v>JLR</v>
      </c>
      <c r="N116" s="40" t="str">
        <f>IF($B$4="Assembly or Component Provider",DATA_RASIC!T113,IF($B$4="Consultancy Component Provider",DATA_RASIC!AA113,IF($B$4="Make to Print",DATA_RASIC!AH113,IF($B$4="Engineering Service Provider",DATA_RASIC!F113,IF($B$4="Full System Provider",DATA_RASIC!M113,IF($B$4="ESP_DOOR TRIM",DATA_RASIC!AO113,IF($B$4="ESP_Partner_LEVEL_01",DATA_RASIC!AV113,"")))))))</f>
        <v>SE</v>
      </c>
      <c r="O116" s="40" t="str">
        <f>IF($B$4="Assembly or Component Provider",DATA_RASIC!U113,IF($B$4="Consultancy Component Provider",DATA_RASIC!AB113,IF($B$4="Make to Print",DATA_RASIC!AI113,IF($B$4="Engineering Service Provider",DATA_RASIC!G113,IF($B$4="Full System Provider",DATA_RASIC!N113,IF($B$4="ESP_DOOR TRIM",DATA_RASIC!AP113,IF($B$4="ESP_Partner_LEVEL_01",DATA_RASIC!AW113,"")))))))</f>
        <v>-</v>
      </c>
      <c r="P116" s="40" t="str">
        <f>IF($B$4="Assembly or Component Provider",DATA_RASIC!V113,IF($B$4="Consultancy Component Provider",DATA_RASIC!AC113,IF($B$4="Make to Print",DATA_RASIC!AJ113,IF($B$4="Engineering Service Provider",DATA_RASIC!H113,IF($B$4="Full System Provider",DATA_RASIC!O113,IF($B$4="ESP_DOOR TRIM",DATA_RASIC!AQ113,IF($B$4="ESP_Partner_LEVEL_01",DATA_RASIC!AX113,"")))))))</f>
        <v>-</v>
      </c>
    </row>
    <row r="117" spans="1:16" ht="33.6" customHeight="1" x14ac:dyDescent="0.3">
      <c r="A117" s="80" t="str">
        <f>IF($B$4="Assembly or Component Provider",DATA_RASIC_DESC!A109,IF($B$4="Consultancy Component Provider",DATA_RASIC_DESC!A109,IF($B$4="Make to Print",DATA_RASIC_DESC!A109,IF($B$4="Engineering Service Provider",DATA_RASIC_DESC!A109,IF($B$4="Full System Provider",DATA_RASIC_DESC!A109,IF($B$4="ESP_DOOR TRIM",DATA_RASIC_DESC!D109,IF($B$4="ESP_Partner_LEVEL_01",DATA_RASIC_DESC!G109,"")))))))</f>
        <v>MNP.4</v>
      </c>
      <c r="B117" s="432" t="str">
        <f>IF($B$4="Assembly or Component Provider",DATA_RASIC_DESC!B109,IF($B$4="Consultancy Component Provider",DATA_RASIC_DESC!B109,IF($B$4="Make to Print",DATA_RASIC_DESC!B109,IF($B$4="Engineering Service Provider",DATA_RASIC_DESC!B109,IF($B$4="Full System Provider",DATA_RASIC_DESC!B109,IF($B$4="ESP_DOOR TRIM",DATA_RASIC_DESC!E109,IF($B$4="ESP_Partner_LEVEL_01",DATA_RASIC_DESC!H109,"")))))))</f>
        <v xml:space="preserve">Issue and execute minimum agreed per plant broadcast information and lead-time for each sequence to support continuous flow of delivery, including In-Line Vehicle Sequencing </v>
      </c>
      <c r="C117" s="432"/>
      <c r="D117" s="432"/>
      <c r="E117" s="432"/>
      <c r="F117" s="432"/>
      <c r="G117" s="432"/>
      <c r="H117" s="432"/>
      <c r="I117" s="432"/>
      <c r="J117" s="432"/>
      <c r="K117" s="40" t="str">
        <f>IF($B$4="Assembly or Component Provider",DATA_RASIC!Q114,IF($B$4="Consultancy Component Provider",DATA_RASIC!X114,IF($B$4="Make to Print",DATA_RASIC!AE114,IF($B$4="Engineering Service Provider",DATA_RASIC!C114,IF($B$4="Full System Provider",DATA_RASIC!J114,IF($B$4="ESP_DOOR TRIM",DATA_RASIC!AL114,IF($B$4="ESP_Partner_LEVEL_01",DATA_RASIC!AS114,"")))))))</f>
        <v>JLR</v>
      </c>
      <c r="L117" s="40" t="str">
        <f>IF($B$4="Assembly or Component Provider",DATA_RASIC!R114,IF($B$4="Consultancy Component Provider",DATA_RASIC!Y114,IF($B$4="Make to Print",DATA_RASIC!AF114,IF($B$4="Engineering Service Provider",DATA_RASIC!D114,IF($B$4="Full System Provider",DATA_RASIC!K114,IF($B$4="ESP_DOOR TRIM",DATA_RASIC!AM114,IF($B$4="ESP_Partner_LEVEL_01",DATA_RASIC!AT114,"")))))))</f>
        <v>JLR</v>
      </c>
      <c r="M117" s="40" t="str">
        <f>IF($B$4="Assembly or Component Provider",DATA_RASIC!S114,IF($B$4="Consultancy Component Provider",DATA_RASIC!Z114,IF($B$4="Make to Print",DATA_RASIC!AG114,IF($B$4="Engineering Service Provider",DATA_RASIC!E114,IF($B$4="Full System Provider",DATA_RASIC!L114,IF($B$4="ESP_DOOR TRIM",DATA_RASIC!AN114,IF($B$4="ESP_Partner_LEVEL_01",DATA_RASIC!AU114,"")))))))</f>
        <v>JLR</v>
      </c>
      <c r="N117" s="40" t="str">
        <f>IF($B$4="Assembly or Component Provider",DATA_RASIC!T114,IF($B$4="Consultancy Component Provider",DATA_RASIC!AA114,IF($B$4="Make to Print",DATA_RASIC!AH114,IF($B$4="Engineering Service Provider",DATA_RASIC!F114,IF($B$4="Full System Provider",DATA_RASIC!M114,IF($B$4="ESP_DOOR TRIM",DATA_RASIC!AO114,IF($B$4="ESP_Partner_LEVEL_01",DATA_RASIC!AV114,"")))))))</f>
        <v>SE</v>
      </c>
      <c r="O117" s="40" t="str">
        <f>IF($B$4="Assembly or Component Provider",DATA_RASIC!U114,IF($B$4="Consultancy Component Provider",DATA_RASIC!AB114,IF($B$4="Make to Print",DATA_RASIC!AI114,IF($B$4="Engineering Service Provider",DATA_RASIC!G114,IF($B$4="Full System Provider",DATA_RASIC!N114,IF($B$4="ESP_DOOR TRIM",DATA_RASIC!AP114,IF($B$4="ESP_Partner_LEVEL_01",DATA_RASIC!AW114,"")))))))</f>
        <v>-</v>
      </c>
      <c r="P117" s="40" t="str">
        <f>IF($B$4="Assembly or Component Provider",DATA_RASIC!V114,IF($B$4="Consultancy Component Provider",DATA_RASIC!AC114,IF($B$4="Make to Print",DATA_RASIC!AJ114,IF($B$4="Engineering Service Provider",DATA_RASIC!H114,IF($B$4="Full System Provider",DATA_RASIC!O114,IF($B$4="ESP_DOOR TRIM",DATA_RASIC!AQ114,IF($B$4="ESP_Partner_LEVEL_01",DATA_RASIC!AX114,"")))))))</f>
        <v>-</v>
      </c>
    </row>
    <row r="118" spans="1:16" ht="91.95" customHeight="1" x14ac:dyDescent="0.3">
      <c r="A118" s="80" t="str">
        <f>IF($B$4="Assembly or Component Provider",DATA_RASIC_DESC!A110,IF($B$4="Consultancy Component Provider",DATA_RASIC_DESC!A110,IF($B$4="Make to Print",DATA_RASIC_DESC!A110,IF($B$4="Engineering Service Provider",DATA_RASIC_DESC!A110,IF($B$4="Full System Provider",DATA_RASIC_DESC!A110,IF($B$4="ESP_DOOR TRIM",DATA_RASIC_DESC!D110,IF($B$4="ESP_Partner_LEVEL_01",DATA_RASIC_DESC!G110,"")))))))</f>
        <v>MNP.5</v>
      </c>
      <c r="B118" s="432" t="str">
        <f>IF($B$4="Assembly or Component Provider",DATA_RASIC_DESC!B110,IF($B$4="Consultancy Component Provider",DATA_RASIC_DESC!B110,IF($B$4="Make to Print",DATA_RASIC_DESC!B110,IF($B$4="Engineering Service Provider",DATA_RASIC_DESC!B110,IF($B$4="Full System Provider",DATA_RASIC_DESC!B110,IF($B$4="ESP_DOOR TRIM",DATA_RASIC_DESC!E110,IF($B$4="ESP_Partner_LEVEL_01",DATA_RASIC_DESC!H110,"")))))))</f>
        <v>Perform regular World Class Product Audit (WCPA) evaluations, including Squeaks &amp; Rattles (S&amp;R) of the supplied commodities</v>
      </c>
      <c r="C118" s="432"/>
      <c r="D118" s="432"/>
      <c r="E118" s="432"/>
      <c r="F118" s="432"/>
      <c r="G118" s="432"/>
      <c r="H118" s="432"/>
      <c r="I118" s="432"/>
      <c r="J118" s="432"/>
      <c r="K118" s="40" t="str">
        <f>IF($B$4="Assembly or Component Provider",DATA_RASIC!Q115,IF($B$4="Consultancy Component Provider",DATA_RASIC!X115,IF($B$4="Make to Print",DATA_RASIC!AE115,IF($B$4="Engineering Service Provider",DATA_RASIC!C115,IF($B$4="Full System Provider",DATA_RASIC!J115,IF($B$4="ESP_DOOR TRIM",DATA_RASIC!AL115,IF($B$4="ESP_Partner_LEVEL_01",DATA_RASIC!AS115,"")))))))</f>
        <v>JLR</v>
      </c>
      <c r="L118" s="40" t="str">
        <f>IF($B$4="Assembly or Component Provider",DATA_RASIC!R115,IF($B$4="Consultancy Component Provider",DATA_RASIC!Y115,IF($B$4="Make to Print",DATA_RASIC!AF115,IF($B$4="Engineering Service Provider",DATA_RASIC!D115,IF($B$4="Full System Provider",DATA_RASIC!K115,IF($B$4="ESP_DOOR TRIM",DATA_RASIC!AM115,IF($B$4="ESP_Partner_LEVEL_01",DATA_RASIC!AT115,"")))))))</f>
        <v>JLR</v>
      </c>
      <c r="M118" s="40" t="str">
        <f>IF($B$4="Assembly or Component Provider",DATA_RASIC!S115,IF($B$4="Consultancy Component Provider",DATA_RASIC!Z115,IF($B$4="Make to Print",DATA_RASIC!AG115,IF($B$4="Engineering Service Provider",DATA_RASIC!E115,IF($B$4="Full System Provider",DATA_RASIC!L115,IF($B$4="ESP_DOOR TRIM",DATA_RASIC!AN115,IF($B$4="ESP_Partner_LEVEL_01",DATA_RASIC!AU115,"")))))))</f>
        <v>JLR</v>
      </c>
      <c r="N118" s="40" t="str">
        <f>IF($B$4="Assembly or Component Provider",DATA_RASIC!T115,IF($B$4="Consultancy Component Provider",DATA_RASIC!AA115,IF($B$4="Make to Print",DATA_RASIC!AH115,IF($B$4="Engineering Service Provider",DATA_RASIC!F115,IF($B$4="Full System Provider",DATA_RASIC!M115,IF($B$4="ESP_DOOR TRIM",DATA_RASIC!AO115,IF($B$4="ESP_Partner_LEVEL_01",DATA_RASIC!AV115,"")))))))</f>
        <v>SE</v>
      </c>
      <c r="O118" s="40" t="str">
        <f>IF($B$4="Assembly or Component Provider",DATA_RASIC!U115,IF($B$4="Consultancy Component Provider",DATA_RASIC!AB115,IF($B$4="Make to Print",DATA_RASIC!AI115,IF($B$4="Engineering Service Provider",DATA_RASIC!G115,IF($B$4="Full System Provider",DATA_RASIC!N115,IF($B$4="ESP_DOOR TRIM",DATA_RASIC!AP115,IF($B$4="ESP_Partner_LEVEL_01",DATA_RASIC!AW115,"")))))))</f>
        <v>-</v>
      </c>
      <c r="P118" s="40" t="str">
        <f>IF($B$4="Assembly or Component Provider",DATA_RASIC!V115,IF($B$4="Consultancy Component Provider",DATA_RASIC!AC115,IF($B$4="Make to Print",DATA_RASIC!AJ115,IF($B$4="Engineering Service Provider",DATA_RASIC!H115,IF($B$4="Full System Provider",DATA_RASIC!O115,IF($B$4="ESP_DOOR TRIM",DATA_RASIC!AQ115,IF($B$4="ESP_Partner_LEVEL_01",DATA_RASIC!AX115,"")))))))</f>
        <v>-</v>
      </c>
    </row>
    <row r="119" spans="1:16" ht="40.200000000000003" customHeight="1" x14ac:dyDescent="0.3">
      <c r="A119" s="80" t="str">
        <f>IF($B$4="Assembly or Component Provider",DATA_RASIC_DESC!A111,IF($B$4="Consultancy Component Provider",DATA_RASIC_DESC!A111,IF($B$4="Make to Print",DATA_RASIC_DESC!A111,IF($B$4="Engineering Service Provider",DATA_RASIC_DESC!A111,IF($B$4="Full System Provider",DATA_RASIC_DESC!A111,IF($B$4="ESP_DOOR TRIM",DATA_RASIC_DESC!D111,IF($B$4="ESP_Partner_LEVEL_01",DATA_RASIC_DESC!G111,"")))))))</f>
        <v>MNP.6</v>
      </c>
      <c r="B119" s="432" t="str">
        <f>IF($B$4="Assembly or Component Provider",DATA_RASIC_DESC!B111,IF($B$4="Consultancy Component Provider",DATA_RASIC_DESC!B111,IF($B$4="Make to Print",DATA_RASIC_DESC!B111,IF($B$4="Engineering Service Provider",DATA_RASIC_DESC!B111,IF($B$4="Full System Provider",DATA_RASIC_DESC!B111,IF($B$4="ESP_DOOR TRIM",DATA_RASIC_DESC!E111,IF($B$4="ESP_Partner_LEVEL_01",DATA_RASIC_DESC!H111,"")))))))</f>
        <v xml:space="preserve">Specify and approve transportation &amp; packaging (dunnage) for all supplied components to Jaguar Land Rover's plants. </v>
      </c>
      <c r="C119" s="432"/>
      <c r="D119" s="432"/>
      <c r="E119" s="432"/>
      <c r="F119" s="432"/>
      <c r="G119" s="432"/>
      <c r="H119" s="432"/>
      <c r="I119" s="432"/>
      <c r="J119" s="432"/>
      <c r="K119" s="40" t="str">
        <f>IF($B$4="Assembly or Component Provider",DATA_RASIC!Q116,IF($B$4="Consultancy Component Provider",DATA_RASIC!X116,IF($B$4="Make to Print",DATA_RASIC!AE116,IF($B$4="Engineering Service Provider",DATA_RASIC!C116,IF($B$4="Full System Provider",DATA_RASIC!J116,IF($B$4="ESP_DOOR TRIM",DATA_RASIC!AL116,IF($B$4="ESP_Partner_LEVEL_01",DATA_RASIC!AS116,"")))))))</f>
        <v>JLR</v>
      </c>
      <c r="L119" s="40" t="str">
        <f>IF($B$4="Assembly or Component Provider",DATA_RASIC!R116,IF($B$4="Consultancy Component Provider",DATA_RASIC!Y116,IF($B$4="Make to Print",DATA_RASIC!AF116,IF($B$4="Engineering Service Provider",DATA_RASIC!D116,IF($B$4="Full System Provider",DATA_RASIC!K116,IF($B$4="ESP_DOOR TRIM",DATA_RASIC!AM116,IF($B$4="ESP_Partner_LEVEL_01",DATA_RASIC!AT116,"")))))))</f>
        <v>JLR</v>
      </c>
      <c r="M119" s="40" t="str">
        <f>IF($B$4="Assembly or Component Provider",DATA_RASIC!S116,IF($B$4="Consultancy Component Provider",DATA_RASIC!Z116,IF($B$4="Make to Print",DATA_RASIC!AG116,IF($B$4="Engineering Service Provider",DATA_RASIC!E116,IF($B$4="Full System Provider",DATA_RASIC!L116,IF($B$4="ESP_DOOR TRIM",DATA_RASIC!AN116,IF($B$4="ESP_Partner_LEVEL_01",DATA_RASIC!AU116,"")))))))</f>
        <v>JLR</v>
      </c>
      <c r="N119" s="40" t="str">
        <f>IF($B$4="Assembly or Component Provider",DATA_RASIC!T116,IF($B$4="Consultancy Component Provider",DATA_RASIC!AA116,IF($B$4="Make to Print",DATA_RASIC!AH116,IF($B$4="Engineering Service Provider",DATA_RASIC!F116,IF($B$4="Full System Provider",DATA_RASIC!M116,IF($B$4="ESP_DOOR TRIM",DATA_RASIC!AO116,IF($B$4="ESP_Partner_LEVEL_01",DATA_RASIC!AV116,"")))))))</f>
        <v>SE</v>
      </c>
      <c r="O119" s="40" t="str">
        <f>IF($B$4="Assembly or Component Provider",DATA_RASIC!U116,IF($B$4="Consultancy Component Provider",DATA_RASIC!AB116,IF($B$4="Make to Print",DATA_RASIC!AI116,IF($B$4="Engineering Service Provider",DATA_RASIC!G116,IF($B$4="Full System Provider",DATA_RASIC!N116,IF($B$4="ESP_DOOR TRIM",DATA_RASIC!AP116,IF($B$4="ESP_Partner_LEVEL_01",DATA_RASIC!AW116,"")))))))</f>
        <v>-</v>
      </c>
      <c r="P119" s="40" t="str">
        <f>IF($B$4="Assembly or Component Provider",DATA_RASIC!V116,IF($B$4="Consultancy Component Provider",DATA_RASIC!AC116,IF($B$4="Make to Print",DATA_RASIC!AJ116,IF($B$4="Engineering Service Provider",DATA_RASIC!H116,IF($B$4="Full System Provider",DATA_RASIC!O116,IF($B$4="ESP_DOOR TRIM",DATA_RASIC!AQ116,IF($B$4="ESP_Partner_LEVEL_01",DATA_RASIC!AX116,"")))))))</f>
        <v>-</v>
      </c>
    </row>
    <row r="120" spans="1:16" ht="86.4" customHeight="1" x14ac:dyDescent="0.3">
      <c r="A120" s="80" t="str">
        <f>IF($B$4="Assembly or Component Provider",DATA_RASIC_DESC!A112,IF($B$4="Consultancy Component Provider",DATA_RASIC_DESC!A112,IF($B$4="Make to Print",DATA_RASIC_DESC!A112,IF($B$4="Engineering Service Provider",DATA_RASIC_DESC!A112,IF($B$4="Full System Provider",DATA_RASIC_DESC!A112,IF($B$4="ESP_DOOR TRIM",DATA_RASIC_DESC!D112,IF($B$4="ESP_Partner_LEVEL_01",DATA_RASIC_DESC!G112,"")))))))</f>
        <v>MNP.7</v>
      </c>
      <c r="B120" s="432" t="str">
        <f>IF($B$4="Assembly or Component Provider",DATA_RASIC_DESC!B112,IF($B$4="Consultancy Component Provider",DATA_RASIC_DESC!B112,IF($B$4="Make to Print",DATA_RASIC_DESC!B112,IF($B$4="Engineering Service Provider",DATA_RASIC_DESC!B112,IF($B$4="Full System Provider",DATA_RASIC_DESC!B112,IF($B$4="ESP_DOOR TRIM",DATA_RASIC_DESC!E112,IF($B$4="ESP_Partner_LEVEL_01",DATA_RASIC_DESC!H112,"")))))))</f>
        <v>Support vehicle launch plan per  VPF:
· Meet the requirements of Jaguar Land Rover's Phased Production Parts Approval Process (PPAP)
· On-time production part approval
· Product and personnel to support production builds and launch</v>
      </c>
      <c r="C120" s="432"/>
      <c r="D120" s="432"/>
      <c r="E120" s="432"/>
      <c r="F120" s="432"/>
      <c r="G120" s="432"/>
      <c r="H120" s="432"/>
      <c r="I120" s="432"/>
      <c r="J120" s="432"/>
      <c r="K120" s="40" t="str">
        <f>IF($B$4="Assembly or Component Provider",DATA_RASIC!Q117,IF($B$4="Consultancy Component Provider",DATA_RASIC!X117,IF($B$4="Make to Print",DATA_RASIC!AE117,IF($B$4="Engineering Service Provider",DATA_RASIC!C117,IF($B$4="Full System Provider",DATA_RASIC!J117,IF($B$4="ESP_DOOR TRIM",DATA_RASIC!AL117,IF($B$4="ESP_Partner_LEVEL_01",DATA_RASIC!AS117,"")))))))</f>
        <v>SHARE</v>
      </c>
      <c r="L120" s="40" t="str">
        <f>IF($B$4="Assembly or Component Provider",DATA_RASIC!R117,IF($B$4="Consultancy Component Provider",DATA_RASIC!Y117,IF($B$4="Make to Print",DATA_RASIC!AF117,IF($B$4="Engineering Service Provider",DATA_RASIC!D117,IF($B$4="Full System Provider",DATA_RASIC!K117,IF($B$4="ESP_DOOR TRIM",DATA_RASIC!AM117,IF($B$4="ESP_Partner_LEVEL_01",DATA_RASIC!AT117,"")))))))</f>
        <v>SHARE</v>
      </c>
      <c r="M120" s="40" t="str">
        <f>IF($B$4="Assembly or Component Provider",DATA_RASIC!S117,IF($B$4="Consultancy Component Provider",DATA_RASIC!Z117,IF($B$4="Make to Print",DATA_RASIC!AG117,IF($B$4="Engineering Service Provider",DATA_RASIC!E117,IF($B$4="Full System Provider",DATA_RASIC!L117,IF($B$4="ESP_DOOR TRIM",DATA_RASIC!AN117,IF($B$4="ESP_Partner_LEVEL_01",DATA_RASIC!AU117,"")))))))</f>
        <v>SHARE</v>
      </c>
      <c r="N120" s="40" t="str">
        <f>IF($B$4="Assembly or Component Provider",DATA_RASIC!T117,IF($B$4="Consultancy Component Provider",DATA_RASIC!AA117,IF($B$4="Make to Print",DATA_RASIC!AH117,IF($B$4="Engineering Service Provider",DATA_RASIC!F117,IF($B$4="Full System Provider",DATA_RASIC!M117,IF($B$4="ESP_DOOR TRIM",DATA_RASIC!AO117,IF($B$4="ESP_Partner_LEVEL_01",DATA_RASIC!AV117,"")))))))</f>
        <v>SHARE</v>
      </c>
      <c r="O120" s="40" t="str">
        <f>IF($B$4="Assembly or Component Provider",DATA_RASIC!U117,IF($B$4="Consultancy Component Provider",DATA_RASIC!AB117,IF($B$4="Make to Print",DATA_RASIC!AI117,IF($B$4="Engineering Service Provider",DATA_RASIC!G117,IF($B$4="Full System Provider",DATA_RASIC!N117,IF($B$4="ESP_DOOR TRIM",DATA_RASIC!AP117,IF($B$4="ESP_Partner_LEVEL_01",DATA_RASIC!AW117,"")))))))</f>
        <v>-</v>
      </c>
      <c r="P120" s="40" t="str">
        <f>IF($B$4="Assembly or Component Provider",DATA_RASIC!V117,IF($B$4="Consultancy Component Provider",DATA_RASIC!AC117,IF($B$4="Make to Print",DATA_RASIC!AJ117,IF($B$4="Engineering Service Provider",DATA_RASIC!H117,IF($B$4="Full System Provider",DATA_RASIC!O117,IF($B$4="ESP_DOOR TRIM",DATA_RASIC!AQ117,IF($B$4="ESP_Partner_LEVEL_01",DATA_RASIC!AX117,"")))))))</f>
        <v>-</v>
      </c>
    </row>
    <row r="121" spans="1:16" ht="68.400000000000006" customHeight="1" x14ac:dyDescent="0.3">
      <c r="A121" s="80" t="str">
        <f>IF($B$4="Assembly or Component Provider",DATA_RASIC_DESC!A113,IF($B$4="Consultancy Component Provider",DATA_RASIC_DESC!A113,IF($B$4="Make to Print",DATA_RASIC_DESC!A113,IF($B$4="Engineering Service Provider",DATA_RASIC_DESC!A113,IF($B$4="Full System Provider",DATA_RASIC_DESC!A113,IF($B$4="ESP_DOOR TRIM",DATA_RASIC_DESC!D113,IF($B$4="ESP_Partner_LEVEL_01",DATA_RASIC_DESC!G113,"")))))))</f>
        <v>MNP.8</v>
      </c>
      <c r="B121" s="432" t="str">
        <f>IF($B$4="Assembly or Component Provider",DATA_RASIC_DESC!B113,IF($B$4="Consultancy Component Provider",DATA_RASIC_DESC!B113,IF($B$4="Make to Print",DATA_RASIC_DESC!B113,IF($B$4="Engineering Service Provider",DATA_RASIC_DESC!B113,IF($B$4="Full System Provider",DATA_RASIC_DESC!B113,IF($B$4="ESP_DOOR TRIM",DATA_RASIC_DESC!E113,IF($B$4="ESP_Partner_LEVEL_01",DATA_RASIC_DESC!H113,"")))))))</f>
        <v>Capacity planning to include service part requirements/volume in both tooling and production facilities for the service life of the assembly or part (including service)</v>
      </c>
      <c r="C121" s="432"/>
      <c r="D121" s="432"/>
      <c r="E121" s="432"/>
      <c r="F121" s="432"/>
      <c r="G121" s="432"/>
      <c r="H121" s="432"/>
      <c r="I121" s="432"/>
      <c r="J121" s="432"/>
      <c r="K121" s="40" t="str">
        <f>IF($B$4="Assembly or Component Provider",DATA_RASIC!Q118,IF($B$4="Consultancy Component Provider",DATA_RASIC!X118,IF($B$4="Make to Print",DATA_RASIC!AE118,IF($B$4="Engineering Service Provider",DATA_RASIC!C118,IF($B$4="Full System Provider",DATA_RASIC!J118,IF($B$4="ESP_DOOR TRIM",DATA_RASIC!AL118,IF($B$4="ESP_Partner_LEVEL_01",DATA_RASIC!AS118,"")))))))</f>
        <v>SE</v>
      </c>
      <c r="L121" s="40" t="str">
        <f>IF($B$4="Assembly or Component Provider",DATA_RASIC!R118,IF($B$4="Consultancy Component Provider",DATA_RASIC!Y118,IF($B$4="Make to Print",DATA_RASIC!AF118,IF($B$4="Engineering Service Provider",DATA_RASIC!D118,IF($B$4="Full System Provider",DATA_RASIC!K118,IF($B$4="ESP_DOOR TRIM",DATA_RASIC!AM118,IF($B$4="ESP_Partner_LEVEL_01",DATA_RASIC!AT118,"")))))))</f>
        <v>SE</v>
      </c>
      <c r="M121" s="40" t="str">
        <f>IF($B$4="Assembly or Component Provider",DATA_RASIC!S118,IF($B$4="Consultancy Component Provider",DATA_RASIC!Z118,IF($B$4="Make to Print",DATA_RASIC!AG118,IF($B$4="Engineering Service Provider",DATA_RASIC!E118,IF($B$4="Full System Provider",DATA_RASIC!L118,IF($B$4="ESP_DOOR TRIM",DATA_RASIC!AN118,IF($B$4="ESP_Partner_LEVEL_01",DATA_RASIC!AU118,"")))))))</f>
        <v>JLR</v>
      </c>
      <c r="N121" s="40" t="str">
        <f>IF($B$4="Assembly or Component Provider",DATA_RASIC!T118,IF($B$4="Consultancy Component Provider",DATA_RASIC!AA118,IF($B$4="Make to Print",DATA_RASIC!AH118,IF($B$4="Engineering Service Provider",DATA_RASIC!F118,IF($B$4="Full System Provider",DATA_RASIC!M118,IF($B$4="ESP_DOOR TRIM",DATA_RASIC!AO118,IF($B$4="ESP_Partner_LEVEL_01",DATA_RASIC!AV118,"")))))))</f>
        <v>JLR</v>
      </c>
      <c r="O121" s="40" t="str">
        <f>IF($B$4="Assembly or Component Provider",DATA_RASIC!U118,IF($B$4="Consultancy Component Provider",DATA_RASIC!AB118,IF($B$4="Make to Print",DATA_RASIC!AI118,IF($B$4="Engineering Service Provider",DATA_RASIC!G118,IF($B$4="Full System Provider",DATA_RASIC!N118,IF($B$4="ESP_DOOR TRIM",DATA_RASIC!AP118,IF($B$4="ESP_Partner_LEVEL_01",DATA_RASIC!AW118,"")))))))</f>
        <v>-</v>
      </c>
      <c r="P121" s="40" t="str">
        <f>IF($B$4="Assembly or Component Provider",DATA_RASIC!V118,IF($B$4="Consultancy Component Provider",DATA_RASIC!AC118,IF($B$4="Make to Print",DATA_RASIC!AJ118,IF($B$4="Engineering Service Provider",DATA_RASIC!H118,IF($B$4="Full System Provider",DATA_RASIC!O118,IF($B$4="ESP_DOOR TRIM",DATA_RASIC!AQ118,IF($B$4="ESP_Partner_LEVEL_01",DATA_RASIC!AX118,"")))))))</f>
        <v>-</v>
      </c>
    </row>
    <row r="122" spans="1:16" ht="58.2" customHeight="1" x14ac:dyDescent="0.3">
      <c r="A122" s="80" t="str">
        <f>IF($B$4="Assembly or Component Provider",DATA_RASIC_DESC!A114,IF($B$4="Consultancy Component Provider",DATA_RASIC_DESC!A114,IF($B$4="Make to Print",DATA_RASIC_DESC!A114,IF($B$4="Engineering Service Provider",DATA_RASIC_DESC!A114,IF($B$4="Full System Provider",DATA_RASIC_DESC!A114,IF($B$4="ESP_DOOR TRIM",DATA_RASIC_DESC!D114,IF($B$4="ESP_Partner_LEVEL_01",DATA_RASIC_DESC!G114,"")))))))</f>
        <v>MNP.9</v>
      </c>
      <c r="B122" s="432" t="str">
        <f>IF($B$4="Assembly or Component Provider",DATA_RASIC_DESC!B114,IF($B$4="Consultancy Component Provider",DATA_RASIC_DESC!B114,IF($B$4="Make to Print",DATA_RASIC_DESC!B114,IF($B$4="Engineering Service Provider",DATA_RASIC_DESC!B114,IF($B$4="Full System Provider",DATA_RASIC_DESC!B114,IF($B$4="ESP_DOOR TRIM",DATA_RASIC_DESC!E114,IF($B$4="ESP_Partner_LEVEL_01",DATA_RASIC_DESC!H114,"")))))))</f>
        <v>Establish a process/system to maintain and control the disposal or rework of supplier owned and/or tiered supplier tooling</v>
      </c>
      <c r="C122" s="432"/>
      <c r="D122" s="432"/>
      <c r="E122" s="432"/>
      <c r="F122" s="432"/>
      <c r="G122" s="432"/>
      <c r="H122" s="432"/>
      <c r="I122" s="432"/>
      <c r="J122" s="432"/>
      <c r="K122" s="40" t="str">
        <f>IF($B$4="Assembly or Component Provider",DATA_RASIC!Q119,IF($B$4="Consultancy Component Provider",DATA_RASIC!X119,IF($B$4="Make to Print",DATA_RASIC!AE119,IF($B$4="Engineering Service Provider",DATA_RASIC!C119,IF($B$4="Full System Provider",DATA_RASIC!J119,IF($B$4="ESP_DOOR TRIM",DATA_RASIC!AL119,IF($B$4="ESP_Partner_LEVEL_01",DATA_RASIC!AS119,"")))))))</f>
        <v>SE</v>
      </c>
      <c r="L122" s="40" t="str">
        <f>IF($B$4="Assembly or Component Provider",DATA_RASIC!R119,IF($B$4="Consultancy Component Provider",DATA_RASIC!Y119,IF($B$4="Make to Print",DATA_RASIC!AF119,IF($B$4="Engineering Service Provider",DATA_RASIC!D119,IF($B$4="Full System Provider",DATA_RASIC!K119,IF($B$4="ESP_DOOR TRIM",DATA_RASIC!AM119,IF($B$4="ESP_Partner_LEVEL_01",DATA_RASIC!AT119,"")))))))</f>
        <v>SE</v>
      </c>
      <c r="M122" s="40" t="str">
        <f>IF($B$4="Assembly or Component Provider",DATA_RASIC!S119,IF($B$4="Consultancy Component Provider",DATA_RASIC!Z119,IF($B$4="Make to Print",DATA_RASIC!AG119,IF($B$4="Engineering Service Provider",DATA_RASIC!E119,IF($B$4="Full System Provider",DATA_RASIC!L119,IF($B$4="ESP_DOOR TRIM",DATA_RASIC!AN119,IF($B$4="ESP_Partner_LEVEL_01",DATA_RASIC!AU119,"")))))))</f>
        <v>JLR</v>
      </c>
      <c r="N122" s="40" t="str">
        <f>IF($B$4="Assembly or Component Provider",DATA_RASIC!T119,IF($B$4="Consultancy Component Provider",DATA_RASIC!AA119,IF($B$4="Make to Print",DATA_RASIC!AH119,IF($B$4="Engineering Service Provider",DATA_RASIC!F119,IF($B$4="Full System Provider",DATA_RASIC!M119,IF($B$4="ESP_DOOR TRIM",DATA_RASIC!AO119,IF($B$4="ESP_Partner_LEVEL_01",DATA_RASIC!AV119,"")))))))</f>
        <v>JLR</v>
      </c>
      <c r="O122" s="40" t="str">
        <f>IF($B$4="Assembly or Component Provider",DATA_RASIC!U119,IF($B$4="Consultancy Component Provider",DATA_RASIC!AB119,IF($B$4="Make to Print",DATA_RASIC!AI119,IF($B$4="Engineering Service Provider",DATA_RASIC!G119,IF($B$4="Full System Provider",DATA_RASIC!N119,IF($B$4="ESP_DOOR TRIM",DATA_RASIC!AP119,IF($B$4="ESP_Partner_LEVEL_01",DATA_RASIC!AW119,"")))))))</f>
        <v>-</v>
      </c>
      <c r="P122" s="40" t="str">
        <f>IF($B$4="Assembly or Component Provider",DATA_RASIC!V119,IF($B$4="Consultancy Component Provider",DATA_RASIC!AC119,IF($B$4="Make to Print",DATA_RASIC!AJ119,IF($B$4="Engineering Service Provider",DATA_RASIC!H119,IF($B$4="Full System Provider",DATA_RASIC!O119,IF($B$4="ESP_DOOR TRIM",DATA_RASIC!AQ119,IF($B$4="ESP_Partner_LEVEL_01",DATA_RASIC!AX119,"")))))))</f>
        <v>-</v>
      </c>
    </row>
    <row r="123" spans="1:16" ht="33.6" customHeight="1" x14ac:dyDescent="0.3">
      <c r="A123" s="80" t="str">
        <f>IF($B$4="Assembly or Component Provider",DATA_RASIC_DESC!A115,IF($B$4="Consultancy Component Provider",DATA_RASIC_DESC!A115,IF($B$4="Make to Print",DATA_RASIC_DESC!A115,IF($B$4="Engineering Service Provider",DATA_RASIC_DESC!A115,IF($B$4="Full System Provider",DATA_RASIC_DESC!A115,IF($B$4="ESP_DOOR TRIM",DATA_RASIC_DESC!D115,IF($B$4="ESP_Partner_LEVEL_01",DATA_RASIC_DESC!G115,"")))))))</f>
        <v>MNP.10</v>
      </c>
      <c r="B123" s="432" t="str">
        <f>IF($B$4="Assembly or Component Provider",DATA_RASIC_DESC!B115,IF($B$4="Consultancy Component Provider",DATA_RASIC_DESC!B115,IF($B$4="Make to Print",DATA_RASIC_DESC!B115,IF($B$4="Engineering Service Provider",DATA_RASIC_DESC!B115,IF($B$4="Full System Provider",DATA_RASIC_DESC!B115,IF($B$4="ESP_DOOR TRIM",DATA_RASIC_DESC!E115,IF($B$4="ESP_Partner_LEVEL_01",DATA_RASIC_DESC!H115,"")))))))</f>
        <v>Provide pre-series build support and control plan consistent with vehicle pre-series plan and engineering budget</v>
      </c>
      <c r="C123" s="432"/>
      <c r="D123" s="432"/>
      <c r="E123" s="432"/>
      <c r="F123" s="432"/>
      <c r="G123" s="432"/>
      <c r="H123" s="432"/>
      <c r="I123" s="432"/>
      <c r="J123" s="432"/>
      <c r="K123" s="40" t="str">
        <f>IF($B$4="Assembly or Component Provider",DATA_RASIC!Q120,IF($B$4="Consultancy Component Provider",DATA_RASIC!X120,IF($B$4="Make to Print",DATA_RASIC!AE120,IF($B$4="Engineering Service Provider",DATA_RASIC!C120,IF($B$4="Full System Provider",DATA_RASIC!J120,IF($B$4="ESP_DOOR TRIM",DATA_RASIC!AL120,IF($B$4="ESP_Partner_LEVEL_01",DATA_RASIC!AS120,"")))))))</f>
        <v>SE</v>
      </c>
      <c r="L123" s="40" t="str">
        <f>IF($B$4="Assembly or Component Provider",DATA_RASIC!R120,IF($B$4="Consultancy Component Provider",DATA_RASIC!Y120,IF($B$4="Make to Print",DATA_RASIC!AF120,IF($B$4="Engineering Service Provider",DATA_RASIC!D120,IF($B$4="Full System Provider",DATA_RASIC!K120,IF($B$4="ESP_DOOR TRIM",DATA_RASIC!AM120,IF($B$4="ESP_Partner_LEVEL_01",DATA_RASIC!AT120,"")))))))</f>
        <v>SE</v>
      </c>
      <c r="M123" s="40" t="str">
        <f>IF($B$4="Assembly or Component Provider",DATA_RASIC!S120,IF($B$4="Consultancy Component Provider",DATA_RASIC!Z120,IF($B$4="Make to Print",DATA_RASIC!AG120,IF($B$4="Engineering Service Provider",DATA_RASIC!E120,IF($B$4="Full System Provider",DATA_RASIC!L120,IF($B$4="ESP_DOOR TRIM",DATA_RASIC!AN120,IF($B$4="ESP_Partner_LEVEL_01",DATA_RASIC!AU120,"")))))))</f>
        <v>JLR</v>
      </c>
      <c r="N123" s="40" t="str">
        <f>IF($B$4="Assembly or Component Provider",DATA_RASIC!T120,IF($B$4="Consultancy Component Provider",DATA_RASIC!AA120,IF($B$4="Make to Print",DATA_RASIC!AH120,IF($B$4="Engineering Service Provider",DATA_RASIC!F120,IF($B$4="Full System Provider",DATA_RASIC!M120,IF($B$4="ESP_DOOR TRIM",DATA_RASIC!AO120,IF($B$4="ESP_Partner_LEVEL_01",DATA_RASIC!AV120,"")))))))</f>
        <v>JLR</v>
      </c>
      <c r="O123" s="40" t="str">
        <f>IF($B$4="Assembly or Component Provider",DATA_RASIC!U120,IF($B$4="Consultancy Component Provider",DATA_RASIC!AB120,IF($B$4="Make to Print",DATA_RASIC!AI120,IF($B$4="Engineering Service Provider",DATA_RASIC!G120,IF($B$4="Full System Provider",DATA_RASIC!N120,IF($B$4="ESP_DOOR TRIM",DATA_RASIC!AP120,IF($B$4="ESP_Partner_LEVEL_01",DATA_RASIC!AW120,"")))))))</f>
        <v>-</v>
      </c>
      <c r="P123" s="40" t="str">
        <f>IF($B$4="Assembly or Component Provider",DATA_RASIC!V120,IF($B$4="Consultancy Component Provider",DATA_RASIC!AC120,IF($B$4="Make to Print",DATA_RASIC!AJ120,IF($B$4="Engineering Service Provider",DATA_RASIC!H120,IF($B$4="Full System Provider",DATA_RASIC!O120,IF($B$4="ESP_DOOR TRIM",DATA_RASIC!AQ120,IF($B$4="ESP_Partner_LEVEL_01",DATA_RASIC!AX120,"")))))))</f>
        <v>-</v>
      </c>
    </row>
    <row r="124" spans="1:16" ht="72.599999999999994" customHeight="1" x14ac:dyDescent="0.3">
      <c r="A124" s="80" t="str">
        <f>IF($B$4="Assembly or Component Provider",DATA_RASIC_DESC!A116,IF($B$4="Consultancy Component Provider",DATA_RASIC_DESC!A116,IF($B$4="Make to Print",DATA_RASIC_DESC!A116,IF($B$4="Engineering Service Provider",DATA_RASIC_DESC!A116,IF($B$4="Full System Provider",DATA_RASIC_DESC!A116,IF($B$4="ESP_DOOR TRIM",DATA_RASIC_DESC!D116,IF($B$4="ESP_Partner_LEVEL_01",DATA_RASIC_DESC!G116,"")))))))</f>
        <v>MNP.11</v>
      </c>
      <c r="B124" s="432" t="str">
        <f>IF($B$4="Assembly or Component Provider",DATA_RASIC_DESC!B116,IF($B$4="Consultancy Component Provider",DATA_RASIC_DESC!B116,IF($B$4="Make to Print",DATA_RASIC_DESC!B116,IF($B$4="Engineering Service Provider",DATA_RASIC_DESC!B116,IF($B$4="Full System Provider",DATA_RASIC_DESC!B116,IF($B$4="ESP_DOOR TRIM",DATA_RASIC_DESC!E116,IF($B$4="ESP_Partner_LEVEL_01",DATA_RASIC_DESC!H116,"")))))))</f>
        <v>Support continuous flow of production (including in-line vehicle sequencing / just-in-time delivery); coordinate with Supplier Sources delivery and build schedules sufficient to Jaguar Land Rover's build schedules.  This includes geometric data (as specified in the agreed production control plan) and physical part delivery/coordination</v>
      </c>
      <c r="C124" s="432"/>
      <c r="D124" s="432"/>
      <c r="E124" s="432"/>
      <c r="F124" s="432"/>
      <c r="G124" s="432"/>
      <c r="H124" s="432"/>
      <c r="I124" s="432"/>
      <c r="J124" s="432"/>
      <c r="K124" s="40" t="str">
        <f>IF($B$4="Assembly or Component Provider",DATA_RASIC!Q121,IF($B$4="Consultancy Component Provider",DATA_RASIC!X121,IF($B$4="Make to Print",DATA_RASIC!AE121,IF($B$4="Engineering Service Provider",DATA_RASIC!C121,IF($B$4="Full System Provider",DATA_RASIC!J121,IF($B$4="ESP_DOOR TRIM",DATA_RASIC!AL121,IF($B$4="ESP_Partner_LEVEL_01",DATA_RASIC!AS121,"")))))))</f>
        <v>SE</v>
      </c>
      <c r="L124" s="40" t="str">
        <f>IF($B$4="Assembly or Component Provider",DATA_RASIC!R121,IF($B$4="Consultancy Component Provider",DATA_RASIC!Y121,IF($B$4="Make to Print",DATA_RASIC!AF121,IF($B$4="Engineering Service Provider",DATA_RASIC!D121,IF($B$4="Full System Provider",DATA_RASIC!K121,IF($B$4="ESP_DOOR TRIM",DATA_RASIC!AM121,IF($B$4="ESP_Partner_LEVEL_01",DATA_RASIC!AT121,"")))))))</f>
        <v>SE</v>
      </c>
      <c r="M124" s="40" t="str">
        <f>IF($B$4="Assembly or Component Provider",DATA_RASIC!S121,IF($B$4="Consultancy Component Provider",DATA_RASIC!Z121,IF($B$4="Make to Print",DATA_RASIC!AG121,IF($B$4="Engineering Service Provider",DATA_RASIC!E121,IF($B$4="Full System Provider",DATA_RASIC!L121,IF($B$4="ESP_DOOR TRIM",DATA_RASIC!AN121,IF($B$4="ESP_Partner_LEVEL_01",DATA_RASIC!AU121,"")))))))</f>
        <v>JLR</v>
      </c>
      <c r="N124" s="40" t="str">
        <f>IF($B$4="Assembly or Component Provider",DATA_RASIC!T121,IF($B$4="Consultancy Component Provider",DATA_RASIC!AA121,IF($B$4="Make to Print",DATA_RASIC!AH121,IF($B$4="Engineering Service Provider",DATA_RASIC!F121,IF($B$4="Full System Provider",DATA_RASIC!M121,IF($B$4="ESP_DOOR TRIM",DATA_RASIC!AO121,IF($B$4="ESP_Partner_LEVEL_01",DATA_RASIC!AV121,"")))))))</f>
        <v>JLR</v>
      </c>
      <c r="O124" s="40" t="str">
        <f>IF($B$4="Assembly or Component Provider",DATA_RASIC!U121,IF($B$4="Consultancy Component Provider",DATA_RASIC!AB121,IF($B$4="Make to Print",DATA_RASIC!AI121,IF($B$4="Engineering Service Provider",DATA_RASIC!G121,IF($B$4="Full System Provider",DATA_RASIC!N121,IF($B$4="ESP_DOOR TRIM",DATA_RASIC!AP121,IF($B$4="ESP_Partner_LEVEL_01",DATA_RASIC!AW121,"")))))))</f>
        <v>-</v>
      </c>
      <c r="P124" s="40" t="str">
        <f>IF($B$4="Assembly or Component Provider",DATA_RASIC!V121,IF($B$4="Consultancy Component Provider",DATA_RASIC!AC121,IF($B$4="Make to Print",DATA_RASIC!AJ121,IF($B$4="Engineering Service Provider",DATA_RASIC!H121,IF($B$4="Full System Provider",DATA_RASIC!O121,IF($B$4="ESP_DOOR TRIM",DATA_RASIC!AQ121,IF($B$4="ESP_Partner_LEVEL_01",DATA_RASIC!AX121,"")))))))</f>
        <v>-</v>
      </c>
    </row>
    <row r="125" spans="1:16" ht="33.6" customHeight="1" x14ac:dyDescent="0.3">
      <c r="A125" s="80" t="str">
        <f>IF($B$4="Assembly or Component Provider",DATA_RASIC_DESC!A117,IF($B$4="Consultancy Component Provider",DATA_RASIC_DESC!A117,IF($B$4="Make to Print",DATA_RASIC_DESC!A117,IF($B$4="Engineering Service Provider",DATA_RASIC_DESC!A117,IF($B$4="Full System Provider",DATA_RASIC_DESC!A117,IF($B$4="ESP_DOOR TRIM",DATA_RASIC_DESC!D117,IF($B$4="ESP_Partner_LEVEL_01",DATA_RASIC_DESC!G117,"")))))))</f>
        <v>MNP.12</v>
      </c>
      <c r="B125" s="432" t="str">
        <f>IF($B$4="Assembly or Component Provider",DATA_RASIC_DESC!B117,IF($B$4="Consultancy Component Provider",DATA_RASIC_DESC!B117,IF($B$4="Make to Print",DATA_RASIC_DESC!B117,IF($B$4="Engineering Service Provider",DATA_RASIC_DESC!B117,IF($B$4="Full System Provider",DATA_RASIC_DESC!B117,IF($B$4="ESP_DOOR TRIM",DATA_RASIC_DESC!E117,IF($B$4="ESP_Partner_LEVEL_01",DATA_RASIC_DESC!H117,"")))))))</f>
        <v xml:space="preserve">Develop dunnage/transportation plan for the part / element and obtain Jaguar Land Rover's approval </v>
      </c>
      <c r="C125" s="432"/>
      <c r="D125" s="432"/>
      <c r="E125" s="432"/>
      <c r="F125" s="432"/>
      <c r="G125" s="432"/>
      <c r="H125" s="432"/>
      <c r="I125" s="432"/>
      <c r="J125" s="432"/>
      <c r="K125" s="40" t="str">
        <f>IF($B$4="Assembly or Component Provider",DATA_RASIC!Q122,IF($B$4="Consultancy Component Provider",DATA_RASIC!X122,IF($B$4="Make to Print",DATA_RASIC!AE122,IF($B$4="Engineering Service Provider",DATA_RASIC!C122,IF($B$4="Full System Provider",DATA_RASIC!J122,IF($B$4="ESP_DOOR TRIM",DATA_RASIC!AL122,IF($B$4="ESP_Partner_LEVEL_01",DATA_RASIC!AS122,"")))))))</f>
        <v>SHARE</v>
      </c>
      <c r="L125" s="40" t="str">
        <f>IF($B$4="Assembly or Component Provider",DATA_RASIC!R122,IF($B$4="Consultancy Component Provider",DATA_RASIC!Y122,IF($B$4="Make to Print",DATA_RASIC!AF122,IF($B$4="Engineering Service Provider",DATA_RASIC!D122,IF($B$4="Full System Provider",DATA_RASIC!K122,IF($B$4="ESP_DOOR TRIM",DATA_RASIC!AM122,IF($B$4="ESP_Partner_LEVEL_01",DATA_RASIC!AT122,"")))))))</f>
        <v>SHARE</v>
      </c>
      <c r="M125" s="40" t="str">
        <f>IF($B$4="Assembly or Component Provider",DATA_RASIC!S122,IF($B$4="Consultancy Component Provider",DATA_RASIC!Z122,IF($B$4="Make to Print",DATA_RASIC!AG122,IF($B$4="Engineering Service Provider",DATA_RASIC!E122,IF($B$4="Full System Provider",DATA_RASIC!L122,IF($B$4="ESP_DOOR TRIM",DATA_RASIC!AN122,IF($B$4="ESP_Partner_LEVEL_01",DATA_RASIC!AU122,"")))))))</f>
        <v>SHARE</v>
      </c>
      <c r="N125" s="40" t="str">
        <f>IF($B$4="Assembly or Component Provider",DATA_RASIC!T122,IF($B$4="Consultancy Component Provider",DATA_RASIC!AA122,IF($B$4="Make to Print",DATA_RASIC!AH122,IF($B$4="Engineering Service Provider",DATA_RASIC!F122,IF($B$4="Full System Provider",DATA_RASIC!M122,IF($B$4="ESP_DOOR TRIM",DATA_RASIC!AO122,IF($B$4="ESP_Partner_LEVEL_01",DATA_RASIC!AV122,"")))))))</f>
        <v>SHARE</v>
      </c>
      <c r="O125" s="40" t="str">
        <f>IF($B$4="Assembly or Component Provider",DATA_RASIC!U122,IF($B$4="Consultancy Component Provider",DATA_RASIC!AB122,IF($B$4="Make to Print",DATA_RASIC!AI122,IF($B$4="Engineering Service Provider",DATA_RASIC!G122,IF($B$4="Full System Provider",DATA_RASIC!N122,IF($B$4="ESP_DOOR TRIM",DATA_RASIC!AP122,IF($B$4="ESP_Partner_LEVEL_01",DATA_RASIC!AW122,"")))))))</f>
        <v>-</v>
      </c>
      <c r="P125" s="40" t="str">
        <f>IF($B$4="Assembly or Component Provider",DATA_RASIC!V122,IF($B$4="Consultancy Component Provider",DATA_RASIC!AC122,IF($B$4="Make to Print",DATA_RASIC!AJ122,IF($B$4="Engineering Service Provider",DATA_RASIC!H122,IF($B$4="Full System Provider",DATA_RASIC!O122,IF($B$4="ESP_DOOR TRIM",DATA_RASIC!AQ122,IF($B$4="ESP_Partner_LEVEL_01",DATA_RASIC!AX122,"")))))))</f>
        <v>-</v>
      </c>
    </row>
    <row r="126" spans="1:16" ht="33.6" customHeight="1" x14ac:dyDescent="0.3">
      <c r="A126" s="80" t="str">
        <f>IF($B$4="Assembly or Component Provider",DATA_RASIC_DESC!A118,IF($B$4="Consultancy Component Provider",DATA_RASIC_DESC!A118,IF($B$4="Make to Print",DATA_RASIC_DESC!A118,IF($B$4="Engineering Service Provider",DATA_RASIC_DESC!A118,IF($B$4="Full System Provider",DATA_RASIC_DESC!A118,IF($B$4="ESP_DOOR TRIM",DATA_RASIC_DESC!D118,IF($B$4="ESP_Partner_LEVEL_01",DATA_RASIC_DESC!G118,"")))))))</f>
        <v>MNP.13</v>
      </c>
      <c r="B126" s="432" t="str">
        <f>IF($B$4="Assembly or Component Provider",DATA_RASIC_DESC!B118,IF($B$4="Consultancy Component Provider",DATA_RASIC_DESC!B118,IF($B$4="Make to Print",DATA_RASIC_DESC!B118,IF($B$4="Engineering Service Provider",DATA_RASIC_DESC!B118,IF($B$4="Full System Provider",DATA_RASIC_DESC!B118,IF($B$4="ESP_DOOR TRIM",DATA_RASIC_DESC!E118,IF($B$4="ESP_Partner_LEVEL_01",DATA_RASIC_DESC!H118,"")))))))</f>
        <v>Establish an assembly facility compatible with Jaguar Land Rover's broadcast timing requirements</v>
      </c>
      <c r="C126" s="432"/>
      <c r="D126" s="432"/>
      <c r="E126" s="432"/>
      <c r="F126" s="432"/>
      <c r="G126" s="432"/>
      <c r="H126" s="432"/>
      <c r="I126" s="432"/>
      <c r="J126" s="432"/>
      <c r="K126" s="40" t="str">
        <f>IF($B$4="Assembly or Component Provider",DATA_RASIC!Q123,IF($B$4="Consultancy Component Provider",DATA_RASIC!X123,IF($B$4="Make to Print",DATA_RASIC!AE123,IF($B$4="Engineering Service Provider",DATA_RASIC!C123,IF($B$4="Full System Provider",DATA_RASIC!J123,IF($B$4="ESP_DOOR TRIM",DATA_RASIC!AL123,IF($B$4="ESP_Partner_LEVEL_01",DATA_RASIC!AS123,"")))))))</f>
        <v>SE</v>
      </c>
      <c r="L126" s="40" t="str">
        <f>IF($B$4="Assembly or Component Provider",DATA_RASIC!R123,IF($B$4="Consultancy Component Provider",DATA_RASIC!Y123,IF($B$4="Make to Print",DATA_RASIC!AF123,IF($B$4="Engineering Service Provider",DATA_RASIC!D123,IF($B$4="Full System Provider",DATA_RASIC!K123,IF($B$4="ESP_DOOR TRIM",DATA_RASIC!AM123,IF($B$4="ESP_Partner_LEVEL_01",DATA_RASIC!AT123,"")))))))</f>
        <v>SE</v>
      </c>
      <c r="M126" s="40" t="str">
        <f>IF($B$4="Assembly or Component Provider",DATA_RASIC!S123,IF($B$4="Consultancy Component Provider",DATA_RASIC!Z123,IF($B$4="Make to Print",DATA_RASIC!AG123,IF($B$4="Engineering Service Provider",DATA_RASIC!E123,IF($B$4="Full System Provider",DATA_RASIC!L123,IF($B$4="ESP_DOOR TRIM",DATA_RASIC!AN123,IF($B$4="ESP_Partner_LEVEL_01",DATA_RASIC!AU123,"")))))))</f>
        <v>JLR</v>
      </c>
      <c r="N126" s="40" t="str">
        <f>IF($B$4="Assembly or Component Provider",DATA_RASIC!T123,IF($B$4="Consultancy Component Provider",DATA_RASIC!AA123,IF($B$4="Make to Print",DATA_RASIC!AH123,IF($B$4="Engineering Service Provider",DATA_RASIC!F123,IF($B$4="Full System Provider",DATA_RASIC!M123,IF($B$4="ESP_DOOR TRIM",DATA_RASIC!AO123,IF($B$4="ESP_Partner_LEVEL_01",DATA_RASIC!AV123,"")))))))</f>
        <v>JLR</v>
      </c>
      <c r="O126" s="40" t="str">
        <f>IF($B$4="Assembly or Component Provider",DATA_RASIC!U123,IF($B$4="Consultancy Component Provider",DATA_RASIC!AB123,IF($B$4="Make to Print",DATA_RASIC!AI123,IF($B$4="Engineering Service Provider",DATA_RASIC!G123,IF($B$4="Full System Provider",DATA_RASIC!N123,IF($B$4="ESP_DOOR TRIM",DATA_RASIC!AP123,IF($B$4="ESP_Partner_LEVEL_01",DATA_RASIC!AW123,"")))))))</f>
        <v>-</v>
      </c>
      <c r="P126" s="40" t="str">
        <f>IF($B$4="Assembly or Component Provider",DATA_RASIC!V123,IF($B$4="Consultancy Component Provider",DATA_RASIC!AC123,IF($B$4="Make to Print",DATA_RASIC!AJ123,IF($B$4="Engineering Service Provider",DATA_RASIC!H123,IF($B$4="Full System Provider",DATA_RASIC!O123,IF($B$4="ESP_DOOR TRIM",DATA_RASIC!AQ123,IF($B$4="ESP_Partner_LEVEL_01",DATA_RASIC!AX123,"")))))))</f>
        <v>-</v>
      </c>
    </row>
    <row r="127" spans="1:16" ht="33.6" customHeight="1" x14ac:dyDescent="0.3">
      <c r="A127" s="80" t="str">
        <f>IF($B$4="Assembly or Component Provider",DATA_RASIC_DESC!A119,IF($B$4="Consultancy Component Provider",DATA_RASIC_DESC!A119,IF($B$4="Make to Print",DATA_RASIC_DESC!A119,IF($B$4="Engineering Service Provider",DATA_RASIC_DESC!A119,IF($B$4="Full System Provider",DATA_RASIC_DESC!A119,IF($B$4="ESP_DOOR TRIM",DATA_RASIC_DESC!D119,IF($B$4="ESP_Partner_LEVEL_01",DATA_RASIC_DESC!G119,"")))))))</f>
        <v>MNP.14</v>
      </c>
      <c r="B127" s="432" t="str">
        <f>IF($B$4="Assembly or Component Provider",DATA_RASIC_DESC!B119,IF($B$4="Consultancy Component Provider",DATA_RASIC_DESC!B119,IF($B$4="Make to Print",DATA_RASIC_DESC!B119,IF($B$4="Engineering Service Provider",DATA_RASIC_DESC!B119,IF($B$4="Full System Provider",DATA_RASIC_DESC!B119,IF($B$4="ESP_DOOR TRIM",DATA_RASIC_DESC!E119,IF($B$4="ESP_Partner_LEVEL_01",DATA_RASIC_DESC!H119,"")))))))</f>
        <v>Provide manufacturing feasibility evaluations and approvals for assembly. Develop and install product traceability system for safety critical and regulatory items in accordance with the agreed production control plan</v>
      </c>
      <c r="C127" s="432"/>
      <c r="D127" s="432"/>
      <c r="E127" s="432"/>
      <c r="F127" s="432"/>
      <c r="G127" s="432"/>
      <c r="H127" s="432"/>
      <c r="I127" s="432"/>
      <c r="J127" s="432"/>
      <c r="K127" s="40" t="str">
        <f>IF($B$4="Assembly or Component Provider",DATA_RASIC!Q124,IF($B$4="Consultancy Component Provider",DATA_RASIC!X124,IF($B$4="Make to Print",DATA_RASIC!AE124,IF($B$4="Engineering Service Provider",DATA_RASIC!C124,IF($B$4="Full System Provider",DATA_RASIC!J124,IF($B$4="ESP_DOOR TRIM",DATA_RASIC!AL124,IF($B$4="ESP_Partner_LEVEL_01",DATA_RASIC!AS124,"")))))))</f>
        <v>SE</v>
      </c>
      <c r="L127" s="40" t="str">
        <f>IF($B$4="Assembly or Component Provider",DATA_RASIC!R124,IF($B$4="Consultancy Component Provider",DATA_RASIC!Y124,IF($B$4="Make to Print",DATA_RASIC!AF124,IF($B$4="Engineering Service Provider",DATA_RASIC!D124,IF($B$4="Full System Provider",DATA_RASIC!K124,IF($B$4="ESP_DOOR TRIM",DATA_RASIC!AM124,IF($B$4="ESP_Partner_LEVEL_01",DATA_RASIC!AT124,"")))))))</f>
        <v>SE</v>
      </c>
      <c r="M127" s="40" t="str">
        <f>IF($B$4="Assembly or Component Provider",DATA_RASIC!S124,IF($B$4="Consultancy Component Provider",DATA_RASIC!Z124,IF($B$4="Make to Print",DATA_RASIC!AG124,IF($B$4="Engineering Service Provider",DATA_RASIC!E124,IF($B$4="Full System Provider",DATA_RASIC!L124,IF($B$4="ESP_DOOR TRIM",DATA_RASIC!AN124,IF($B$4="ESP_Partner_LEVEL_01",DATA_RASIC!AU124,"")))))))</f>
        <v>JLR</v>
      </c>
      <c r="N127" s="40" t="str">
        <f>IF($B$4="Assembly or Component Provider",DATA_RASIC!T124,IF($B$4="Consultancy Component Provider",DATA_RASIC!AA124,IF($B$4="Make to Print",DATA_RASIC!AH124,IF($B$4="Engineering Service Provider",DATA_RASIC!F124,IF($B$4="Full System Provider",DATA_RASIC!M124,IF($B$4="ESP_DOOR TRIM",DATA_RASIC!AO124,IF($B$4="ESP_Partner_LEVEL_01",DATA_RASIC!AV124,"")))))))</f>
        <v>JLR</v>
      </c>
      <c r="O127" s="40" t="str">
        <f>IF($B$4="Assembly or Component Provider",DATA_RASIC!U124,IF($B$4="Consultancy Component Provider",DATA_RASIC!AB124,IF($B$4="Make to Print",DATA_RASIC!AI124,IF($B$4="Engineering Service Provider",DATA_RASIC!G124,IF($B$4="Full System Provider",DATA_RASIC!N124,IF($B$4="ESP_DOOR TRIM",DATA_RASIC!AP124,IF($B$4="ESP_Partner_LEVEL_01",DATA_RASIC!AW124,"")))))))</f>
        <v>-</v>
      </c>
      <c r="P127" s="40" t="str">
        <f>IF($B$4="Assembly or Component Provider",DATA_RASIC!V124,IF($B$4="Consultancy Component Provider",DATA_RASIC!AC124,IF($B$4="Make to Print",DATA_RASIC!AJ124,IF($B$4="Engineering Service Provider",DATA_RASIC!H124,IF($B$4="Full System Provider",DATA_RASIC!O124,IF($B$4="ESP_DOOR TRIM",DATA_RASIC!AQ124,IF($B$4="ESP_Partner_LEVEL_01",DATA_RASIC!AX124,"")))))))</f>
        <v>-</v>
      </c>
    </row>
    <row r="128" spans="1:16" ht="33.6" customHeight="1" x14ac:dyDescent="0.3">
      <c r="A128" s="80" t="str">
        <f>IF($B$4="Assembly or Component Provider",DATA_RASIC_DESC!A120,IF($B$4="Consultancy Component Provider",DATA_RASIC_DESC!A120,IF($B$4="Make to Print",DATA_RASIC_DESC!A120,IF($B$4="Engineering Service Provider",DATA_RASIC_DESC!A120,IF($B$4="Full System Provider",DATA_RASIC_DESC!A120,IF($B$4="ESP_DOOR TRIM",DATA_RASIC_DESC!D120,IF($B$4="ESP_Partner_LEVEL_01",DATA_RASIC_DESC!G120,"")))))))</f>
        <v>MNP.15</v>
      </c>
      <c r="B128" s="432" t="str">
        <f>IF($B$4="Assembly or Component Provider",DATA_RASIC_DESC!B120,IF($B$4="Consultancy Component Provider",DATA_RASIC_DESC!B120,IF($B$4="Make to Print",DATA_RASIC_DESC!B120,IF($B$4="Engineering Service Provider",DATA_RASIC_DESC!B120,IF($B$4="Full System Provider",DATA_RASIC_DESC!B120,IF($B$4="ESP_DOOR TRIM",DATA_RASIC_DESC!E120,IF($B$4="ESP_Partner_LEVEL_01",DATA_RASIC_DESC!H120,"")))))))</f>
        <v>Develop manufacturing, production and assembly characteristics to ensure high quality products</v>
      </c>
      <c r="C128" s="432"/>
      <c r="D128" s="432"/>
      <c r="E128" s="432"/>
      <c r="F128" s="432"/>
      <c r="G128" s="432"/>
      <c r="H128" s="432"/>
      <c r="I128" s="432"/>
      <c r="J128" s="432"/>
      <c r="K128" s="40" t="str">
        <f>IF($B$4="Assembly or Component Provider",DATA_RASIC!Q125,IF($B$4="Consultancy Component Provider",DATA_RASIC!X125,IF($B$4="Make to Print",DATA_RASIC!AE125,IF($B$4="Engineering Service Provider",DATA_RASIC!C125,IF($B$4="Full System Provider",DATA_RASIC!J125,IF($B$4="ESP_DOOR TRIM",DATA_RASIC!AL125,IF($B$4="ESP_Partner_LEVEL_01",DATA_RASIC!AS125,"")))))))</f>
        <v>SE</v>
      </c>
      <c r="L128" s="40" t="str">
        <f>IF($B$4="Assembly or Component Provider",DATA_RASIC!R125,IF($B$4="Consultancy Component Provider",DATA_RASIC!Y125,IF($B$4="Make to Print",DATA_RASIC!AF125,IF($B$4="Engineering Service Provider",DATA_RASIC!D125,IF($B$4="Full System Provider",DATA_RASIC!K125,IF($B$4="ESP_DOOR TRIM",DATA_RASIC!AM125,IF($B$4="ESP_Partner_LEVEL_01",DATA_RASIC!AT125,"")))))))</f>
        <v>SE</v>
      </c>
      <c r="M128" s="40" t="str">
        <f>IF($B$4="Assembly or Component Provider",DATA_RASIC!S125,IF($B$4="Consultancy Component Provider",DATA_RASIC!Z125,IF($B$4="Make to Print",DATA_RASIC!AG125,IF($B$4="Engineering Service Provider",DATA_RASIC!E125,IF($B$4="Full System Provider",DATA_RASIC!L125,IF($B$4="ESP_DOOR TRIM",DATA_RASIC!AN125,IF($B$4="ESP_Partner_LEVEL_01",DATA_RASIC!AU125,"")))))))</f>
        <v>JLR</v>
      </c>
      <c r="N128" s="40" t="str">
        <f>IF($B$4="Assembly or Component Provider",DATA_RASIC!T125,IF($B$4="Consultancy Component Provider",DATA_RASIC!AA125,IF($B$4="Make to Print",DATA_RASIC!AH125,IF($B$4="Engineering Service Provider",DATA_RASIC!F125,IF($B$4="Full System Provider",DATA_RASIC!M125,IF($B$4="ESP_DOOR TRIM",DATA_RASIC!AO125,IF($B$4="ESP_Partner_LEVEL_01",DATA_RASIC!AV125,"")))))))</f>
        <v>JLR</v>
      </c>
      <c r="O128" s="40" t="str">
        <f>IF($B$4="Assembly or Component Provider",DATA_RASIC!U125,IF($B$4="Consultancy Component Provider",DATA_RASIC!AB125,IF($B$4="Make to Print",DATA_RASIC!AI125,IF($B$4="Engineering Service Provider",DATA_RASIC!G125,IF($B$4="Full System Provider",DATA_RASIC!N125,IF($B$4="ESP_DOOR TRIM",DATA_RASIC!AP125,IF($B$4="ESP_Partner_LEVEL_01",DATA_RASIC!AW125,"")))))))</f>
        <v>-</v>
      </c>
      <c r="P128" s="40" t="str">
        <f>IF($B$4="Assembly or Component Provider",DATA_RASIC!V125,IF($B$4="Consultancy Component Provider",DATA_RASIC!AC125,IF($B$4="Make to Print",DATA_RASIC!AJ125,IF($B$4="Engineering Service Provider",DATA_RASIC!H125,IF($B$4="Full System Provider",DATA_RASIC!O125,IF($B$4="ESP_DOOR TRIM",DATA_RASIC!AQ125,IF($B$4="ESP_Partner_LEVEL_01",DATA_RASIC!AX125,"")))))))</f>
        <v>-</v>
      </c>
    </row>
    <row r="129" spans="1:16" ht="38.4" customHeight="1" x14ac:dyDescent="0.3">
      <c r="A129" s="80" t="str">
        <f>IF($B$4="Assembly or Component Provider",DATA_RASIC_DESC!A121,IF($B$4="Consultancy Component Provider",DATA_RASIC_DESC!A121,IF($B$4="Make to Print",DATA_RASIC_DESC!A121,IF($B$4="Engineering Service Provider",DATA_RASIC_DESC!A121,IF($B$4="Full System Provider",DATA_RASIC_DESC!A121,IF($B$4="ESP_DOOR TRIM",DATA_RASIC_DESC!D121,IF($B$4="ESP_Partner_LEVEL_01",DATA_RASIC_DESC!G121,"")))))))</f>
        <v>MNP.16</v>
      </c>
      <c r="B129" s="432" t="str">
        <f>IF($B$4="Assembly or Component Provider",DATA_RASIC_DESC!B121,IF($B$4="Consultancy Component Provider",DATA_RASIC_DESC!B121,IF($B$4="Make to Print",DATA_RASIC_DESC!B121,IF($B$4="Engineering Service Provider",DATA_RASIC_DESC!B121,IF($B$4="Full System Provider",DATA_RASIC_DESC!B121,IF($B$4="ESP_DOOR TRIM",DATA_RASIC_DESC!E121,IF($B$4="ESP_Partner_LEVEL_01",DATA_RASIC_DESC!H121,"")))))))</f>
        <v>Provide physical components/systems as needed to support development of service-related publications and part/fluid packaging processes in accordance with the Jaguar Land Rover Purchase Order (PO)</v>
      </c>
      <c r="C129" s="432"/>
      <c r="D129" s="432"/>
      <c r="E129" s="432"/>
      <c r="F129" s="432"/>
      <c r="G129" s="432"/>
      <c r="H129" s="432"/>
      <c r="I129" s="432"/>
      <c r="J129" s="432"/>
      <c r="K129" s="40" t="str">
        <f>IF($B$4="Assembly or Component Provider",DATA_RASIC!Q126,IF($B$4="Consultancy Component Provider",DATA_RASIC!X126,IF($B$4="Make to Print",DATA_RASIC!AE126,IF($B$4="Engineering Service Provider",DATA_RASIC!C126,IF($B$4="Full System Provider",DATA_RASIC!J126,IF($B$4="ESP_DOOR TRIM",DATA_RASIC!AL126,IF($B$4="ESP_Partner_LEVEL_01",DATA_RASIC!AS126,"")))))))</f>
        <v>SHARE</v>
      </c>
      <c r="L129" s="40" t="str">
        <f>IF($B$4="Assembly or Component Provider",DATA_RASIC!R126,IF($B$4="Consultancy Component Provider",DATA_RASIC!Y126,IF($B$4="Make to Print",DATA_RASIC!AF126,IF($B$4="Engineering Service Provider",DATA_RASIC!D126,IF($B$4="Full System Provider",DATA_RASIC!K126,IF($B$4="ESP_DOOR TRIM",DATA_RASIC!AM126,IF($B$4="ESP_Partner_LEVEL_01",DATA_RASIC!AT126,"")))))))</f>
        <v>SHARE</v>
      </c>
      <c r="M129" s="40" t="str">
        <f>IF($B$4="Assembly or Component Provider",DATA_RASIC!S126,IF($B$4="Consultancy Component Provider",DATA_RASIC!Z126,IF($B$4="Make to Print",DATA_RASIC!AG126,IF($B$4="Engineering Service Provider",DATA_RASIC!E126,IF($B$4="Full System Provider",DATA_RASIC!L126,IF($B$4="ESP_DOOR TRIM",DATA_RASIC!AN126,IF($B$4="ESP_Partner_LEVEL_01",DATA_RASIC!AU126,"")))))))</f>
        <v>SHARE</v>
      </c>
      <c r="N129" s="40" t="str">
        <f>IF($B$4="Assembly or Component Provider",DATA_RASIC!T126,IF($B$4="Consultancy Component Provider",DATA_RASIC!AA126,IF($B$4="Make to Print",DATA_RASIC!AH126,IF($B$4="Engineering Service Provider",DATA_RASIC!F126,IF($B$4="Full System Provider",DATA_RASIC!M126,IF($B$4="ESP_DOOR TRIM",DATA_RASIC!AO126,IF($B$4="ESP_Partner_LEVEL_01",DATA_RASIC!AV126,"")))))))</f>
        <v>SHARE</v>
      </c>
      <c r="O129" s="40" t="str">
        <f>IF($B$4="Assembly or Component Provider",DATA_RASIC!U126,IF($B$4="Consultancy Component Provider",DATA_RASIC!AB126,IF($B$4="Make to Print",DATA_RASIC!AI126,IF($B$4="Engineering Service Provider",DATA_RASIC!G126,IF($B$4="Full System Provider",DATA_RASIC!N126,IF($B$4="ESP_DOOR TRIM",DATA_RASIC!AP126,IF($B$4="ESP_Partner_LEVEL_01",DATA_RASIC!AW126,"")))))))</f>
        <v>-</v>
      </c>
      <c r="P129" s="40" t="str">
        <f>IF($B$4="Assembly or Component Provider",DATA_RASIC!V126,IF($B$4="Consultancy Component Provider",DATA_RASIC!AC126,IF($B$4="Make to Print",DATA_RASIC!AJ126,IF($B$4="Engineering Service Provider",DATA_RASIC!H126,IF($B$4="Full System Provider",DATA_RASIC!O126,IF($B$4="ESP_DOOR TRIM",DATA_RASIC!AQ126,IF($B$4="ESP_Partner_LEVEL_01",DATA_RASIC!AX126,"")))))))</f>
        <v>-</v>
      </c>
    </row>
    <row r="130" spans="1:16" s="9" customFormat="1" ht="18" customHeight="1" x14ac:dyDescent="0.3">
      <c r="A130" s="602" t="s">
        <v>1002</v>
      </c>
      <c r="B130" s="602"/>
      <c r="C130" s="602"/>
      <c r="D130" s="602"/>
      <c r="E130" s="602"/>
      <c r="F130" s="602"/>
      <c r="G130" s="602"/>
      <c r="H130" s="602"/>
      <c r="I130" s="602"/>
      <c r="J130" s="602"/>
      <c r="K130" s="603" t="s">
        <v>982</v>
      </c>
      <c r="L130" s="457"/>
      <c r="M130" s="457"/>
      <c r="N130" s="457"/>
      <c r="O130" s="604" t="s">
        <v>424</v>
      </c>
      <c r="P130" s="457"/>
    </row>
    <row r="131" spans="1:16" ht="18" customHeight="1" x14ac:dyDescent="0.3">
      <c r="A131" s="39" t="s">
        <v>983</v>
      </c>
      <c r="B131" s="588" t="s">
        <v>984</v>
      </c>
      <c r="C131" s="588"/>
      <c r="D131" s="588"/>
      <c r="E131" s="588"/>
      <c r="F131" s="588"/>
      <c r="G131" s="588"/>
      <c r="H131" s="588"/>
      <c r="I131" s="588"/>
      <c r="J131" s="588"/>
      <c r="K131" s="39" t="s">
        <v>985</v>
      </c>
      <c r="L131" s="39" t="s">
        <v>986</v>
      </c>
      <c r="M131" s="39" t="s">
        <v>987</v>
      </c>
      <c r="N131" s="39" t="s">
        <v>988</v>
      </c>
      <c r="O131" s="39" t="s">
        <v>989</v>
      </c>
      <c r="P131" s="39" t="s">
        <v>990</v>
      </c>
    </row>
    <row r="132" spans="1:16" ht="70.2" customHeight="1" x14ac:dyDescent="0.3">
      <c r="A132" s="80" t="str">
        <f>IF($B$4="Assembly or Component Provider",DATA_RASIC_DESC!A124,IF($B$4="Consultancy Component Provider",DATA_RASIC_DESC!A124,IF($B$4="Make to Print",DATA_RASIC_DESC!A124,IF($B$4="Engineering Service Provider",DATA_RASIC_DESC!A124,IF($B$4="Full System Provider",DATA_RASIC_DESC!A124,IF($B$4="ESP_DOOR TRIM",DATA_RASIC_DESC!D124,IF($B$4="ESP_Partner_LEVEL_01",DATA_RASIC_DESC!G124,"")))))))</f>
        <v>FP.1</v>
      </c>
      <c r="B132" s="432" t="str">
        <f>IF($B$4="Assembly or Component Provider",DATA_RASIC_DESC!B124,IF($B$4="Consultancy Component Provider",DATA_RASIC_DESC!B124,IF($B$4="Make to Print",DATA_RASIC_DESC!B124,IF($B$4="Engineering Service Provider",DATA_RASIC_DESC!B124,IF($B$4="Full System Provider",DATA_RASIC_DESC!B124,IF($B$4="ESP_DOOR TRIM",DATA_RASIC_DESC!E124,IF($B$4="ESP_Partner_LEVEL_01",DATA_RASIC_DESC!H124,"")))))))</f>
        <v>Provide facilities at locations where supplier personnel are to be stationed; this includes office space, furniture, at Pre-Programme, Programme home-base and launch sites, as appropriate per contractual agreement</v>
      </c>
      <c r="C132" s="432"/>
      <c r="D132" s="432"/>
      <c r="E132" s="432"/>
      <c r="F132" s="432"/>
      <c r="G132" s="432"/>
      <c r="H132" s="432"/>
      <c r="I132" s="432"/>
      <c r="J132" s="432"/>
      <c r="K132" s="40" t="str">
        <f>IF($B$4="Assembly or Component Provider",DATA_RASIC!Q130,IF($B$4="Consultancy Component Provider",DATA_RASIC!X130,IF($B$4="Make to Print",DATA_RASIC!AE130,IF($B$4="Engineering Service Provider",DATA_RASIC!C130,IF($B$4="Full System Provider",DATA_RASIC!J130,IF($B$4="ESP_DOOR TRIM",DATA_RASIC!AL130,IF($B$4="ESP_Partner_LEVEL_01",DATA_RASIC!AS130,"")))))))</f>
        <v>JLR</v>
      </c>
      <c r="L132" s="40" t="str">
        <f>IF($B$4="Assembly or Component Provider",DATA_RASIC!R130,IF($B$4="Consultancy Component Provider",DATA_RASIC!Y130,IF($B$4="Make to Print",DATA_RASIC!AF130,IF($B$4="Engineering Service Provider",DATA_RASIC!D130,IF($B$4="Full System Provider",DATA_RASIC!K130,IF($B$4="ESP_DOOR TRIM",DATA_RASIC!AM130,IF($B$4="ESP_Partner_LEVEL_01",DATA_RASIC!AT130,"")))))))</f>
        <v>JLR</v>
      </c>
      <c r="M132" s="40" t="str">
        <f>IF($B$4="Assembly or Component Provider",DATA_RASIC!S130,IF($B$4="Consultancy Component Provider",DATA_RASIC!Z130,IF($B$4="Make to Print",DATA_RASIC!AG130,IF($B$4="Engineering Service Provider",DATA_RASIC!E130,IF($B$4="Full System Provider",DATA_RASIC!L130,IF($B$4="ESP_DOOR TRIM",DATA_RASIC!AN130,IF($B$4="ESP_Partner_LEVEL_01",DATA_RASIC!AU130,"")))))))</f>
        <v>JLR</v>
      </c>
      <c r="N132" s="40" t="str">
        <f>IF($B$4="Assembly or Component Provider",DATA_RASIC!T130,IF($B$4="Consultancy Component Provider",DATA_RASIC!AA130,IF($B$4="Make to Print",DATA_RASIC!AH130,IF($B$4="Engineering Service Provider",DATA_RASIC!F130,IF($B$4="Full System Provider",DATA_RASIC!M130,IF($B$4="ESP_DOOR TRIM",DATA_RASIC!AO130,IF($B$4="ESP_Partner_LEVEL_01",DATA_RASIC!AV130,"")))))))</f>
        <v>SE</v>
      </c>
      <c r="O132" s="40" t="str">
        <f>IF($B$4="Assembly or Component Provider",DATA_RASIC!U130,IF($B$4="Consultancy Component Provider",DATA_RASIC!AB130,IF($B$4="Make to Print",DATA_RASIC!AI130,IF($B$4="Engineering Service Provider",DATA_RASIC!G130,IF($B$4="Full System Provider",DATA_RASIC!N130,IF($B$4="ESP_DOOR TRIM",DATA_RASIC!AP130,IF($B$4="ESP_Partner_LEVEL_01",DATA_RASIC!AW130,"")))))))</f>
        <v>SE</v>
      </c>
      <c r="P132" s="40" t="str">
        <f>IF($B$4="Assembly or Component Provider",DATA_RASIC!V130,IF($B$4="Consultancy Component Provider",DATA_RASIC!AC130,IF($B$4="Make to Print",DATA_RASIC!AJ130,IF($B$4="Engineering Service Provider",DATA_RASIC!H130,IF($B$4="Full System Provider",DATA_RASIC!O130,IF($B$4="ESP_DOOR TRIM",DATA_RASIC!AQ130,IF($B$4="ESP_Partner_LEVEL_01",DATA_RASIC!AX130,"")))))))</f>
        <v>SE</v>
      </c>
    </row>
    <row r="133" spans="1:16" ht="42.6" customHeight="1" x14ac:dyDescent="0.3">
      <c r="A133" s="80" t="str">
        <f>IF($B$4="Assembly or Component Provider",DATA_RASIC_DESC!A125,IF($B$4="Consultancy Component Provider",DATA_RASIC_DESC!A125,IF($B$4="Make to Print",DATA_RASIC_DESC!A125,IF($B$4="Engineering Service Provider",DATA_RASIC_DESC!A125,IF($B$4="Full System Provider",DATA_RASIC_DESC!A125,IF($B$4="ESP_DOOR TRIM",DATA_RASIC_DESC!D125,IF($B$4="ESP_Partner_LEVEL_01",DATA_RASIC_DESC!G125,"")))))))</f>
        <v>FP.2</v>
      </c>
      <c r="B133" s="432" t="str">
        <f>IF($B$4="Assembly or Component Provider",DATA_RASIC_DESC!B125,IF($B$4="Consultancy Component Provider",DATA_RASIC_DESC!B125,IF($B$4="Make to Print",DATA_RASIC_DESC!B125,IF($B$4="Engineering Service Provider",DATA_RASIC_DESC!B125,IF($B$4="Full System Provider",DATA_RASIC_DESC!B125,IF($B$4="ESP_DOOR TRIM",DATA_RASIC_DESC!E125,IF($B$4="ESP_Partner_LEVEL_01",DATA_RASIC_DESC!H125,"")))))))</f>
        <v>Develop and present resource/staffing plan and maintain appropriate staffing levels to support all phases of the programme</v>
      </c>
      <c r="C133" s="432"/>
      <c r="D133" s="432"/>
      <c r="E133" s="432"/>
      <c r="F133" s="432"/>
      <c r="G133" s="432"/>
      <c r="H133" s="432"/>
      <c r="I133" s="432"/>
      <c r="J133" s="432"/>
      <c r="K133" s="40" t="str">
        <f>IF($B$4="Assembly or Component Provider",DATA_RASIC!Q131,IF($B$4="Consultancy Component Provider",DATA_RASIC!X131,IF($B$4="Make to Print",DATA_RASIC!AE131,IF($B$4="Engineering Service Provider",DATA_RASIC!C131,IF($B$4="Full System Provider",DATA_RASIC!J131,IF($B$4="ESP_DOOR TRIM",DATA_RASIC!AL131,IF($B$4="ESP_Partner_LEVEL_01",DATA_RASIC!AS131,"")))))))</f>
        <v>SE</v>
      </c>
      <c r="L133" s="40" t="str">
        <f>IF($B$4="Assembly or Component Provider",DATA_RASIC!R131,IF($B$4="Consultancy Component Provider",DATA_RASIC!Y131,IF($B$4="Make to Print",DATA_RASIC!AF131,IF($B$4="Engineering Service Provider",DATA_RASIC!D131,IF($B$4="Full System Provider",DATA_RASIC!K131,IF($B$4="ESP_DOOR TRIM",DATA_RASIC!AM131,IF($B$4="ESP_Partner_LEVEL_01",DATA_RASIC!AT131,"")))))))</f>
        <v>SE</v>
      </c>
      <c r="M133" s="40" t="str">
        <f>IF($B$4="Assembly or Component Provider",DATA_RASIC!S131,IF($B$4="Consultancy Component Provider",DATA_RASIC!Z131,IF($B$4="Make to Print",DATA_RASIC!AG131,IF($B$4="Engineering Service Provider",DATA_RASIC!E131,IF($B$4="Full System Provider",DATA_RASIC!L131,IF($B$4="ESP_DOOR TRIM",DATA_RASIC!AN131,IF($B$4="ESP_Partner_LEVEL_01",DATA_RASIC!AU131,"")))))))</f>
        <v>JLR</v>
      </c>
      <c r="N133" s="40" t="str">
        <f>IF($B$4="Assembly or Component Provider",DATA_RASIC!T131,IF($B$4="Consultancy Component Provider",DATA_RASIC!AA131,IF($B$4="Make to Print",DATA_RASIC!AH131,IF($B$4="Engineering Service Provider",DATA_RASIC!F131,IF($B$4="Full System Provider",DATA_RASIC!M131,IF($B$4="ESP_DOOR TRIM",DATA_RASIC!AO131,IF($B$4="ESP_Partner_LEVEL_01",DATA_RASIC!AV131,"")))))))</f>
        <v>JLR</v>
      </c>
      <c r="O133" s="40" t="str">
        <f>IF($B$4="Assembly or Component Provider",DATA_RASIC!U131,IF($B$4="Consultancy Component Provider",DATA_RASIC!AB131,IF($B$4="Make to Print",DATA_RASIC!AI131,IF($B$4="Engineering Service Provider",DATA_RASIC!G131,IF($B$4="Full System Provider",DATA_RASIC!N131,IF($B$4="ESP_DOOR TRIM",DATA_RASIC!AP131,IF($B$4="ESP_Partner_LEVEL_01",DATA_RASIC!AW131,"")))))))</f>
        <v>JLR</v>
      </c>
      <c r="P133" s="40" t="str">
        <f>IF($B$4="Assembly or Component Provider",DATA_RASIC!V131,IF($B$4="Consultancy Component Provider",DATA_RASIC!AC131,IF($B$4="Make to Print",DATA_RASIC!AJ131,IF($B$4="Engineering Service Provider",DATA_RASIC!H131,IF($B$4="Full System Provider",DATA_RASIC!O131,IF($B$4="ESP_DOOR TRIM",DATA_RASIC!AQ131,IF($B$4="ESP_Partner_LEVEL_01",DATA_RASIC!AX131,"")))))))</f>
        <v>JLR</v>
      </c>
    </row>
    <row r="134" spans="1:16" ht="42.6" customHeight="1" x14ac:dyDescent="0.3">
      <c r="A134" s="80" t="str">
        <f>IF($B$4="Assembly or Component Provider",DATA_RASIC_DESC!A126,IF($B$4="Consultancy Component Provider",DATA_RASIC_DESC!A126,IF($B$4="Make to Print",DATA_RASIC_DESC!A126,IF($B$4="Engineering Service Provider",DATA_RASIC_DESC!A126,IF($B$4="Full System Provider",DATA_RASIC_DESC!A126,IF($B$4="ESP_DOOR TRIM",DATA_RASIC_DESC!D126,IF($B$4="ESP_Partner_LEVEL_01",DATA_RASIC_DESC!G126,"")))))))</f>
        <v>FP.3</v>
      </c>
      <c r="B134" s="432" t="str">
        <f>IF($B$4="Assembly or Component Provider",DATA_RASIC_DESC!B126,IF($B$4="Consultancy Component Provider",DATA_RASIC_DESC!B126,IF($B$4="Make to Print",DATA_RASIC_DESC!B126,IF($B$4="Engineering Service Provider",DATA_RASIC_DESC!B126,IF($B$4="Full System Provider",DATA_RASIC_DESC!B126,IF($B$4="ESP_DOOR TRIM",DATA_RASIC_DESC!E126,IF($B$4="ESP_Partner_LEVEL_01",DATA_RASIC_DESC!H126,"")))))))</f>
        <v>Turnover of supplier personnel shall be minimised to ensure continuity and if replacement occurs, must have at least the same level of skills as the prior supplier engineer</v>
      </c>
      <c r="C134" s="432"/>
      <c r="D134" s="432"/>
      <c r="E134" s="432"/>
      <c r="F134" s="432"/>
      <c r="G134" s="432"/>
      <c r="H134" s="432"/>
      <c r="I134" s="432"/>
      <c r="J134" s="432"/>
      <c r="K134" s="40" t="str">
        <f>IF($B$4="Assembly or Component Provider",DATA_RASIC!Q132,IF($B$4="Consultancy Component Provider",DATA_RASIC!X132,IF($B$4="Make to Print",DATA_RASIC!AE132,IF($B$4="Engineering Service Provider",DATA_RASIC!C132,IF($B$4="Full System Provider",DATA_RASIC!J132,IF($B$4="ESP_DOOR TRIM",DATA_RASIC!AL132,IF($B$4="ESP_Partner_LEVEL_01",DATA_RASIC!AS132,"")))))))</f>
        <v>SE</v>
      </c>
      <c r="L134" s="40" t="str">
        <f>IF($B$4="Assembly or Component Provider",DATA_RASIC!R132,IF($B$4="Consultancy Component Provider",DATA_RASIC!Y132,IF($B$4="Make to Print",DATA_RASIC!AF132,IF($B$4="Engineering Service Provider",DATA_RASIC!D132,IF($B$4="Full System Provider",DATA_RASIC!K132,IF($B$4="ESP_DOOR TRIM",DATA_RASIC!AM132,IF($B$4="ESP_Partner_LEVEL_01",DATA_RASIC!AT132,"")))))))</f>
        <v>SE</v>
      </c>
      <c r="M134" s="40" t="str">
        <f>IF($B$4="Assembly or Component Provider",DATA_RASIC!S132,IF($B$4="Consultancy Component Provider",DATA_RASIC!Z132,IF($B$4="Make to Print",DATA_RASIC!AG132,IF($B$4="Engineering Service Provider",DATA_RASIC!E132,IF($B$4="Full System Provider",DATA_RASIC!L132,IF($B$4="ESP_DOOR TRIM",DATA_RASIC!AN132,IF($B$4="ESP_Partner_LEVEL_01",DATA_RASIC!AU132,"")))))))</f>
        <v>JLR</v>
      </c>
      <c r="N134" s="40" t="str">
        <f>IF($B$4="Assembly or Component Provider",DATA_RASIC!T132,IF($B$4="Consultancy Component Provider",DATA_RASIC!AA132,IF($B$4="Make to Print",DATA_RASIC!AH132,IF($B$4="Engineering Service Provider",DATA_RASIC!F132,IF($B$4="Full System Provider",DATA_RASIC!M132,IF($B$4="ESP_DOOR TRIM",DATA_RASIC!AO132,IF($B$4="ESP_Partner_LEVEL_01",DATA_RASIC!AV132,"")))))))</f>
        <v>JLR</v>
      </c>
      <c r="O134" s="40" t="str">
        <f>IF($B$4="Assembly or Component Provider",DATA_RASIC!U132,IF($B$4="Consultancy Component Provider",DATA_RASIC!AB132,IF($B$4="Make to Print",DATA_RASIC!AI132,IF($B$4="Engineering Service Provider",DATA_RASIC!G132,IF($B$4="Full System Provider",DATA_RASIC!N132,IF($B$4="ESP_DOOR TRIM",DATA_RASIC!AP132,IF($B$4="ESP_Partner_LEVEL_01",DATA_RASIC!AW132,"")))))))</f>
        <v>JLR</v>
      </c>
      <c r="P134" s="40" t="str">
        <f>IF($B$4="Assembly or Component Provider",DATA_RASIC!V132,IF($B$4="Consultancy Component Provider",DATA_RASIC!AC132,IF($B$4="Make to Print",DATA_RASIC!AJ132,IF($B$4="Engineering Service Provider",DATA_RASIC!H132,IF($B$4="Full System Provider",DATA_RASIC!O132,IF($B$4="ESP_DOOR TRIM",DATA_RASIC!AQ132,IF($B$4="ESP_Partner_LEVEL_01",DATA_RASIC!AX132,"")))))))</f>
        <v>JLR</v>
      </c>
    </row>
    <row r="135" spans="1:16" ht="41.4" customHeight="1" x14ac:dyDescent="0.3">
      <c r="A135" s="80" t="str">
        <f>IF($B$4="Assembly or Component Provider",DATA_RASIC_DESC!A127,IF($B$4="Consultancy Component Provider",DATA_RASIC_DESC!A127,IF($B$4="Make to Print",DATA_RASIC_DESC!A127,IF($B$4="Engineering Service Provider",DATA_RASIC_DESC!A127,IF($B$4="Full System Provider",DATA_RASIC_DESC!A127,IF($B$4="ESP_DOOR TRIM",DATA_RASIC_DESC!D127,IF($B$4="ESP_Partner_LEVEL_01",DATA_RASIC_DESC!G127,"")))))))</f>
        <v>FP.4</v>
      </c>
      <c r="B135" s="432" t="str">
        <f>IF($B$4="Assembly or Component Provider",DATA_RASIC_DESC!B127,IF($B$4="Consultancy Component Provider",DATA_RASIC_DESC!B127,IF($B$4="Make to Print",DATA_RASIC_DESC!B127,IF($B$4="Engineering Service Provider",DATA_RASIC_DESC!B127,IF($B$4="Full System Provider",DATA_RASIC_DESC!B127,IF($B$4="ESP_DOOR TRIM",DATA_RASIC_DESC!E127,IF($B$4="ESP_Partner_LEVEL_01",DATA_RASIC_DESC!H127,"")))))))</f>
        <v>Provide appropriate expertise and appropriately qualified, trained personnel to support the Programme. Refer also to Jaguar Land Rover's courses and the attached training/skills matrix (skills and behaviours tab)</v>
      </c>
      <c r="C135" s="432"/>
      <c r="D135" s="432"/>
      <c r="E135" s="432"/>
      <c r="F135" s="432"/>
      <c r="G135" s="432"/>
      <c r="H135" s="432"/>
      <c r="I135" s="432"/>
      <c r="J135" s="432"/>
      <c r="K135" s="40" t="str">
        <f>IF($B$4="Assembly or Component Provider",DATA_RASIC!Q133,IF($B$4="Consultancy Component Provider",DATA_RASIC!X133,IF($B$4="Make to Print",DATA_RASIC!AE133,IF($B$4="Engineering Service Provider",DATA_RASIC!C133,IF($B$4="Full System Provider",DATA_RASIC!J133,IF($B$4="ESP_DOOR TRIM",DATA_RASIC!AL133,IF($B$4="ESP_Partner_LEVEL_01",DATA_RASIC!AS133,"")))))))</f>
        <v>SE</v>
      </c>
      <c r="L135" s="40" t="str">
        <f>IF($B$4="Assembly or Component Provider",DATA_RASIC!R133,IF($B$4="Consultancy Component Provider",DATA_RASIC!Y133,IF($B$4="Make to Print",DATA_RASIC!AF133,IF($B$4="Engineering Service Provider",DATA_RASIC!D133,IF($B$4="Full System Provider",DATA_RASIC!K133,IF($B$4="ESP_DOOR TRIM",DATA_RASIC!AM133,IF($B$4="ESP_Partner_LEVEL_01",DATA_RASIC!AT133,"")))))))</f>
        <v>SE</v>
      </c>
      <c r="M135" s="40" t="str">
        <f>IF($B$4="Assembly or Component Provider",DATA_RASIC!S133,IF($B$4="Consultancy Component Provider",DATA_RASIC!Z133,IF($B$4="Make to Print",DATA_RASIC!AG133,IF($B$4="Engineering Service Provider",DATA_RASIC!E133,IF($B$4="Full System Provider",DATA_RASIC!L133,IF($B$4="ESP_DOOR TRIM",DATA_RASIC!AN133,IF($B$4="ESP_Partner_LEVEL_01",DATA_RASIC!AU133,"")))))))</f>
        <v>JLR</v>
      </c>
      <c r="N135" s="40" t="str">
        <f>IF($B$4="Assembly or Component Provider",DATA_RASIC!T133,IF($B$4="Consultancy Component Provider",DATA_RASIC!AA133,IF($B$4="Make to Print",DATA_RASIC!AH133,IF($B$4="Engineering Service Provider",DATA_RASIC!F133,IF($B$4="Full System Provider",DATA_RASIC!M133,IF($B$4="ESP_DOOR TRIM",DATA_RASIC!AO133,IF($B$4="ESP_Partner_LEVEL_01",DATA_RASIC!AV133,"")))))))</f>
        <v>JLR</v>
      </c>
      <c r="O135" s="40" t="str">
        <f>IF($B$4="Assembly or Component Provider",DATA_RASIC!U133,IF($B$4="Consultancy Component Provider",DATA_RASIC!AB133,IF($B$4="Make to Print",DATA_RASIC!AI133,IF($B$4="Engineering Service Provider",DATA_RASIC!G133,IF($B$4="Full System Provider",DATA_RASIC!N133,IF($B$4="ESP_DOOR TRIM",DATA_RASIC!AP133,IF($B$4="ESP_Partner_LEVEL_01",DATA_RASIC!AW133,"")))))))</f>
        <v>JLR</v>
      </c>
      <c r="P135" s="40" t="str">
        <f>IF($B$4="Assembly or Component Provider",DATA_RASIC!V133,IF($B$4="Consultancy Component Provider",DATA_RASIC!AC133,IF($B$4="Make to Print",DATA_RASIC!AJ133,IF($B$4="Engineering Service Provider",DATA_RASIC!H133,IF($B$4="Full System Provider",DATA_RASIC!O133,IF($B$4="ESP_DOOR TRIM",DATA_RASIC!AQ133,IF($B$4="ESP_Partner_LEVEL_01",DATA_RASIC!AX133,"")))))))</f>
        <v>JLR</v>
      </c>
    </row>
    <row r="136" spans="1:16" ht="42" customHeight="1" x14ac:dyDescent="0.3">
      <c r="A136" s="80" t="str">
        <f>IF($B$4="Assembly or Component Provider",DATA_RASIC_DESC!A128,IF($B$4="Consultancy Component Provider",DATA_RASIC_DESC!A128,IF($B$4="Make to Print",DATA_RASIC_DESC!A128,IF($B$4="Engineering Service Provider",DATA_RASIC_DESC!A128,IF($B$4="Full System Provider",DATA_RASIC_DESC!A128,IF($B$4="ESP_DOOR TRIM",DATA_RASIC_DESC!D128,IF($B$4="ESP_Partner_LEVEL_01",DATA_RASIC_DESC!G128,"")))))))</f>
        <v>FP.5</v>
      </c>
      <c r="B136" s="432" t="str">
        <f>IF($B$4="Assembly or Component Provider",DATA_RASIC_DESC!B128,IF($B$4="Consultancy Component Provider",DATA_RASIC_DESC!B128,IF($B$4="Make to Print",DATA_RASIC_DESC!B128,IF($B$4="Engineering Service Provider",DATA_RASIC_DESC!B128,IF($B$4="Full System Provider",DATA_RASIC_DESC!B128,IF($B$4="ESP_DOOR TRIM",DATA_RASIC_DESC!E128,IF($B$4="ESP_Partner_LEVEL_01",DATA_RASIC_DESC!H128,"")))))))</f>
        <v>Complete and fund all relevant personnel training including training courses.</v>
      </c>
      <c r="C136" s="432"/>
      <c r="D136" s="432"/>
      <c r="E136" s="432"/>
      <c r="F136" s="432"/>
      <c r="G136" s="432"/>
      <c r="H136" s="432"/>
      <c r="I136" s="432"/>
      <c r="J136" s="432"/>
      <c r="K136" s="40" t="str">
        <f>IF($B$4="Assembly or Component Provider",DATA_RASIC!Q134,IF($B$4="Consultancy Component Provider",DATA_RASIC!X134,IF($B$4="Make to Print",DATA_RASIC!AE134,IF($B$4="Engineering Service Provider",DATA_RASIC!C134,IF($B$4="Full System Provider",DATA_RASIC!J134,IF($B$4="ESP_DOOR TRIM",DATA_RASIC!AL134,IF($B$4="ESP_Partner_LEVEL_01",DATA_RASIC!AS134,"")))))))</f>
        <v>SE</v>
      </c>
      <c r="L136" s="40" t="str">
        <f>IF($B$4="Assembly or Component Provider",DATA_RASIC!R134,IF($B$4="Consultancy Component Provider",DATA_RASIC!Y134,IF($B$4="Make to Print",DATA_RASIC!AF134,IF($B$4="Engineering Service Provider",DATA_RASIC!D134,IF($B$4="Full System Provider",DATA_RASIC!K134,IF($B$4="ESP_DOOR TRIM",DATA_RASIC!AM134,IF($B$4="ESP_Partner_LEVEL_01",DATA_RASIC!AT134,"")))))))</f>
        <v>SE</v>
      </c>
      <c r="M136" s="40" t="str">
        <f>IF($B$4="Assembly or Component Provider",DATA_RASIC!S134,IF($B$4="Consultancy Component Provider",DATA_RASIC!Z134,IF($B$4="Make to Print",DATA_RASIC!AG134,IF($B$4="Engineering Service Provider",DATA_RASIC!E134,IF($B$4="Full System Provider",DATA_RASIC!L134,IF($B$4="ESP_DOOR TRIM",DATA_RASIC!AN134,IF($B$4="ESP_Partner_LEVEL_01",DATA_RASIC!AU134,"")))))))</f>
        <v>JLR</v>
      </c>
      <c r="N136" s="40" t="str">
        <f>IF($B$4="Assembly or Component Provider",DATA_RASIC!T134,IF($B$4="Consultancy Component Provider",DATA_RASIC!AA134,IF($B$4="Make to Print",DATA_RASIC!AH134,IF($B$4="Engineering Service Provider",DATA_RASIC!F134,IF($B$4="Full System Provider",DATA_RASIC!M134,IF($B$4="ESP_DOOR TRIM",DATA_RASIC!AO134,IF($B$4="ESP_Partner_LEVEL_01",DATA_RASIC!AV134,"")))))))</f>
        <v>JLR</v>
      </c>
      <c r="O136" s="40" t="str">
        <f>IF($B$4="Assembly or Component Provider",DATA_RASIC!U134,IF($B$4="Consultancy Component Provider",DATA_RASIC!AB134,IF($B$4="Make to Print",DATA_RASIC!AI134,IF($B$4="Engineering Service Provider",DATA_RASIC!G134,IF($B$4="Full System Provider",DATA_RASIC!N134,IF($B$4="ESP_DOOR TRIM",DATA_RASIC!AP134,IF($B$4="ESP_Partner_LEVEL_01",DATA_RASIC!AW134,"")))))))</f>
        <v>JLR</v>
      </c>
      <c r="P136" s="40" t="str">
        <f>IF($B$4="Assembly or Component Provider",DATA_RASIC!V134,IF($B$4="Consultancy Component Provider",DATA_RASIC!AC134,IF($B$4="Make to Print",DATA_RASIC!AJ134,IF($B$4="Engineering Service Provider",DATA_RASIC!H134,IF($B$4="Full System Provider",DATA_RASIC!O134,IF($B$4="ESP_DOOR TRIM",DATA_RASIC!AQ134,IF($B$4="ESP_Partner_LEVEL_01",DATA_RASIC!AX134,"")))))))</f>
        <v>JLR</v>
      </c>
    </row>
    <row r="137" spans="1:16" ht="42" customHeight="1" x14ac:dyDescent="0.3">
      <c r="A137" s="80" t="str">
        <f>IF($B$4="Assembly or Component Provider",DATA_RASIC_DESC!A129,IF($B$4="Consultancy Component Provider",DATA_RASIC_DESC!A129,IF($B$4="Make to Print",DATA_RASIC_DESC!A129,IF($B$4="Engineering Service Provider",DATA_RASIC_DESC!A129,IF($B$4="Full System Provider",DATA_RASIC_DESC!A129,IF($B$4="ESP_DOOR TRIM",DATA_RASIC_DESC!D129,IF($B$4="ESP_Partner_LEVEL_01",DATA_RASIC_DESC!G129,"")))))))</f>
        <v>FP.6</v>
      </c>
      <c r="B137" s="432" t="str">
        <f>IF($B$4="Assembly or Component Provider",DATA_RASIC_DESC!B129,IF($B$4="Consultancy Component Provider",DATA_RASIC_DESC!B129,IF($B$4="Make to Print",DATA_RASIC_DESC!B129,IF($B$4="Engineering Service Provider",DATA_RASIC_DESC!B129,IF($B$4="Full System Provider",DATA_RASIC_DESC!B129,IF($B$4="ESP_DOOR TRIM",DATA_RASIC_DESC!E129,IF($B$4="ESP_Partner_LEVEL_01",DATA_RASIC_DESC!H129,"")))))))</f>
        <v>Financially responsible for travel costs to attend all Programme and other related meetings where appropriate and agreed</v>
      </c>
      <c r="C137" s="432"/>
      <c r="D137" s="432"/>
      <c r="E137" s="432"/>
      <c r="F137" s="432"/>
      <c r="G137" s="432"/>
      <c r="H137" s="432"/>
      <c r="I137" s="432"/>
      <c r="J137" s="432"/>
      <c r="K137" s="40" t="str">
        <f>IF($B$4="Assembly or Component Provider",DATA_RASIC!Q135,IF($B$4="Consultancy Component Provider",DATA_RASIC!X135,IF($B$4="Make to Print",DATA_RASIC!AE135,IF($B$4="Engineering Service Provider",DATA_RASIC!C135,IF($B$4="Full System Provider",DATA_RASIC!J135,IF($B$4="ESP_DOOR TRIM",DATA_RASIC!AL135,IF($B$4="ESP_Partner_LEVEL_01",DATA_RASIC!AS135,"")))))))</f>
        <v>SE</v>
      </c>
      <c r="L137" s="40" t="str">
        <f>IF($B$4="Assembly or Component Provider",DATA_RASIC!R135,IF($B$4="Consultancy Component Provider",DATA_RASIC!Y135,IF($B$4="Make to Print",DATA_RASIC!AF135,IF($B$4="Engineering Service Provider",DATA_RASIC!D135,IF($B$4="Full System Provider",DATA_RASIC!K135,IF($B$4="ESP_DOOR TRIM",DATA_RASIC!AM135,IF($B$4="ESP_Partner_LEVEL_01",DATA_RASIC!AT135,"")))))))</f>
        <v>SE</v>
      </c>
      <c r="M137" s="40" t="str">
        <f>IF($B$4="Assembly or Component Provider",DATA_RASIC!S135,IF($B$4="Consultancy Component Provider",DATA_RASIC!Z135,IF($B$4="Make to Print",DATA_RASIC!AG135,IF($B$4="Engineering Service Provider",DATA_RASIC!E135,IF($B$4="Full System Provider",DATA_RASIC!L135,IF($B$4="ESP_DOOR TRIM",DATA_RASIC!AN135,IF($B$4="ESP_Partner_LEVEL_01",DATA_RASIC!AU135,"")))))))</f>
        <v>JLR</v>
      </c>
      <c r="N137" s="40" t="str">
        <f>IF($B$4="Assembly or Component Provider",DATA_RASIC!T135,IF($B$4="Consultancy Component Provider",DATA_RASIC!AA135,IF($B$4="Make to Print",DATA_RASIC!AH135,IF($B$4="Engineering Service Provider",DATA_RASIC!F135,IF($B$4="Full System Provider",DATA_RASIC!M135,IF($B$4="ESP_DOOR TRIM",DATA_RASIC!AO135,IF($B$4="ESP_Partner_LEVEL_01",DATA_RASIC!AV135,"")))))))</f>
        <v>JLR</v>
      </c>
      <c r="O137" s="40" t="str">
        <f>IF($B$4="Assembly or Component Provider",DATA_RASIC!U135,IF($B$4="Consultancy Component Provider",DATA_RASIC!AB135,IF($B$4="Make to Print",DATA_RASIC!AI135,IF($B$4="Engineering Service Provider",DATA_RASIC!G135,IF($B$4="Full System Provider",DATA_RASIC!N135,IF($B$4="ESP_DOOR TRIM",DATA_RASIC!AP135,IF($B$4="ESP_Partner_LEVEL_01",DATA_RASIC!AW135,"")))))))</f>
        <v>JLR</v>
      </c>
      <c r="P137" s="40" t="str">
        <f>IF($B$4="Assembly or Component Provider",DATA_RASIC!V135,IF($B$4="Consultancy Component Provider",DATA_RASIC!AC135,IF($B$4="Make to Print",DATA_RASIC!AJ135,IF($B$4="Engineering Service Provider",DATA_RASIC!H135,IF($B$4="Full System Provider",DATA_RASIC!O135,IF($B$4="ESP_DOOR TRIM",DATA_RASIC!AQ135,IF($B$4="ESP_Partner_LEVEL_01",DATA_RASIC!AX135,"")))))))</f>
        <v>JLR</v>
      </c>
    </row>
    <row r="138" spans="1:16" ht="42" customHeight="1" x14ac:dyDescent="0.3">
      <c r="A138" s="80" t="str">
        <f>IF($B$4="Assembly or Component Provider",DATA_RASIC_DESC!A130,IF($B$4="Consultancy Component Provider",DATA_RASIC_DESC!A130,IF($B$4="Make to Print",DATA_RASIC_DESC!A130,IF($B$4="Engineering Service Provider",DATA_RASIC_DESC!A130,IF($B$4="Full System Provider",DATA_RASIC_DESC!A130,IF($B$4="ESP_DOOR TRIM",DATA_RASIC_DESC!D130,IF($B$4="ESP_Partner_LEVEL_01",DATA_RASIC_DESC!G130,"")))))))</f>
        <v>FP.7</v>
      </c>
      <c r="B138" s="432" t="str">
        <f>IF($B$4="Assembly or Component Provider",DATA_RASIC_DESC!B130,IF($B$4="Consultancy Component Provider",DATA_RASIC_DESC!B130,IF($B$4="Make to Print",DATA_RASIC_DESC!B130,IF($B$4="Engineering Service Provider",DATA_RASIC_DESC!B130,IF($B$4="Full System Provider",DATA_RASIC_DESC!B130,IF($B$4="ESP_DOOR TRIM",DATA_RASIC_DESC!E130,IF($B$4="ESP_Partner_LEVEL_01",DATA_RASIC_DESC!H130,"")))))))</f>
        <v>Supplier shall maintain all oral &amp; written communications in English</v>
      </c>
      <c r="C138" s="432"/>
      <c r="D138" s="432"/>
      <c r="E138" s="432"/>
      <c r="F138" s="432"/>
      <c r="G138" s="432"/>
      <c r="H138" s="432"/>
      <c r="I138" s="432"/>
      <c r="J138" s="432"/>
      <c r="K138" s="40" t="str">
        <f>IF($B$4="Assembly or Component Provider",DATA_RASIC!Q136,IF($B$4="Consultancy Component Provider",DATA_RASIC!X136,IF($B$4="Make to Print",DATA_RASIC!AE136,IF($B$4="Engineering Service Provider",DATA_RASIC!C136,IF($B$4="Full System Provider",DATA_RASIC!J136,IF($B$4="ESP_DOOR TRIM",DATA_RASIC!AL136,IF($B$4="ESP_Partner_LEVEL_01",DATA_RASIC!AS136,"")))))))</f>
        <v>SE</v>
      </c>
      <c r="L138" s="40" t="str">
        <f>IF($B$4="Assembly or Component Provider",DATA_RASIC!R136,IF($B$4="Consultancy Component Provider",DATA_RASIC!Y136,IF($B$4="Make to Print",DATA_RASIC!AF136,IF($B$4="Engineering Service Provider",DATA_RASIC!D136,IF($B$4="Full System Provider",DATA_RASIC!K136,IF($B$4="ESP_DOOR TRIM",DATA_RASIC!AM136,IF($B$4="ESP_Partner_LEVEL_01",DATA_RASIC!AT136,"")))))))</f>
        <v>SE</v>
      </c>
      <c r="M138" s="40" t="str">
        <f>IF($B$4="Assembly or Component Provider",DATA_RASIC!S136,IF($B$4="Consultancy Component Provider",DATA_RASIC!Z136,IF($B$4="Make to Print",DATA_RASIC!AG136,IF($B$4="Engineering Service Provider",DATA_RASIC!E136,IF($B$4="Full System Provider",DATA_RASIC!L136,IF($B$4="ESP_DOOR TRIM",DATA_RASIC!AN136,IF($B$4="ESP_Partner_LEVEL_01",DATA_RASIC!AU136,"")))))))</f>
        <v>JLR</v>
      </c>
      <c r="N138" s="40" t="str">
        <f>IF($B$4="Assembly or Component Provider",DATA_RASIC!T136,IF($B$4="Consultancy Component Provider",DATA_RASIC!AA136,IF($B$4="Make to Print",DATA_RASIC!AH136,IF($B$4="Engineering Service Provider",DATA_RASIC!F136,IF($B$4="Full System Provider",DATA_RASIC!M136,IF($B$4="ESP_DOOR TRIM",DATA_RASIC!AO136,IF($B$4="ESP_Partner_LEVEL_01",DATA_RASIC!AV136,"")))))))</f>
        <v>JLR</v>
      </c>
      <c r="O138" s="40" t="str">
        <f>IF($B$4="Assembly or Component Provider",DATA_RASIC!U136,IF($B$4="Consultancy Component Provider",DATA_RASIC!AB136,IF($B$4="Make to Print",DATA_RASIC!AI136,IF($B$4="Engineering Service Provider",DATA_RASIC!G136,IF($B$4="Full System Provider",DATA_RASIC!N136,IF($B$4="ESP_DOOR TRIM",DATA_RASIC!AP136,IF($B$4="ESP_Partner_LEVEL_01",DATA_RASIC!AW136,"")))))))</f>
        <v>JLR</v>
      </c>
      <c r="P138" s="40" t="str">
        <f>IF($B$4="Assembly or Component Provider",DATA_RASIC!V136,IF($B$4="Consultancy Component Provider",DATA_RASIC!AC136,IF($B$4="Make to Print",DATA_RASIC!AJ136,IF($B$4="Engineering Service Provider",DATA_RASIC!H136,IF($B$4="Full System Provider",DATA_RASIC!O136,IF($B$4="ESP_DOOR TRIM",DATA_RASIC!AQ136,IF($B$4="ESP_Partner_LEVEL_01",DATA_RASIC!AX136,"")))))))</f>
        <v>JLR</v>
      </c>
    </row>
    <row r="139" spans="1:16" ht="35.4" customHeight="1" x14ac:dyDescent="0.3">
      <c r="A139" s="80" t="str">
        <f>IF($B$4="Assembly or Component Provider",DATA_RASIC_DESC!A131,IF($B$4="Consultancy Component Provider",DATA_RASIC_DESC!A131,IF($B$4="Make to Print",DATA_RASIC_DESC!A131,IF($B$4="Engineering Service Provider",DATA_RASIC_DESC!A131,IF($B$4="Full System Provider",DATA_RASIC_DESC!A131,IF($B$4="ESP_DOOR TRIM",DATA_RASIC_DESC!D131,IF($B$4="ESP_Partner_LEVEL_01",DATA_RASIC_DESC!G131,"")))))))</f>
        <v>FP.8</v>
      </c>
      <c r="B139" s="432" t="str">
        <f>IF($B$4="Assembly or Component Provider",DATA_RASIC_DESC!B131,IF($B$4="Consultancy Component Provider",DATA_RASIC_DESC!B131,IF($B$4="Make to Print",DATA_RASIC_DESC!B131,IF($B$4="Engineering Service Provider",DATA_RASIC_DESC!B131,IF($B$4="Full System Provider",DATA_RASIC_DESC!B131,IF($B$4="ESP_DOOR TRIM",DATA_RASIC_DESC!E131,IF($B$4="ESP_Partner_LEVEL_01",DATA_RASIC_DESC!H131,"")))))))</f>
        <v>Supplier shall ensure that all project interfaces are knowledgeable and with good English  communication skills</v>
      </c>
      <c r="C139" s="432"/>
      <c r="D139" s="432"/>
      <c r="E139" s="432"/>
      <c r="F139" s="432"/>
      <c r="G139" s="432"/>
      <c r="H139" s="432"/>
      <c r="I139" s="432"/>
      <c r="J139" s="432"/>
      <c r="K139" s="40" t="str">
        <f>IF($B$4="Assembly or Component Provider",DATA_RASIC!Q137,IF($B$4="Consultancy Component Provider",DATA_RASIC!X137,IF($B$4="Make to Print",DATA_RASIC!AE137,IF($B$4="Engineering Service Provider",DATA_RASIC!C137,IF($B$4="Full System Provider",DATA_RASIC!J137,IF($B$4="ESP_DOOR TRIM",DATA_RASIC!AL137,IF($B$4="ESP_Partner_LEVEL_01",DATA_RASIC!AS137,"")))))))</f>
        <v>SE</v>
      </c>
      <c r="L139" s="40" t="str">
        <f>IF($B$4="Assembly or Component Provider",DATA_RASIC!R137,IF($B$4="Consultancy Component Provider",DATA_RASIC!Y137,IF($B$4="Make to Print",DATA_RASIC!AF137,IF($B$4="Engineering Service Provider",DATA_RASIC!D137,IF($B$4="Full System Provider",DATA_RASIC!K137,IF($B$4="ESP_DOOR TRIM",DATA_RASIC!AM137,IF($B$4="ESP_Partner_LEVEL_01",DATA_RASIC!AT137,"")))))))</f>
        <v>SE</v>
      </c>
      <c r="M139" s="40" t="str">
        <f>IF($B$4="Assembly or Component Provider",DATA_RASIC!S137,IF($B$4="Consultancy Component Provider",DATA_RASIC!Z137,IF($B$4="Make to Print",DATA_RASIC!AG137,IF($B$4="Engineering Service Provider",DATA_RASIC!E137,IF($B$4="Full System Provider",DATA_RASIC!L137,IF($B$4="ESP_DOOR TRIM",DATA_RASIC!AN137,IF($B$4="ESP_Partner_LEVEL_01",DATA_RASIC!AU137,"")))))))</f>
        <v>JLR</v>
      </c>
      <c r="N139" s="40" t="str">
        <f>IF($B$4="Assembly or Component Provider",DATA_RASIC!T137,IF($B$4="Consultancy Component Provider",DATA_RASIC!AA137,IF($B$4="Make to Print",DATA_RASIC!AH137,IF($B$4="Engineering Service Provider",DATA_RASIC!F137,IF($B$4="Full System Provider",DATA_RASIC!M137,IF($B$4="ESP_DOOR TRIM",DATA_RASIC!AO137,IF($B$4="ESP_Partner_LEVEL_01",DATA_RASIC!AV137,"")))))))</f>
        <v>JLR</v>
      </c>
      <c r="O139" s="40" t="str">
        <f>IF($B$4="Assembly or Component Provider",DATA_RASIC!U137,IF($B$4="Consultancy Component Provider",DATA_RASIC!AB137,IF($B$4="Make to Print",DATA_RASIC!AI137,IF($B$4="Engineering Service Provider",DATA_RASIC!G137,IF($B$4="Full System Provider",DATA_RASIC!N137,IF($B$4="ESP_DOOR TRIM",DATA_RASIC!AP137,IF($B$4="ESP_Partner_LEVEL_01",DATA_RASIC!AW137,"")))))))</f>
        <v>JLR</v>
      </c>
      <c r="P139" s="40" t="str">
        <f>IF($B$4="Assembly or Component Provider",DATA_RASIC!V137,IF($B$4="Consultancy Component Provider",DATA_RASIC!AC137,IF($B$4="Make to Print",DATA_RASIC!AJ137,IF($B$4="Engineering Service Provider",DATA_RASIC!H137,IF($B$4="Full System Provider",DATA_RASIC!O137,IF($B$4="ESP_DOOR TRIM",DATA_RASIC!AQ137,IF($B$4="ESP_Partner_LEVEL_01",DATA_RASIC!AX137,"")))))))</f>
        <v>JLR</v>
      </c>
    </row>
    <row r="140" spans="1:16" ht="33.6" customHeight="1" x14ac:dyDescent="0.3">
      <c r="A140" s="80" t="str">
        <f>IF($B$4="Assembly or Component Provider",DATA_RASIC_DESC!A132,IF($B$4="Consultancy Component Provider",DATA_RASIC_DESC!A132,IF($B$4="Make to Print",DATA_RASIC_DESC!A132,IF($B$4="Engineering Service Provider",DATA_RASIC_DESC!A132,IF($B$4="Full System Provider",DATA_RASIC_DESC!A132,IF($B$4="ESP_DOOR TRIM",DATA_RASIC_DESC!D132,IF($B$4="ESP_Partner_LEVEL_01",DATA_RASIC_DESC!G132,"")))))))</f>
        <v>-</v>
      </c>
      <c r="B140" s="432" t="str">
        <f>IF($B$4="Assembly or Component Provider",DATA_RASIC_DESC!B132,IF($B$4="Consultancy Component Provider",DATA_RASIC_DESC!B132,IF($B$4="Make to Print",DATA_RASIC_DESC!B132,IF($B$4="Engineering Service Provider",DATA_RASIC_DESC!B132,IF($B$4="Full System Provider",DATA_RASIC_DESC!B132,IF($B$4="ESP_DOOR TRIM",DATA_RASIC_DESC!E132,IF($B$4="ESP_Partner_LEVEL_01",DATA_RASIC_DESC!H132,"")))))))</f>
        <v>Reserved</v>
      </c>
      <c r="C140" s="432"/>
      <c r="D140" s="432"/>
      <c r="E140" s="432"/>
      <c r="F140" s="432"/>
      <c r="G140" s="432"/>
      <c r="H140" s="432"/>
      <c r="I140" s="432"/>
      <c r="J140" s="432"/>
      <c r="K140" s="40" t="str">
        <f>IF($B$4="Assembly or Component Provider",DATA_RASIC!Q138,IF($B$4="Consultancy Component Provider",DATA_RASIC!X138,IF($B$4="Make to Print",DATA_RASIC!AE138,IF($B$4="Engineering Service Provider",DATA_RASIC!C138,IF($B$4="Full System Provider",DATA_RASIC!J138,IF($B$4="ESP_DOOR TRIM",DATA_RASIC!AL138,IF($B$4="ESP_Partner_LEVEL_01",DATA_RASIC!AS138,"")))))))</f>
        <v>N/A</v>
      </c>
      <c r="L140" s="40" t="str">
        <f>IF($B$4="Assembly or Component Provider",DATA_RASIC!R138,IF($B$4="Consultancy Component Provider",DATA_RASIC!Y138,IF($B$4="Make to Print",DATA_RASIC!AF138,IF($B$4="Engineering Service Provider",DATA_RASIC!D138,IF($B$4="Full System Provider",DATA_RASIC!K138,IF($B$4="ESP_DOOR TRIM",DATA_RASIC!AM138,IF($B$4="ESP_Partner_LEVEL_01",DATA_RASIC!AT138,"")))))))</f>
        <v>-</v>
      </c>
      <c r="M140" s="40" t="str">
        <f>IF($B$4="Assembly or Component Provider",DATA_RASIC!S138,IF($B$4="Consultancy Component Provider",DATA_RASIC!Z138,IF($B$4="Make to Print",DATA_RASIC!AG138,IF($B$4="Engineering Service Provider",DATA_RASIC!E138,IF($B$4="Full System Provider",DATA_RASIC!L138,IF($B$4="ESP_DOOR TRIM",DATA_RASIC!AN138,IF($B$4="ESP_Partner_LEVEL_01",DATA_RASIC!AU138,"")))))))</f>
        <v>-</v>
      </c>
      <c r="N140" s="40" t="str">
        <f>IF($B$4="Assembly or Component Provider",DATA_RASIC!T138,IF($B$4="Consultancy Component Provider",DATA_RASIC!AA138,IF($B$4="Make to Print",DATA_RASIC!AH138,IF($B$4="Engineering Service Provider",DATA_RASIC!F138,IF($B$4="Full System Provider",DATA_RASIC!M138,IF($B$4="ESP_DOOR TRIM",DATA_RASIC!AO138,IF($B$4="ESP_Partner_LEVEL_01",DATA_RASIC!AV138,"")))))))</f>
        <v>-</v>
      </c>
      <c r="O140" s="40" t="str">
        <f>IF($B$4="Assembly or Component Provider",DATA_RASIC!U138,IF($B$4="Consultancy Component Provider",DATA_RASIC!AB138,IF($B$4="Make to Print",DATA_RASIC!AI138,IF($B$4="Engineering Service Provider",DATA_RASIC!G138,IF($B$4="Full System Provider",DATA_RASIC!N138,IF($B$4="ESP_DOOR TRIM",DATA_RASIC!AP138,IF($B$4="ESP_Partner_LEVEL_01",DATA_RASIC!AW138,"")))))))</f>
        <v>-</v>
      </c>
      <c r="P140" s="40" t="str">
        <f>IF($B$4="Assembly or Component Provider",DATA_RASIC!V138,IF($B$4="Consultancy Component Provider",DATA_RASIC!AC138,IF($B$4="Make to Print",DATA_RASIC!AJ138,IF($B$4="Engineering Service Provider",DATA_RASIC!H138,IF($B$4="Full System Provider",DATA_RASIC!O138,IF($B$4="ESP_DOOR TRIM",DATA_RASIC!AQ138,IF($B$4="ESP_Partner_LEVEL_01",DATA_RASIC!AX138,"")))))))</f>
        <v>-</v>
      </c>
    </row>
    <row r="141" spans="1:16" ht="42" customHeight="1" x14ac:dyDescent="0.3">
      <c r="A141" s="80" t="str">
        <f>IF($B$4="Assembly or Component Provider",DATA_RASIC_DESC!A133,IF($B$4="Consultancy Component Provider",DATA_RASIC_DESC!A133,IF($B$4="Make to Print",DATA_RASIC_DESC!A133,IF($B$4="Engineering Service Provider",DATA_RASIC_DESC!A133,IF($B$4="Full System Provider",DATA_RASIC_DESC!A133,IF($B$4="ESP_DOOR TRIM",DATA_RASIC_DESC!D133,IF($B$4="ESP_Partner_LEVEL_01",DATA_RASIC_DESC!G133,"")))))))</f>
        <v>-</v>
      </c>
      <c r="B141" s="432" t="str">
        <f>IF($B$4="Assembly or Component Provider",DATA_RASIC_DESC!B133,IF($B$4="Consultancy Component Provider",DATA_RASIC_DESC!B133,IF($B$4="Make to Print",DATA_RASIC_DESC!B133,IF($B$4="Engineering Service Provider",DATA_RASIC_DESC!B133,IF($B$4="Full System Provider",DATA_RASIC_DESC!B133,IF($B$4="ESP_DOOR TRIM",DATA_RASIC_DESC!E133,IF($B$4="ESP_Partner_LEVEL_01",DATA_RASIC_DESC!H133,"")))))))</f>
        <v>Reserved</v>
      </c>
      <c r="C141" s="432"/>
      <c r="D141" s="432"/>
      <c r="E141" s="432"/>
      <c r="F141" s="432"/>
      <c r="G141" s="432"/>
      <c r="H141" s="432"/>
      <c r="I141" s="432"/>
      <c r="J141" s="432"/>
      <c r="K141" s="40" t="str">
        <f>IF($B$4="Assembly or Component Provider",DATA_RASIC!Q139,IF($B$4="Consultancy Component Provider",DATA_RASIC!X139,IF($B$4="Make to Print",DATA_RASIC!AE139,IF($B$4="Engineering Service Provider",DATA_RASIC!C139,IF($B$4="Full System Provider",DATA_RASIC!J139,IF($B$4="ESP_DOOR TRIM",DATA_RASIC!AL139,IF($B$4="ESP_Partner_LEVEL_01",DATA_RASIC!AS139,"")))))))</f>
        <v>N/A</v>
      </c>
      <c r="L141" s="40" t="str">
        <f>IF($B$4="Assembly or Component Provider",DATA_RASIC!R139,IF($B$4="Consultancy Component Provider",DATA_RASIC!Y139,IF($B$4="Make to Print",DATA_RASIC!AF139,IF($B$4="Engineering Service Provider",DATA_RASIC!D139,IF($B$4="Full System Provider",DATA_RASIC!K139,IF($B$4="ESP_DOOR TRIM",DATA_RASIC!AM139,IF($B$4="ESP_Partner_LEVEL_01",DATA_RASIC!AT139,"")))))))</f>
        <v>-</v>
      </c>
      <c r="M141" s="40" t="str">
        <f>IF($B$4="Assembly or Component Provider",DATA_RASIC!S139,IF($B$4="Consultancy Component Provider",DATA_RASIC!Z139,IF($B$4="Make to Print",DATA_RASIC!AG139,IF($B$4="Engineering Service Provider",DATA_RASIC!E139,IF($B$4="Full System Provider",DATA_RASIC!L139,IF($B$4="ESP_DOOR TRIM",DATA_RASIC!AN139,IF($B$4="ESP_Partner_LEVEL_01",DATA_RASIC!AU139,"")))))))</f>
        <v>-</v>
      </c>
      <c r="N141" s="40" t="str">
        <f>IF($B$4="Assembly or Component Provider",DATA_RASIC!T139,IF($B$4="Consultancy Component Provider",DATA_RASIC!AA139,IF($B$4="Make to Print",DATA_RASIC!AH139,IF($B$4="Engineering Service Provider",DATA_RASIC!F139,IF($B$4="Full System Provider",DATA_RASIC!M139,IF($B$4="ESP_DOOR TRIM",DATA_RASIC!AO139,IF($B$4="ESP_Partner_LEVEL_01",DATA_RASIC!AV139,"")))))))</f>
        <v>-</v>
      </c>
      <c r="O141" s="40" t="str">
        <f>IF($B$4="Assembly or Component Provider",DATA_RASIC!U139,IF($B$4="Consultancy Component Provider",DATA_RASIC!AB139,IF($B$4="Make to Print",DATA_RASIC!AI139,IF($B$4="Engineering Service Provider",DATA_RASIC!G139,IF($B$4="Full System Provider",DATA_RASIC!N139,IF($B$4="ESP_DOOR TRIM",DATA_RASIC!AP139,IF($B$4="ESP_Partner_LEVEL_01",DATA_RASIC!AW139,"")))))))</f>
        <v>-</v>
      </c>
      <c r="P141" s="40" t="str">
        <f>IF($B$4="Assembly or Component Provider",DATA_RASIC!V139,IF($B$4="Consultancy Component Provider",DATA_RASIC!AC139,IF($B$4="Make to Print",DATA_RASIC!AJ139,IF($B$4="Engineering Service Provider",DATA_RASIC!H139,IF($B$4="Full System Provider",DATA_RASIC!O139,IF($B$4="ESP_DOOR TRIM",DATA_RASIC!AQ139,IF($B$4="ESP_Partner_LEVEL_01",DATA_RASIC!AX139,"")))))))</f>
        <v>-</v>
      </c>
    </row>
    <row r="142" spans="1:16" s="9" customFormat="1" ht="18" customHeight="1" x14ac:dyDescent="0.3">
      <c r="A142" s="602" t="s">
        <v>1003</v>
      </c>
      <c r="B142" s="602"/>
      <c r="C142" s="602"/>
      <c r="D142" s="602"/>
      <c r="E142" s="602"/>
      <c r="F142" s="602"/>
      <c r="G142" s="602"/>
      <c r="H142" s="602"/>
      <c r="I142" s="602"/>
      <c r="J142" s="602"/>
      <c r="K142" s="603" t="s">
        <v>982</v>
      </c>
      <c r="L142" s="457"/>
      <c r="M142" s="457"/>
      <c r="N142" s="457"/>
      <c r="O142" s="604" t="s">
        <v>424</v>
      </c>
      <c r="P142" s="457"/>
    </row>
    <row r="143" spans="1:16" ht="16.2" customHeight="1" x14ac:dyDescent="0.3">
      <c r="A143" s="39" t="s">
        <v>983</v>
      </c>
      <c r="B143" s="588" t="s">
        <v>984</v>
      </c>
      <c r="C143" s="588"/>
      <c r="D143" s="588"/>
      <c r="E143" s="588"/>
      <c r="F143" s="588"/>
      <c r="G143" s="588"/>
      <c r="H143" s="588"/>
      <c r="I143" s="588"/>
      <c r="J143" s="588"/>
      <c r="K143" s="39" t="s">
        <v>985</v>
      </c>
      <c r="L143" s="39" t="s">
        <v>986</v>
      </c>
      <c r="M143" s="39" t="s">
        <v>987</v>
      </c>
      <c r="N143" s="39" t="s">
        <v>988</v>
      </c>
      <c r="O143" s="39" t="s">
        <v>989</v>
      </c>
      <c r="P143" s="39" t="s">
        <v>990</v>
      </c>
    </row>
    <row r="144" spans="1:16" ht="30.6" customHeight="1" x14ac:dyDescent="0.3">
      <c r="A144" s="80" t="str">
        <f>IF($B$4="Assembly or Component Provider",DATA_RASIC_DESC!A136,IF($B$4="Consultancy Component Provider",DATA_RASIC_DESC!A136,IF($B$4="Make to Print",DATA_RASIC_DESC!A136,IF($B$4="Engineering Service Provider",DATA_RASIC_DESC!A136,IF($B$4="Full System Provider",DATA_RASIC_DESC!A136,IF($B$4="ESP_DOOR TRIM",DATA_RASIC_DESC!D136,IF($B$4="ESP_Partner_LEVEL_01",DATA_RASIC_DESC!G136,"")))))))</f>
        <v>PPR.1</v>
      </c>
      <c r="B144" s="432" t="str">
        <f>IF($B$4="Assembly or Component Provider",DATA_RASIC_DESC!B136,IF($B$4="Consultancy Component Provider",DATA_RASIC_DESC!B136,IF($B$4="Make to Print",DATA_RASIC_DESC!B136,IF($B$4="Engineering Service Provider",DATA_RASIC_DESC!B136,IF($B$4="Full System Provider",DATA_RASIC_DESC!B136,IF($B$4="ESP_DOOR TRIM",DATA_RASIC_DESC!E136,IF($B$4="ESP_Partner_LEVEL_01",DATA_RASIC_DESC!H136,"")))))))</f>
        <v>Assure timely decision making</v>
      </c>
      <c r="C144" s="432"/>
      <c r="D144" s="432"/>
      <c r="E144" s="432"/>
      <c r="F144" s="432"/>
      <c r="G144" s="432"/>
      <c r="H144" s="432"/>
      <c r="I144" s="432"/>
      <c r="J144" s="432"/>
      <c r="K144" s="40" t="str">
        <f>IF($B$4="Assembly or Component Provider",DATA_RASIC!Q143,IF($B$4="Consultancy Component Provider",DATA_RASIC!X143,IF($B$4="Make to Print",DATA_RASIC!AE143,IF($B$4="Engineering Service Provider",DATA_RASIC!C143,IF($B$4="Full System Provider",DATA_RASIC!J143,IF($B$4="ESP_DOOR TRIM",DATA_RASIC!AL143,IF($B$4="ESP_Partner_LEVEL_01",DATA_RASIC!AS143,"")))))))</f>
        <v>SHARE</v>
      </c>
      <c r="L144" s="40" t="str">
        <f>IF($B$4="Assembly or Component Provider",DATA_RASIC!R143,IF($B$4="Consultancy Component Provider",DATA_RASIC!Y143,IF($B$4="Make to Print",DATA_RASIC!AF143,IF($B$4="Engineering Service Provider",DATA_RASIC!D143,IF($B$4="Full System Provider",DATA_RASIC!K143,IF($B$4="ESP_DOOR TRIM",DATA_RASIC!AM143,IF($B$4="ESP_Partner_LEVEL_01",DATA_RASIC!AT143,"")))))))</f>
        <v>SHARE</v>
      </c>
      <c r="M144" s="40" t="str">
        <f>IF($B$4="Assembly or Component Provider",DATA_RASIC!S143,IF($B$4="Consultancy Component Provider",DATA_RASIC!Z143,IF($B$4="Make to Print",DATA_RASIC!AG143,IF($B$4="Engineering Service Provider",DATA_RASIC!E143,IF($B$4="Full System Provider",DATA_RASIC!L143,IF($B$4="ESP_DOOR TRIM",DATA_RASIC!AN143,IF($B$4="ESP_Partner_LEVEL_01",DATA_RASIC!AU143,"")))))))</f>
        <v>SHARE</v>
      </c>
      <c r="N144" s="40" t="str">
        <f>IF($B$4="Assembly or Component Provider",DATA_RASIC!T143,IF($B$4="Consultancy Component Provider",DATA_RASIC!AA143,IF($B$4="Make to Print",DATA_RASIC!AH143,IF($B$4="Engineering Service Provider",DATA_RASIC!F143,IF($B$4="Full System Provider",DATA_RASIC!M143,IF($B$4="ESP_DOOR TRIM",DATA_RASIC!AO143,IF($B$4="ESP_Partner_LEVEL_01",DATA_RASIC!AV143,"")))))))</f>
        <v>SHARE</v>
      </c>
      <c r="O144" s="40" t="str">
        <f>IF($B$4="Assembly or Component Provider",DATA_RASIC!U143,IF($B$4="Consultancy Component Provider",DATA_RASIC!AB143,IF($B$4="Make to Print",DATA_RASIC!AI143,IF($B$4="Engineering Service Provider",DATA_RASIC!G143,IF($B$4="Full System Provider",DATA_RASIC!N143,IF($B$4="ESP_DOOR TRIM",DATA_RASIC!AP143,IF($B$4="ESP_Partner_LEVEL_01",DATA_RASIC!AW143,"")))))))</f>
        <v>SHARE</v>
      </c>
      <c r="P144" s="40" t="str">
        <f>IF($B$4="Assembly or Component Provider",DATA_RASIC!V143,IF($B$4="Consultancy Component Provider",DATA_RASIC!AC143,IF($B$4="Make to Print",DATA_RASIC!AJ143,IF($B$4="Engineering Service Provider",DATA_RASIC!H143,IF($B$4="Full System Provider",DATA_RASIC!O143,IF($B$4="ESP_DOOR TRIM",DATA_RASIC!AQ143,IF($B$4="ESP_Partner_LEVEL_01",DATA_RASIC!AX143,"")))))))</f>
        <v>SHARE</v>
      </c>
    </row>
    <row r="145" spans="1:16" ht="30.6" customHeight="1" x14ac:dyDescent="0.3">
      <c r="A145" s="80" t="str">
        <f>IF($B$4="Assembly or Component Provider",DATA_RASIC_DESC!A137,IF($B$4="Consultancy Component Provider",DATA_RASIC_DESC!A137,IF($B$4="Make to Print",DATA_RASIC_DESC!A137,IF($B$4="Engineering Service Provider",DATA_RASIC_DESC!A137,IF($B$4="Full System Provider",DATA_RASIC_DESC!A137,IF($B$4="ESP_DOOR TRIM",DATA_RASIC_DESC!D137,IF($B$4="ESP_Partner_LEVEL_01",DATA_RASIC_DESC!G137,"")))))))</f>
        <v>PPR.2</v>
      </c>
      <c r="B145" s="432" t="str">
        <f>IF($B$4="Assembly or Component Provider",DATA_RASIC_DESC!B137,IF($B$4="Consultancy Component Provider",DATA_RASIC_DESC!B137,IF($B$4="Make to Print",DATA_RASIC_DESC!B137,IF($B$4="Engineering Service Provider",DATA_RASIC_DESC!B137,IF($B$4="Full System Provider",DATA_RASIC_DESC!B137,IF($B$4="ESP_DOOR TRIM",DATA_RASIC_DESC!E137,IF($B$4="ESP_Partner_LEVEL_01",DATA_RASIC_DESC!H137,"")))))))</f>
        <v>Identify and prioritise concerns</v>
      </c>
      <c r="C145" s="432"/>
      <c r="D145" s="432"/>
      <c r="E145" s="432"/>
      <c r="F145" s="432"/>
      <c r="G145" s="432"/>
      <c r="H145" s="432"/>
      <c r="I145" s="432"/>
      <c r="J145" s="432"/>
      <c r="K145" s="40" t="str">
        <f>IF($B$4="Assembly or Component Provider",DATA_RASIC!Q144,IF($B$4="Consultancy Component Provider",DATA_RASIC!X144,IF($B$4="Make to Print",DATA_RASIC!AE144,IF($B$4="Engineering Service Provider",DATA_RASIC!C144,IF($B$4="Full System Provider",DATA_RASIC!J144,IF($B$4="ESP_DOOR TRIM",DATA_RASIC!AL144,IF($B$4="ESP_Partner_LEVEL_01",DATA_RASIC!AS144,"")))))))</f>
        <v>SHARE</v>
      </c>
      <c r="L145" s="40" t="str">
        <f>IF($B$4="Assembly or Component Provider",DATA_RASIC!R144,IF($B$4="Consultancy Component Provider",DATA_RASIC!Y144,IF($B$4="Make to Print",DATA_RASIC!AF144,IF($B$4="Engineering Service Provider",DATA_RASIC!D144,IF($B$4="Full System Provider",DATA_RASIC!K144,IF($B$4="ESP_DOOR TRIM",DATA_RASIC!AM144,IF($B$4="ESP_Partner_LEVEL_01",DATA_RASIC!AT144,"")))))))</f>
        <v>SHARE</v>
      </c>
      <c r="M145" s="40" t="str">
        <f>IF($B$4="Assembly or Component Provider",DATA_RASIC!S144,IF($B$4="Consultancy Component Provider",DATA_RASIC!Z144,IF($B$4="Make to Print",DATA_RASIC!AG144,IF($B$4="Engineering Service Provider",DATA_RASIC!E144,IF($B$4="Full System Provider",DATA_RASIC!L144,IF($B$4="ESP_DOOR TRIM",DATA_RASIC!AN144,IF($B$4="ESP_Partner_LEVEL_01",DATA_RASIC!AU144,"")))))))</f>
        <v>SHARE</v>
      </c>
      <c r="N145" s="40" t="str">
        <f>IF($B$4="Assembly or Component Provider",DATA_RASIC!T144,IF($B$4="Consultancy Component Provider",DATA_RASIC!AA144,IF($B$4="Make to Print",DATA_RASIC!AH144,IF($B$4="Engineering Service Provider",DATA_RASIC!F144,IF($B$4="Full System Provider",DATA_RASIC!M144,IF($B$4="ESP_DOOR TRIM",DATA_RASIC!AO144,IF($B$4="ESP_Partner_LEVEL_01",DATA_RASIC!AV144,"")))))))</f>
        <v>SHARE</v>
      </c>
      <c r="O145" s="40" t="str">
        <f>IF($B$4="Assembly or Component Provider",DATA_RASIC!U144,IF($B$4="Consultancy Component Provider",DATA_RASIC!AB144,IF($B$4="Make to Print",DATA_RASIC!AI144,IF($B$4="Engineering Service Provider",DATA_RASIC!G144,IF($B$4="Full System Provider",DATA_RASIC!N144,IF($B$4="ESP_DOOR TRIM",DATA_RASIC!AP144,IF($B$4="ESP_Partner_LEVEL_01",DATA_RASIC!AW144,"")))))))</f>
        <v>SHARE</v>
      </c>
      <c r="P145" s="40" t="str">
        <f>IF($B$4="Assembly or Component Provider",DATA_RASIC!V144,IF($B$4="Consultancy Component Provider",DATA_RASIC!AC144,IF($B$4="Make to Print",DATA_RASIC!AJ144,IF($B$4="Engineering Service Provider",DATA_RASIC!H144,IF($B$4="Full System Provider",DATA_RASIC!O144,IF($B$4="ESP_DOOR TRIM",DATA_RASIC!AQ144,IF($B$4="ESP_Partner_LEVEL_01",DATA_RASIC!AX144,"")))))))</f>
        <v>SHARE</v>
      </c>
    </row>
    <row r="146" spans="1:16" ht="30.6" customHeight="1" x14ac:dyDescent="0.3">
      <c r="A146" s="80" t="str">
        <f>IF($B$4="Assembly or Component Provider",DATA_RASIC_DESC!A138,IF($B$4="Consultancy Component Provider",DATA_RASIC_DESC!A138,IF($B$4="Make to Print",DATA_RASIC_DESC!A138,IF($B$4="Engineering Service Provider",DATA_RASIC_DESC!A138,IF($B$4="Full System Provider",DATA_RASIC_DESC!A138,IF($B$4="ESP_DOOR TRIM",DATA_RASIC_DESC!D138,IF($B$4="ESP_Partner_LEVEL_01",DATA_RASIC_DESC!G138,"")))))))</f>
        <v>PPR.3</v>
      </c>
      <c r="B146" s="432" t="str">
        <f>IF($B$4="Assembly or Component Provider",DATA_RASIC_DESC!B138,IF($B$4="Consultancy Component Provider",DATA_RASIC_DESC!B138,IF($B$4="Make to Print",DATA_RASIC_DESC!B138,IF($B$4="Engineering Service Provider",DATA_RASIC_DESC!B138,IF($B$4="Full System Provider",DATA_RASIC_DESC!B138,IF($B$4="ESP_DOOR TRIM",DATA_RASIC_DESC!E138,IF($B$4="ESP_Partner_LEVEL_01",DATA_RASIC_DESC!H138,"")))))))</f>
        <v>Communicate quality and other data to suppliers</v>
      </c>
      <c r="C146" s="432"/>
      <c r="D146" s="432"/>
      <c r="E146" s="432"/>
      <c r="F146" s="432"/>
      <c r="G146" s="432"/>
      <c r="H146" s="432"/>
      <c r="I146" s="432"/>
      <c r="J146" s="432"/>
      <c r="K146" s="40" t="str">
        <f>IF($B$4="Assembly or Component Provider",DATA_RASIC!Q145,IF($B$4="Consultancy Component Provider",DATA_RASIC!X145,IF($B$4="Make to Print",DATA_RASIC!AE145,IF($B$4="Engineering Service Provider",DATA_RASIC!C145,IF($B$4="Full System Provider",DATA_RASIC!J145,IF($B$4="ESP_DOOR TRIM",DATA_RASIC!AL145,IF($B$4="ESP_Partner_LEVEL_01",DATA_RASIC!AS145,"")))))))</f>
        <v>JLR</v>
      </c>
      <c r="L146" s="40" t="str">
        <f>IF($B$4="Assembly or Component Provider",DATA_RASIC!R145,IF($B$4="Consultancy Component Provider",DATA_RASIC!Y145,IF($B$4="Make to Print",DATA_RASIC!AF145,IF($B$4="Engineering Service Provider",DATA_RASIC!D145,IF($B$4="Full System Provider",DATA_RASIC!K145,IF($B$4="ESP_DOOR TRIM",DATA_RASIC!AM145,IF($B$4="ESP_Partner_LEVEL_01",DATA_RASIC!AT145,"")))))))</f>
        <v>JLR</v>
      </c>
      <c r="M146" s="40" t="str">
        <f>IF($B$4="Assembly or Component Provider",DATA_RASIC!S145,IF($B$4="Consultancy Component Provider",DATA_RASIC!Z145,IF($B$4="Make to Print",DATA_RASIC!AG145,IF($B$4="Engineering Service Provider",DATA_RASIC!E145,IF($B$4="Full System Provider",DATA_RASIC!L145,IF($B$4="ESP_DOOR TRIM",DATA_RASIC!AN145,IF($B$4="ESP_Partner_LEVEL_01",DATA_RASIC!AU145,"")))))))</f>
        <v>JLR</v>
      </c>
      <c r="N146" s="40" t="str">
        <f>IF($B$4="Assembly or Component Provider",DATA_RASIC!T145,IF($B$4="Consultancy Component Provider",DATA_RASIC!AA145,IF($B$4="Make to Print",DATA_RASIC!AH145,IF($B$4="Engineering Service Provider",DATA_RASIC!F145,IF($B$4="Full System Provider",DATA_RASIC!M145,IF($B$4="ESP_DOOR TRIM",DATA_RASIC!AO145,IF($B$4="ESP_Partner_LEVEL_01",DATA_RASIC!AV145,"")))))))</f>
        <v>SE</v>
      </c>
      <c r="O146" s="40" t="str">
        <f>IF($B$4="Assembly or Component Provider",DATA_RASIC!U145,IF($B$4="Consultancy Component Provider",DATA_RASIC!AB145,IF($B$4="Make to Print",DATA_RASIC!AI145,IF($B$4="Engineering Service Provider",DATA_RASIC!G145,IF($B$4="Full System Provider",DATA_RASIC!N145,IF($B$4="ESP_DOOR TRIM",DATA_RASIC!AP145,IF($B$4="ESP_Partner_LEVEL_01",DATA_RASIC!AW145,"")))))))</f>
        <v>SE</v>
      </c>
      <c r="P146" s="40" t="str">
        <f>IF($B$4="Assembly or Component Provider",DATA_RASIC!V145,IF($B$4="Consultancy Component Provider",DATA_RASIC!AC145,IF($B$4="Make to Print",DATA_RASIC!AJ145,IF($B$4="Engineering Service Provider",DATA_RASIC!H145,IF($B$4="Full System Provider",DATA_RASIC!O145,IF($B$4="ESP_DOOR TRIM",DATA_RASIC!AQ145,IF($B$4="ESP_Partner_LEVEL_01",DATA_RASIC!AX145,"")))))))</f>
        <v>SE</v>
      </c>
    </row>
    <row r="147" spans="1:16" ht="30.6" customHeight="1" x14ac:dyDescent="0.3">
      <c r="A147" s="80" t="str">
        <f>IF($B$4="Assembly or Component Provider",DATA_RASIC_DESC!A139,IF($B$4="Consultancy Component Provider",DATA_RASIC_DESC!A139,IF($B$4="Make to Print",DATA_RASIC_DESC!A139,IF($B$4="Engineering Service Provider",DATA_RASIC_DESC!A139,IF($B$4="Full System Provider",DATA_RASIC_DESC!A139,IF($B$4="ESP_DOOR TRIM",DATA_RASIC_DESC!D139,IF($B$4="ESP_Partner_LEVEL_01",DATA_RASIC_DESC!G139,"")))))))</f>
        <v>PPR.4</v>
      </c>
      <c r="B147" s="432" t="str">
        <f>IF($B$4="Assembly or Component Provider",DATA_RASIC_DESC!B139,IF($B$4="Consultancy Component Provider",DATA_RASIC_DESC!B139,IF($B$4="Make to Print",DATA_RASIC_DESC!B139,IF($B$4="Engineering Service Provider",DATA_RASIC_DESC!B139,IF($B$4="Full System Provider",DATA_RASIC_DESC!B139,IF($B$4="ESP_DOOR TRIM",DATA_RASIC_DESC!E139,IF($B$4="ESP_Partner_LEVEL_01",DATA_RASIC_DESC!H139,"")))))))</f>
        <v>Lead problem identification/ root cause analysis and validation plan.  Validate production fixes and process changes where the contract has not been met or as requested by a Design Change Request (DCR)</v>
      </c>
      <c r="C147" s="432"/>
      <c r="D147" s="432"/>
      <c r="E147" s="432"/>
      <c r="F147" s="432"/>
      <c r="G147" s="432"/>
      <c r="H147" s="432"/>
      <c r="I147" s="432"/>
      <c r="J147" s="432"/>
      <c r="K147" s="40" t="str">
        <f>IF($B$4="Assembly or Component Provider",DATA_RASIC!Q146,IF($B$4="Consultancy Component Provider",DATA_RASIC!X146,IF($B$4="Make to Print",DATA_RASIC!AE146,IF($B$4="Engineering Service Provider",DATA_RASIC!C146,IF($B$4="Full System Provider",DATA_RASIC!J146,IF($B$4="ESP_DOOR TRIM",DATA_RASIC!AL146,IF($B$4="ESP_Partner_LEVEL_01",DATA_RASIC!AS146,"")))))))</f>
        <v>JLR</v>
      </c>
      <c r="L147" s="40" t="str">
        <f>IF($B$4="Assembly or Component Provider",DATA_RASIC!R146,IF($B$4="Consultancy Component Provider",DATA_RASIC!Y146,IF($B$4="Make to Print",DATA_RASIC!AF146,IF($B$4="Engineering Service Provider",DATA_RASIC!D146,IF($B$4="Full System Provider",DATA_RASIC!K146,IF($B$4="ESP_DOOR TRIM",DATA_RASIC!AM146,IF($B$4="ESP_Partner_LEVEL_01",DATA_RASIC!AT146,"")))))))</f>
        <v>JLR</v>
      </c>
      <c r="M147" s="40" t="str">
        <f>IF($B$4="Assembly or Component Provider",DATA_RASIC!S146,IF($B$4="Consultancy Component Provider",DATA_RASIC!Z146,IF($B$4="Make to Print",DATA_RASIC!AG146,IF($B$4="Engineering Service Provider",DATA_RASIC!E146,IF($B$4="Full System Provider",DATA_RASIC!L146,IF($B$4="ESP_DOOR TRIM",DATA_RASIC!AN146,IF($B$4="ESP_Partner_LEVEL_01",DATA_RASIC!AU146,"")))))))</f>
        <v>JLR</v>
      </c>
      <c r="N147" s="40" t="str">
        <f>IF($B$4="Assembly or Component Provider",DATA_RASIC!T146,IF($B$4="Consultancy Component Provider",DATA_RASIC!AA146,IF($B$4="Make to Print",DATA_RASIC!AH146,IF($B$4="Engineering Service Provider",DATA_RASIC!F146,IF($B$4="Full System Provider",DATA_RASIC!M146,IF($B$4="ESP_DOOR TRIM",DATA_RASIC!AO146,IF($B$4="ESP_Partner_LEVEL_01",DATA_RASIC!AV146,"")))))))</f>
        <v>SE</v>
      </c>
      <c r="O147" s="40" t="str">
        <f>IF($B$4="Assembly or Component Provider",DATA_RASIC!U146,IF($B$4="Consultancy Component Provider",DATA_RASIC!AB146,IF($B$4="Make to Print",DATA_RASIC!AI146,IF($B$4="Engineering Service Provider",DATA_RASIC!G146,IF($B$4="Full System Provider",DATA_RASIC!N146,IF($B$4="ESP_DOOR TRIM",DATA_RASIC!AP146,IF($B$4="ESP_Partner_LEVEL_01",DATA_RASIC!AW146,"")))))))</f>
        <v>SE</v>
      </c>
      <c r="P147" s="40" t="str">
        <f>IF($B$4="Assembly or Component Provider",DATA_RASIC!V146,IF($B$4="Consultancy Component Provider",DATA_RASIC!AC146,IF($B$4="Make to Print",DATA_RASIC!AJ146,IF($B$4="Engineering Service Provider",DATA_RASIC!H146,IF($B$4="Full System Provider",DATA_RASIC!O146,IF($B$4="ESP_DOOR TRIM",DATA_RASIC!AQ146,IF($B$4="ESP_Partner_LEVEL_01",DATA_RASIC!AX146,"")))))))</f>
        <v>SE</v>
      </c>
    </row>
    <row r="148" spans="1:16" ht="88.95" customHeight="1" x14ac:dyDescent="0.3">
      <c r="A148" s="80" t="str">
        <f>IF($B$4="Assembly or Component Provider",DATA_RASIC_DESC!A140,IF($B$4="Consultancy Component Provider",DATA_RASIC_DESC!A140,IF($B$4="Make to Print",DATA_RASIC_DESC!A140,IF($B$4="Engineering Service Provider",DATA_RASIC_DESC!A140,IF($B$4="Full System Provider",DATA_RASIC_DESC!A140,IF($B$4="ESP_DOOR TRIM",DATA_RASIC_DESC!D140,IF($B$4="ESP_Partner_LEVEL_01",DATA_RASIC_DESC!G140,"")))))))</f>
        <v>PPR.5</v>
      </c>
      <c r="B148" s="432" t="str">
        <f>IF($B$4="Assembly or Component Provider",DATA_RASIC_DESC!B140,IF($B$4="Consultancy Component Provider",DATA_RASIC_DESC!B140,IF($B$4="Make to Print",DATA_RASIC_DESC!B140,IF($B$4="Engineering Service Provider",DATA_RASIC_DESC!B140,IF($B$4="Full System Provider",DATA_RASIC_DESC!B140,IF($B$4="ESP_DOOR TRIM",DATA_RASIC_DESC!E140,IF($B$4="ESP_Partner_LEVEL_01",DATA_RASIC_DESC!H140,"")))))))</f>
        <v>Drive / Manage continuous improvement process
· On-site process control in accordance with an agreed control plan
· Employ in-process data / metrics in accordance with an agreed control plan
· Provide technical manufacturing assistance at the supplier manufacturing site</v>
      </c>
      <c r="C148" s="432"/>
      <c r="D148" s="432"/>
      <c r="E148" s="432"/>
      <c r="F148" s="432"/>
      <c r="G148" s="432"/>
      <c r="H148" s="432"/>
      <c r="I148" s="432"/>
      <c r="J148" s="432"/>
      <c r="K148" s="40" t="str">
        <f>IF($B$4="Assembly or Component Provider",DATA_RASIC!Q147,IF($B$4="Consultancy Component Provider",DATA_RASIC!X147,IF($B$4="Make to Print",DATA_RASIC!AE147,IF($B$4="Engineering Service Provider",DATA_RASIC!C147,IF($B$4="Full System Provider",DATA_RASIC!J147,IF($B$4="ESP_DOOR TRIM",DATA_RASIC!AL147,IF($B$4="ESP_Partner_LEVEL_01",DATA_RASIC!AS147,"")))))))</f>
        <v>SE</v>
      </c>
      <c r="L148" s="40" t="str">
        <f>IF($B$4="Assembly or Component Provider",DATA_RASIC!R147,IF($B$4="Consultancy Component Provider",DATA_RASIC!Y147,IF($B$4="Make to Print",DATA_RASIC!AF147,IF($B$4="Engineering Service Provider",DATA_RASIC!D147,IF($B$4="Full System Provider",DATA_RASIC!K147,IF($B$4="ESP_DOOR TRIM",DATA_RASIC!AM147,IF($B$4="ESP_Partner_LEVEL_01",DATA_RASIC!AT147,"")))))))</f>
        <v>SE</v>
      </c>
      <c r="M148" s="40" t="str">
        <f>IF($B$4="Assembly or Component Provider",DATA_RASIC!S147,IF($B$4="Consultancy Component Provider",DATA_RASIC!Z147,IF($B$4="Make to Print",DATA_RASIC!AG147,IF($B$4="Engineering Service Provider",DATA_RASIC!E147,IF($B$4="Full System Provider",DATA_RASIC!L147,IF($B$4="ESP_DOOR TRIM",DATA_RASIC!AN147,IF($B$4="ESP_Partner_LEVEL_01",DATA_RASIC!AU147,"")))))))</f>
        <v>JLR</v>
      </c>
      <c r="N148" s="40" t="str">
        <f>IF($B$4="Assembly or Component Provider",DATA_RASIC!T147,IF($B$4="Consultancy Component Provider",DATA_RASIC!AA147,IF($B$4="Make to Print",DATA_RASIC!AH147,IF($B$4="Engineering Service Provider",DATA_RASIC!F147,IF($B$4="Full System Provider",DATA_RASIC!M147,IF($B$4="ESP_DOOR TRIM",DATA_RASIC!AO147,IF($B$4="ESP_Partner_LEVEL_01",DATA_RASIC!AV147,"")))))))</f>
        <v>JLR</v>
      </c>
      <c r="O148" s="40" t="str">
        <f>IF($B$4="Assembly or Component Provider",DATA_RASIC!U147,IF($B$4="Consultancy Component Provider",DATA_RASIC!AB147,IF($B$4="Make to Print",DATA_RASIC!AI147,IF($B$4="Engineering Service Provider",DATA_RASIC!G147,IF($B$4="Full System Provider",DATA_RASIC!N147,IF($B$4="ESP_DOOR TRIM",DATA_RASIC!AP147,IF($B$4="ESP_Partner_LEVEL_01",DATA_RASIC!AW147,"")))))))</f>
        <v>JLR</v>
      </c>
      <c r="P148" s="40" t="str">
        <f>IF($B$4="Assembly or Component Provider",DATA_RASIC!V147,IF($B$4="Consultancy Component Provider",DATA_RASIC!AC147,IF($B$4="Make to Print",DATA_RASIC!AJ147,IF($B$4="Engineering Service Provider",DATA_RASIC!H147,IF($B$4="Full System Provider",DATA_RASIC!O147,IF($B$4="ESP_DOOR TRIM",DATA_RASIC!AQ147,IF($B$4="ESP_Partner_LEVEL_01",DATA_RASIC!AX147,"")))))))</f>
        <v>JLR</v>
      </c>
    </row>
    <row r="149" spans="1:16" ht="42.6" customHeight="1" x14ac:dyDescent="0.3">
      <c r="A149" s="80" t="str">
        <f>IF($B$4="Assembly or Component Provider",DATA_RASIC_DESC!A141,IF($B$4="Consultancy Component Provider",DATA_RASIC_DESC!A141,IF($B$4="Make to Print",DATA_RASIC_DESC!A141,IF($B$4="Engineering Service Provider",DATA_RASIC_DESC!A141,IF($B$4="Full System Provider",DATA_RASIC_DESC!A141,IF($B$4="ESP_DOOR TRIM",DATA_RASIC_DESC!D141,IF($B$4="ESP_Partner_LEVEL_01",DATA_RASIC_DESC!G141,"")))))))</f>
        <v>PPR.6</v>
      </c>
      <c r="B149" s="432" t="str">
        <f>IF($B$4="Assembly or Component Provider",DATA_RASIC_DESC!B141,IF($B$4="Consultancy Component Provider",DATA_RASIC_DESC!B141,IF($B$4="Make to Print",DATA_RASIC_DESC!B141,IF($B$4="Engineering Service Provider",DATA_RASIC_DESC!B141,IF($B$4="Full System Provider",DATA_RASIC_DESC!B141,IF($B$4="ESP_DOOR TRIM",DATA_RASIC_DESC!E141,IF($B$4="ESP_Partner_LEVEL_01",DATA_RASIC_DESC!H141,"")))))))</f>
        <v xml:space="preserve">Jaguar Land Rover is to review / approve all changes via WERS / SREA. Any class A1 surface change must be signed-off through the formal surface approval process </v>
      </c>
      <c r="C149" s="432"/>
      <c r="D149" s="432"/>
      <c r="E149" s="432"/>
      <c r="F149" s="432"/>
      <c r="G149" s="432"/>
      <c r="H149" s="432"/>
      <c r="I149" s="432"/>
      <c r="J149" s="432"/>
      <c r="K149" s="40" t="str">
        <f>IF($B$4="Assembly or Component Provider",DATA_RASIC!Q148,IF($B$4="Consultancy Component Provider",DATA_RASIC!X148,IF($B$4="Make to Print",DATA_RASIC!AE148,IF($B$4="Engineering Service Provider",DATA_RASIC!C148,IF($B$4="Full System Provider",DATA_RASIC!J148,IF($B$4="ESP_DOOR TRIM",DATA_RASIC!AL148,IF($B$4="ESP_Partner_LEVEL_01",DATA_RASIC!AS148,"")))))))</f>
        <v>JLR</v>
      </c>
      <c r="L149" s="40" t="str">
        <f>IF($B$4="Assembly or Component Provider",DATA_RASIC!R148,IF($B$4="Consultancy Component Provider",DATA_RASIC!Y148,IF($B$4="Make to Print",DATA_RASIC!AF148,IF($B$4="Engineering Service Provider",DATA_RASIC!D148,IF($B$4="Full System Provider",DATA_RASIC!K148,IF($B$4="ESP_DOOR TRIM",DATA_RASIC!AM148,IF($B$4="ESP_Partner_LEVEL_01",DATA_RASIC!AT148,"")))))))</f>
        <v>JLR</v>
      </c>
      <c r="M149" s="40" t="str">
        <f>IF($B$4="Assembly or Component Provider",DATA_RASIC!S148,IF($B$4="Consultancy Component Provider",DATA_RASIC!Z148,IF($B$4="Make to Print",DATA_RASIC!AG148,IF($B$4="Engineering Service Provider",DATA_RASIC!E148,IF($B$4="Full System Provider",DATA_RASIC!L148,IF($B$4="ESP_DOOR TRIM",DATA_RASIC!AN148,IF($B$4="ESP_Partner_LEVEL_01",DATA_RASIC!AU148,"")))))))</f>
        <v>JLR</v>
      </c>
      <c r="N149" s="40" t="str">
        <f>IF($B$4="Assembly or Component Provider",DATA_RASIC!T148,IF($B$4="Consultancy Component Provider",DATA_RASIC!AA148,IF($B$4="Make to Print",DATA_RASIC!AH148,IF($B$4="Engineering Service Provider",DATA_RASIC!F148,IF($B$4="Full System Provider",DATA_RASIC!M148,IF($B$4="ESP_DOOR TRIM",DATA_RASIC!AO148,IF($B$4="ESP_Partner_LEVEL_01",DATA_RASIC!AV148,"")))))))</f>
        <v>SE</v>
      </c>
      <c r="O149" s="40" t="str">
        <f>IF($B$4="Assembly or Component Provider",DATA_RASIC!U148,IF($B$4="Consultancy Component Provider",DATA_RASIC!AB148,IF($B$4="Make to Print",DATA_RASIC!AI148,IF($B$4="Engineering Service Provider",DATA_RASIC!G148,IF($B$4="Full System Provider",DATA_RASIC!N148,IF($B$4="ESP_DOOR TRIM",DATA_RASIC!AP148,IF($B$4="ESP_Partner_LEVEL_01",DATA_RASIC!AW148,"")))))))</f>
        <v>SE</v>
      </c>
      <c r="P149" s="40" t="str">
        <f>IF($B$4="Assembly or Component Provider",DATA_RASIC!V148,IF($B$4="Consultancy Component Provider",DATA_RASIC!AC148,IF($B$4="Make to Print",DATA_RASIC!AJ148,IF($B$4="Engineering Service Provider",DATA_RASIC!H148,IF($B$4="Full System Provider",DATA_RASIC!O148,IF($B$4="ESP_DOOR TRIM",DATA_RASIC!AQ148,IF($B$4="ESP_Partner_LEVEL_01",DATA_RASIC!AX148,"")))))))</f>
        <v>SE</v>
      </c>
    </row>
    <row r="150" spans="1:16" ht="42.6" customHeight="1" x14ac:dyDescent="0.3">
      <c r="A150" s="80" t="str">
        <f>IF($B$4="Assembly or Component Provider",DATA_RASIC_DESC!A142,IF($B$4="Consultancy Component Provider",DATA_RASIC_DESC!A142,IF($B$4="Make to Print",DATA_RASIC_DESC!A142,IF($B$4="Engineering Service Provider",DATA_RASIC_DESC!A142,IF($B$4="Full System Provider",DATA_RASIC_DESC!A142,IF($B$4="ESP_DOOR TRIM",DATA_RASIC_DESC!D142,IF($B$4="ESP_Partner_LEVEL_01",DATA_RASIC_DESC!G142,"")))))))</f>
        <v>PPR.7</v>
      </c>
      <c r="B150" s="432" t="str">
        <f>IF($B$4="Assembly or Component Provider",DATA_RASIC_DESC!B142,IF($B$4="Consultancy Component Provider",DATA_RASIC_DESC!B142,IF($B$4="Make to Print",DATA_RASIC_DESC!B142,IF($B$4="Engineering Service Provider",DATA_RASIC_DESC!B142,IF($B$4="Full System Provider",DATA_RASIC_DESC!B142,IF($B$4="ESP_DOOR TRIM",DATA_RASIC_DESC!E142,IF($B$4="ESP_Partner_LEVEL_01",DATA_RASIC_DESC!H142,"")))))))</f>
        <v>Analyse returned parts</v>
      </c>
      <c r="C150" s="432"/>
      <c r="D150" s="432"/>
      <c r="E150" s="432"/>
      <c r="F150" s="432"/>
      <c r="G150" s="432"/>
      <c r="H150" s="432"/>
      <c r="I150" s="432"/>
      <c r="J150" s="432"/>
      <c r="K150" s="40" t="str">
        <f>IF($B$4="Assembly or Component Provider",DATA_RASIC!Q149,IF($B$4="Consultancy Component Provider",DATA_RASIC!X149,IF($B$4="Make to Print",DATA_RASIC!AE149,IF($B$4="Engineering Service Provider",DATA_RASIC!C149,IF($B$4="Full System Provider",DATA_RASIC!J149,IF($B$4="ESP_DOOR TRIM",DATA_RASIC!AL149,IF($B$4="ESP_Partner_LEVEL_01",DATA_RASIC!AS149,"")))))))</f>
        <v>JLR</v>
      </c>
      <c r="L150" s="40" t="str">
        <f>IF($B$4="Assembly or Component Provider",DATA_RASIC!R149,IF($B$4="Consultancy Component Provider",DATA_RASIC!Y149,IF($B$4="Make to Print",DATA_RASIC!AF149,IF($B$4="Engineering Service Provider",DATA_RASIC!D149,IF($B$4="Full System Provider",DATA_RASIC!K149,IF($B$4="ESP_DOOR TRIM",DATA_RASIC!AM149,IF($B$4="ESP_Partner_LEVEL_01",DATA_RASIC!AT149,"")))))))</f>
        <v>JLR</v>
      </c>
      <c r="M150" s="40" t="str">
        <f>IF($B$4="Assembly or Component Provider",DATA_RASIC!S149,IF($B$4="Consultancy Component Provider",DATA_RASIC!Z149,IF($B$4="Make to Print",DATA_RASIC!AG149,IF($B$4="Engineering Service Provider",DATA_RASIC!E149,IF($B$4="Full System Provider",DATA_RASIC!L149,IF($B$4="ESP_DOOR TRIM",DATA_RASIC!AN149,IF($B$4="ESP_Partner_LEVEL_01",DATA_RASIC!AU149,"")))))))</f>
        <v>JLR</v>
      </c>
      <c r="N150" s="40" t="str">
        <f>IF($B$4="Assembly or Component Provider",DATA_RASIC!T149,IF($B$4="Consultancy Component Provider",DATA_RASIC!AA149,IF($B$4="Make to Print",DATA_RASIC!AH149,IF($B$4="Engineering Service Provider",DATA_RASIC!F149,IF($B$4="Full System Provider",DATA_RASIC!M149,IF($B$4="ESP_DOOR TRIM",DATA_RASIC!AO149,IF($B$4="ESP_Partner_LEVEL_01",DATA_RASIC!AV149,"")))))))</f>
        <v>SE</v>
      </c>
      <c r="O150" s="40" t="str">
        <f>IF($B$4="Assembly or Component Provider",DATA_RASIC!U149,IF($B$4="Consultancy Component Provider",DATA_RASIC!AB149,IF($B$4="Make to Print",DATA_RASIC!AI149,IF($B$4="Engineering Service Provider",DATA_RASIC!G149,IF($B$4="Full System Provider",DATA_RASIC!N149,IF($B$4="ESP_DOOR TRIM",DATA_RASIC!AP149,IF($B$4="ESP_Partner_LEVEL_01",DATA_RASIC!AW149,"")))))))</f>
        <v>SE</v>
      </c>
      <c r="P150" s="40" t="str">
        <f>IF($B$4="Assembly or Component Provider",DATA_RASIC!V149,IF($B$4="Consultancy Component Provider",DATA_RASIC!AC149,IF($B$4="Make to Print",DATA_RASIC!AJ149,IF($B$4="Engineering Service Provider",DATA_RASIC!H149,IF($B$4="Full System Provider",DATA_RASIC!O149,IF($B$4="ESP_DOOR TRIM",DATA_RASIC!AQ149,IF($B$4="ESP_Partner_LEVEL_01",DATA_RASIC!AX149,"")))))))</f>
        <v>SE</v>
      </c>
    </row>
    <row r="151" spans="1:16" ht="42.6" customHeight="1" x14ac:dyDescent="0.3">
      <c r="A151" s="80" t="str">
        <f>IF($B$4="Assembly or Component Provider",DATA_RASIC_DESC!A143,IF($B$4="Consultancy Component Provider",DATA_RASIC_DESC!A143,IF($B$4="Make to Print",DATA_RASIC_DESC!A143,IF($B$4="Engineering Service Provider",DATA_RASIC_DESC!A143,IF($B$4="Full System Provider",DATA_RASIC_DESC!A143,IF($B$4="ESP_DOOR TRIM",DATA_RASIC_DESC!D143,IF($B$4="ESP_Partner_LEVEL_01",DATA_RASIC_DESC!G143,"")))))))</f>
        <v>PPR.8</v>
      </c>
      <c r="B151" s="432" t="str">
        <f>IF($B$4="Assembly or Component Provider",DATA_RASIC_DESC!B143,IF($B$4="Consultancy Component Provider",DATA_RASIC_DESC!B143,IF($B$4="Make to Print",DATA_RASIC_DESC!B143,IF($B$4="Engineering Service Provider",DATA_RASIC_DESC!B143,IF($B$4="Full System Provider",DATA_RASIC_DESC!B143,IF($B$4="ESP_DOOR TRIM",DATA_RASIC_DESC!E143,IF($B$4="ESP_Partner_LEVEL_01",DATA_RASIC_DESC!H143,"")))))))</f>
        <v xml:space="preserve">Continuous improvements for the service life cycle of the subsystem or component </v>
      </c>
      <c r="C151" s="432"/>
      <c r="D151" s="432"/>
      <c r="E151" s="432"/>
      <c r="F151" s="432"/>
      <c r="G151" s="432"/>
      <c r="H151" s="432"/>
      <c r="I151" s="432"/>
      <c r="J151" s="432"/>
      <c r="K151" s="40" t="str">
        <f>IF($B$4="Assembly or Component Provider",DATA_RASIC!Q150,IF($B$4="Consultancy Component Provider",DATA_RASIC!X150,IF($B$4="Make to Print",DATA_RASIC!AE150,IF($B$4="Engineering Service Provider",DATA_RASIC!C150,IF($B$4="Full System Provider",DATA_RASIC!J150,IF($B$4="ESP_DOOR TRIM",DATA_RASIC!AL150,IF($B$4="ESP_Partner_LEVEL_01",DATA_RASIC!AS150,"")))))))</f>
        <v>SE</v>
      </c>
      <c r="L151" s="40" t="str">
        <f>IF($B$4="Assembly or Component Provider",DATA_RASIC!R150,IF($B$4="Consultancy Component Provider",DATA_RASIC!Y150,IF($B$4="Make to Print",DATA_RASIC!AF150,IF($B$4="Engineering Service Provider",DATA_RASIC!D150,IF($B$4="Full System Provider",DATA_RASIC!K150,IF($B$4="ESP_DOOR TRIM",DATA_RASIC!AM150,IF($B$4="ESP_Partner_LEVEL_01",DATA_RASIC!AT150,"")))))))</f>
        <v>SE</v>
      </c>
      <c r="M151" s="40" t="str">
        <f>IF($B$4="Assembly or Component Provider",DATA_RASIC!S150,IF($B$4="Consultancy Component Provider",DATA_RASIC!Z150,IF($B$4="Make to Print",DATA_RASIC!AG150,IF($B$4="Engineering Service Provider",DATA_RASIC!E150,IF($B$4="Full System Provider",DATA_RASIC!L150,IF($B$4="ESP_DOOR TRIM",DATA_RASIC!AN150,IF($B$4="ESP_Partner_LEVEL_01",DATA_RASIC!AU150,"")))))))</f>
        <v>JLR</v>
      </c>
      <c r="N151" s="40" t="str">
        <f>IF($B$4="Assembly or Component Provider",DATA_RASIC!T150,IF($B$4="Consultancy Component Provider",DATA_RASIC!AA150,IF($B$4="Make to Print",DATA_RASIC!AH150,IF($B$4="Engineering Service Provider",DATA_RASIC!F150,IF($B$4="Full System Provider",DATA_RASIC!M150,IF($B$4="ESP_DOOR TRIM",DATA_RASIC!AO150,IF($B$4="ESP_Partner_LEVEL_01",DATA_RASIC!AV150,"")))))))</f>
        <v>JLR</v>
      </c>
      <c r="O151" s="40" t="str">
        <f>IF($B$4="Assembly or Component Provider",DATA_RASIC!U150,IF($B$4="Consultancy Component Provider",DATA_RASIC!AB150,IF($B$4="Make to Print",DATA_RASIC!AI150,IF($B$4="Engineering Service Provider",DATA_RASIC!G150,IF($B$4="Full System Provider",DATA_RASIC!N150,IF($B$4="ESP_DOOR TRIM",DATA_RASIC!AP150,IF($B$4="ESP_Partner_LEVEL_01",DATA_RASIC!AW150,"")))))))</f>
        <v>JLR</v>
      </c>
      <c r="P151" s="40" t="str">
        <f>IF($B$4="Assembly or Component Provider",DATA_RASIC!V150,IF($B$4="Consultancy Component Provider",DATA_RASIC!AC150,IF($B$4="Make to Print",DATA_RASIC!AJ150,IF($B$4="Engineering Service Provider",DATA_RASIC!H150,IF($B$4="Full System Provider",DATA_RASIC!O150,IF($B$4="ESP_DOOR TRIM",DATA_RASIC!AQ150,IF($B$4="ESP_Partner_LEVEL_01",DATA_RASIC!AX150,"")))))))</f>
        <v>JLR</v>
      </c>
    </row>
    <row r="152" spans="1:16" ht="42.6" customHeight="1" x14ac:dyDescent="0.3">
      <c r="A152" s="80" t="str">
        <f>IF($B$4="Assembly or Component Provider",DATA_RASIC_DESC!A144,IF($B$4="Consultancy Component Provider",DATA_RASIC_DESC!A144,IF($B$4="Make to Print",DATA_RASIC_DESC!A144,IF($B$4="Engineering Service Provider",DATA_RASIC_DESC!A144,IF($B$4="Full System Provider",DATA_RASIC_DESC!A144,IF($B$4="ESP_DOOR TRIM",DATA_RASIC_DESC!D144,IF($B$4="ESP_Partner_LEVEL_01",DATA_RASIC_DESC!G144,"")))))))</f>
        <v>PPR.9</v>
      </c>
      <c r="B152" s="432" t="str">
        <f>IF($B$4="Assembly or Component Provider",DATA_RASIC_DESC!B144,IF($B$4="Consultancy Component Provider",DATA_RASIC_DESC!B144,IF($B$4="Make to Print",DATA_RASIC_DESC!B144,IF($B$4="Engineering Service Provider",DATA_RASIC_DESC!B144,IF($B$4="Full System Provider",DATA_RASIC_DESC!B144,IF($B$4="ESP_DOOR TRIM",DATA_RASIC_DESC!E144,IF($B$4="ESP_Partner_LEVEL_01",DATA_RASIC_DESC!H144,"")))))))</f>
        <v>Investigate problems, provide resolutions and implement corrective actions</v>
      </c>
      <c r="C152" s="432"/>
      <c r="D152" s="432"/>
      <c r="E152" s="432"/>
      <c r="F152" s="432"/>
      <c r="G152" s="432"/>
      <c r="H152" s="432"/>
      <c r="I152" s="432"/>
      <c r="J152" s="432"/>
      <c r="K152" s="40" t="str">
        <f>IF($B$4="Assembly or Component Provider",DATA_RASIC!Q151,IF($B$4="Consultancy Component Provider",DATA_RASIC!X151,IF($B$4="Make to Print",DATA_RASIC!AE151,IF($B$4="Engineering Service Provider",DATA_RASIC!C151,IF($B$4="Full System Provider",DATA_RASIC!J151,IF($B$4="ESP_DOOR TRIM",DATA_RASIC!AL151,IF($B$4="ESP_Partner_LEVEL_01",DATA_RASIC!AS151,"")))))))</f>
        <v>JLR</v>
      </c>
      <c r="L152" s="40" t="str">
        <f>IF($B$4="Assembly or Component Provider",DATA_RASIC!R151,IF($B$4="Consultancy Component Provider",DATA_RASIC!Y151,IF($B$4="Make to Print",DATA_RASIC!AF151,IF($B$4="Engineering Service Provider",DATA_RASIC!D151,IF($B$4="Full System Provider",DATA_RASIC!K151,IF($B$4="ESP_DOOR TRIM",DATA_RASIC!AM151,IF($B$4="ESP_Partner_LEVEL_01",DATA_RASIC!AT151,"")))))))</f>
        <v>JLR</v>
      </c>
      <c r="M152" s="40" t="str">
        <f>IF($B$4="Assembly or Component Provider",DATA_RASIC!S151,IF($B$4="Consultancy Component Provider",DATA_RASIC!Z151,IF($B$4="Make to Print",DATA_RASIC!AG151,IF($B$4="Engineering Service Provider",DATA_RASIC!E151,IF($B$4="Full System Provider",DATA_RASIC!L151,IF($B$4="ESP_DOOR TRIM",DATA_RASIC!AN151,IF($B$4="ESP_Partner_LEVEL_01",DATA_RASIC!AU151,"")))))))</f>
        <v>JLR</v>
      </c>
      <c r="N152" s="40" t="str">
        <f>IF($B$4="Assembly or Component Provider",DATA_RASIC!T151,IF($B$4="Consultancy Component Provider",DATA_RASIC!AA151,IF($B$4="Make to Print",DATA_RASIC!AH151,IF($B$4="Engineering Service Provider",DATA_RASIC!F151,IF($B$4="Full System Provider",DATA_RASIC!M151,IF($B$4="ESP_DOOR TRIM",DATA_RASIC!AO151,IF($B$4="ESP_Partner_LEVEL_01",DATA_RASIC!AV151,"")))))))</f>
        <v>SE</v>
      </c>
      <c r="O152" s="40" t="str">
        <f>IF($B$4="Assembly or Component Provider",DATA_RASIC!U151,IF($B$4="Consultancy Component Provider",DATA_RASIC!AB151,IF($B$4="Make to Print",DATA_RASIC!AI151,IF($B$4="Engineering Service Provider",DATA_RASIC!G151,IF($B$4="Full System Provider",DATA_RASIC!N151,IF($B$4="ESP_DOOR TRIM",DATA_RASIC!AP151,IF($B$4="ESP_Partner_LEVEL_01",DATA_RASIC!AW151,"")))))))</f>
        <v>SE</v>
      </c>
      <c r="P152" s="40" t="str">
        <f>IF($B$4="Assembly or Component Provider",DATA_RASIC!V151,IF($B$4="Consultancy Component Provider",DATA_RASIC!AC151,IF($B$4="Make to Print",DATA_RASIC!AJ151,IF($B$4="Engineering Service Provider",DATA_RASIC!H151,IF($B$4="Full System Provider",DATA_RASIC!O151,IF($B$4="ESP_DOOR TRIM",DATA_RASIC!AQ151,IF($B$4="ESP_Partner_LEVEL_01",DATA_RASIC!AX151,"")))))))</f>
        <v>SE</v>
      </c>
    </row>
    <row r="153" spans="1:16" ht="196.95" customHeight="1" x14ac:dyDescent="0.3">
      <c r="A153" s="80" t="str">
        <f>IF($B$4="Assembly or Component Provider",DATA_RASIC_DESC!A145,IF($B$4="Consultancy Component Provider",DATA_RASIC_DESC!A145,IF($B$4="Make to Print",DATA_RASIC_DESC!A145,IF($B$4="Engineering Service Provider",DATA_RASIC_DESC!A145,IF($B$4="Full System Provider",DATA_RASIC_DESC!A145,IF($B$4="ESP_DOOR TRIM",DATA_RASIC_DESC!D145,IF($B$4="ESP_Partner_LEVEL_01",DATA_RASIC_DESC!G145,"")))))))</f>
        <v>PPR.10</v>
      </c>
      <c r="B153" s="432" t="str">
        <f>IF($B$4="Assembly or Component Provider",DATA_RASIC_DESC!B145,IF($B$4="Consultancy Component Provider",DATA_RASIC_DESC!B145,IF($B$4="Make to Print",DATA_RASIC_DESC!B145,IF($B$4="Engineering Service Provider",DATA_RASIC_DESC!B145,IF($B$4="Full System Provider",DATA_RASIC_DESC!B145,IF($B$4="ESP_DOOR TRIM",DATA_RASIC_DESC!E145,IF($B$4="ESP_Partner_LEVEL_01",DATA_RASIC_DESC!H145,"")))))))</f>
        <v>Ensure the functionality and performance of the product throughout the life cycle per the requirements.  This includes but not limited to:
· Investigation of issues, provide resolutions and implement corrective actions
· Employ correction action/problem resolution process
· Resolve current and past model 'field' concerns, including recalls
· Analyse returned parts
· Modify components for continuous quality improvements
· Modify design / manufacturing for continuous cost improvement</v>
      </c>
      <c r="C153" s="432"/>
      <c r="D153" s="432"/>
      <c r="E153" s="432"/>
      <c r="F153" s="432"/>
      <c r="G153" s="432"/>
      <c r="H153" s="432"/>
      <c r="I153" s="432"/>
      <c r="J153" s="432"/>
      <c r="K153" s="40" t="str">
        <f>IF($B$4="Assembly or Component Provider",DATA_RASIC!Q152,IF($B$4="Consultancy Component Provider",DATA_RASIC!X152,IF($B$4="Make to Print",DATA_RASIC!AE152,IF($B$4="Engineering Service Provider",DATA_RASIC!C152,IF($B$4="Full System Provider",DATA_RASIC!J152,IF($B$4="ESP_DOOR TRIM",DATA_RASIC!AL152,IF($B$4="ESP_Partner_LEVEL_01",DATA_RASIC!AS152,"")))))))</f>
        <v>SE</v>
      </c>
      <c r="L153" s="40" t="str">
        <f>IF($B$4="Assembly or Component Provider",DATA_RASIC!R152,IF($B$4="Consultancy Component Provider",DATA_RASIC!Y152,IF($B$4="Make to Print",DATA_RASIC!AF152,IF($B$4="Engineering Service Provider",DATA_RASIC!D152,IF($B$4="Full System Provider",DATA_RASIC!K152,IF($B$4="ESP_DOOR TRIM",DATA_RASIC!AM152,IF($B$4="ESP_Partner_LEVEL_01",DATA_RASIC!AT152,"")))))))</f>
        <v>SE</v>
      </c>
      <c r="M153" s="40" t="str">
        <f>IF($B$4="Assembly or Component Provider",DATA_RASIC!S152,IF($B$4="Consultancy Component Provider",DATA_RASIC!Z152,IF($B$4="Make to Print",DATA_RASIC!AG152,IF($B$4="Engineering Service Provider",DATA_RASIC!E152,IF($B$4="Full System Provider",DATA_RASIC!L152,IF($B$4="ESP_DOOR TRIM",DATA_RASIC!AN152,IF($B$4="ESP_Partner_LEVEL_01",DATA_RASIC!AU152,"")))))))</f>
        <v>JLR</v>
      </c>
      <c r="N153" s="40" t="str">
        <f>IF($B$4="Assembly or Component Provider",DATA_RASIC!T152,IF($B$4="Consultancy Component Provider",DATA_RASIC!AA152,IF($B$4="Make to Print",DATA_RASIC!AH152,IF($B$4="Engineering Service Provider",DATA_RASIC!F152,IF($B$4="Full System Provider",DATA_RASIC!M152,IF($B$4="ESP_DOOR TRIM",DATA_RASIC!AO152,IF($B$4="ESP_Partner_LEVEL_01",DATA_RASIC!AV152,"")))))))</f>
        <v>JLR</v>
      </c>
      <c r="O153" s="40" t="str">
        <f>IF($B$4="Assembly or Component Provider",DATA_RASIC!U152,IF($B$4="Consultancy Component Provider",DATA_RASIC!AB152,IF($B$4="Make to Print",DATA_RASIC!AI152,IF($B$4="Engineering Service Provider",DATA_RASIC!G152,IF($B$4="Full System Provider",DATA_RASIC!N152,IF($B$4="ESP_DOOR TRIM",DATA_RASIC!AP152,IF($B$4="ESP_Partner_LEVEL_01",DATA_RASIC!AW152,"")))))))</f>
        <v>JLR</v>
      </c>
      <c r="P153" s="40" t="str">
        <f>IF($B$4="Assembly or Component Provider",DATA_RASIC!V152,IF($B$4="Consultancy Component Provider",DATA_RASIC!AC152,IF($B$4="Make to Print",DATA_RASIC!AJ152,IF($B$4="Engineering Service Provider",DATA_RASIC!H152,IF($B$4="Full System Provider",DATA_RASIC!O152,IF($B$4="ESP_DOOR TRIM",DATA_RASIC!AQ152,IF($B$4="ESP_Partner_LEVEL_01",DATA_RASIC!AX152,"")))))))</f>
        <v>JLR</v>
      </c>
    </row>
    <row r="154" spans="1:16" ht="33.6" customHeight="1" x14ac:dyDescent="0.3">
      <c r="A154" s="80" t="str">
        <f>IF($B$4="Assembly or Component Provider",DATA_RASIC_DESC!A146,IF($B$4="Consultancy Component Provider",DATA_RASIC_DESC!A146,IF($B$4="Make to Print",DATA_RASIC_DESC!A146,IF($B$4="Engineering Service Provider",DATA_RASIC_DESC!A146,IF($B$4="Full System Provider",DATA_RASIC_DESC!A146,IF($B$4="ESP_DOOR TRIM",DATA_RASIC_DESC!D146,IF($B$4="ESP_Partner_LEVEL_01",DATA_RASIC_DESC!G146,"")))))))</f>
        <v>PPR.11</v>
      </c>
      <c r="B154" s="432" t="str">
        <f>IF($B$4="Assembly or Component Provider",DATA_RASIC_DESC!B146,IF($B$4="Consultancy Component Provider",DATA_RASIC_DESC!B146,IF($B$4="Make to Print",DATA_RASIC_DESC!B146,IF($B$4="Engineering Service Provider",DATA_RASIC_DESC!B146,IF($B$4="Full System Provider",DATA_RASIC_DESC!B146,IF($B$4="ESP_DOOR TRIM",DATA_RASIC_DESC!E146,IF($B$4="ESP_Partner_LEVEL_01",DATA_RASIC_DESC!H146,"")))))))</f>
        <v>Modify design/manufacturing for continuous cost improvement, where practical/feasible to do so</v>
      </c>
      <c r="C154" s="432"/>
      <c r="D154" s="432"/>
      <c r="E154" s="432"/>
      <c r="F154" s="432"/>
      <c r="G154" s="432"/>
      <c r="H154" s="432"/>
      <c r="I154" s="432"/>
      <c r="J154" s="432"/>
      <c r="K154" s="40" t="str">
        <f>IF($B$4="Assembly or Component Provider",DATA_RASIC!Q153,IF($B$4="Consultancy Component Provider",DATA_RASIC!X153,IF($B$4="Make to Print",DATA_RASIC!AE153,IF($B$4="Engineering Service Provider",DATA_RASIC!C153,IF($B$4="Full System Provider",DATA_RASIC!J153,IF($B$4="ESP_DOOR TRIM",DATA_RASIC!AL153,IF($B$4="ESP_Partner_LEVEL_01",DATA_RASIC!AS153,"")))))))</f>
        <v>JLR</v>
      </c>
      <c r="L154" s="40" t="str">
        <f>IF($B$4="Assembly or Component Provider",DATA_RASIC!R153,IF($B$4="Consultancy Component Provider",DATA_RASIC!Y153,IF($B$4="Make to Print",DATA_RASIC!AF153,IF($B$4="Engineering Service Provider",DATA_RASIC!D153,IF($B$4="Full System Provider",DATA_RASIC!K153,IF($B$4="ESP_DOOR TRIM",DATA_RASIC!AM153,IF($B$4="ESP_Partner_LEVEL_01",DATA_RASIC!AT153,"")))))))</f>
        <v>JLR</v>
      </c>
      <c r="M154" s="40" t="str">
        <f>IF($B$4="Assembly or Component Provider",DATA_RASIC!S153,IF($B$4="Consultancy Component Provider",DATA_RASIC!Z153,IF($B$4="Make to Print",DATA_RASIC!AG153,IF($B$4="Engineering Service Provider",DATA_RASIC!E153,IF($B$4="Full System Provider",DATA_RASIC!L153,IF($B$4="ESP_DOOR TRIM",DATA_RASIC!AN153,IF($B$4="ESP_Partner_LEVEL_01",DATA_RASIC!AU153,"")))))))</f>
        <v>JLR</v>
      </c>
      <c r="N154" s="40" t="str">
        <f>IF($B$4="Assembly or Component Provider",DATA_RASIC!T153,IF($B$4="Consultancy Component Provider",DATA_RASIC!AA153,IF($B$4="Make to Print",DATA_RASIC!AH153,IF($B$4="Engineering Service Provider",DATA_RASIC!F153,IF($B$4="Full System Provider",DATA_RASIC!M153,IF($B$4="ESP_DOOR TRIM",DATA_RASIC!AO153,IF($B$4="ESP_Partner_LEVEL_01",DATA_RASIC!AV153,"")))))))</f>
        <v>SE</v>
      </c>
      <c r="O154" s="40" t="str">
        <f>IF($B$4="Assembly or Component Provider",DATA_RASIC!U153,IF($B$4="Consultancy Component Provider",DATA_RASIC!AB153,IF($B$4="Make to Print",DATA_RASIC!AI153,IF($B$4="Engineering Service Provider",DATA_RASIC!G153,IF($B$4="Full System Provider",DATA_RASIC!N153,IF($B$4="ESP_DOOR TRIM",DATA_RASIC!AP153,IF($B$4="ESP_Partner_LEVEL_01",DATA_RASIC!AW153,"")))))))</f>
        <v>SE</v>
      </c>
      <c r="P154" s="40" t="str">
        <f>IF($B$4="Assembly or Component Provider",DATA_RASIC!V153,IF($B$4="Consultancy Component Provider",DATA_RASIC!AC153,IF($B$4="Make to Print",DATA_RASIC!AJ153,IF($B$4="Engineering Service Provider",DATA_RASIC!H153,IF($B$4="Full System Provider",DATA_RASIC!O153,IF($B$4="ESP_DOOR TRIM",DATA_RASIC!AQ153,IF($B$4="ESP_Partner_LEVEL_01",DATA_RASIC!AX153,"")))))))</f>
        <v>SE</v>
      </c>
    </row>
    <row r="155" spans="1:16" ht="33.6" customHeight="1" x14ac:dyDescent="0.3">
      <c r="A155" s="80" t="str">
        <f>IF($B$4="Assembly or Component Provider",DATA_RASIC_DESC!A147,IF($B$4="Consultancy Component Provider",DATA_RASIC_DESC!A147,IF($B$4="Make to Print",DATA_RASIC_DESC!A147,IF($B$4="Engineering Service Provider",DATA_RASIC_DESC!A147,IF($B$4="Full System Provider",DATA_RASIC_DESC!A147,IF($B$4="ESP_DOOR TRIM",DATA_RASIC_DESC!D147,IF($B$4="ESP_Partner_LEVEL_01",DATA_RASIC_DESC!G147,"")))))))</f>
        <v>PPR.12</v>
      </c>
      <c r="B155" s="432" t="str">
        <f>IF($B$4="Assembly or Component Provider",DATA_RASIC_DESC!B147,IF($B$4="Consultancy Component Provider",DATA_RASIC_DESC!B147,IF($B$4="Make to Print",DATA_RASIC_DESC!B147,IF($B$4="Engineering Service Provider",DATA_RASIC_DESC!B147,IF($B$4="Full System Provider",DATA_RASIC_DESC!B147,IF($B$4="ESP_DOOR TRIM",DATA_RASIC_DESC!E147,IF($B$4="ESP_Partner_LEVEL_01",DATA_RASIC_DESC!H147,"")))))))</f>
        <v>Identify and manage sub-suppliers (including service component parts)</v>
      </c>
      <c r="C155" s="432"/>
      <c r="D155" s="432"/>
      <c r="E155" s="432"/>
      <c r="F155" s="432"/>
      <c r="G155" s="432"/>
      <c r="H155" s="432"/>
      <c r="I155" s="432"/>
      <c r="J155" s="432"/>
      <c r="K155" s="40" t="str">
        <f>IF($B$4="Assembly or Component Provider",DATA_RASIC!Q154,IF($B$4="Consultancy Component Provider",DATA_RASIC!X154,IF($B$4="Make to Print",DATA_RASIC!AE154,IF($B$4="Engineering Service Provider",DATA_RASIC!C154,IF($B$4="Full System Provider",DATA_RASIC!J154,IF($B$4="ESP_DOOR TRIM",DATA_RASIC!AL154,IF($B$4="ESP_Partner_LEVEL_01",DATA_RASIC!AS154,"")))))))</f>
        <v>SE</v>
      </c>
      <c r="L155" s="40" t="str">
        <f>IF($B$4="Assembly or Component Provider",DATA_RASIC!R154,IF($B$4="Consultancy Component Provider",DATA_RASIC!Y154,IF($B$4="Make to Print",DATA_RASIC!AF154,IF($B$4="Engineering Service Provider",DATA_RASIC!D154,IF($B$4="Full System Provider",DATA_RASIC!K154,IF($B$4="ESP_DOOR TRIM",DATA_RASIC!AM154,IF($B$4="ESP_Partner_LEVEL_01",DATA_RASIC!AT154,"")))))))</f>
        <v>SE</v>
      </c>
      <c r="M155" s="40" t="str">
        <f>IF($B$4="Assembly or Component Provider",DATA_RASIC!S154,IF($B$4="Consultancy Component Provider",DATA_RASIC!Z154,IF($B$4="Make to Print",DATA_RASIC!AG154,IF($B$4="Engineering Service Provider",DATA_RASIC!E154,IF($B$4="Full System Provider",DATA_RASIC!L154,IF($B$4="ESP_DOOR TRIM",DATA_RASIC!AN154,IF($B$4="ESP_Partner_LEVEL_01",DATA_RASIC!AU154,"")))))))</f>
        <v>JLR</v>
      </c>
      <c r="N155" s="40" t="str">
        <f>IF($B$4="Assembly or Component Provider",DATA_RASIC!T154,IF($B$4="Consultancy Component Provider",DATA_RASIC!AA154,IF($B$4="Make to Print",DATA_RASIC!AH154,IF($B$4="Engineering Service Provider",DATA_RASIC!F154,IF($B$4="Full System Provider",DATA_RASIC!M154,IF($B$4="ESP_DOOR TRIM",DATA_RASIC!AO154,IF($B$4="ESP_Partner_LEVEL_01",DATA_RASIC!AV154,"")))))))</f>
        <v>JLR</v>
      </c>
      <c r="O155" s="40" t="str">
        <f>IF($B$4="Assembly or Component Provider",DATA_RASIC!U154,IF($B$4="Consultancy Component Provider",DATA_RASIC!AB154,IF($B$4="Make to Print",DATA_RASIC!AI154,IF($B$4="Engineering Service Provider",DATA_RASIC!G154,IF($B$4="Full System Provider",DATA_RASIC!N154,IF($B$4="ESP_DOOR TRIM",DATA_RASIC!AP154,IF($B$4="ESP_Partner_LEVEL_01",DATA_RASIC!AW154,"")))))))</f>
        <v>JLR</v>
      </c>
      <c r="P155" s="40" t="str">
        <f>IF($B$4="Assembly or Component Provider",DATA_RASIC!V154,IF($B$4="Consultancy Component Provider",DATA_RASIC!AC154,IF($B$4="Make to Print",DATA_RASIC!AJ154,IF($B$4="Engineering Service Provider",DATA_RASIC!H154,IF($B$4="Full System Provider",DATA_RASIC!O154,IF($B$4="ESP_DOOR TRIM",DATA_RASIC!AQ154,IF($B$4="ESP_Partner_LEVEL_01",DATA_RASIC!AX154,"")))))))</f>
        <v>JLR</v>
      </c>
    </row>
    <row r="156" spans="1:16" ht="33.6" customHeight="1" x14ac:dyDescent="0.3">
      <c r="A156" s="80" t="str">
        <f>IF($B$4="Assembly or Component Provider",DATA_RASIC_DESC!A148,IF($B$4="Consultancy Component Provider",DATA_RASIC_DESC!A148,IF($B$4="Make to Print",DATA_RASIC_DESC!A148,IF($B$4="Engineering Service Provider",DATA_RASIC_DESC!A148,IF($B$4="Full System Provider",DATA_RASIC_DESC!A148,IF($B$4="ESP_DOOR TRIM",DATA_RASIC_DESC!D148,IF($B$4="ESP_Partner_LEVEL_01",DATA_RASIC_DESC!G148,"")))))))</f>
        <v>PPR.13</v>
      </c>
      <c r="B156" s="432" t="str">
        <f>IF($B$4="Assembly or Component Provider",DATA_RASIC_DESC!B148,IF($B$4="Consultancy Component Provider",DATA_RASIC_DESC!B148,IF($B$4="Make to Print",DATA_RASIC_DESC!B148,IF($B$4="Engineering Service Provider",DATA_RASIC_DESC!B148,IF($B$4="Full System Provider",DATA_RASIC_DESC!B148,IF($B$4="ESP_DOOR TRIM",DATA_RASIC_DESC!E148,IF($B$4="ESP_Partner_LEVEL_01",DATA_RASIC_DESC!H148,"")))))))</f>
        <v>Provide ongoing service support for the service life cycle of the subsystem or component</v>
      </c>
      <c r="C156" s="432"/>
      <c r="D156" s="432"/>
      <c r="E156" s="432"/>
      <c r="F156" s="432"/>
      <c r="G156" s="432"/>
      <c r="H156" s="432"/>
      <c r="I156" s="432"/>
      <c r="J156" s="432"/>
      <c r="K156" s="40" t="str">
        <f>IF($B$4="Assembly or Component Provider",DATA_RASIC!Q155,IF($B$4="Consultancy Component Provider",DATA_RASIC!X155,IF($B$4="Make to Print",DATA_RASIC!AE155,IF($B$4="Engineering Service Provider",DATA_RASIC!C155,IF($B$4="Full System Provider",DATA_RASIC!J155,IF($B$4="ESP_DOOR TRIM",DATA_RASIC!AL155,IF($B$4="ESP_Partner_LEVEL_01",DATA_RASIC!AS155,"")))))))</f>
        <v>SE</v>
      </c>
      <c r="L156" s="40" t="str">
        <f>IF($B$4="Assembly or Component Provider",DATA_RASIC!R155,IF($B$4="Consultancy Component Provider",DATA_RASIC!Y155,IF($B$4="Make to Print",DATA_RASIC!AF155,IF($B$4="Engineering Service Provider",DATA_RASIC!D155,IF($B$4="Full System Provider",DATA_RASIC!K155,IF($B$4="ESP_DOOR TRIM",DATA_RASIC!AM155,IF($B$4="ESP_Partner_LEVEL_01",DATA_RASIC!AT155,"")))))))</f>
        <v>SE</v>
      </c>
      <c r="M156" s="40" t="str">
        <f>IF($B$4="Assembly or Component Provider",DATA_RASIC!S155,IF($B$4="Consultancy Component Provider",DATA_RASIC!Z155,IF($B$4="Make to Print",DATA_RASIC!AG155,IF($B$4="Engineering Service Provider",DATA_RASIC!E155,IF($B$4="Full System Provider",DATA_RASIC!L155,IF($B$4="ESP_DOOR TRIM",DATA_RASIC!AN155,IF($B$4="ESP_Partner_LEVEL_01",DATA_RASIC!AU155,"")))))))</f>
        <v>JLR</v>
      </c>
      <c r="N156" s="40" t="str">
        <f>IF($B$4="Assembly or Component Provider",DATA_RASIC!T155,IF($B$4="Consultancy Component Provider",DATA_RASIC!AA155,IF($B$4="Make to Print",DATA_RASIC!AH155,IF($B$4="Engineering Service Provider",DATA_RASIC!F155,IF($B$4="Full System Provider",DATA_RASIC!M155,IF($B$4="ESP_DOOR TRIM",DATA_RASIC!AO155,IF($B$4="ESP_Partner_LEVEL_01",DATA_RASIC!AV155,"")))))))</f>
        <v>JLR</v>
      </c>
      <c r="O156" s="40" t="str">
        <f>IF($B$4="Assembly or Component Provider",DATA_RASIC!U155,IF($B$4="Consultancy Component Provider",DATA_RASIC!AB155,IF($B$4="Make to Print",DATA_RASIC!AI155,IF($B$4="Engineering Service Provider",DATA_RASIC!G155,IF($B$4="Full System Provider",DATA_RASIC!N155,IF($B$4="ESP_DOOR TRIM",DATA_RASIC!AP155,IF($B$4="ESP_Partner_LEVEL_01",DATA_RASIC!AW155,"")))))))</f>
        <v>JLR</v>
      </c>
      <c r="P156" s="40" t="str">
        <f>IF($B$4="Assembly or Component Provider",DATA_RASIC!V155,IF($B$4="Consultancy Component Provider",DATA_RASIC!AC155,IF($B$4="Make to Print",DATA_RASIC!AJ155,IF($B$4="Engineering Service Provider",DATA_RASIC!H155,IF($B$4="Full System Provider",DATA_RASIC!O155,IF($B$4="ESP_DOOR TRIM",DATA_RASIC!AQ155,IF($B$4="ESP_Partner_LEVEL_01",DATA_RASIC!AX155,"")))))))</f>
        <v>JLR</v>
      </c>
    </row>
    <row r="157" spans="1:16" ht="51.6" customHeight="1" x14ac:dyDescent="0.3">
      <c r="A157" s="80" t="str">
        <f>IF($B$4="Assembly or Component Provider",DATA_RASIC_DESC!A149,IF($B$4="Consultancy Component Provider",DATA_RASIC_DESC!A149,IF($B$4="Make to Print",DATA_RASIC_DESC!A149,IF($B$4="Engineering Service Provider",DATA_RASIC_DESC!A149,IF($B$4="Full System Provider",DATA_RASIC_DESC!A149,IF($B$4="ESP_DOOR TRIM",DATA_RASIC_DESC!D149,IF($B$4="ESP_Partner_LEVEL_01",DATA_RASIC_DESC!G149,"")))))))</f>
        <v>PPR.14</v>
      </c>
      <c r="B157" s="432" t="str">
        <f>IF($B$4="Assembly or Component Provider",DATA_RASIC_DESC!B149,IF($B$4="Consultancy Component Provider",DATA_RASIC_DESC!B149,IF($B$4="Make to Print",DATA_RASIC_DESC!B149,IF($B$4="Engineering Service Provider",DATA_RASIC_DESC!B149,IF($B$4="Full System Provider",DATA_RASIC_DESC!B149,IF($B$4="ESP_DOOR TRIM",DATA_RASIC_DESC!E149,IF($B$4="ESP_Partner_LEVEL_01",DATA_RASIC_DESC!H149,"")))))))</f>
        <v xml:space="preserve">Investigate and resolve jointly with Jaguar Land Rover, in-plant manufacturing and process concerns:
· Management of manufacturing capability, at appropriate service level, for service life of subsystem/component </v>
      </c>
      <c r="C157" s="432"/>
      <c r="D157" s="432"/>
      <c r="E157" s="432"/>
      <c r="F157" s="432"/>
      <c r="G157" s="432"/>
      <c r="H157" s="432"/>
      <c r="I157" s="432"/>
      <c r="J157" s="432"/>
      <c r="K157" s="40" t="str">
        <f>IF($B$4="Assembly or Component Provider",DATA_RASIC!Q156,IF($B$4="Consultancy Component Provider",DATA_RASIC!X156,IF($B$4="Make to Print",DATA_RASIC!AE156,IF($B$4="Engineering Service Provider",DATA_RASIC!C156,IF($B$4="Full System Provider",DATA_RASIC!J156,IF($B$4="ESP_DOOR TRIM",DATA_RASIC!AL156,IF($B$4="ESP_Partner_LEVEL_01",DATA_RASIC!AS156,"")))))))</f>
        <v>SE</v>
      </c>
      <c r="L157" s="40" t="str">
        <f>IF($B$4="Assembly or Component Provider",DATA_RASIC!R156,IF($B$4="Consultancy Component Provider",DATA_RASIC!Y156,IF($B$4="Make to Print",DATA_RASIC!AF156,IF($B$4="Engineering Service Provider",DATA_RASIC!D156,IF($B$4="Full System Provider",DATA_RASIC!K156,IF($B$4="ESP_DOOR TRIM",DATA_RASIC!AM156,IF($B$4="ESP_Partner_LEVEL_01",DATA_RASIC!AT156,"")))))))</f>
        <v>SE</v>
      </c>
      <c r="M157" s="40" t="str">
        <f>IF($B$4="Assembly or Component Provider",DATA_RASIC!S156,IF($B$4="Consultancy Component Provider",DATA_RASIC!Z156,IF($B$4="Make to Print",DATA_RASIC!AG156,IF($B$4="Engineering Service Provider",DATA_RASIC!E156,IF($B$4="Full System Provider",DATA_RASIC!L156,IF($B$4="ESP_DOOR TRIM",DATA_RASIC!AN156,IF($B$4="ESP_Partner_LEVEL_01",DATA_RASIC!AU156,"")))))))</f>
        <v>JLR</v>
      </c>
      <c r="N157" s="40" t="str">
        <f>IF($B$4="Assembly or Component Provider",DATA_RASIC!T156,IF($B$4="Consultancy Component Provider",DATA_RASIC!AA156,IF($B$4="Make to Print",DATA_RASIC!AH156,IF($B$4="Engineering Service Provider",DATA_RASIC!F156,IF($B$4="Full System Provider",DATA_RASIC!M156,IF($B$4="ESP_DOOR TRIM",DATA_RASIC!AO156,IF($B$4="ESP_Partner_LEVEL_01",DATA_RASIC!AV156,"")))))))</f>
        <v>JLR</v>
      </c>
      <c r="O157" s="40" t="str">
        <f>IF($B$4="Assembly or Component Provider",DATA_RASIC!U156,IF($B$4="Consultancy Component Provider",DATA_RASIC!AB156,IF($B$4="Make to Print",DATA_RASIC!AI156,IF($B$4="Engineering Service Provider",DATA_RASIC!G156,IF($B$4="Full System Provider",DATA_RASIC!N156,IF($B$4="ESP_DOOR TRIM",DATA_RASIC!AP156,IF($B$4="ESP_Partner_LEVEL_01",DATA_RASIC!AW156,"")))))))</f>
        <v>JLR</v>
      </c>
      <c r="P157" s="40" t="str">
        <f>IF($B$4="Assembly or Component Provider",DATA_RASIC!V156,IF($B$4="Consultancy Component Provider",DATA_RASIC!AC156,IF($B$4="Make to Print",DATA_RASIC!AJ156,IF($B$4="Engineering Service Provider",DATA_RASIC!H156,IF($B$4="Full System Provider",DATA_RASIC!O156,IF($B$4="ESP_DOOR TRIM",DATA_RASIC!AQ156,IF($B$4="ESP_Partner_LEVEL_01",DATA_RASIC!AX156,"")))))))</f>
        <v>JLR</v>
      </c>
    </row>
    <row r="158" spans="1:16" ht="73.2" customHeight="1" x14ac:dyDescent="0.3">
      <c r="A158" s="80" t="str">
        <f>IF($B$4="Assembly or Component Provider",DATA_RASIC_DESC!A150,IF($B$4="Consultancy Component Provider",DATA_RASIC_DESC!A150,IF($B$4="Make to Print",DATA_RASIC_DESC!A150,IF($B$4="Engineering Service Provider",DATA_RASIC_DESC!A150,IF($B$4="Full System Provider",DATA_RASIC_DESC!A150,IF($B$4="ESP_DOOR TRIM",DATA_RASIC_DESC!D150,IF($B$4="ESP_Partner_LEVEL_01",DATA_RASIC_DESC!G150,"")))))))</f>
        <v>PPR.15</v>
      </c>
      <c r="B158" s="432" t="str">
        <f>IF($B$4="Assembly or Component Provider",DATA_RASIC_DESC!B150,IF($B$4="Consultancy Component Provider",DATA_RASIC_DESC!B150,IF($B$4="Make to Print",DATA_RASIC_DESC!B150,IF($B$4="Engineering Service Provider",DATA_RASIC_DESC!B150,IF($B$4="Full System Provider",DATA_RASIC_DESC!B150,IF($B$4="ESP_DOOR TRIM",DATA_RASIC_DESC!E150,IF($B$4="ESP_Partner_LEVEL_01",DATA_RASIC_DESC!H150,"")))))))</f>
        <v>Supplier must use the SREA to obtain Jaguar Land Rover's approval for a plan to implement all Tier 1 or sub-tier supplier-initiated post-PPAP changes to manufacturing processes or supplier site locations affecting production or service component parts. JLR-LWI-554907 SREA (Supplier Request for Engineering Approval) Supplier Work Instruction.</v>
      </c>
      <c r="C158" s="432"/>
      <c r="D158" s="432"/>
      <c r="E158" s="432"/>
      <c r="F158" s="432"/>
      <c r="G158" s="432"/>
      <c r="H158" s="432"/>
      <c r="I158" s="432"/>
      <c r="J158" s="432"/>
      <c r="K158" s="40" t="str">
        <f>IF($B$4="Assembly or Component Provider",DATA_RASIC!Q157,IF($B$4="Consultancy Component Provider",DATA_RASIC!X157,IF($B$4="Make to Print",DATA_RASIC!AE157,IF($B$4="Engineering Service Provider",DATA_RASIC!C157,IF($B$4="Full System Provider",DATA_RASIC!J157,IF($B$4="ESP_DOOR TRIM",DATA_RASIC!AL157,IF($B$4="ESP_Partner_LEVEL_01",DATA_RASIC!AS157,"")))))))</f>
        <v>SE</v>
      </c>
      <c r="L158" s="40" t="str">
        <f>IF($B$4="Assembly or Component Provider",DATA_RASIC!R157,IF($B$4="Consultancy Component Provider",DATA_RASIC!Y157,IF($B$4="Make to Print",DATA_RASIC!AF157,IF($B$4="Engineering Service Provider",DATA_RASIC!D157,IF($B$4="Full System Provider",DATA_RASIC!K157,IF($B$4="ESP_DOOR TRIM",DATA_RASIC!AM157,IF($B$4="ESP_Partner_LEVEL_01",DATA_RASIC!AT157,"")))))))</f>
        <v>SE</v>
      </c>
      <c r="M158" s="40" t="str">
        <f>IF($B$4="Assembly or Component Provider",DATA_RASIC!S157,IF($B$4="Consultancy Component Provider",DATA_RASIC!Z157,IF($B$4="Make to Print",DATA_RASIC!AG157,IF($B$4="Engineering Service Provider",DATA_RASIC!E157,IF($B$4="Full System Provider",DATA_RASIC!L157,IF($B$4="ESP_DOOR TRIM",DATA_RASIC!AN157,IF($B$4="ESP_Partner_LEVEL_01",DATA_RASIC!AU157,"")))))))</f>
        <v>JLR</v>
      </c>
      <c r="N158" s="40" t="str">
        <f>IF($B$4="Assembly or Component Provider",DATA_RASIC!T157,IF($B$4="Consultancy Component Provider",DATA_RASIC!AA157,IF($B$4="Make to Print",DATA_RASIC!AH157,IF($B$4="Engineering Service Provider",DATA_RASIC!F157,IF($B$4="Full System Provider",DATA_RASIC!M157,IF($B$4="ESP_DOOR TRIM",DATA_RASIC!AO157,IF($B$4="ESP_Partner_LEVEL_01",DATA_RASIC!AV157,"")))))))</f>
        <v>JLR</v>
      </c>
      <c r="O158" s="40" t="str">
        <f>IF($B$4="Assembly or Component Provider",DATA_RASIC!U157,IF($B$4="Consultancy Component Provider",DATA_RASIC!AB157,IF($B$4="Make to Print",DATA_RASIC!AI157,IF($B$4="Engineering Service Provider",DATA_RASIC!G157,IF($B$4="Full System Provider",DATA_RASIC!N157,IF($B$4="ESP_DOOR TRIM",DATA_RASIC!AP157,IF($B$4="ESP_Partner_LEVEL_01",DATA_RASIC!AW157,"")))))))</f>
        <v>JLR</v>
      </c>
      <c r="P158" s="40" t="str">
        <f>IF($B$4="Assembly or Component Provider",DATA_RASIC!V157,IF($B$4="Consultancy Component Provider",DATA_RASIC!AC157,IF($B$4="Make to Print",DATA_RASIC!AJ157,IF($B$4="Engineering Service Provider",DATA_RASIC!H157,IF($B$4="Full System Provider",DATA_RASIC!O157,IF($B$4="ESP_DOOR TRIM",DATA_RASIC!AQ157,IF($B$4="ESP_Partner_LEVEL_01",DATA_RASIC!AX157,"")))))))</f>
        <v>JLR</v>
      </c>
    </row>
    <row r="159" spans="1:16" ht="135.6" customHeight="1" x14ac:dyDescent="0.3">
      <c r="A159" s="80" t="str">
        <f>IF($B$4="Assembly or Component Provider",DATA_RASIC_DESC!A151,IF($B$4="Consultancy Component Provider",DATA_RASIC_DESC!A151,IF($B$4="Make to Print",DATA_RASIC_DESC!A151,IF($B$4="Engineering Service Provider",DATA_RASIC_DESC!A151,IF($B$4="Full System Provider",DATA_RASIC_DESC!A151,IF($B$4="ESP_DOOR TRIM",DATA_RASIC_DESC!D151,IF($B$4="ESP_Partner_LEVEL_01",DATA_RASIC_DESC!G151,"")))))))</f>
        <v>PPR.16</v>
      </c>
      <c r="B159" s="432" t="str">
        <f>IF($B$4="Assembly or Component Provider",DATA_RASIC_DESC!B151,IF($B$4="Consultancy Component Provider",DATA_RASIC_DESC!B151,IF($B$4="Make to Print",DATA_RASIC_DESC!B151,IF($B$4="Engineering Service Provider",DATA_RASIC_DESC!B151,IF($B$4="Full System Provider",DATA_RASIC_DESC!B151,IF($B$4="ESP_DOOR TRIM",DATA_RASIC_DESC!E151,IF($B$4="ESP_Partner_LEVEL_01",DATA_RASIC_DESC!H151,"")))))))</f>
        <v>Provide on-going service support for the service life cycle of the subsystem or component: 
· Support target closure times for QSF actions.
· Service Part activities must be consulted and provide written sign-off  prior to rendering any decision affecting tooling disposition (e.g. modifying, scrapping, transfer of ownership, etc.) which may affect the ability to produce and supply service component parts (including past model).  If tooling is affected, the Design &amp; Release activity may be required to make alternate provisions (e.g. tooling, funding, and logistics), to ensure that the supply of cost-effective Service Parts is uninterrupted.</v>
      </c>
      <c r="C159" s="432"/>
      <c r="D159" s="432"/>
      <c r="E159" s="432"/>
      <c r="F159" s="432"/>
      <c r="G159" s="432"/>
      <c r="H159" s="432"/>
      <c r="I159" s="432"/>
      <c r="J159" s="432"/>
      <c r="K159" s="40" t="str">
        <f>IF($B$4="Assembly or Component Provider",DATA_RASIC!Q158,IF($B$4="Consultancy Component Provider",DATA_RASIC!X158,IF($B$4="Make to Print",DATA_RASIC!AE158,IF($B$4="Engineering Service Provider",DATA_RASIC!C158,IF($B$4="Full System Provider",DATA_RASIC!J158,IF($B$4="ESP_DOOR TRIM",DATA_RASIC!AL158,IF($B$4="ESP_Partner_LEVEL_01",DATA_RASIC!AS158,"")))))))</f>
        <v>SE</v>
      </c>
      <c r="L159" s="40" t="str">
        <f>IF($B$4="Assembly or Component Provider",DATA_RASIC!R158,IF($B$4="Consultancy Component Provider",DATA_RASIC!Y158,IF($B$4="Make to Print",DATA_RASIC!AF158,IF($B$4="Engineering Service Provider",DATA_RASIC!D158,IF($B$4="Full System Provider",DATA_RASIC!K158,IF($B$4="ESP_DOOR TRIM",DATA_RASIC!AM158,IF($B$4="ESP_Partner_LEVEL_01",DATA_RASIC!AT158,"")))))))</f>
        <v>SE</v>
      </c>
      <c r="M159" s="40" t="str">
        <f>IF($B$4="Assembly or Component Provider",DATA_RASIC!S158,IF($B$4="Consultancy Component Provider",DATA_RASIC!Z158,IF($B$4="Make to Print",DATA_RASIC!AG158,IF($B$4="Engineering Service Provider",DATA_RASIC!E158,IF($B$4="Full System Provider",DATA_RASIC!L158,IF($B$4="ESP_DOOR TRIM",DATA_RASIC!AN158,IF($B$4="ESP_Partner_LEVEL_01",DATA_RASIC!AU158,"")))))))</f>
        <v>JLR</v>
      </c>
      <c r="N159" s="40" t="str">
        <f>IF($B$4="Assembly or Component Provider",DATA_RASIC!T158,IF($B$4="Consultancy Component Provider",DATA_RASIC!AA158,IF($B$4="Make to Print",DATA_RASIC!AH158,IF($B$4="Engineering Service Provider",DATA_RASIC!F158,IF($B$4="Full System Provider",DATA_RASIC!M158,IF($B$4="ESP_DOOR TRIM",DATA_RASIC!AO158,IF($B$4="ESP_Partner_LEVEL_01",DATA_RASIC!AV158,"")))))))</f>
        <v>JLR</v>
      </c>
      <c r="O159" s="40" t="str">
        <f>IF($B$4="Assembly or Component Provider",DATA_RASIC!U158,IF($B$4="Consultancy Component Provider",DATA_RASIC!AB158,IF($B$4="Make to Print",DATA_RASIC!AI158,IF($B$4="Engineering Service Provider",DATA_RASIC!G158,IF($B$4="Full System Provider",DATA_RASIC!N158,IF($B$4="ESP_DOOR TRIM",DATA_RASIC!AP158,IF($B$4="ESP_Partner_LEVEL_01",DATA_RASIC!AW158,"")))))))</f>
        <v>JLR</v>
      </c>
      <c r="P159" s="40" t="str">
        <f>IF($B$4="Assembly or Component Provider",DATA_RASIC!V158,IF($B$4="Consultancy Component Provider",DATA_RASIC!AC158,IF($B$4="Make to Print",DATA_RASIC!AJ158,IF($B$4="Engineering Service Provider",DATA_RASIC!H158,IF($B$4="Full System Provider",DATA_RASIC!O158,IF($B$4="ESP_DOOR TRIM",DATA_RASIC!AQ158,IF($B$4="ESP_Partner_LEVEL_01",DATA_RASIC!AX158,"")))))))</f>
        <v>JLR</v>
      </c>
    </row>
    <row r="160" spans="1:16" ht="36" customHeight="1" x14ac:dyDescent="0.3">
      <c r="A160" s="80" t="str">
        <f>IF($B$4="Assembly or Component Provider",DATA_RASIC_DESC!A152,IF($B$4="Consultancy Component Provider",DATA_RASIC_DESC!A152,IF($B$4="Make to Print",DATA_RASIC_DESC!A152,IF($B$4="Engineering Service Provider",DATA_RASIC_DESC!A152,IF($B$4="Full System Provider",DATA_RASIC_DESC!A152,IF($B$4="ESP_DOOR TRIM",DATA_RASIC_DESC!D152,IF($B$4="ESP_Partner_LEVEL_01",DATA_RASIC_DESC!G152,"")))))))</f>
        <v>PPR.17</v>
      </c>
      <c r="B160" s="432" t="str">
        <f>IF($B$4="Assembly or Component Provider",DATA_RASIC_DESC!B152,IF($B$4="Consultancy Component Provider",DATA_RASIC_DESC!B152,IF($B$4="Make to Print",DATA_RASIC_DESC!B152,IF($B$4="Engineering Service Provider",DATA_RASIC_DESC!B152,IF($B$4="Full System Provider",DATA_RASIC_DESC!B152,IF($B$4="ESP_DOOR TRIM",DATA_RASIC_DESC!E152,IF($B$4="ESP_Partner_LEVEL_01",DATA_RASIC_DESC!H152,"")))))))</f>
        <v>Investigate and resolve in-plant manufacturing and process concerns. JLR responsible for system level investigation. SE responsible for component level investigation according to boundary diagram.</v>
      </c>
      <c r="C160" s="432"/>
      <c r="D160" s="432"/>
      <c r="E160" s="432"/>
      <c r="F160" s="432"/>
      <c r="G160" s="432"/>
      <c r="H160" s="432"/>
      <c r="I160" s="432"/>
      <c r="J160" s="432"/>
      <c r="K160" s="40" t="str">
        <f>IF($B$4="Assembly or Component Provider",DATA_RASIC!Q159,IF($B$4="Consultancy Component Provider",DATA_RASIC!X159,IF($B$4="Make to Print",DATA_RASIC!AE159,IF($B$4="Engineering Service Provider",DATA_RASIC!C159,IF($B$4="Full System Provider",DATA_RASIC!J159,IF($B$4="ESP_DOOR TRIM",DATA_RASIC!AL159,IF($B$4="ESP_Partner_LEVEL_01",DATA_RASIC!AS159,"")))))))</f>
        <v>SHARE</v>
      </c>
      <c r="L160" s="40" t="str">
        <f>IF($B$4="Assembly or Component Provider",DATA_RASIC!R159,IF($B$4="Consultancy Component Provider",DATA_RASIC!Y159,IF($B$4="Make to Print",DATA_RASIC!AF159,IF($B$4="Engineering Service Provider",DATA_RASIC!D159,IF($B$4="Full System Provider",DATA_RASIC!K159,IF($B$4="ESP_DOOR TRIM",DATA_RASIC!AM159,IF($B$4="ESP_Partner_LEVEL_01",DATA_RASIC!AT159,"")))))))</f>
        <v>SHARE</v>
      </c>
      <c r="M160" s="40" t="str">
        <f>IF($B$4="Assembly or Component Provider",DATA_RASIC!S159,IF($B$4="Consultancy Component Provider",DATA_RASIC!Z159,IF($B$4="Make to Print",DATA_RASIC!AG159,IF($B$4="Engineering Service Provider",DATA_RASIC!E159,IF($B$4="Full System Provider",DATA_RASIC!L159,IF($B$4="ESP_DOOR TRIM",DATA_RASIC!AN159,IF($B$4="ESP_Partner_LEVEL_01",DATA_RASIC!AU159,"")))))))</f>
        <v>SHARE</v>
      </c>
      <c r="N160" s="40" t="str">
        <f>IF($B$4="Assembly or Component Provider",DATA_RASIC!T159,IF($B$4="Consultancy Component Provider",DATA_RASIC!AA159,IF($B$4="Make to Print",DATA_RASIC!AH159,IF($B$4="Engineering Service Provider",DATA_RASIC!F159,IF($B$4="Full System Provider",DATA_RASIC!M159,IF($B$4="ESP_DOOR TRIM",DATA_RASIC!AO159,IF($B$4="ESP_Partner_LEVEL_01",DATA_RASIC!AV159,"")))))))</f>
        <v>SHARE</v>
      </c>
      <c r="O160" s="40" t="str">
        <f>IF($B$4="Assembly or Component Provider",DATA_RASIC!U159,IF($B$4="Consultancy Component Provider",DATA_RASIC!AB159,IF($B$4="Make to Print",DATA_RASIC!AI159,IF($B$4="Engineering Service Provider",DATA_RASIC!G159,IF($B$4="Full System Provider",DATA_RASIC!N159,IF($B$4="ESP_DOOR TRIM",DATA_RASIC!AP159,IF($B$4="ESP_Partner_LEVEL_01",DATA_RASIC!AW159,"")))))))</f>
        <v>SHARE</v>
      </c>
      <c r="P160" s="40" t="str">
        <f>IF($B$4="Assembly or Component Provider",DATA_RASIC!V159,IF($B$4="Consultancy Component Provider",DATA_RASIC!AC159,IF($B$4="Make to Print",DATA_RASIC!AJ159,IF($B$4="Engineering Service Provider",DATA_RASIC!H159,IF($B$4="Full System Provider",DATA_RASIC!O159,IF($B$4="ESP_DOOR TRIM",DATA_RASIC!AQ159,IF($B$4="ESP_Partner_LEVEL_01",DATA_RASIC!AX159,"")))))))</f>
        <v>SHARE</v>
      </c>
    </row>
    <row r="170" spans="7:10" ht="16.2" customHeight="1" x14ac:dyDescent="0.3">
      <c r="G170" s="605" t="s">
        <v>338</v>
      </c>
      <c r="H170" s="605"/>
      <c r="I170" s="605"/>
      <c r="J170" s="606"/>
    </row>
  </sheetData>
  <protectedRanges>
    <protectedRange algorithmName="SHA-512" hashValue="TSxOzMpOVxFMS6xWZYL0AGDSPbfCgoYdKMKR9+8iIbSwo+jjXQk9IiqDgSAlCZMmgsmvOll3e5AHwICd4/z0Xw==" saltValue="B02j2lzV8CCWjDUslandDA==" spinCount="100000" sqref="B106:N106 B107:P107 B108:L108 O108:P108" name="Range1_1"/>
    <protectedRange algorithmName="SHA-512" hashValue="TSxOzMpOVxFMS6xWZYL0AGDSPbfCgoYdKMKR9+8iIbSwo+jjXQk9IiqDgSAlCZMmgsmvOll3e5AHwICd4/z0Xw==" saltValue="B02j2lzV8CCWjDUslandDA==" spinCount="100000" sqref="A111" name="Range1_2"/>
  </protectedRanges>
  <mergeCells count="175">
    <mergeCell ref="B160:J160"/>
    <mergeCell ref="G170:J170"/>
    <mergeCell ref="B53:J53"/>
    <mergeCell ref="B154:J154"/>
    <mergeCell ref="B155:J155"/>
    <mergeCell ref="B156:J156"/>
    <mergeCell ref="B157:J157"/>
    <mergeCell ref="B158:J158"/>
    <mergeCell ref="B159:J159"/>
    <mergeCell ref="B148:J148"/>
    <mergeCell ref="B149:J149"/>
    <mergeCell ref="B150:J150"/>
    <mergeCell ref="B151:J151"/>
    <mergeCell ref="B152:J152"/>
    <mergeCell ref="B153:J153"/>
    <mergeCell ref="B120:J120"/>
    <mergeCell ref="B121:J121"/>
    <mergeCell ref="B122:J122"/>
    <mergeCell ref="B123:J123"/>
    <mergeCell ref="B124:J124"/>
    <mergeCell ref="B125:J125"/>
    <mergeCell ref="B114:J114"/>
    <mergeCell ref="B115:J115"/>
    <mergeCell ref="B116:J116"/>
    <mergeCell ref="O142:P142"/>
    <mergeCell ref="B143:J143"/>
    <mergeCell ref="B144:J144"/>
    <mergeCell ref="B145:J145"/>
    <mergeCell ref="B146:J146"/>
    <mergeCell ref="B147:J147"/>
    <mergeCell ref="B136:J136"/>
    <mergeCell ref="B137:J137"/>
    <mergeCell ref="B138:J138"/>
    <mergeCell ref="B141:J141"/>
    <mergeCell ref="A142:J142"/>
    <mergeCell ref="K142:N142"/>
    <mergeCell ref="B139:J139"/>
    <mergeCell ref="B140:J140"/>
    <mergeCell ref="O130:P130"/>
    <mergeCell ref="B131:J131"/>
    <mergeCell ref="B132:J132"/>
    <mergeCell ref="B133:J133"/>
    <mergeCell ref="B134:J134"/>
    <mergeCell ref="B135:J135"/>
    <mergeCell ref="B126:J126"/>
    <mergeCell ref="B127:J127"/>
    <mergeCell ref="B128:J128"/>
    <mergeCell ref="B129:J129"/>
    <mergeCell ref="A130:J130"/>
    <mergeCell ref="K130:N130"/>
    <mergeCell ref="B117:J117"/>
    <mergeCell ref="B118:J118"/>
    <mergeCell ref="B119:J119"/>
    <mergeCell ref="B110:J110"/>
    <mergeCell ref="B111:J111"/>
    <mergeCell ref="A112:J112"/>
    <mergeCell ref="K112:N112"/>
    <mergeCell ref="O112:P112"/>
    <mergeCell ref="B113:J113"/>
    <mergeCell ref="B103:J103"/>
    <mergeCell ref="B104:J104"/>
    <mergeCell ref="B105:J105"/>
    <mergeCell ref="B106:J106"/>
    <mergeCell ref="B108:J108"/>
    <mergeCell ref="B109:J109"/>
    <mergeCell ref="B97:J97"/>
    <mergeCell ref="B98:J98"/>
    <mergeCell ref="B99:J99"/>
    <mergeCell ref="B100:J100"/>
    <mergeCell ref="B101:J101"/>
    <mergeCell ref="B102:J102"/>
    <mergeCell ref="B107:J107"/>
    <mergeCell ref="B93:J93"/>
    <mergeCell ref="B94:J94"/>
    <mergeCell ref="B95:J95"/>
    <mergeCell ref="A96:J96"/>
    <mergeCell ref="K96:N96"/>
    <mergeCell ref="O96:P96"/>
    <mergeCell ref="B76:J76"/>
    <mergeCell ref="B77:J77"/>
    <mergeCell ref="B78:J78"/>
    <mergeCell ref="B79:J79"/>
    <mergeCell ref="B91:J91"/>
    <mergeCell ref="B92:J92"/>
    <mergeCell ref="B80:J80"/>
    <mergeCell ref="B81:J81"/>
    <mergeCell ref="B82:J82"/>
    <mergeCell ref="B83:J83"/>
    <mergeCell ref="B84:J84"/>
    <mergeCell ref="B85:J85"/>
    <mergeCell ref="B86:J86"/>
    <mergeCell ref="B87:J87"/>
    <mergeCell ref="B88:J88"/>
    <mergeCell ref="B89:J89"/>
    <mergeCell ref="B90:J90"/>
    <mergeCell ref="B70:J70"/>
    <mergeCell ref="B71:J71"/>
    <mergeCell ref="B72:J72"/>
    <mergeCell ref="B73:J73"/>
    <mergeCell ref="B74:J74"/>
    <mergeCell ref="B75:J75"/>
    <mergeCell ref="B64:J64"/>
    <mergeCell ref="B65:J65"/>
    <mergeCell ref="B66:J66"/>
    <mergeCell ref="B67:J67"/>
    <mergeCell ref="B68:J68"/>
    <mergeCell ref="B69:J69"/>
    <mergeCell ref="B58:J58"/>
    <mergeCell ref="B59:J59"/>
    <mergeCell ref="B60:J60"/>
    <mergeCell ref="B61:J61"/>
    <mergeCell ref="B62:J62"/>
    <mergeCell ref="B63:J63"/>
    <mergeCell ref="B54:J54"/>
    <mergeCell ref="A55:J55"/>
    <mergeCell ref="K55:N55"/>
    <mergeCell ref="O55:P55"/>
    <mergeCell ref="B56:J56"/>
    <mergeCell ref="B57:J57"/>
    <mergeCell ref="B47:J47"/>
    <mergeCell ref="B48:J48"/>
    <mergeCell ref="B49:J49"/>
    <mergeCell ref="B50:J50"/>
    <mergeCell ref="B51:J51"/>
    <mergeCell ref="B52:J52"/>
    <mergeCell ref="B43:J43"/>
    <mergeCell ref="B44:J44"/>
    <mergeCell ref="B45:J45"/>
    <mergeCell ref="A46:J46"/>
    <mergeCell ref="K46:N46"/>
    <mergeCell ref="O46:P46"/>
    <mergeCell ref="B37:J37"/>
    <mergeCell ref="B38:J38"/>
    <mergeCell ref="B39:J39"/>
    <mergeCell ref="B40:J40"/>
    <mergeCell ref="B41:J41"/>
    <mergeCell ref="B42:J42"/>
    <mergeCell ref="B33:J33"/>
    <mergeCell ref="B34:J34"/>
    <mergeCell ref="B35:J35"/>
    <mergeCell ref="A36:J36"/>
    <mergeCell ref="K36:N36"/>
    <mergeCell ref="O36:P36"/>
    <mergeCell ref="B27:J27"/>
    <mergeCell ref="B28:J28"/>
    <mergeCell ref="B29:J29"/>
    <mergeCell ref="B30:J30"/>
    <mergeCell ref="B31:J31"/>
    <mergeCell ref="B32:J32"/>
    <mergeCell ref="B21:J21"/>
    <mergeCell ref="B22:J22"/>
    <mergeCell ref="B23:J23"/>
    <mergeCell ref="B24:J24"/>
    <mergeCell ref="B25:J25"/>
    <mergeCell ref="B26:J26"/>
    <mergeCell ref="B15:J15"/>
    <mergeCell ref="B16:J16"/>
    <mergeCell ref="B17:J17"/>
    <mergeCell ref="B18:J18"/>
    <mergeCell ref="B19:J19"/>
    <mergeCell ref="B20:J20"/>
    <mergeCell ref="B9:J9"/>
    <mergeCell ref="B10:J10"/>
    <mergeCell ref="B11:J11"/>
    <mergeCell ref="B12:J12"/>
    <mergeCell ref="B13:J13"/>
    <mergeCell ref="B14:J14"/>
    <mergeCell ref="A1:P1"/>
    <mergeCell ref="A2:P2"/>
    <mergeCell ref="B3:O3"/>
    <mergeCell ref="B4:O4"/>
    <mergeCell ref="B6:O6"/>
    <mergeCell ref="A8:J8"/>
    <mergeCell ref="K8:N8"/>
    <mergeCell ref="O8:P8"/>
  </mergeCells>
  <phoneticPr fontId="11" type="noConversion"/>
  <conditionalFormatting sqref="B4:O4">
    <cfRule type="cellIs" dxfId="59" priority="8" operator="equal">
      <formula>0</formula>
    </cfRule>
  </conditionalFormatting>
  <conditionalFormatting sqref="G170">
    <cfRule type="containsBlanks" dxfId="58" priority="7">
      <formula>LEN(TRIM(G170))=0</formula>
    </cfRule>
  </conditionalFormatting>
  <conditionalFormatting sqref="K1 K2:O2 K3:N4 P3:P4 K5:P5 P6:P7">
    <cfRule type="cellIs" dxfId="57" priority="18" operator="equal">
      <formula>0</formula>
    </cfRule>
  </conditionalFormatting>
  <conditionalFormatting sqref="K8:P1048576">
    <cfRule type="cellIs" dxfId="56" priority="2" operator="equal">
      <formula>0</formula>
    </cfRule>
  </conditionalFormatting>
  <conditionalFormatting sqref="K10:P35">
    <cfRule type="expression" dxfId="55" priority="11">
      <formula>$O$8="NOT APPLICABLE"</formula>
    </cfRule>
  </conditionalFormatting>
  <conditionalFormatting sqref="K38:P45">
    <cfRule type="expression" dxfId="54" priority="12">
      <formula>$O$36="NOT APPLICABLE"</formula>
    </cfRule>
  </conditionalFormatting>
  <conditionalFormatting sqref="K48:P54">
    <cfRule type="expression" dxfId="53" priority="13">
      <formula>$O$46="NOT APPLICABLE"</formula>
    </cfRule>
  </conditionalFormatting>
  <conditionalFormatting sqref="K57:P95">
    <cfRule type="expression" dxfId="52" priority="14">
      <formula>$O$55="NOT APPLICABLE"</formula>
    </cfRule>
  </conditionalFormatting>
  <conditionalFormatting sqref="K98:P111">
    <cfRule type="expression" dxfId="51" priority="1">
      <formula>$O$96="NOT APPLICABLE"</formula>
    </cfRule>
  </conditionalFormatting>
  <conditionalFormatting sqref="K114:P129">
    <cfRule type="expression" dxfId="50" priority="16">
      <formula>$O$112="NOT APPLICABLE"</formula>
    </cfRule>
  </conditionalFormatting>
  <conditionalFormatting sqref="K132:P141">
    <cfRule type="expression" dxfId="49" priority="10">
      <formula>$O$130="NOT APPLICABLE"</formula>
    </cfRule>
  </conditionalFormatting>
  <conditionalFormatting sqref="K144:P160">
    <cfRule type="expression" dxfId="48" priority="17">
      <formula>$O$142="NOT APPLICABLE"</formula>
    </cfRule>
  </conditionalFormatting>
  <conditionalFormatting sqref="O8:P8 O36:P36 O46:P46 O55:P55 O96:P96 O112:P112 O130:P130 O142:P142">
    <cfRule type="containsBlanks" dxfId="47" priority="9">
      <formula>LEN(TRIM(O8))=0</formula>
    </cfRule>
  </conditionalFormatting>
  <pageMargins left="0.25" right="0.25" top="0.86458333333333337" bottom="0.75" header="0.3" footer="0.3"/>
  <pageSetup paperSize="9" orientation="landscape" r:id="rId1"/>
  <headerFooter>
    <oddHeader>&amp;LStatement of Work
(eSOW/Hardware) - JLR-TMP-557249&amp;C&amp;G&amp;RIssue Level 5.3
Effective Date: 9th June 2025</oddHeader>
    <oddFooter>&amp;L&amp;"JLR Emeric,Regular"&amp;10Appendix A. 
RASIC&amp;C&amp;"JLR Emeric,Bold"&amp;10&amp;KFF0000PRINTED COPIES ARE UNCONTROLLED&amp;R&amp;"JLR Emeric,Regular"&amp;10&amp;P</oddFooter>
  </headerFooter>
  <rowBreaks count="7" manualBreakCount="7">
    <brk id="35" max="16383" man="1"/>
    <brk id="45" max="16383" man="1"/>
    <brk id="54" max="16383" man="1"/>
    <brk id="95" max="16383" man="1"/>
    <brk id="111" max="16383" man="1"/>
    <brk id="129" max="16383" man="1"/>
    <brk id="141" max="16383" man="1"/>
  </rowBreaks>
  <legacy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628FEF59-DA0B-4993-9CF6-0DDF60138AE7}">
          <x14:formula1>
            <xm:f>DATA_NEW!$A$25:$A$26</xm:f>
          </x14:formula1>
          <xm:sqref>O8:P8 O112:P112 O130:P130 O36:P36 O46:P46 O55:P55 O96:P96 O142:P142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AE9C3-C502-4A36-B7AE-A251DF8698D6}">
  <sheetPr codeName="Sheet15"/>
  <dimension ref="A1:Q799"/>
  <sheetViews>
    <sheetView topLeftCell="A88" workbookViewId="0">
      <selection activeCell="H109" sqref="H109"/>
    </sheetView>
  </sheetViews>
  <sheetFormatPr defaultColWidth="13.33203125" defaultRowHeight="10.199999999999999" x14ac:dyDescent="0.3"/>
  <cols>
    <col min="1" max="1" width="6.88671875" style="203" customWidth="1"/>
    <col min="2" max="2" width="82.6640625" style="173" bestFit="1" customWidth="1"/>
    <col min="3" max="3" width="13.33203125" style="189"/>
    <col min="4" max="4" width="6.6640625" style="173" customWidth="1"/>
    <col min="5" max="5" width="91.88671875" style="173" bestFit="1" customWidth="1"/>
    <col min="6" max="6" width="13.33203125" style="189"/>
    <col min="7" max="7" width="7.5546875" style="189" customWidth="1"/>
    <col min="8" max="8" width="91.88671875" style="189" bestFit="1" customWidth="1"/>
    <col min="9" max="16384" width="13.33203125" style="189"/>
  </cols>
  <sheetData>
    <row r="1" spans="1:8" s="185" customFormat="1" ht="14.4" x14ac:dyDescent="0.3">
      <c r="A1" s="609" t="s">
        <v>1004</v>
      </c>
      <c r="B1" s="610"/>
      <c r="D1" s="607" t="s">
        <v>1005</v>
      </c>
      <c r="E1" s="608"/>
      <c r="G1" s="611" t="s">
        <v>1006</v>
      </c>
      <c r="H1" s="612"/>
    </row>
    <row r="2" spans="1:8" s="185" customFormat="1" x14ac:dyDescent="0.3">
      <c r="A2" s="202"/>
      <c r="B2" s="186" t="s">
        <v>1007</v>
      </c>
      <c r="D2" s="206"/>
      <c r="E2" s="187" t="s">
        <v>1007</v>
      </c>
      <c r="G2" s="207"/>
      <c r="H2" s="201" t="s">
        <v>1007</v>
      </c>
    </row>
    <row r="3" spans="1:8" ht="12" x14ac:dyDescent="0.3">
      <c r="A3" s="203" t="s">
        <v>1008</v>
      </c>
      <c r="B3" s="188" t="s">
        <v>1009</v>
      </c>
      <c r="D3" s="203" t="s">
        <v>1008</v>
      </c>
      <c r="E3" s="170" t="s">
        <v>1010</v>
      </c>
      <c r="G3" s="203" t="s">
        <v>1008</v>
      </c>
      <c r="H3" s="170" t="s">
        <v>1009</v>
      </c>
    </row>
    <row r="4" spans="1:8" ht="12" x14ac:dyDescent="0.3">
      <c r="A4" s="203" t="s">
        <v>1011</v>
      </c>
      <c r="B4" s="170" t="s">
        <v>1012</v>
      </c>
      <c r="D4" s="203" t="s">
        <v>1011</v>
      </c>
      <c r="E4" s="170" t="s">
        <v>1012</v>
      </c>
      <c r="G4" s="203" t="s">
        <v>1011</v>
      </c>
      <c r="H4" s="170" t="s">
        <v>1012</v>
      </c>
    </row>
    <row r="5" spans="1:8" ht="12" x14ac:dyDescent="0.3">
      <c r="A5" s="203" t="s">
        <v>1013</v>
      </c>
      <c r="B5" s="170" t="s">
        <v>1014</v>
      </c>
      <c r="D5" s="203" t="s">
        <v>1013</v>
      </c>
      <c r="E5" s="170" t="s">
        <v>1014</v>
      </c>
      <c r="G5" s="203" t="s">
        <v>1013</v>
      </c>
      <c r="H5" s="170" t="s">
        <v>1014</v>
      </c>
    </row>
    <row r="6" spans="1:8" ht="12" x14ac:dyDescent="0.3">
      <c r="A6" s="203" t="s">
        <v>1015</v>
      </c>
      <c r="B6" s="170" t="s">
        <v>1016</v>
      </c>
      <c r="D6" s="203" t="s">
        <v>1015</v>
      </c>
      <c r="E6" s="170" t="s">
        <v>1017</v>
      </c>
      <c r="G6" s="203" t="s">
        <v>1015</v>
      </c>
      <c r="H6" s="170" t="s">
        <v>1017</v>
      </c>
    </row>
    <row r="7" spans="1:8" ht="12" x14ac:dyDescent="0.3">
      <c r="A7" s="203" t="s">
        <v>1018</v>
      </c>
      <c r="B7" s="170" t="s">
        <v>1019</v>
      </c>
      <c r="D7" s="203" t="s">
        <v>1018</v>
      </c>
      <c r="E7" s="170" t="s">
        <v>1019</v>
      </c>
      <c r="G7" s="203" t="s">
        <v>1018</v>
      </c>
      <c r="H7" s="170" t="s">
        <v>1019</v>
      </c>
    </row>
    <row r="8" spans="1:8" ht="36" x14ac:dyDescent="0.3">
      <c r="A8" s="203" t="s">
        <v>1020</v>
      </c>
      <c r="B8" s="170" t="s">
        <v>1021</v>
      </c>
      <c r="D8" s="203" t="s">
        <v>1020</v>
      </c>
      <c r="E8" s="170" t="s">
        <v>1021</v>
      </c>
      <c r="G8" s="203" t="s">
        <v>1020</v>
      </c>
      <c r="H8" s="170" t="s">
        <v>1022</v>
      </c>
    </row>
    <row r="9" spans="1:8" ht="36" x14ac:dyDescent="0.3">
      <c r="A9" s="203" t="s">
        <v>1023</v>
      </c>
      <c r="B9" s="170" t="s">
        <v>1024</v>
      </c>
      <c r="D9" s="203" t="s">
        <v>1023</v>
      </c>
      <c r="E9" s="170" t="s">
        <v>1025</v>
      </c>
      <c r="G9" s="203" t="s">
        <v>1023</v>
      </c>
      <c r="H9" s="170" t="s">
        <v>1026</v>
      </c>
    </row>
    <row r="10" spans="1:8" ht="36" x14ac:dyDescent="0.3">
      <c r="A10" s="203" t="s">
        <v>1027</v>
      </c>
      <c r="B10" s="170" t="s">
        <v>1028</v>
      </c>
      <c r="D10" s="203" t="s">
        <v>1027</v>
      </c>
      <c r="E10" s="170" t="s">
        <v>1029</v>
      </c>
      <c r="G10" s="203" t="s">
        <v>1027</v>
      </c>
      <c r="H10" s="170" t="s">
        <v>1029</v>
      </c>
    </row>
    <row r="11" spans="1:8" ht="12" x14ac:dyDescent="0.3">
      <c r="A11" s="203" t="s">
        <v>1030</v>
      </c>
      <c r="B11" s="170" t="s">
        <v>1031</v>
      </c>
      <c r="D11" s="203" t="s">
        <v>1030</v>
      </c>
      <c r="E11" s="170" t="s">
        <v>1032</v>
      </c>
      <c r="G11" s="203" t="s">
        <v>1030</v>
      </c>
      <c r="H11" s="170" t="s">
        <v>1033</v>
      </c>
    </row>
    <row r="12" spans="1:8" ht="12" x14ac:dyDescent="0.3">
      <c r="A12" s="203" t="s">
        <v>1034</v>
      </c>
      <c r="B12" s="170" t="s">
        <v>1035</v>
      </c>
      <c r="D12" s="203" t="s">
        <v>1034</v>
      </c>
      <c r="E12" s="170" t="s">
        <v>1035</v>
      </c>
      <c r="G12" s="203" t="s">
        <v>1034</v>
      </c>
      <c r="H12" s="170" t="s">
        <v>1035</v>
      </c>
    </row>
    <row r="13" spans="1:8" ht="24" x14ac:dyDescent="0.3">
      <c r="A13" s="203" t="s">
        <v>1036</v>
      </c>
      <c r="B13" s="170" t="s">
        <v>1037</v>
      </c>
      <c r="D13" s="203" t="s">
        <v>1036</v>
      </c>
      <c r="E13" s="170" t="s">
        <v>1037</v>
      </c>
      <c r="G13" s="203" t="s">
        <v>1036</v>
      </c>
      <c r="H13" s="170" t="s">
        <v>1038</v>
      </c>
    </row>
    <row r="14" spans="1:8" ht="36" x14ac:dyDescent="0.3">
      <c r="A14" s="203" t="s">
        <v>1039</v>
      </c>
      <c r="B14" s="170" t="s">
        <v>1040</v>
      </c>
      <c r="D14" s="203" t="s">
        <v>1039</v>
      </c>
      <c r="E14" s="170" t="s">
        <v>1040</v>
      </c>
      <c r="G14" s="203" t="s">
        <v>1039</v>
      </c>
      <c r="H14" s="170" t="s">
        <v>1041</v>
      </c>
    </row>
    <row r="15" spans="1:8" ht="24" x14ac:dyDescent="0.3">
      <c r="A15" s="203" t="s">
        <v>1042</v>
      </c>
      <c r="B15" s="170" t="s">
        <v>1043</v>
      </c>
      <c r="D15" s="203" t="s">
        <v>1042</v>
      </c>
      <c r="E15" s="170" t="s">
        <v>1043</v>
      </c>
      <c r="G15" s="203" t="s">
        <v>1042</v>
      </c>
      <c r="H15" s="170" t="s">
        <v>1044</v>
      </c>
    </row>
    <row r="16" spans="1:8" ht="12" x14ac:dyDescent="0.3">
      <c r="A16" s="203" t="s">
        <v>1045</v>
      </c>
      <c r="B16" s="170" t="s">
        <v>1009</v>
      </c>
      <c r="D16" s="203" t="s">
        <v>1045</v>
      </c>
      <c r="E16" s="170" t="s">
        <v>1009</v>
      </c>
      <c r="G16" s="203" t="s">
        <v>1045</v>
      </c>
      <c r="H16" s="170" t="s">
        <v>1009</v>
      </c>
    </row>
    <row r="17" spans="1:8" ht="24" x14ac:dyDescent="0.3">
      <c r="A17" s="203" t="s">
        <v>1046</v>
      </c>
      <c r="B17" s="170" t="s">
        <v>1047</v>
      </c>
      <c r="D17" s="203" t="s">
        <v>1046</v>
      </c>
      <c r="E17" s="170" t="s">
        <v>1047</v>
      </c>
      <c r="G17" s="203" t="s">
        <v>1046</v>
      </c>
      <c r="H17" s="170" t="s">
        <v>1048</v>
      </c>
    </row>
    <row r="18" spans="1:8" ht="24" x14ac:dyDescent="0.3">
      <c r="A18" s="203" t="s">
        <v>1049</v>
      </c>
      <c r="B18" s="170" t="s">
        <v>1050</v>
      </c>
      <c r="D18" s="203" t="s">
        <v>1049</v>
      </c>
      <c r="E18" s="170" t="s">
        <v>1050</v>
      </c>
      <c r="G18" s="203" t="s">
        <v>1049</v>
      </c>
      <c r="H18" s="170" t="s">
        <v>1051</v>
      </c>
    </row>
    <row r="19" spans="1:8" ht="24" x14ac:dyDescent="0.3">
      <c r="A19" s="203" t="s">
        <v>1052</v>
      </c>
      <c r="B19" s="170" t="s">
        <v>1053</v>
      </c>
      <c r="D19" s="203" t="s">
        <v>1052</v>
      </c>
      <c r="E19" s="170" t="s">
        <v>1053</v>
      </c>
      <c r="G19" s="203" t="s">
        <v>1052</v>
      </c>
      <c r="H19" s="170" t="s">
        <v>1053</v>
      </c>
    </row>
    <row r="20" spans="1:8" ht="24" x14ac:dyDescent="0.3">
      <c r="A20" s="203" t="s">
        <v>1054</v>
      </c>
      <c r="B20" s="170" t="s">
        <v>1055</v>
      </c>
      <c r="D20" s="203" t="s">
        <v>1054</v>
      </c>
      <c r="E20" s="170" t="s">
        <v>1055</v>
      </c>
      <c r="G20" s="203" t="s">
        <v>1054</v>
      </c>
      <c r="H20" s="170" t="s">
        <v>1056</v>
      </c>
    </row>
    <row r="21" spans="1:8" ht="12" x14ac:dyDescent="0.3">
      <c r="A21" s="203" t="s">
        <v>1057</v>
      </c>
      <c r="B21" s="170" t="s">
        <v>1058</v>
      </c>
      <c r="D21" s="203" t="s">
        <v>1057</v>
      </c>
      <c r="E21" s="170" t="s">
        <v>1058</v>
      </c>
      <c r="G21" s="203" t="s">
        <v>1057</v>
      </c>
      <c r="H21" s="170" t="s">
        <v>1058</v>
      </c>
    </row>
    <row r="22" spans="1:8" ht="12" x14ac:dyDescent="0.3">
      <c r="A22" s="203" t="s">
        <v>1059</v>
      </c>
      <c r="B22" s="170" t="s">
        <v>1060</v>
      </c>
      <c r="D22" s="203" t="s">
        <v>1059</v>
      </c>
      <c r="E22" s="170" t="s">
        <v>1060</v>
      </c>
      <c r="G22" s="203" t="s">
        <v>1059</v>
      </c>
      <c r="H22" s="170" t="s">
        <v>1061</v>
      </c>
    </row>
    <row r="23" spans="1:8" ht="12" x14ac:dyDescent="0.3">
      <c r="A23" s="203" t="s">
        <v>1062</v>
      </c>
      <c r="B23" s="170" t="s">
        <v>1063</v>
      </c>
      <c r="D23" s="203" t="s">
        <v>1062</v>
      </c>
      <c r="E23" s="170" t="s">
        <v>1063</v>
      </c>
      <c r="G23" s="203" t="s">
        <v>1062</v>
      </c>
      <c r="H23" s="170" t="s">
        <v>1063</v>
      </c>
    </row>
    <row r="24" spans="1:8" ht="12" x14ac:dyDescent="0.3">
      <c r="A24" s="203" t="s">
        <v>1064</v>
      </c>
      <c r="B24" s="170" t="s">
        <v>1065</v>
      </c>
      <c r="D24" s="203" t="s">
        <v>1064</v>
      </c>
      <c r="E24" s="170" t="s">
        <v>1065</v>
      </c>
      <c r="G24" s="203" t="s">
        <v>1064</v>
      </c>
      <c r="H24" s="170" t="s">
        <v>1066</v>
      </c>
    </row>
    <row r="25" spans="1:8" ht="144" x14ac:dyDescent="0.3">
      <c r="A25" s="203" t="s">
        <v>1067</v>
      </c>
      <c r="B25" s="170" t="s">
        <v>1068</v>
      </c>
      <c r="D25" s="203" t="s">
        <v>1067</v>
      </c>
      <c r="E25" s="170" t="s">
        <v>1069</v>
      </c>
      <c r="G25" s="203" t="s">
        <v>1067</v>
      </c>
      <c r="H25" s="170" t="s">
        <v>1070</v>
      </c>
    </row>
    <row r="26" spans="1:8" ht="12" x14ac:dyDescent="0.3">
      <c r="A26" s="203" t="s">
        <v>1071</v>
      </c>
      <c r="B26" s="170" t="s">
        <v>1072</v>
      </c>
      <c r="D26" s="203" t="s">
        <v>1071</v>
      </c>
      <c r="E26" s="170" t="s">
        <v>1072</v>
      </c>
      <c r="G26" s="203" t="s">
        <v>1071</v>
      </c>
      <c r="H26" s="170" t="s">
        <v>1072</v>
      </c>
    </row>
    <row r="27" spans="1:8" ht="12" x14ac:dyDescent="0.3">
      <c r="A27" s="203" t="s">
        <v>1073</v>
      </c>
      <c r="B27" s="170" t="s">
        <v>1074</v>
      </c>
      <c r="D27" s="203" t="s">
        <v>1073</v>
      </c>
      <c r="E27" s="170" t="s">
        <v>1074</v>
      </c>
      <c r="G27" s="203" t="s">
        <v>1073</v>
      </c>
      <c r="H27" s="170" t="s">
        <v>1074</v>
      </c>
    </row>
    <row r="28" spans="1:8" ht="12" x14ac:dyDescent="0.3">
      <c r="A28" s="203" t="s">
        <v>158</v>
      </c>
      <c r="B28" s="212" t="s">
        <v>1075</v>
      </c>
      <c r="D28" s="203" t="s">
        <v>158</v>
      </c>
      <c r="E28" s="212" t="s">
        <v>1075</v>
      </c>
      <c r="G28" s="203" t="s">
        <v>1076</v>
      </c>
      <c r="H28" s="170" t="s">
        <v>1077</v>
      </c>
    </row>
    <row r="29" spans="1:8" x14ac:dyDescent="0.3">
      <c r="G29" s="173"/>
      <c r="H29" s="173"/>
    </row>
    <row r="30" spans="1:8" s="213" customFormat="1" x14ac:dyDescent="0.3">
      <c r="B30" s="190" t="s">
        <v>1078</v>
      </c>
      <c r="C30" s="81"/>
      <c r="E30" s="187" t="s">
        <v>1078</v>
      </c>
      <c r="H30" s="201" t="s">
        <v>1078</v>
      </c>
    </row>
    <row r="31" spans="1:8" ht="12" x14ac:dyDescent="0.3">
      <c r="A31" s="203" t="s">
        <v>1079</v>
      </c>
      <c r="B31" s="170" t="s">
        <v>1080</v>
      </c>
      <c r="C31" s="178"/>
      <c r="D31" s="203" t="s">
        <v>1079</v>
      </c>
      <c r="E31" s="170" t="s">
        <v>1081</v>
      </c>
      <c r="G31" s="203" t="s">
        <v>1079</v>
      </c>
      <c r="H31" s="214" t="s">
        <v>1080</v>
      </c>
    </row>
    <row r="32" spans="1:8" ht="12" x14ac:dyDescent="0.3">
      <c r="A32" s="203" t="s">
        <v>1082</v>
      </c>
      <c r="B32" s="170" t="s">
        <v>1083</v>
      </c>
      <c r="C32" s="178"/>
      <c r="D32" s="203" t="s">
        <v>1082</v>
      </c>
      <c r="E32" s="170" t="s">
        <v>1083</v>
      </c>
      <c r="G32" s="203" t="s">
        <v>1082</v>
      </c>
      <c r="H32" s="214" t="s">
        <v>1083</v>
      </c>
    </row>
    <row r="33" spans="1:8" ht="12" x14ac:dyDescent="0.3">
      <c r="A33" s="203" t="s">
        <v>1084</v>
      </c>
      <c r="B33" s="170" t="s">
        <v>1085</v>
      </c>
      <c r="C33" s="178"/>
      <c r="D33" s="203" t="s">
        <v>1084</v>
      </c>
      <c r="E33" s="170" t="s">
        <v>1085</v>
      </c>
      <c r="G33" s="203" t="s">
        <v>1084</v>
      </c>
      <c r="H33" s="214" t="s">
        <v>1086</v>
      </c>
    </row>
    <row r="34" spans="1:8" ht="24" x14ac:dyDescent="0.3">
      <c r="A34" s="203" t="s">
        <v>1087</v>
      </c>
      <c r="B34" s="170" t="s">
        <v>1088</v>
      </c>
      <c r="C34" s="178"/>
      <c r="D34" s="203" t="s">
        <v>1087</v>
      </c>
      <c r="E34" s="170" t="s">
        <v>1088</v>
      </c>
      <c r="G34" s="203" t="s">
        <v>1087</v>
      </c>
      <c r="H34" s="214" t="s">
        <v>1089</v>
      </c>
    </row>
    <row r="35" spans="1:8" ht="12" x14ac:dyDescent="0.3">
      <c r="A35" s="203" t="s">
        <v>1090</v>
      </c>
      <c r="B35" s="170" t="s">
        <v>1091</v>
      </c>
      <c r="C35" s="178"/>
      <c r="D35" s="203" t="s">
        <v>1090</v>
      </c>
      <c r="E35" s="170" t="s">
        <v>1091</v>
      </c>
      <c r="G35" s="203" t="s">
        <v>1090</v>
      </c>
      <c r="H35" s="214" t="s">
        <v>1091</v>
      </c>
    </row>
    <row r="36" spans="1:8" ht="24" x14ac:dyDescent="0.3">
      <c r="A36" s="203" t="s">
        <v>1092</v>
      </c>
      <c r="B36" s="170" t="s">
        <v>1093</v>
      </c>
      <c r="C36" s="178"/>
      <c r="D36" s="203" t="s">
        <v>1092</v>
      </c>
      <c r="E36" s="170" t="s">
        <v>1093</v>
      </c>
      <c r="G36" s="203" t="s">
        <v>1092</v>
      </c>
      <c r="H36" s="214" t="s">
        <v>1094</v>
      </c>
    </row>
    <row r="37" spans="1:8" ht="24" x14ac:dyDescent="0.3">
      <c r="A37" s="203" t="s">
        <v>1095</v>
      </c>
      <c r="B37" s="170" t="s">
        <v>1096</v>
      </c>
      <c r="C37" s="178"/>
      <c r="D37" s="203" t="s">
        <v>1095</v>
      </c>
      <c r="E37" s="170" t="s">
        <v>1096</v>
      </c>
      <c r="G37" s="203" t="s">
        <v>1095</v>
      </c>
      <c r="H37" s="214" t="s">
        <v>1093</v>
      </c>
    </row>
    <row r="38" spans="1:8" ht="12" x14ac:dyDescent="0.3">
      <c r="A38" s="203" t="s">
        <v>158</v>
      </c>
      <c r="B38" s="212" t="s">
        <v>1075</v>
      </c>
      <c r="D38" s="203" t="s">
        <v>158</v>
      </c>
      <c r="E38" s="212" t="s">
        <v>1075</v>
      </c>
      <c r="G38" s="203" t="s">
        <v>1097</v>
      </c>
      <c r="H38" s="215" t="s">
        <v>1098</v>
      </c>
    </row>
    <row r="39" spans="1:8" x14ac:dyDescent="0.3">
      <c r="G39" s="173"/>
      <c r="H39" s="173"/>
    </row>
    <row r="40" spans="1:8" s="213" customFormat="1" x14ac:dyDescent="0.3">
      <c r="B40" s="190" t="s">
        <v>1099</v>
      </c>
      <c r="C40" s="81"/>
      <c r="E40" s="187" t="s">
        <v>1099</v>
      </c>
      <c r="H40" s="201" t="s">
        <v>1099</v>
      </c>
    </row>
    <row r="41" spans="1:8" ht="36" x14ac:dyDescent="0.3">
      <c r="A41" s="203" t="s">
        <v>1100</v>
      </c>
      <c r="B41" s="170" t="s">
        <v>1101</v>
      </c>
      <c r="C41" s="178"/>
      <c r="D41" s="203" t="s">
        <v>1100</v>
      </c>
      <c r="E41" s="170" t="s">
        <v>1102</v>
      </c>
      <c r="G41" s="203" t="s">
        <v>1100</v>
      </c>
      <c r="H41" s="170" t="s">
        <v>1101</v>
      </c>
    </row>
    <row r="42" spans="1:8" ht="24" x14ac:dyDescent="0.3">
      <c r="A42" s="203" t="s">
        <v>1103</v>
      </c>
      <c r="B42" s="170" t="s">
        <v>1104</v>
      </c>
      <c r="C42" s="178"/>
      <c r="D42" s="203" t="s">
        <v>1103</v>
      </c>
      <c r="E42" s="170" t="s">
        <v>1105</v>
      </c>
      <c r="G42" s="203" t="s">
        <v>1103</v>
      </c>
      <c r="H42" s="170" t="s">
        <v>1104</v>
      </c>
    </row>
    <row r="43" spans="1:8" ht="24" x14ac:dyDescent="0.3">
      <c r="A43" s="203" t="s">
        <v>1106</v>
      </c>
      <c r="B43" s="170" t="s">
        <v>1107</v>
      </c>
      <c r="C43" s="178"/>
      <c r="D43" s="203" t="s">
        <v>1106</v>
      </c>
      <c r="E43" s="170" t="s">
        <v>1108</v>
      </c>
      <c r="G43" s="203" t="s">
        <v>1106</v>
      </c>
      <c r="H43" s="170" t="s">
        <v>1109</v>
      </c>
    </row>
    <row r="44" spans="1:8" ht="36" x14ac:dyDescent="0.3">
      <c r="A44" s="203" t="s">
        <v>1110</v>
      </c>
      <c r="B44" s="170" t="s">
        <v>1111</v>
      </c>
      <c r="C44" s="178"/>
      <c r="D44" s="203" t="s">
        <v>1110</v>
      </c>
      <c r="E44" s="170" t="s">
        <v>1112</v>
      </c>
      <c r="G44" s="203" t="s">
        <v>1110</v>
      </c>
      <c r="H44" s="170" t="s">
        <v>1113</v>
      </c>
    </row>
    <row r="45" spans="1:8" ht="12" x14ac:dyDescent="0.3">
      <c r="A45" s="203" t="s">
        <v>1114</v>
      </c>
      <c r="B45" s="170" t="s">
        <v>1115</v>
      </c>
      <c r="C45" s="178"/>
      <c r="D45" s="203" t="s">
        <v>1114</v>
      </c>
      <c r="E45" s="170" t="s">
        <v>1116</v>
      </c>
      <c r="G45" s="203" t="s">
        <v>1114</v>
      </c>
      <c r="H45" s="170" t="s">
        <v>1117</v>
      </c>
    </row>
    <row r="46" spans="1:8" ht="48" x14ac:dyDescent="0.3">
      <c r="A46" s="203" t="s">
        <v>1118</v>
      </c>
      <c r="B46" s="170" t="s">
        <v>1119</v>
      </c>
      <c r="C46" s="178"/>
      <c r="D46" s="203" t="s">
        <v>1118</v>
      </c>
      <c r="E46" s="177" t="s">
        <v>1120</v>
      </c>
      <c r="G46" s="203" t="s">
        <v>1118</v>
      </c>
      <c r="H46" s="170" t="s">
        <v>1121</v>
      </c>
    </row>
    <row r="47" spans="1:8" ht="36" x14ac:dyDescent="0.3">
      <c r="A47" s="203" t="s">
        <v>158</v>
      </c>
      <c r="B47" s="212" t="s">
        <v>1075</v>
      </c>
      <c r="C47" s="178"/>
      <c r="D47" s="203" t="s">
        <v>158</v>
      </c>
      <c r="E47" s="212" t="s">
        <v>1075</v>
      </c>
      <c r="G47" s="203" t="s">
        <v>1122</v>
      </c>
      <c r="H47" s="170" t="s">
        <v>1123</v>
      </c>
    </row>
    <row r="48" spans="1:8" x14ac:dyDescent="0.3">
      <c r="G48" s="173"/>
      <c r="H48" s="173"/>
    </row>
    <row r="49" spans="1:17" s="213" customFormat="1" x14ac:dyDescent="0.3">
      <c r="B49" s="190" t="s">
        <v>1124</v>
      </c>
      <c r="C49" s="81"/>
      <c r="E49" s="187" t="s">
        <v>1124</v>
      </c>
      <c r="H49" s="201" t="s">
        <v>1124</v>
      </c>
    </row>
    <row r="50" spans="1:17" ht="144" x14ac:dyDescent="0.3">
      <c r="A50" s="203" t="s">
        <v>1125</v>
      </c>
      <c r="B50" s="170" t="s">
        <v>1126</v>
      </c>
      <c r="C50" s="178"/>
      <c r="D50" s="203" t="s">
        <v>1125</v>
      </c>
      <c r="E50" s="170" t="s">
        <v>1127</v>
      </c>
      <c r="G50" s="203" t="s">
        <v>1125</v>
      </c>
      <c r="H50" s="81" t="s">
        <v>1128</v>
      </c>
    </row>
    <row r="51" spans="1:17" ht="20.399999999999999" x14ac:dyDescent="0.3">
      <c r="A51" s="203" t="s">
        <v>1129</v>
      </c>
      <c r="B51" s="170" t="s">
        <v>1130</v>
      </c>
      <c r="C51" s="178"/>
      <c r="D51" s="203" t="s">
        <v>1129</v>
      </c>
      <c r="E51" s="170" t="s">
        <v>1130</v>
      </c>
      <c r="G51" s="203" t="s">
        <v>1129</v>
      </c>
      <c r="H51" s="81" t="s">
        <v>1131</v>
      </c>
      <c r="I51" s="81"/>
      <c r="J51" s="81"/>
      <c r="K51" s="81"/>
      <c r="L51" s="81"/>
      <c r="M51" s="81"/>
      <c r="N51" s="81"/>
      <c r="O51" s="81"/>
      <c r="P51" s="81"/>
      <c r="Q51" s="81"/>
    </row>
    <row r="52" spans="1:17" ht="24" x14ac:dyDescent="0.3">
      <c r="A52" s="203" t="s">
        <v>1132</v>
      </c>
      <c r="B52" s="170" t="s">
        <v>1133</v>
      </c>
      <c r="C52" s="178"/>
      <c r="D52" s="203" t="s">
        <v>1132</v>
      </c>
      <c r="E52" s="170" t="s">
        <v>1133</v>
      </c>
      <c r="G52" s="203" t="s">
        <v>1132</v>
      </c>
      <c r="H52" s="81" t="s">
        <v>1134</v>
      </c>
      <c r="I52" s="81"/>
      <c r="J52" s="81"/>
      <c r="K52" s="81"/>
      <c r="L52" s="81"/>
      <c r="M52" s="81"/>
      <c r="N52" s="81"/>
      <c r="O52" s="81"/>
      <c r="P52" s="81"/>
      <c r="Q52" s="81"/>
    </row>
    <row r="53" spans="1:17" ht="24" x14ac:dyDescent="0.3">
      <c r="A53" s="203" t="s">
        <v>1135</v>
      </c>
      <c r="B53" s="170" t="s">
        <v>1136</v>
      </c>
      <c r="C53" s="178"/>
      <c r="D53" s="203" t="s">
        <v>1135</v>
      </c>
      <c r="E53" s="170" t="s">
        <v>1136</v>
      </c>
      <c r="G53" s="203" t="s">
        <v>1135</v>
      </c>
      <c r="H53" s="81" t="s">
        <v>1137</v>
      </c>
      <c r="I53" s="81"/>
      <c r="J53" s="81"/>
      <c r="K53" s="81"/>
      <c r="L53" s="81"/>
      <c r="M53" s="81"/>
      <c r="N53" s="81"/>
      <c r="O53" s="81"/>
      <c r="P53" s="81"/>
      <c r="Q53" s="81"/>
    </row>
    <row r="54" spans="1:17" ht="24" x14ac:dyDescent="0.3">
      <c r="A54" s="203" t="s">
        <v>1138</v>
      </c>
      <c r="B54" s="170" t="s">
        <v>1139</v>
      </c>
      <c r="C54" s="178"/>
      <c r="D54" s="203" t="s">
        <v>1138</v>
      </c>
      <c r="E54" s="170" t="s">
        <v>1139</v>
      </c>
      <c r="G54" s="203" t="s">
        <v>1138</v>
      </c>
      <c r="H54" s="81" t="s">
        <v>1140</v>
      </c>
      <c r="I54" s="81"/>
      <c r="J54" s="81"/>
      <c r="K54" s="81"/>
      <c r="L54" s="81"/>
      <c r="M54" s="81"/>
      <c r="N54" s="81"/>
      <c r="O54" s="81"/>
      <c r="P54" s="81"/>
      <c r="Q54" s="81"/>
    </row>
    <row r="55" spans="1:17" ht="120" x14ac:dyDescent="0.3">
      <c r="A55" s="203" t="s">
        <v>1141</v>
      </c>
      <c r="B55" s="170" t="s">
        <v>1137</v>
      </c>
      <c r="C55" s="178"/>
      <c r="D55" s="203" t="s">
        <v>1141</v>
      </c>
      <c r="E55" s="170" t="s">
        <v>1137</v>
      </c>
      <c r="G55" s="203" t="s">
        <v>1141</v>
      </c>
      <c r="H55" s="170" t="s">
        <v>1142</v>
      </c>
    </row>
    <row r="56" spans="1:17" ht="84" x14ac:dyDescent="0.3">
      <c r="A56" s="203" t="s">
        <v>1143</v>
      </c>
      <c r="B56" s="170" t="s">
        <v>1140</v>
      </c>
      <c r="C56" s="178"/>
      <c r="D56" s="203" t="s">
        <v>1143</v>
      </c>
      <c r="E56" s="170" t="s">
        <v>1140</v>
      </c>
      <c r="G56" s="203" t="s">
        <v>1143</v>
      </c>
      <c r="H56" s="170" t="s">
        <v>1144</v>
      </c>
    </row>
    <row r="57" spans="1:17" ht="132" x14ac:dyDescent="0.3">
      <c r="A57" s="203" t="s">
        <v>1145</v>
      </c>
      <c r="B57" s="170" t="s">
        <v>1146</v>
      </c>
      <c r="C57" s="178"/>
      <c r="D57" s="203" t="s">
        <v>1145</v>
      </c>
      <c r="E57" s="170" t="s">
        <v>1146</v>
      </c>
      <c r="G57" s="203" t="s">
        <v>1145</v>
      </c>
      <c r="H57" s="170" t="s">
        <v>1147</v>
      </c>
    </row>
    <row r="58" spans="1:17" ht="24" x14ac:dyDescent="0.3">
      <c r="A58" s="203" t="s">
        <v>1148</v>
      </c>
      <c r="B58" s="170" t="s">
        <v>1149</v>
      </c>
      <c r="C58" s="178"/>
      <c r="D58" s="203" t="s">
        <v>1148</v>
      </c>
      <c r="E58" s="170" t="s">
        <v>1150</v>
      </c>
      <c r="G58" s="203" t="s">
        <v>1148</v>
      </c>
      <c r="H58" s="170" t="s">
        <v>1151</v>
      </c>
    </row>
    <row r="59" spans="1:17" ht="12" x14ac:dyDescent="0.3">
      <c r="A59" s="203" t="s">
        <v>1152</v>
      </c>
      <c r="B59" s="170" t="s">
        <v>1153</v>
      </c>
      <c r="C59" s="178"/>
      <c r="D59" s="203" t="s">
        <v>1152</v>
      </c>
      <c r="E59" s="170" t="s">
        <v>1153</v>
      </c>
      <c r="G59" s="203" t="s">
        <v>1152</v>
      </c>
      <c r="H59" s="170" t="s">
        <v>1154</v>
      </c>
    </row>
    <row r="60" spans="1:17" ht="12" x14ac:dyDescent="0.3">
      <c r="A60" s="203" t="s">
        <v>1155</v>
      </c>
      <c r="B60" s="170" t="s">
        <v>1156</v>
      </c>
      <c r="C60" s="178"/>
      <c r="D60" s="203" t="s">
        <v>1155</v>
      </c>
      <c r="E60" s="170" t="s">
        <v>1156</v>
      </c>
      <c r="G60" s="203" t="s">
        <v>1155</v>
      </c>
      <c r="H60" s="170" t="s">
        <v>1157</v>
      </c>
    </row>
    <row r="61" spans="1:17" ht="24" x14ac:dyDescent="0.3">
      <c r="A61" s="203" t="s">
        <v>1158</v>
      </c>
      <c r="B61" s="170" t="s">
        <v>1159</v>
      </c>
      <c r="C61" s="178"/>
      <c r="D61" s="203" t="s">
        <v>1158</v>
      </c>
      <c r="E61" s="170" t="s">
        <v>1159</v>
      </c>
      <c r="G61" s="203" t="s">
        <v>1158</v>
      </c>
      <c r="H61" s="170" t="s">
        <v>1160</v>
      </c>
    </row>
    <row r="62" spans="1:17" ht="12" x14ac:dyDescent="0.3">
      <c r="A62" s="203" t="s">
        <v>1161</v>
      </c>
      <c r="B62" s="170" t="s">
        <v>1162</v>
      </c>
      <c r="C62" s="178"/>
      <c r="D62" s="203" t="s">
        <v>1161</v>
      </c>
      <c r="E62" s="170" t="s">
        <v>1162</v>
      </c>
      <c r="G62" s="203" t="s">
        <v>1161</v>
      </c>
      <c r="H62" s="170" t="s">
        <v>1163</v>
      </c>
    </row>
    <row r="63" spans="1:17" ht="72" x14ac:dyDescent="0.3">
      <c r="A63" s="203" t="s">
        <v>1164</v>
      </c>
      <c r="B63" s="170" t="s">
        <v>1165</v>
      </c>
      <c r="C63" s="178"/>
      <c r="D63" s="203" t="s">
        <v>1164</v>
      </c>
      <c r="E63" s="170" t="s">
        <v>1165</v>
      </c>
      <c r="G63" s="203" t="s">
        <v>1164</v>
      </c>
      <c r="H63" s="170" t="s">
        <v>1166</v>
      </c>
    </row>
    <row r="64" spans="1:17" ht="12" x14ac:dyDescent="0.3">
      <c r="A64" s="203" t="s">
        <v>1167</v>
      </c>
      <c r="B64" s="170" t="s">
        <v>1168</v>
      </c>
      <c r="C64" s="178"/>
      <c r="D64" s="203" t="s">
        <v>1167</v>
      </c>
      <c r="E64" s="170" t="s">
        <v>1168</v>
      </c>
      <c r="G64" s="203" t="s">
        <v>1167</v>
      </c>
      <c r="H64" s="170" t="s">
        <v>1169</v>
      </c>
    </row>
    <row r="65" spans="1:8" ht="60" x14ac:dyDescent="0.3">
      <c r="A65" s="203" t="s">
        <v>1170</v>
      </c>
      <c r="B65" s="170" t="s">
        <v>1171</v>
      </c>
      <c r="C65" s="178"/>
      <c r="D65" s="203" t="s">
        <v>1170</v>
      </c>
      <c r="E65" s="170" t="s">
        <v>1172</v>
      </c>
      <c r="G65" s="203" t="s">
        <v>1170</v>
      </c>
      <c r="H65" s="170" t="s">
        <v>1173</v>
      </c>
    </row>
    <row r="66" spans="1:8" ht="60" x14ac:dyDescent="0.3">
      <c r="A66" s="203" t="s">
        <v>1174</v>
      </c>
      <c r="B66" s="170" t="s">
        <v>1175</v>
      </c>
      <c r="C66" s="178"/>
      <c r="D66" s="203" t="s">
        <v>1174</v>
      </c>
      <c r="E66" s="170" t="s">
        <v>1176</v>
      </c>
      <c r="G66" s="203" t="s">
        <v>1174</v>
      </c>
      <c r="H66" s="170" t="s">
        <v>1177</v>
      </c>
    </row>
    <row r="67" spans="1:8" ht="36" x14ac:dyDescent="0.3">
      <c r="A67" s="203" t="s">
        <v>1178</v>
      </c>
      <c r="B67" s="170" t="s">
        <v>1179</v>
      </c>
      <c r="C67" s="178"/>
      <c r="D67" s="203" t="s">
        <v>1178</v>
      </c>
      <c r="E67" s="170" t="s">
        <v>1180</v>
      </c>
      <c r="G67" s="203" t="s">
        <v>1178</v>
      </c>
      <c r="H67" s="170" t="s">
        <v>1181</v>
      </c>
    </row>
    <row r="68" spans="1:8" ht="48" x14ac:dyDescent="0.3">
      <c r="A68" s="203" t="s">
        <v>1182</v>
      </c>
      <c r="B68" s="170" t="s">
        <v>1183</v>
      </c>
      <c r="C68" s="178"/>
      <c r="D68" s="203" t="s">
        <v>1182</v>
      </c>
      <c r="E68" s="170" t="s">
        <v>1183</v>
      </c>
      <c r="G68" s="203" t="s">
        <v>1182</v>
      </c>
      <c r="H68" s="170" t="s">
        <v>1184</v>
      </c>
    </row>
    <row r="69" spans="1:8" ht="24" x14ac:dyDescent="0.3">
      <c r="A69" s="203" t="s">
        <v>1185</v>
      </c>
      <c r="B69" s="170" t="s">
        <v>1186</v>
      </c>
      <c r="C69" s="178"/>
      <c r="D69" s="203" t="s">
        <v>1185</v>
      </c>
      <c r="E69" s="170" t="s">
        <v>1186</v>
      </c>
      <c r="G69" s="203" t="s">
        <v>1185</v>
      </c>
      <c r="H69" s="170" t="s">
        <v>1187</v>
      </c>
    </row>
    <row r="70" spans="1:8" ht="12" x14ac:dyDescent="0.3">
      <c r="A70" s="203" t="s">
        <v>1188</v>
      </c>
      <c r="B70" s="170" t="s">
        <v>1189</v>
      </c>
      <c r="C70" s="178"/>
      <c r="D70" s="203" t="s">
        <v>1188</v>
      </c>
      <c r="E70" s="170" t="s">
        <v>1189</v>
      </c>
      <c r="G70" s="203" t="s">
        <v>1188</v>
      </c>
      <c r="H70" s="170" t="s">
        <v>1149</v>
      </c>
    </row>
    <row r="71" spans="1:8" ht="48" x14ac:dyDescent="0.3">
      <c r="A71" s="203" t="s">
        <v>1190</v>
      </c>
      <c r="B71" s="170" t="s">
        <v>1191</v>
      </c>
      <c r="C71" s="178"/>
      <c r="D71" s="203" t="s">
        <v>1190</v>
      </c>
      <c r="E71" s="170" t="s">
        <v>1191</v>
      </c>
      <c r="G71" s="203" t="s">
        <v>1190</v>
      </c>
      <c r="H71" s="170" t="s">
        <v>1192</v>
      </c>
    </row>
    <row r="72" spans="1:8" ht="24" x14ac:dyDescent="0.3">
      <c r="A72" s="203" t="s">
        <v>1193</v>
      </c>
      <c r="B72" s="170" t="s">
        <v>1194</v>
      </c>
      <c r="C72" s="178"/>
      <c r="D72" s="203" t="s">
        <v>1193</v>
      </c>
      <c r="E72" s="170" t="s">
        <v>1195</v>
      </c>
      <c r="G72" s="203" t="s">
        <v>1193</v>
      </c>
      <c r="H72" s="170" t="s">
        <v>1196</v>
      </c>
    </row>
    <row r="73" spans="1:8" ht="36" x14ac:dyDescent="0.3">
      <c r="A73" s="203" t="s">
        <v>1197</v>
      </c>
      <c r="B73" s="170" t="s">
        <v>1198</v>
      </c>
      <c r="C73" s="178"/>
      <c r="D73" s="203" t="s">
        <v>1197</v>
      </c>
      <c r="E73" s="170" t="s">
        <v>1198</v>
      </c>
      <c r="G73" s="203" t="s">
        <v>1197</v>
      </c>
      <c r="H73" s="170" t="s">
        <v>1199</v>
      </c>
    </row>
    <row r="74" spans="1:8" ht="24" x14ac:dyDescent="0.3">
      <c r="A74" s="203" t="s">
        <v>1200</v>
      </c>
      <c r="B74" s="170" t="s">
        <v>1201</v>
      </c>
      <c r="C74" s="178"/>
      <c r="D74" s="203" t="s">
        <v>1200</v>
      </c>
      <c r="E74" s="170" t="s">
        <v>1201</v>
      </c>
      <c r="G74" s="203" t="s">
        <v>1200</v>
      </c>
      <c r="H74" s="170" t="s">
        <v>1202</v>
      </c>
    </row>
    <row r="75" spans="1:8" ht="72" x14ac:dyDescent="0.3">
      <c r="A75" s="203" t="s">
        <v>1203</v>
      </c>
      <c r="B75" s="170" t="s">
        <v>1204</v>
      </c>
      <c r="C75" s="178"/>
      <c r="D75" s="203" t="s">
        <v>1203</v>
      </c>
      <c r="E75" s="170" t="s">
        <v>1204</v>
      </c>
      <c r="G75" s="203" t="s">
        <v>1203</v>
      </c>
      <c r="H75" s="170" t="s">
        <v>1205</v>
      </c>
    </row>
    <row r="76" spans="1:8" ht="60" x14ac:dyDescent="0.3">
      <c r="A76" s="203" t="s">
        <v>1206</v>
      </c>
      <c r="B76" s="170" t="s">
        <v>1207</v>
      </c>
      <c r="C76" s="178"/>
      <c r="D76" s="203" t="s">
        <v>1206</v>
      </c>
      <c r="E76" s="170" t="s">
        <v>1207</v>
      </c>
      <c r="G76" s="203" t="s">
        <v>1206</v>
      </c>
      <c r="H76" s="170" t="s">
        <v>1208</v>
      </c>
    </row>
    <row r="77" spans="1:8" ht="24" x14ac:dyDescent="0.3">
      <c r="A77" s="203" t="s">
        <v>1209</v>
      </c>
      <c r="B77" s="170" t="s">
        <v>1210</v>
      </c>
      <c r="C77" s="178"/>
      <c r="D77" s="203" t="s">
        <v>1209</v>
      </c>
      <c r="E77" s="170" t="s">
        <v>1210</v>
      </c>
      <c r="G77" s="203" t="s">
        <v>1209</v>
      </c>
      <c r="H77" s="170" t="s">
        <v>1211</v>
      </c>
    </row>
    <row r="78" spans="1:8" ht="48" x14ac:dyDescent="0.3">
      <c r="A78" s="203" t="s">
        <v>158</v>
      </c>
      <c r="B78" s="199" t="s">
        <v>1075</v>
      </c>
      <c r="D78" s="203" t="s">
        <v>158</v>
      </c>
      <c r="E78" s="199" t="s">
        <v>1075</v>
      </c>
      <c r="G78" s="203" t="s">
        <v>1212</v>
      </c>
      <c r="H78" s="170" t="s">
        <v>1213</v>
      </c>
    </row>
    <row r="79" spans="1:8" ht="24" x14ac:dyDescent="0.3">
      <c r="A79" s="203" t="s">
        <v>158</v>
      </c>
      <c r="B79" s="199" t="s">
        <v>1075</v>
      </c>
      <c r="D79" s="203" t="s">
        <v>158</v>
      </c>
      <c r="E79" s="199" t="s">
        <v>1075</v>
      </c>
      <c r="G79" s="203" t="s">
        <v>1214</v>
      </c>
      <c r="H79" s="170" t="s">
        <v>1186</v>
      </c>
    </row>
    <row r="80" spans="1:8" ht="12" x14ac:dyDescent="0.3">
      <c r="A80" s="203" t="s">
        <v>158</v>
      </c>
      <c r="B80" s="199" t="s">
        <v>1075</v>
      </c>
      <c r="D80" s="203" t="s">
        <v>158</v>
      </c>
      <c r="E80" s="199" t="s">
        <v>1075</v>
      </c>
      <c r="G80" s="203" t="s">
        <v>1215</v>
      </c>
      <c r="H80" s="170" t="s">
        <v>1216</v>
      </c>
    </row>
    <row r="81" spans="1:8" ht="36" x14ac:dyDescent="0.3">
      <c r="A81" s="203" t="s">
        <v>158</v>
      </c>
      <c r="B81" s="199" t="s">
        <v>1075</v>
      </c>
      <c r="D81" s="203" t="s">
        <v>158</v>
      </c>
      <c r="E81" s="199" t="s">
        <v>1075</v>
      </c>
      <c r="G81" s="203" t="s">
        <v>1217</v>
      </c>
      <c r="H81" s="170" t="s">
        <v>1191</v>
      </c>
    </row>
    <row r="82" spans="1:8" ht="12" x14ac:dyDescent="0.3">
      <c r="A82" s="203" t="s">
        <v>158</v>
      </c>
      <c r="B82" s="199" t="s">
        <v>1075</v>
      </c>
      <c r="D82" s="203" t="s">
        <v>158</v>
      </c>
      <c r="E82" s="199" t="s">
        <v>1075</v>
      </c>
      <c r="G82" s="203" t="s">
        <v>1218</v>
      </c>
      <c r="H82" s="170" t="s">
        <v>1219</v>
      </c>
    </row>
    <row r="83" spans="1:8" ht="24" x14ac:dyDescent="0.3">
      <c r="A83" s="203" t="s">
        <v>158</v>
      </c>
      <c r="B83" s="199" t="s">
        <v>1075</v>
      </c>
      <c r="D83" s="203" t="s">
        <v>158</v>
      </c>
      <c r="E83" s="199" t="s">
        <v>1075</v>
      </c>
      <c r="G83" s="203" t="s">
        <v>1220</v>
      </c>
      <c r="H83" s="170" t="s">
        <v>1221</v>
      </c>
    </row>
    <row r="84" spans="1:8" ht="12" x14ac:dyDescent="0.3">
      <c r="A84" s="203" t="s">
        <v>158</v>
      </c>
      <c r="B84" s="199" t="s">
        <v>1075</v>
      </c>
      <c r="D84" s="203" t="s">
        <v>158</v>
      </c>
      <c r="E84" s="199" t="s">
        <v>1075</v>
      </c>
      <c r="G84" s="203" t="s">
        <v>1222</v>
      </c>
      <c r="H84" s="170" t="s">
        <v>1198</v>
      </c>
    </row>
    <row r="85" spans="1:8" ht="12" x14ac:dyDescent="0.3">
      <c r="A85" s="203" t="s">
        <v>158</v>
      </c>
      <c r="B85" s="199" t="s">
        <v>1075</v>
      </c>
      <c r="D85" s="203" t="s">
        <v>158</v>
      </c>
      <c r="E85" s="199" t="s">
        <v>1075</v>
      </c>
      <c r="G85" s="203" t="s">
        <v>1223</v>
      </c>
      <c r="H85" s="170" t="s">
        <v>1224</v>
      </c>
    </row>
    <row r="86" spans="1:8" ht="24" x14ac:dyDescent="0.3">
      <c r="A86" s="203" t="s">
        <v>158</v>
      </c>
      <c r="B86" s="199" t="s">
        <v>1075</v>
      </c>
      <c r="D86" s="203" t="s">
        <v>158</v>
      </c>
      <c r="E86" s="199" t="s">
        <v>1075</v>
      </c>
      <c r="G86" s="203" t="s">
        <v>1225</v>
      </c>
      <c r="H86" s="170" t="s">
        <v>1204</v>
      </c>
    </row>
    <row r="87" spans="1:8" ht="24" x14ac:dyDescent="0.3">
      <c r="A87" s="203" t="s">
        <v>158</v>
      </c>
      <c r="B87" s="199" t="s">
        <v>1075</v>
      </c>
      <c r="D87" s="203" t="s">
        <v>158</v>
      </c>
      <c r="E87" s="199" t="s">
        <v>1075</v>
      </c>
      <c r="G87" s="203" t="s">
        <v>1226</v>
      </c>
      <c r="H87" s="170" t="s">
        <v>1207</v>
      </c>
    </row>
    <row r="88" spans="1:8" ht="24" x14ac:dyDescent="0.3">
      <c r="A88" s="203" t="s">
        <v>158</v>
      </c>
      <c r="B88" s="199" t="s">
        <v>1075</v>
      </c>
      <c r="D88" s="203" t="s">
        <v>158</v>
      </c>
      <c r="E88" s="199" t="s">
        <v>1075</v>
      </c>
      <c r="G88" s="203" t="s">
        <v>1227</v>
      </c>
      <c r="H88" s="170" t="s">
        <v>1210</v>
      </c>
    </row>
    <row r="89" spans="1:8" x14ac:dyDescent="0.3">
      <c r="D89" s="203"/>
      <c r="G89" s="203"/>
      <c r="H89" s="173"/>
    </row>
    <row r="90" spans="1:8" s="213" customFormat="1" x14ac:dyDescent="0.3">
      <c r="B90" s="190" t="s">
        <v>1228</v>
      </c>
      <c r="C90" s="81"/>
      <c r="E90" s="187" t="s">
        <v>1228</v>
      </c>
      <c r="H90" s="201" t="s">
        <v>1228</v>
      </c>
    </row>
    <row r="91" spans="1:8" ht="24" x14ac:dyDescent="0.3">
      <c r="A91" s="203" t="s">
        <v>1229</v>
      </c>
      <c r="B91" s="170" t="s">
        <v>1230</v>
      </c>
      <c r="C91" s="178"/>
      <c r="D91" s="203" t="s">
        <v>1229</v>
      </c>
      <c r="E91" s="170" t="s">
        <v>1231</v>
      </c>
      <c r="G91" s="203" t="s">
        <v>1229</v>
      </c>
      <c r="H91" s="170" t="s">
        <v>1230</v>
      </c>
    </row>
    <row r="92" spans="1:8" ht="12" x14ac:dyDescent="0.3">
      <c r="A92" s="203" t="s">
        <v>1232</v>
      </c>
      <c r="B92" s="170" t="s">
        <v>1233</v>
      </c>
      <c r="C92" s="178"/>
      <c r="D92" s="203" t="s">
        <v>1232</v>
      </c>
      <c r="E92" s="170" t="s">
        <v>1233</v>
      </c>
      <c r="G92" s="203" t="s">
        <v>1232</v>
      </c>
      <c r="H92" s="170" t="s">
        <v>1233</v>
      </c>
    </row>
    <row r="93" spans="1:8" ht="12" x14ac:dyDescent="0.3">
      <c r="A93" s="203" t="s">
        <v>1234</v>
      </c>
      <c r="B93" s="170" t="s">
        <v>1235</v>
      </c>
      <c r="C93" s="178"/>
      <c r="D93" s="203" t="s">
        <v>1234</v>
      </c>
      <c r="E93" s="170" t="s">
        <v>1235</v>
      </c>
      <c r="G93" s="203" t="s">
        <v>1234</v>
      </c>
      <c r="H93" s="170" t="s">
        <v>1235</v>
      </c>
    </row>
    <row r="94" spans="1:8" ht="24" x14ac:dyDescent="0.3">
      <c r="A94" s="203" t="s">
        <v>1236</v>
      </c>
      <c r="B94" s="170" t="s">
        <v>1237</v>
      </c>
      <c r="C94" s="178"/>
      <c r="D94" s="203" t="s">
        <v>1236</v>
      </c>
      <c r="E94" s="170" t="s">
        <v>1237</v>
      </c>
      <c r="G94" s="203" t="s">
        <v>1236</v>
      </c>
      <c r="H94" s="170" t="s">
        <v>1237</v>
      </c>
    </row>
    <row r="95" spans="1:8" ht="36" x14ac:dyDescent="0.3">
      <c r="A95" s="203" t="s">
        <v>1238</v>
      </c>
      <c r="B95" s="170" t="s">
        <v>1239</v>
      </c>
      <c r="C95" s="178"/>
      <c r="D95" s="203" t="s">
        <v>1238</v>
      </c>
      <c r="E95" s="170" t="s">
        <v>1239</v>
      </c>
      <c r="G95" s="203" t="s">
        <v>1238</v>
      </c>
      <c r="H95" s="170" t="s">
        <v>1240</v>
      </c>
    </row>
    <row r="96" spans="1:8" ht="36" x14ac:dyDescent="0.3">
      <c r="A96" s="203" t="s">
        <v>1241</v>
      </c>
      <c r="B96" s="170" t="s">
        <v>1242</v>
      </c>
      <c r="C96" s="178"/>
      <c r="D96" s="203" t="s">
        <v>1241</v>
      </c>
      <c r="E96" s="170" t="s">
        <v>1242</v>
      </c>
      <c r="G96" s="203" t="s">
        <v>1241</v>
      </c>
      <c r="H96" s="170" t="s">
        <v>1243</v>
      </c>
    </row>
    <row r="97" spans="1:8" ht="36" x14ac:dyDescent="0.3">
      <c r="A97" s="203" t="s">
        <v>1244</v>
      </c>
      <c r="B97" s="170" t="s">
        <v>1243</v>
      </c>
      <c r="C97" s="178"/>
      <c r="D97" s="203" t="s">
        <v>1244</v>
      </c>
      <c r="E97" s="170" t="s">
        <v>1243</v>
      </c>
      <c r="G97" s="203" t="s">
        <v>1244</v>
      </c>
      <c r="H97" s="170" t="s">
        <v>1245</v>
      </c>
    </row>
    <row r="98" spans="1:8" ht="36" x14ac:dyDescent="0.3">
      <c r="A98" s="203" t="s">
        <v>1246</v>
      </c>
      <c r="B98" s="170" t="s">
        <v>1247</v>
      </c>
      <c r="C98" s="178"/>
      <c r="D98" s="203" t="s">
        <v>1246</v>
      </c>
      <c r="E98" s="170" t="s">
        <v>1247</v>
      </c>
      <c r="G98" s="203" t="s">
        <v>1246</v>
      </c>
      <c r="H98" s="170" t="s">
        <v>1248</v>
      </c>
    </row>
    <row r="99" spans="1:8" ht="48" x14ac:dyDescent="0.3">
      <c r="A99" s="203" t="s">
        <v>1249</v>
      </c>
      <c r="B99" s="170" t="s">
        <v>1250</v>
      </c>
      <c r="C99" s="178"/>
      <c r="D99" s="203" t="s">
        <v>1249</v>
      </c>
      <c r="E99" s="179" t="s">
        <v>1251</v>
      </c>
      <c r="G99" s="203" t="s">
        <v>1249</v>
      </c>
      <c r="H99" s="179" t="s">
        <v>1252</v>
      </c>
    </row>
    <row r="100" spans="1:8" ht="24" x14ac:dyDescent="0.3">
      <c r="A100" s="203" t="s">
        <v>1253</v>
      </c>
      <c r="B100" s="170" t="s">
        <v>999</v>
      </c>
      <c r="C100" s="178"/>
      <c r="D100" s="203" t="s">
        <v>1253</v>
      </c>
      <c r="E100" s="170" t="s">
        <v>1254</v>
      </c>
      <c r="G100" s="203" t="s">
        <v>158</v>
      </c>
      <c r="H100" s="212" t="s">
        <v>1075</v>
      </c>
    </row>
    <row r="101" spans="1:8" ht="12" x14ac:dyDescent="0.3">
      <c r="A101" s="203" t="s">
        <v>1255</v>
      </c>
      <c r="B101" s="170" t="s">
        <v>1256</v>
      </c>
      <c r="C101" s="178"/>
      <c r="D101" s="203" t="s">
        <v>1255</v>
      </c>
      <c r="E101" s="170" t="s">
        <v>1256</v>
      </c>
      <c r="G101" s="203" t="s">
        <v>158</v>
      </c>
      <c r="H101" s="212" t="s">
        <v>1075</v>
      </c>
    </row>
    <row r="102" spans="1:8" ht="12" x14ac:dyDescent="0.3">
      <c r="A102" s="203" t="s">
        <v>1257</v>
      </c>
      <c r="B102" s="170" t="s">
        <v>1258</v>
      </c>
      <c r="C102" s="178"/>
      <c r="D102" s="203" t="s">
        <v>1257</v>
      </c>
      <c r="E102" s="170" t="s">
        <v>1258</v>
      </c>
      <c r="G102" s="203" t="s">
        <v>158</v>
      </c>
      <c r="H102" s="212" t="s">
        <v>1075</v>
      </c>
    </row>
    <row r="103" spans="1:8" ht="12" x14ac:dyDescent="0.3">
      <c r="A103" s="203" t="s">
        <v>1259</v>
      </c>
      <c r="B103" s="170" t="s">
        <v>1260</v>
      </c>
      <c r="C103" s="178"/>
      <c r="D103" s="203" t="s">
        <v>1259</v>
      </c>
      <c r="E103" s="170" t="s">
        <v>1260</v>
      </c>
      <c r="G103" s="203" t="s">
        <v>158</v>
      </c>
      <c r="H103" s="212" t="s">
        <v>1075</v>
      </c>
    </row>
    <row r="104" spans="1:8" x14ac:dyDescent="0.3">
      <c r="D104" s="203"/>
      <c r="G104" s="203"/>
      <c r="H104" s="173"/>
    </row>
    <row r="105" spans="1:8" s="213" customFormat="1" x14ac:dyDescent="0.3">
      <c r="B105" s="190" t="s">
        <v>1261</v>
      </c>
      <c r="C105" s="81"/>
      <c r="E105" s="187" t="s">
        <v>1261</v>
      </c>
      <c r="H105" s="201" t="s">
        <v>1261</v>
      </c>
    </row>
    <row r="106" spans="1:8" ht="12" x14ac:dyDescent="0.3">
      <c r="A106" s="203" t="s">
        <v>1262</v>
      </c>
      <c r="B106" s="170" t="s">
        <v>1263</v>
      </c>
      <c r="C106" s="178"/>
      <c r="D106" s="203" t="s">
        <v>1262</v>
      </c>
      <c r="E106" s="170" t="s">
        <v>1264</v>
      </c>
      <c r="G106" s="203" t="s">
        <v>1262</v>
      </c>
      <c r="H106" s="170" t="s">
        <v>1263</v>
      </c>
    </row>
    <row r="107" spans="1:8" ht="12" x14ac:dyDescent="0.3">
      <c r="A107" s="203" t="s">
        <v>1265</v>
      </c>
      <c r="B107" s="170" t="s">
        <v>1266</v>
      </c>
      <c r="C107" s="178"/>
      <c r="D107" s="203" t="s">
        <v>1265</v>
      </c>
      <c r="E107" s="170" t="s">
        <v>1266</v>
      </c>
      <c r="G107" s="203" t="s">
        <v>1265</v>
      </c>
      <c r="H107" s="170" t="s">
        <v>1266</v>
      </c>
    </row>
    <row r="108" spans="1:8" ht="12" x14ac:dyDescent="0.3">
      <c r="A108" s="203" t="s">
        <v>1267</v>
      </c>
      <c r="B108" s="170" t="s">
        <v>1268</v>
      </c>
      <c r="C108" s="178"/>
      <c r="D108" s="203" t="s">
        <v>1267</v>
      </c>
      <c r="E108" s="170" t="s">
        <v>1268</v>
      </c>
      <c r="G108" s="203" t="s">
        <v>1267</v>
      </c>
      <c r="H108" s="170" t="s">
        <v>1268</v>
      </c>
    </row>
    <row r="109" spans="1:8" ht="24" x14ac:dyDescent="0.25">
      <c r="A109" s="203" t="s">
        <v>1269</v>
      </c>
      <c r="B109" s="170" t="s">
        <v>1270</v>
      </c>
      <c r="C109" s="178"/>
      <c r="D109" s="203" t="s">
        <v>1269</v>
      </c>
      <c r="E109" s="170" t="s">
        <v>1270</v>
      </c>
      <c r="G109" s="203" t="s">
        <v>158</v>
      </c>
      <c r="H109" s="216" t="s">
        <v>1271</v>
      </c>
    </row>
    <row r="110" spans="1:8" ht="60" x14ac:dyDescent="0.3">
      <c r="A110" s="203" t="s">
        <v>1272</v>
      </c>
      <c r="B110" s="170" t="s">
        <v>1273</v>
      </c>
      <c r="C110" s="178"/>
      <c r="D110" s="203" t="s">
        <v>1272</v>
      </c>
      <c r="E110" s="170" t="s">
        <v>1273</v>
      </c>
      <c r="G110" s="203" t="s">
        <v>1274</v>
      </c>
      <c r="H110" s="170" t="s">
        <v>1275</v>
      </c>
    </row>
    <row r="111" spans="1:8" ht="24" x14ac:dyDescent="0.3">
      <c r="A111" s="203" t="s">
        <v>1276</v>
      </c>
      <c r="B111" s="170" t="s">
        <v>1277</v>
      </c>
      <c r="C111" s="178"/>
      <c r="D111" s="203" t="s">
        <v>1276</v>
      </c>
      <c r="E111" s="170" t="s">
        <v>1277</v>
      </c>
      <c r="G111" s="203" t="s">
        <v>1278</v>
      </c>
      <c r="H111" s="170" t="s">
        <v>1279</v>
      </c>
    </row>
    <row r="112" spans="1:8" ht="60" x14ac:dyDescent="0.3">
      <c r="A112" s="203" t="s">
        <v>1280</v>
      </c>
      <c r="B112" s="170" t="s">
        <v>1281</v>
      </c>
      <c r="C112" s="178"/>
      <c r="D112" s="203" t="s">
        <v>1280</v>
      </c>
      <c r="E112" s="170" t="s">
        <v>1281</v>
      </c>
      <c r="G112" s="203" t="s">
        <v>1282</v>
      </c>
      <c r="H112" s="170" t="s">
        <v>1283</v>
      </c>
    </row>
    <row r="113" spans="1:8" ht="36" x14ac:dyDescent="0.3">
      <c r="A113" s="203" t="s">
        <v>1284</v>
      </c>
      <c r="B113" s="170" t="s">
        <v>1285</v>
      </c>
      <c r="C113" s="178"/>
      <c r="D113" s="203" t="s">
        <v>1284</v>
      </c>
      <c r="E113" s="170" t="s">
        <v>1285</v>
      </c>
      <c r="G113" s="203" t="s">
        <v>1286</v>
      </c>
      <c r="H113" s="170" t="s">
        <v>1287</v>
      </c>
    </row>
    <row r="114" spans="1:8" ht="48" x14ac:dyDescent="0.3">
      <c r="A114" s="203" t="s">
        <v>1288</v>
      </c>
      <c r="B114" s="170" t="s">
        <v>1289</v>
      </c>
      <c r="C114" s="178"/>
      <c r="D114" s="203" t="s">
        <v>1288</v>
      </c>
      <c r="E114" s="170" t="s">
        <v>1289</v>
      </c>
      <c r="G114" s="203" t="s">
        <v>1290</v>
      </c>
      <c r="H114" s="170" t="s">
        <v>1291</v>
      </c>
    </row>
    <row r="115" spans="1:8" ht="24" x14ac:dyDescent="0.3">
      <c r="A115" s="203" t="s">
        <v>1292</v>
      </c>
      <c r="B115" s="170" t="s">
        <v>1293</v>
      </c>
      <c r="C115" s="178"/>
      <c r="D115" s="203" t="s">
        <v>1292</v>
      </c>
      <c r="E115" s="170" t="s">
        <v>1293</v>
      </c>
      <c r="G115" s="203" t="s">
        <v>1294</v>
      </c>
      <c r="H115" s="170" t="s">
        <v>1295</v>
      </c>
    </row>
    <row r="116" spans="1:8" ht="36" x14ac:dyDescent="0.3">
      <c r="A116" s="203" t="s">
        <v>1296</v>
      </c>
      <c r="B116" s="170" t="s">
        <v>1297</v>
      </c>
      <c r="C116" s="178"/>
      <c r="D116" s="203" t="s">
        <v>1296</v>
      </c>
      <c r="E116" s="170" t="s">
        <v>1297</v>
      </c>
      <c r="G116" s="203" t="s">
        <v>1298</v>
      </c>
      <c r="H116" s="170" t="s">
        <v>1299</v>
      </c>
    </row>
    <row r="117" spans="1:8" ht="12" x14ac:dyDescent="0.3">
      <c r="A117" s="203" t="s">
        <v>1300</v>
      </c>
      <c r="B117" s="170" t="s">
        <v>1301</v>
      </c>
      <c r="C117" s="178"/>
      <c r="D117" s="203" t="s">
        <v>1300</v>
      </c>
      <c r="E117" s="170" t="s">
        <v>1301</v>
      </c>
      <c r="G117" s="203" t="s">
        <v>158</v>
      </c>
      <c r="H117" s="212" t="s">
        <v>1075</v>
      </c>
    </row>
    <row r="118" spans="1:8" ht="12" x14ac:dyDescent="0.3">
      <c r="A118" s="203" t="s">
        <v>1302</v>
      </c>
      <c r="B118" s="170" t="s">
        <v>1303</v>
      </c>
      <c r="C118" s="178"/>
      <c r="D118" s="203" t="s">
        <v>1302</v>
      </c>
      <c r="E118" s="170" t="s">
        <v>1303</v>
      </c>
      <c r="G118" s="203" t="s">
        <v>158</v>
      </c>
      <c r="H118" s="212" t="s">
        <v>1075</v>
      </c>
    </row>
    <row r="119" spans="1:8" ht="24" x14ac:dyDescent="0.3">
      <c r="A119" s="203" t="s">
        <v>1304</v>
      </c>
      <c r="B119" s="170" t="s">
        <v>1305</v>
      </c>
      <c r="C119" s="178"/>
      <c r="D119" s="203" t="s">
        <v>1304</v>
      </c>
      <c r="E119" s="170" t="s">
        <v>1305</v>
      </c>
      <c r="G119" s="203" t="s">
        <v>158</v>
      </c>
      <c r="H119" s="212" t="s">
        <v>1075</v>
      </c>
    </row>
    <row r="120" spans="1:8" ht="12" x14ac:dyDescent="0.3">
      <c r="A120" s="203" t="s">
        <v>1306</v>
      </c>
      <c r="B120" s="170" t="s">
        <v>1307</v>
      </c>
      <c r="C120" s="178"/>
      <c r="D120" s="203" t="s">
        <v>1306</v>
      </c>
      <c r="E120" s="170" t="s">
        <v>1307</v>
      </c>
      <c r="G120" s="203" t="s">
        <v>158</v>
      </c>
      <c r="H120" s="212" t="s">
        <v>1075</v>
      </c>
    </row>
    <row r="121" spans="1:8" ht="24" x14ac:dyDescent="0.3">
      <c r="A121" s="203" t="s">
        <v>1308</v>
      </c>
      <c r="B121" s="170" t="s">
        <v>1309</v>
      </c>
      <c r="C121" s="178"/>
      <c r="D121" s="203" t="s">
        <v>1308</v>
      </c>
      <c r="E121" s="170" t="s">
        <v>1310</v>
      </c>
      <c r="G121" s="203" t="s">
        <v>158</v>
      </c>
      <c r="H121" s="212" t="s">
        <v>1075</v>
      </c>
    </row>
    <row r="122" spans="1:8" x14ac:dyDescent="0.3">
      <c r="D122" s="203"/>
      <c r="G122" s="203"/>
      <c r="H122" s="173"/>
    </row>
    <row r="123" spans="1:8" s="213" customFormat="1" x14ac:dyDescent="0.3">
      <c r="B123" s="190" t="s">
        <v>1311</v>
      </c>
      <c r="C123" s="81"/>
      <c r="E123" s="187" t="s">
        <v>1311</v>
      </c>
      <c r="H123" s="201" t="s">
        <v>1311</v>
      </c>
    </row>
    <row r="124" spans="1:8" ht="36" x14ac:dyDescent="0.3">
      <c r="A124" s="203" t="s">
        <v>1312</v>
      </c>
      <c r="B124" s="170" t="s">
        <v>1313</v>
      </c>
      <c r="C124" s="178"/>
      <c r="D124" s="203" t="s">
        <v>1312</v>
      </c>
      <c r="E124" s="170" t="s">
        <v>1314</v>
      </c>
      <c r="G124" s="203" t="s">
        <v>1312</v>
      </c>
      <c r="H124" s="170" t="s">
        <v>1315</v>
      </c>
    </row>
    <row r="125" spans="1:8" ht="24" x14ac:dyDescent="0.3">
      <c r="A125" s="203" t="s">
        <v>1316</v>
      </c>
      <c r="B125" s="170" t="s">
        <v>1317</v>
      </c>
      <c r="C125" s="178"/>
      <c r="D125" s="203" t="s">
        <v>1316</v>
      </c>
      <c r="E125" s="170" t="s">
        <v>1317</v>
      </c>
      <c r="G125" s="203" t="s">
        <v>1316</v>
      </c>
      <c r="H125" s="170" t="s">
        <v>1318</v>
      </c>
    </row>
    <row r="126" spans="1:8" ht="24" x14ac:dyDescent="0.3">
      <c r="A126" s="203" t="s">
        <v>1319</v>
      </c>
      <c r="B126" s="170" t="s">
        <v>1320</v>
      </c>
      <c r="C126" s="178"/>
      <c r="D126" s="203" t="s">
        <v>1319</v>
      </c>
      <c r="E126" s="170" t="s">
        <v>1320</v>
      </c>
      <c r="G126" s="203" t="s">
        <v>1319</v>
      </c>
      <c r="H126" s="170" t="s">
        <v>1321</v>
      </c>
    </row>
    <row r="127" spans="1:8" ht="24" x14ac:dyDescent="0.3">
      <c r="A127" s="203" t="s">
        <v>1322</v>
      </c>
      <c r="B127" s="170" t="s">
        <v>1323</v>
      </c>
      <c r="C127" s="178"/>
      <c r="D127" s="203" t="s">
        <v>1322</v>
      </c>
      <c r="E127" s="170" t="s">
        <v>1323</v>
      </c>
      <c r="G127" s="203" t="s">
        <v>1322</v>
      </c>
      <c r="H127" s="170" t="s">
        <v>1324</v>
      </c>
    </row>
    <row r="128" spans="1:8" ht="12" x14ac:dyDescent="0.3">
      <c r="A128" s="203" t="s">
        <v>1325</v>
      </c>
      <c r="B128" s="170" t="s">
        <v>1326</v>
      </c>
      <c r="C128" s="178"/>
      <c r="D128" s="203" t="s">
        <v>1325</v>
      </c>
      <c r="E128" s="170" t="s">
        <v>1326</v>
      </c>
      <c r="G128" s="203" t="s">
        <v>1325</v>
      </c>
      <c r="H128" s="170" t="s">
        <v>1327</v>
      </c>
    </row>
    <row r="129" spans="1:8" ht="24" x14ac:dyDescent="0.3">
      <c r="A129" s="203" t="s">
        <v>1328</v>
      </c>
      <c r="B129" s="170" t="s">
        <v>1329</v>
      </c>
      <c r="C129" s="178"/>
      <c r="D129" s="203" t="s">
        <v>1328</v>
      </c>
      <c r="E129" s="170" t="s">
        <v>1329</v>
      </c>
      <c r="G129" s="203" t="s">
        <v>1328</v>
      </c>
      <c r="H129" s="170" t="s">
        <v>1326</v>
      </c>
    </row>
    <row r="130" spans="1:8" ht="12" x14ac:dyDescent="0.3">
      <c r="A130" s="203" t="s">
        <v>1330</v>
      </c>
      <c r="B130" s="170" t="s">
        <v>1331</v>
      </c>
      <c r="C130" s="178"/>
      <c r="D130" s="203" t="s">
        <v>1330</v>
      </c>
      <c r="E130" s="170" t="s">
        <v>1331</v>
      </c>
      <c r="G130" s="203" t="s">
        <v>1330</v>
      </c>
      <c r="H130" s="170" t="s">
        <v>1332</v>
      </c>
    </row>
    <row r="131" spans="1:8" ht="12" x14ac:dyDescent="0.3">
      <c r="A131" s="203" t="s">
        <v>1333</v>
      </c>
      <c r="B131" s="170" t="s">
        <v>1334</v>
      </c>
      <c r="C131" s="178"/>
      <c r="D131" s="203" t="s">
        <v>1333</v>
      </c>
      <c r="E131" s="170" t="s">
        <v>1334</v>
      </c>
      <c r="G131" s="203" t="s">
        <v>1333</v>
      </c>
      <c r="H131" s="170" t="s">
        <v>1335</v>
      </c>
    </row>
    <row r="132" spans="1:8" ht="12" x14ac:dyDescent="0.3">
      <c r="A132" s="203" t="s">
        <v>158</v>
      </c>
      <c r="B132" s="212" t="s">
        <v>1075</v>
      </c>
      <c r="C132" s="178"/>
      <c r="D132" s="203" t="s">
        <v>158</v>
      </c>
      <c r="E132" s="212" t="s">
        <v>1075</v>
      </c>
      <c r="G132" s="203" t="s">
        <v>1336</v>
      </c>
      <c r="H132" s="170" t="s">
        <v>1337</v>
      </c>
    </row>
    <row r="133" spans="1:8" ht="12" x14ac:dyDescent="0.3">
      <c r="A133" s="203" t="s">
        <v>158</v>
      </c>
      <c r="B133" s="212" t="s">
        <v>1075</v>
      </c>
      <c r="C133" s="178"/>
      <c r="D133" s="203" t="s">
        <v>158</v>
      </c>
      <c r="E133" s="212" t="s">
        <v>1075</v>
      </c>
      <c r="G133" s="203" t="s">
        <v>1338</v>
      </c>
      <c r="H133" s="170" t="s">
        <v>1339</v>
      </c>
    </row>
    <row r="134" spans="1:8" x14ac:dyDescent="0.3">
      <c r="D134" s="203"/>
      <c r="G134" s="203"/>
      <c r="H134" s="173"/>
    </row>
    <row r="135" spans="1:8" s="213" customFormat="1" x14ac:dyDescent="0.3">
      <c r="B135" s="190" t="s">
        <v>1340</v>
      </c>
      <c r="C135" s="81"/>
      <c r="E135" s="187" t="s">
        <v>1340</v>
      </c>
      <c r="H135" s="201" t="s">
        <v>1340</v>
      </c>
    </row>
    <row r="136" spans="1:8" ht="12" x14ac:dyDescent="0.3">
      <c r="A136" s="203" t="s">
        <v>1341</v>
      </c>
      <c r="B136" s="170" t="s">
        <v>1342</v>
      </c>
      <c r="C136" s="178"/>
      <c r="D136" s="203" t="s">
        <v>1341</v>
      </c>
      <c r="E136" s="170" t="s">
        <v>1343</v>
      </c>
      <c r="G136" s="203" t="s">
        <v>158</v>
      </c>
      <c r="H136" s="212" t="s">
        <v>1075</v>
      </c>
    </row>
    <row r="137" spans="1:8" ht="12" x14ac:dyDescent="0.3">
      <c r="A137" s="203" t="s">
        <v>1344</v>
      </c>
      <c r="B137" s="170" t="s">
        <v>1345</v>
      </c>
      <c r="C137" s="178"/>
      <c r="D137" s="203" t="s">
        <v>1344</v>
      </c>
      <c r="E137" s="170" t="s">
        <v>1345</v>
      </c>
      <c r="G137" s="203" t="s">
        <v>158</v>
      </c>
      <c r="H137" s="212" t="s">
        <v>1075</v>
      </c>
    </row>
    <row r="138" spans="1:8" ht="12" x14ac:dyDescent="0.3">
      <c r="A138" s="203" t="s">
        <v>1346</v>
      </c>
      <c r="B138" s="170" t="s">
        <v>1347</v>
      </c>
      <c r="C138" s="178"/>
      <c r="D138" s="203" t="s">
        <v>1346</v>
      </c>
      <c r="E138" s="170" t="s">
        <v>1347</v>
      </c>
      <c r="G138" s="203" t="s">
        <v>158</v>
      </c>
      <c r="H138" s="212" t="s">
        <v>1075</v>
      </c>
    </row>
    <row r="139" spans="1:8" ht="24" x14ac:dyDescent="0.3">
      <c r="A139" s="203" t="s">
        <v>1348</v>
      </c>
      <c r="B139" s="170" t="s">
        <v>1349</v>
      </c>
      <c r="C139" s="178"/>
      <c r="D139" s="203" t="s">
        <v>1348</v>
      </c>
      <c r="E139" s="170" t="s">
        <v>1350</v>
      </c>
      <c r="G139" s="203" t="s">
        <v>158</v>
      </c>
      <c r="H139" s="212" t="s">
        <v>1075</v>
      </c>
    </row>
    <row r="140" spans="1:8" ht="60" x14ac:dyDescent="0.3">
      <c r="A140" s="203" t="s">
        <v>1351</v>
      </c>
      <c r="B140" s="170" t="s">
        <v>1352</v>
      </c>
      <c r="C140" s="178"/>
      <c r="D140" s="203" t="s">
        <v>1351</v>
      </c>
      <c r="E140" s="170" t="s">
        <v>1353</v>
      </c>
      <c r="G140" s="203" t="s">
        <v>158</v>
      </c>
      <c r="H140" s="212" t="s">
        <v>1075</v>
      </c>
    </row>
    <row r="141" spans="1:8" ht="24" x14ac:dyDescent="0.3">
      <c r="A141" s="203" t="s">
        <v>1354</v>
      </c>
      <c r="B141" s="170" t="s">
        <v>1355</v>
      </c>
      <c r="C141" s="178"/>
      <c r="D141" s="203" t="s">
        <v>1354</v>
      </c>
      <c r="E141" s="170" t="s">
        <v>1355</v>
      </c>
      <c r="G141" s="203" t="s">
        <v>158</v>
      </c>
      <c r="H141" s="212" t="s">
        <v>1075</v>
      </c>
    </row>
    <row r="142" spans="1:8" ht="12" x14ac:dyDescent="0.3">
      <c r="A142" s="203" t="s">
        <v>1356</v>
      </c>
      <c r="B142" s="170" t="s">
        <v>1357</v>
      </c>
      <c r="C142" s="178"/>
      <c r="D142" s="203" t="s">
        <v>1356</v>
      </c>
      <c r="E142" s="170" t="s">
        <v>1357</v>
      </c>
      <c r="G142" s="203" t="s">
        <v>158</v>
      </c>
      <c r="H142" s="212" t="s">
        <v>1075</v>
      </c>
    </row>
    <row r="143" spans="1:8" ht="12" x14ac:dyDescent="0.3">
      <c r="A143" s="203" t="s">
        <v>1358</v>
      </c>
      <c r="B143" s="170" t="s">
        <v>1359</v>
      </c>
      <c r="C143" s="178"/>
      <c r="D143" s="203" t="s">
        <v>1358</v>
      </c>
      <c r="E143" s="170" t="s">
        <v>1359</v>
      </c>
      <c r="G143" s="203" t="s">
        <v>158</v>
      </c>
      <c r="H143" s="212" t="s">
        <v>1075</v>
      </c>
    </row>
    <row r="144" spans="1:8" ht="12" x14ac:dyDescent="0.3">
      <c r="A144" s="203" t="s">
        <v>1360</v>
      </c>
      <c r="B144" s="170" t="s">
        <v>1361</v>
      </c>
      <c r="C144" s="178"/>
      <c r="D144" s="203" t="s">
        <v>1360</v>
      </c>
      <c r="E144" s="170" t="s">
        <v>1361</v>
      </c>
      <c r="G144" s="203" t="s">
        <v>158</v>
      </c>
      <c r="H144" s="212" t="s">
        <v>1075</v>
      </c>
    </row>
    <row r="145" spans="1:8" ht="156" x14ac:dyDescent="0.3">
      <c r="A145" s="203" t="s">
        <v>1362</v>
      </c>
      <c r="B145" s="170" t="s">
        <v>1363</v>
      </c>
      <c r="C145" s="178"/>
      <c r="D145" s="203" t="s">
        <v>1362</v>
      </c>
      <c r="E145" s="170" t="s">
        <v>1364</v>
      </c>
      <c r="G145" s="203" t="s">
        <v>158</v>
      </c>
      <c r="H145" s="212" t="s">
        <v>1075</v>
      </c>
    </row>
    <row r="146" spans="1:8" ht="12" x14ac:dyDescent="0.3">
      <c r="A146" s="203" t="s">
        <v>1365</v>
      </c>
      <c r="B146" s="170" t="s">
        <v>1366</v>
      </c>
      <c r="C146" s="178"/>
      <c r="D146" s="203" t="s">
        <v>1365</v>
      </c>
      <c r="E146" s="170" t="s">
        <v>1366</v>
      </c>
      <c r="G146" s="203" t="s">
        <v>158</v>
      </c>
      <c r="H146" s="212" t="s">
        <v>1075</v>
      </c>
    </row>
    <row r="147" spans="1:8" ht="12" x14ac:dyDescent="0.3">
      <c r="A147" s="203" t="s">
        <v>1367</v>
      </c>
      <c r="B147" s="170" t="s">
        <v>1368</v>
      </c>
      <c r="C147" s="178"/>
      <c r="D147" s="203" t="s">
        <v>1367</v>
      </c>
      <c r="E147" s="170" t="s">
        <v>1368</v>
      </c>
      <c r="G147" s="203" t="s">
        <v>158</v>
      </c>
      <c r="H147" s="212" t="s">
        <v>1075</v>
      </c>
    </row>
    <row r="148" spans="1:8" ht="12" x14ac:dyDescent="0.3">
      <c r="A148" s="203" t="s">
        <v>1369</v>
      </c>
      <c r="B148" s="170" t="s">
        <v>1370</v>
      </c>
      <c r="C148" s="178"/>
      <c r="D148" s="203" t="s">
        <v>1369</v>
      </c>
      <c r="E148" s="170" t="s">
        <v>1370</v>
      </c>
      <c r="G148" s="203" t="s">
        <v>158</v>
      </c>
      <c r="H148" s="212" t="s">
        <v>1075</v>
      </c>
    </row>
    <row r="149" spans="1:8" ht="24" x14ac:dyDescent="0.3">
      <c r="A149" s="203" t="s">
        <v>1371</v>
      </c>
      <c r="B149" s="170" t="s">
        <v>1372</v>
      </c>
      <c r="C149" s="178"/>
      <c r="D149" s="203" t="s">
        <v>1371</v>
      </c>
      <c r="E149" s="170" t="s">
        <v>1372</v>
      </c>
      <c r="G149" s="203" t="s">
        <v>158</v>
      </c>
      <c r="H149" s="212" t="s">
        <v>1075</v>
      </c>
    </row>
    <row r="150" spans="1:8" ht="48" x14ac:dyDescent="0.3">
      <c r="A150" s="203" t="s">
        <v>1373</v>
      </c>
      <c r="B150" s="170" t="s">
        <v>1374</v>
      </c>
      <c r="C150" s="178"/>
      <c r="D150" s="203" t="s">
        <v>1373</v>
      </c>
      <c r="E150" s="170" t="s">
        <v>1374</v>
      </c>
      <c r="G150" s="203" t="s">
        <v>158</v>
      </c>
      <c r="H150" s="212" t="s">
        <v>1075</v>
      </c>
    </row>
    <row r="151" spans="1:8" ht="96" x14ac:dyDescent="0.3">
      <c r="A151" s="203" t="s">
        <v>1375</v>
      </c>
      <c r="B151" s="170" t="s">
        <v>1376</v>
      </c>
      <c r="C151" s="178"/>
      <c r="D151" s="203" t="s">
        <v>1375</v>
      </c>
      <c r="E151" s="170" t="s">
        <v>1377</v>
      </c>
      <c r="G151" s="203" t="s">
        <v>158</v>
      </c>
      <c r="H151" s="212" t="s">
        <v>1075</v>
      </c>
    </row>
    <row r="152" spans="1:8" ht="24" x14ac:dyDescent="0.3">
      <c r="A152" s="204" t="s">
        <v>1378</v>
      </c>
      <c r="B152" s="191" t="s">
        <v>1379</v>
      </c>
      <c r="C152" s="178"/>
      <c r="D152" s="204" t="s">
        <v>1378</v>
      </c>
      <c r="E152" s="191" t="s">
        <v>1379</v>
      </c>
      <c r="G152" s="204" t="s">
        <v>158</v>
      </c>
      <c r="H152" s="212" t="s">
        <v>1075</v>
      </c>
    </row>
    <row r="153" spans="1:8" x14ac:dyDescent="0.3">
      <c r="A153" s="205"/>
      <c r="B153" s="189"/>
      <c r="D153" s="189"/>
      <c r="E153" s="189"/>
    </row>
    <row r="154" spans="1:8" x14ac:dyDescent="0.3">
      <c r="A154" s="205"/>
      <c r="B154" s="189"/>
      <c r="D154" s="189"/>
      <c r="E154" s="189"/>
    </row>
    <row r="155" spans="1:8" x14ac:dyDescent="0.3">
      <c r="A155" s="205"/>
      <c r="B155" s="189"/>
      <c r="D155" s="189"/>
      <c r="E155" s="189"/>
    </row>
    <row r="156" spans="1:8" x14ac:dyDescent="0.3">
      <c r="A156" s="205"/>
      <c r="B156" s="189"/>
      <c r="D156" s="189"/>
      <c r="E156" s="189"/>
    </row>
    <row r="157" spans="1:8" x14ac:dyDescent="0.3">
      <c r="A157" s="205"/>
      <c r="B157" s="189"/>
      <c r="D157" s="189"/>
      <c r="E157" s="189"/>
    </row>
    <row r="158" spans="1:8" x14ac:dyDescent="0.3">
      <c r="A158" s="205"/>
      <c r="B158" s="189"/>
      <c r="D158" s="189"/>
      <c r="E158" s="189"/>
    </row>
    <row r="159" spans="1:8" x14ac:dyDescent="0.3">
      <c r="A159" s="205"/>
      <c r="B159" s="189"/>
      <c r="D159" s="189"/>
      <c r="E159" s="189"/>
    </row>
    <row r="160" spans="1:8" x14ac:dyDescent="0.3">
      <c r="A160" s="205"/>
      <c r="B160" s="189"/>
      <c r="D160" s="189"/>
      <c r="E160" s="189"/>
    </row>
    <row r="161" spans="1:5" x14ac:dyDescent="0.3">
      <c r="A161" s="205"/>
      <c r="B161" s="189"/>
      <c r="D161" s="189"/>
      <c r="E161" s="189"/>
    </row>
    <row r="162" spans="1:5" x14ac:dyDescent="0.3">
      <c r="A162" s="205"/>
      <c r="B162" s="189"/>
      <c r="D162" s="189"/>
      <c r="E162" s="189"/>
    </row>
    <row r="163" spans="1:5" x14ac:dyDescent="0.3">
      <c r="A163" s="205"/>
      <c r="B163" s="189"/>
      <c r="D163" s="189"/>
      <c r="E163" s="189"/>
    </row>
    <row r="164" spans="1:5" x14ac:dyDescent="0.3">
      <c r="A164" s="205"/>
      <c r="B164" s="189"/>
      <c r="D164" s="189"/>
      <c r="E164" s="189"/>
    </row>
    <row r="165" spans="1:5" x14ac:dyDescent="0.3">
      <c r="A165" s="205"/>
      <c r="B165" s="189"/>
      <c r="D165" s="189"/>
      <c r="E165" s="189"/>
    </row>
    <row r="166" spans="1:5" x14ac:dyDescent="0.3">
      <c r="A166" s="205"/>
      <c r="B166" s="189"/>
      <c r="D166" s="189"/>
      <c r="E166" s="189"/>
    </row>
    <row r="167" spans="1:5" x14ac:dyDescent="0.3">
      <c r="A167" s="205"/>
      <c r="B167" s="189"/>
      <c r="D167" s="189"/>
      <c r="E167" s="189"/>
    </row>
    <row r="168" spans="1:5" x14ac:dyDescent="0.3">
      <c r="A168" s="205"/>
      <c r="B168" s="189"/>
      <c r="D168" s="189"/>
      <c r="E168" s="189"/>
    </row>
    <row r="169" spans="1:5" x14ac:dyDescent="0.3">
      <c r="A169" s="205"/>
      <c r="B169" s="189"/>
      <c r="D169" s="189"/>
      <c r="E169" s="189"/>
    </row>
    <row r="170" spans="1:5" x14ac:dyDescent="0.3">
      <c r="A170" s="205"/>
      <c r="B170" s="189"/>
      <c r="D170" s="189"/>
      <c r="E170" s="189"/>
    </row>
    <row r="171" spans="1:5" x14ac:dyDescent="0.3">
      <c r="A171" s="205"/>
      <c r="B171" s="189"/>
      <c r="D171" s="189"/>
      <c r="E171" s="189"/>
    </row>
    <row r="172" spans="1:5" x14ac:dyDescent="0.3">
      <c r="A172" s="205"/>
      <c r="B172" s="189"/>
      <c r="D172" s="189"/>
      <c r="E172" s="189"/>
    </row>
    <row r="173" spans="1:5" x14ac:dyDescent="0.3">
      <c r="A173" s="205"/>
      <c r="B173" s="189"/>
      <c r="D173" s="189"/>
      <c r="E173" s="189"/>
    </row>
    <row r="174" spans="1:5" x14ac:dyDescent="0.3">
      <c r="A174" s="205"/>
      <c r="B174" s="189"/>
      <c r="D174" s="189"/>
      <c r="E174" s="189"/>
    </row>
    <row r="175" spans="1:5" x14ac:dyDescent="0.3">
      <c r="A175" s="205"/>
      <c r="B175" s="189"/>
      <c r="D175" s="189"/>
      <c r="E175" s="189"/>
    </row>
    <row r="176" spans="1:5" x14ac:dyDescent="0.3">
      <c r="A176" s="205"/>
      <c r="B176" s="189"/>
      <c r="D176" s="189"/>
      <c r="E176" s="189"/>
    </row>
    <row r="177" spans="1:5" x14ac:dyDescent="0.3">
      <c r="A177" s="205"/>
      <c r="B177" s="189"/>
      <c r="D177" s="189"/>
      <c r="E177" s="189"/>
    </row>
    <row r="178" spans="1:5" x14ac:dyDescent="0.3">
      <c r="A178" s="205"/>
      <c r="B178" s="189"/>
      <c r="D178" s="189"/>
      <c r="E178" s="189"/>
    </row>
    <row r="179" spans="1:5" x14ac:dyDescent="0.3">
      <c r="A179" s="205"/>
      <c r="B179" s="189"/>
      <c r="D179" s="189"/>
      <c r="E179" s="189"/>
    </row>
    <row r="180" spans="1:5" x14ac:dyDescent="0.3">
      <c r="A180" s="205"/>
      <c r="B180" s="189"/>
      <c r="D180" s="189"/>
      <c r="E180" s="189"/>
    </row>
    <row r="181" spans="1:5" x14ac:dyDescent="0.3">
      <c r="A181" s="205"/>
      <c r="B181" s="189"/>
      <c r="D181" s="189"/>
      <c r="E181" s="189"/>
    </row>
    <row r="182" spans="1:5" x14ac:dyDescent="0.3">
      <c r="A182" s="205"/>
      <c r="B182" s="189"/>
      <c r="D182" s="189"/>
      <c r="E182" s="189"/>
    </row>
    <row r="183" spans="1:5" x14ac:dyDescent="0.3">
      <c r="A183" s="205"/>
      <c r="B183" s="189"/>
      <c r="D183" s="189"/>
      <c r="E183" s="189"/>
    </row>
    <row r="184" spans="1:5" x14ac:dyDescent="0.3">
      <c r="A184" s="205"/>
      <c r="B184" s="189"/>
      <c r="D184" s="189"/>
      <c r="E184" s="189"/>
    </row>
    <row r="185" spans="1:5" x14ac:dyDescent="0.3">
      <c r="A185" s="205"/>
      <c r="B185" s="189"/>
      <c r="D185" s="189"/>
      <c r="E185" s="189"/>
    </row>
    <row r="186" spans="1:5" x14ac:dyDescent="0.3">
      <c r="A186" s="205"/>
      <c r="B186" s="189"/>
      <c r="D186" s="189"/>
      <c r="E186" s="189"/>
    </row>
    <row r="187" spans="1:5" x14ac:dyDescent="0.3">
      <c r="A187" s="205"/>
      <c r="B187" s="189"/>
      <c r="D187" s="189"/>
      <c r="E187" s="189"/>
    </row>
    <row r="188" spans="1:5" x14ac:dyDescent="0.3">
      <c r="A188" s="205"/>
      <c r="B188" s="189"/>
      <c r="D188" s="189"/>
      <c r="E188" s="189"/>
    </row>
    <row r="189" spans="1:5" x14ac:dyDescent="0.3">
      <c r="A189" s="205"/>
      <c r="B189" s="189"/>
      <c r="D189" s="189"/>
      <c r="E189" s="189"/>
    </row>
    <row r="190" spans="1:5" x14ac:dyDescent="0.3">
      <c r="A190" s="205"/>
      <c r="B190" s="189"/>
      <c r="D190" s="189"/>
      <c r="E190" s="189"/>
    </row>
    <row r="191" spans="1:5" x14ac:dyDescent="0.3">
      <c r="A191" s="205"/>
      <c r="B191" s="189"/>
      <c r="D191" s="189"/>
      <c r="E191" s="189"/>
    </row>
    <row r="192" spans="1:5" x14ac:dyDescent="0.3">
      <c r="A192" s="205"/>
      <c r="B192" s="189"/>
      <c r="D192" s="189"/>
      <c r="E192" s="189"/>
    </row>
    <row r="193" spans="1:5" x14ac:dyDescent="0.3">
      <c r="A193" s="205"/>
      <c r="B193" s="189"/>
      <c r="D193" s="189"/>
      <c r="E193" s="189"/>
    </row>
    <row r="194" spans="1:5" x14ac:dyDescent="0.3">
      <c r="A194" s="205"/>
      <c r="B194" s="189"/>
      <c r="D194" s="189"/>
      <c r="E194" s="189"/>
    </row>
    <row r="195" spans="1:5" x14ac:dyDescent="0.3">
      <c r="A195" s="205"/>
      <c r="B195" s="189"/>
      <c r="D195" s="189"/>
      <c r="E195" s="189"/>
    </row>
    <row r="196" spans="1:5" x14ac:dyDescent="0.3">
      <c r="A196" s="205"/>
      <c r="B196" s="189"/>
      <c r="D196" s="189"/>
      <c r="E196" s="189"/>
    </row>
    <row r="197" spans="1:5" x14ac:dyDescent="0.3">
      <c r="A197" s="205"/>
      <c r="B197" s="189"/>
      <c r="D197" s="189"/>
      <c r="E197" s="189"/>
    </row>
    <row r="198" spans="1:5" x14ac:dyDescent="0.3">
      <c r="A198" s="205"/>
      <c r="B198" s="189"/>
      <c r="D198" s="189"/>
      <c r="E198" s="189"/>
    </row>
    <row r="199" spans="1:5" x14ac:dyDescent="0.3">
      <c r="A199" s="205"/>
      <c r="B199" s="189"/>
      <c r="D199" s="189"/>
      <c r="E199" s="189"/>
    </row>
    <row r="200" spans="1:5" x14ac:dyDescent="0.3">
      <c r="A200" s="205"/>
      <c r="B200" s="189"/>
      <c r="D200" s="189"/>
      <c r="E200" s="189"/>
    </row>
    <row r="201" spans="1:5" x14ac:dyDescent="0.3">
      <c r="A201" s="205"/>
      <c r="B201" s="189"/>
      <c r="D201" s="189"/>
      <c r="E201" s="189"/>
    </row>
    <row r="202" spans="1:5" x14ac:dyDescent="0.3">
      <c r="A202" s="205"/>
      <c r="B202" s="189"/>
      <c r="D202" s="189"/>
      <c r="E202" s="189"/>
    </row>
    <row r="203" spans="1:5" x14ac:dyDescent="0.3">
      <c r="A203" s="205"/>
      <c r="B203" s="189"/>
      <c r="D203" s="189"/>
      <c r="E203" s="189"/>
    </row>
    <row r="204" spans="1:5" x14ac:dyDescent="0.3">
      <c r="A204" s="205"/>
      <c r="B204" s="189"/>
      <c r="D204" s="189"/>
      <c r="E204" s="189"/>
    </row>
    <row r="205" spans="1:5" x14ac:dyDescent="0.3">
      <c r="A205" s="205"/>
      <c r="B205" s="189"/>
      <c r="D205" s="189"/>
      <c r="E205" s="189"/>
    </row>
    <row r="206" spans="1:5" x14ac:dyDescent="0.3">
      <c r="A206" s="205"/>
      <c r="B206" s="189"/>
      <c r="D206" s="189"/>
      <c r="E206" s="189"/>
    </row>
    <row r="207" spans="1:5" x14ac:dyDescent="0.3">
      <c r="A207" s="205"/>
      <c r="B207" s="189"/>
      <c r="D207" s="189"/>
      <c r="E207" s="189"/>
    </row>
    <row r="208" spans="1:5" x14ac:dyDescent="0.3">
      <c r="A208" s="205"/>
      <c r="B208" s="189"/>
      <c r="D208" s="189"/>
      <c r="E208" s="189"/>
    </row>
    <row r="209" spans="1:5" x14ac:dyDescent="0.3">
      <c r="A209" s="205"/>
      <c r="B209" s="189"/>
      <c r="D209" s="189"/>
      <c r="E209" s="189"/>
    </row>
    <row r="210" spans="1:5" x14ac:dyDescent="0.3">
      <c r="A210" s="205"/>
      <c r="B210" s="189"/>
      <c r="D210" s="189"/>
      <c r="E210" s="189"/>
    </row>
    <row r="211" spans="1:5" x14ac:dyDescent="0.3">
      <c r="A211" s="205"/>
      <c r="B211" s="189"/>
      <c r="D211" s="189"/>
      <c r="E211" s="189"/>
    </row>
    <row r="212" spans="1:5" x14ac:dyDescent="0.3">
      <c r="A212" s="205"/>
      <c r="B212" s="189"/>
      <c r="D212" s="189"/>
      <c r="E212" s="189"/>
    </row>
    <row r="213" spans="1:5" x14ac:dyDescent="0.3">
      <c r="A213" s="205"/>
      <c r="B213" s="189"/>
      <c r="D213" s="189"/>
      <c r="E213" s="189"/>
    </row>
    <row r="214" spans="1:5" x14ac:dyDescent="0.3">
      <c r="A214" s="205"/>
      <c r="B214" s="189"/>
      <c r="D214" s="189"/>
      <c r="E214" s="189"/>
    </row>
    <row r="215" spans="1:5" x14ac:dyDescent="0.3">
      <c r="A215" s="205"/>
      <c r="B215" s="189"/>
      <c r="D215" s="189"/>
      <c r="E215" s="189"/>
    </row>
    <row r="216" spans="1:5" x14ac:dyDescent="0.3">
      <c r="A216" s="205"/>
      <c r="B216" s="189"/>
      <c r="D216" s="189"/>
      <c r="E216" s="189"/>
    </row>
    <row r="217" spans="1:5" x14ac:dyDescent="0.3">
      <c r="A217" s="205"/>
      <c r="B217" s="189"/>
      <c r="D217" s="189"/>
      <c r="E217" s="189"/>
    </row>
    <row r="218" spans="1:5" x14ac:dyDescent="0.3">
      <c r="A218" s="205"/>
      <c r="B218" s="189"/>
      <c r="D218" s="189"/>
      <c r="E218" s="189"/>
    </row>
    <row r="219" spans="1:5" x14ac:dyDescent="0.3">
      <c r="A219" s="205"/>
      <c r="B219" s="189"/>
      <c r="D219" s="189"/>
      <c r="E219" s="189"/>
    </row>
    <row r="220" spans="1:5" x14ac:dyDescent="0.3">
      <c r="A220" s="205"/>
      <c r="B220" s="189"/>
      <c r="D220" s="189"/>
      <c r="E220" s="189"/>
    </row>
    <row r="221" spans="1:5" x14ac:dyDescent="0.3">
      <c r="A221" s="205"/>
      <c r="B221" s="189"/>
      <c r="D221" s="189"/>
      <c r="E221" s="189"/>
    </row>
    <row r="222" spans="1:5" x14ac:dyDescent="0.3">
      <c r="A222" s="205"/>
      <c r="B222" s="189"/>
      <c r="D222" s="189"/>
      <c r="E222" s="189"/>
    </row>
    <row r="223" spans="1:5" x14ac:dyDescent="0.3">
      <c r="A223" s="205"/>
      <c r="B223" s="189"/>
      <c r="D223" s="189"/>
      <c r="E223" s="189"/>
    </row>
    <row r="224" spans="1:5" x14ac:dyDescent="0.3">
      <c r="A224" s="205"/>
      <c r="B224" s="189"/>
      <c r="D224" s="189"/>
      <c r="E224" s="189"/>
    </row>
    <row r="225" spans="1:5" x14ac:dyDescent="0.3">
      <c r="A225" s="205"/>
      <c r="B225" s="189"/>
      <c r="D225" s="189"/>
      <c r="E225" s="189"/>
    </row>
    <row r="226" spans="1:5" x14ac:dyDescent="0.3">
      <c r="A226" s="205"/>
      <c r="B226" s="189"/>
      <c r="D226" s="189"/>
      <c r="E226" s="189"/>
    </row>
    <row r="227" spans="1:5" x14ac:dyDescent="0.3">
      <c r="A227" s="205"/>
      <c r="B227" s="189"/>
      <c r="D227" s="189"/>
      <c r="E227" s="189"/>
    </row>
    <row r="228" spans="1:5" x14ac:dyDescent="0.3">
      <c r="A228" s="205"/>
      <c r="B228" s="189"/>
      <c r="D228" s="189"/>
      <c r="E228" s="189"/>
    </row>
    <row r="229" spans="1:5" x14ac:dyDescent="0.3">
      <c r="A229" s="205"/>
      <c r="B229" s="189"/>
      <c r="D229" s="189"/>
      <c r="E229" s="189"/>
    </row>
    <row r="230" spans="1:5" x14ac:dyDescent="0.3">
      <c r="A230" s="205"/>
      <c r="B230" s="189"/>
      <c r="D230" s="189"/>
      <c r="E230" s="189"/>
    </row>
    <row r="231" spans="1:5" x14ac:dyDescent="0.3">
      <c r="A231" s="205"/>
      <c r="B231" s="189"/>
      <c r="D231" s="189"/>
      <c r="E231" s="189"/>
    </row>
    <row r="232" spans="1:5" x14ac:dyDescent="0.3">
      <c r="A232" s="205"/>
      <c r="B232" s="189"/>
      <c r="D232" s="189"/>
      <c r="E232" s="189"/>
    </row>
    <row r="233" spans="1:5" x14ac:dyDescent="0.3">
      <c r="A233" s="205"/>
      <c r="B233" s="189"/>
      <c r="D233" s="189"/>
      <c r="E233" s="189"/>
    </row>
    <row r="234" spans="1:5" x14ac:dyDescent="0.3">
      <c r="A234" s="205"/>
      <c r="B234" s="189"/>
      <c r="D234" s="189"/>
      <c r="E234" s="189"/>
    </row>
    <row r="235" spans="1:5" x14ac:dyDescent="0.3">
      <c r="A235" s="205"/>
      <c r="B235" s="189"/>
      <c r="D235" s="189"/>
      <c r="E235" s="189"/>
    </row>
    <row r="236" spans="1:5" x14ac:dyDescent="0.3">
      <c r="A236" s="205"/>
      <c r="B236" s="189"/>
      <c r="D236" s="189"/>
      <c r="E236" s="189"/>
    </row>
    <row r="237" spans="1:5" x14ac:dyDescent="0.3">
      <c r="A237" s="205"/>
      <c r="B237" s="189"/>
      <c r="D237" s="189"/>
      <c r="E237" s="189"/>
    </row>
    <row r="238" spans="1:5" x14ac:dyDescent="0.3">
      <c r="A238" s="205"/>
      <c r="B238" s="189"/>
      <c r="D238" s="189"/>
      <c r="E238" s="189"/>
    </row>
    <row r="239" spans="1:5" x14ac:dyDescent="0.3">
      <c r="A239" s="205"/>
      <c r="B239" s="189"/>
      <c r="D239" s="189"/>
      <c r="E239" s="189"/>
    </row>
    <row r="240" spans="1:5" x14ac:dyDescent="0.3">
      <c r="A240" s="205"/>
      <c r="B240" s="189"/>
      <c r="D240" s="189"/>
      <c r="E240" s="189"/>
    </row>
    <row r="241" spans="1:5" x14ac:dyDescent="0.3">
      <c r="A241" s="205"/>
      <c r="B241" s="189"/>
      <c r="D241" s="189"/>
      <c r="E241" s="189"/>
    </row>
    <row r="242" spans="1:5" x14ac:dyDescent="0.3">
      <c r="A242" s="205"/>
      <c r="B242" s="189"/>
      <c r="D242" s="189"/>
      <c r="E242" s="189"/>
    </row>
    <row r="243" spans="1:5" x14ac:dyDescent="0.3">
      <c r="A243" s="205"/>
      <c r="B243" s="189"/>
      <c r="D243" s="189"/>
      <c r="E243" s="189"/>
    </row>
    <row r="244" spans="1:5" x14ac:dyDescent="0.3">
      <c r="A244" s="205"/>
      <c r="B244" s="189"/>
      <c r="D244" s="189"/>
      <c r="E244" s="189"/>
    </row>
    <row r="245" spans="1:5" x14ac:dyDescent="0.3">
      <c r="A245" s="205"/>
      <c r="B245" s="189"/>
      <c r="D245" s="189"/>
      <c r="E245" s="189"/>
    </row>
    <row r="246" spans="1:5" x14ac:dyDescent="0.3">
      <c r="A246" s="205"/>
      <c r="B246" s="189"/>
      <c r="D246" s="189"/>
      <c r="E246" s="189"/>
    </row>
    <row r="247" spans="1:5" x14ac:dyDescent="0.3">
      <c r="A247" s="205"/>
      <c r="B247" s="189"/>
      <c r="D247" s="189"/>
      <c r="E247" s="189"/>
    </row>
    <row r="248" spans="1:5" x14ac:dyDescent="0.3">
      <c r="A248" s="205"/>
      <c r="B248" s="189"/>
      <c r="D248" s="189"/>
      <c r="E248" s="189"/>
    </row>
    <row r="249" spans="1:5" x14ac:dyDescent="0.3">
      <c r="A249" s="205"/>
      <c r="B249" s="189"/>
      <c r="D249" s="189"/>
      <c r="E249" s="189"/>
    </row>
    <row r="250" spans="1:5" x14ac:dyDescent="0.3">
      <c r="A250" s="205"/>
      <c r="B250" s="189"/>
      <c r="D250" s="189"/>
      <c r="E250" s="189"/>
    </row>
    <row r="251" spans="1:5" x14ac:dyDescent="0.3">
      <c r="A251" s="205"/>
      <c r="B251" s="189"/>
      <c r="D251" s="189"/>
      <c r="E251" s="189"/>
    </row>
    <row r="252" spans="1:5" x14ac:dyDescent="0.3">
      <c r="A252" s="205"/>
      <c r="B252" s="189"/>
      <c r="D252" s="189"/>
      <c r="E252" s="189"/>
    </row>
    <row r="253" spans="1:5" x14ac:dyDescent="0.3">
      <c r="A253" s="205"/>
      <c r="B253" s="189"/>
      <c r="D253" s="189"/>
      <c r="E253" s="189"/>
    </row>
    <row r="254" spans="1:5" x14ac:dyDescent="0.3">
      <c r="A254" s="205"/>
      <c r="B254" s="189"/>
      <c r="D254" s="189"/>
      <c r="E254" s="189"/>
    </row>
    <row r="255" spans="1:5" x14ac:dyDescent="0.3">
      <c r="A255" s="205"/>
      <c r="B255" s="189"/>
      <c r="D255" s="189"/>
      <c r="E255" s="189"/>
    </row>
    <row r="256" spans="1:5" x14ac:dyDescent="0.3">
      <c r="A256" s="205"/>
      <c r="B256" s="189"/>
      <c r="D256" s="189"/>
      <c r="E256" s="189"/>
    </row>
    <row r="257" spans="1:5" x14ac:dyDescent="0.3">
      <c r="A257" s="205"/>
      <c r="B257" s="189"/>
      <c r="D257" s="189"/>
      <c r="E257" s="189"/>
    </row>
    <row r="258" spans="1:5" x14ac:dyDescent="0.3">
      <c r="A258" s="205"/>
      <c r="B258" s="189"/>
      <c r="D258" s="189"/>
      <c r="E258" s="189"/>
    </row>
    <row r="259" spans="1:5" x14ac:dyDescent="0.3">
      <c r="A259" s="205"/>
      <c r="B259" s="189"/>
      <c r="D259" s="189"/>
      <c r="E259" s="189"/>
    </row>
    <row r="260" spans="1:5" x14ac:dyDescent="0.3">
      <c r="A260" s="205"/>
      <c r="B260" s="189"/>
      <c r="D260" s="189"/>
      <c r="E260" s="189"/>
    </row>
    <row r="261" spans="1:5" x14ac:dyDescent="0.3">
      <c r="A261" s="205"/>
      <c r="B261" s="189"/>
      <c r="D261" s="189"/>
      <c r="E261" s="189"/>
    </row>
    <row r="262" spans="1:5" x14ac:dyDescent="0.3">
      <c r="A262" s="205"/>
      <c r="B262" s="189"/>
      <c r="D262" s="189"/>
      <c r="E262" s="189"/>
    </row>
    <row r="263" spans="1:5" x14ac:dyDescent="0.3">
      <c r="A263" s="205"/>
      <c r="B263" s="189"/>
      <c r="D263" s="189"/>
      <c r="E263" s="189"/>
    </row>
    <row r="264" spans="1:5" x14ac:dyDescent="0.3">
      <c r="A264" s="205"/>
      <c r="B264" s="189"/>
      <c r="D264" s="189"/>
      <c r="E264" s="189"/>
    </row>
    <row r="265" spans="1:5" x14ac:dyDescent="0.3">
      <c r="A265" s="205"/>
      <c r="B265" s="189"/>
      <c r="D265" s="189"/>
      <c r="E265" s="189"/>
    </row>
    <row r="266" spans="1:5" x14ac:dyDescent="0.3">
      <c r="A266" s="205"/>
      <c r="B266" s="189"/>
      <c r="D266" s="189"/>
      <c r="E266" s="189"/>
    </row>
    <row r="267" spans="1:5" x14ac:dyDescent="0.3">
      <c r="A267" s="205"/>
      <c r="B267" s="189"/>
      <c r="D267" s="189"/>
      <c r="E267" s="189"/>
    </row>
    <row r="268" spans="1:5" x14ac:dyDescent="0.3">
      <c r="A268" s="205"/>
      <c r="B268" s="189"/>
      <c r="D268" s="189"/>
      <c r="E268" s="189"/>
    </row>
    <row r="269" spans="1:5" x14ac:dyDescent="0.3">
      <c r="A269" s="205"/>
      <c r="B269" s="189"/>
      <c r="D269" s="189"/>
      <c r="E269" s="189"/>
    </row>
    <row r="270" spans="1:5" x14ac:dyDescent="0.3">
      <c r="A270" s="205"/>
      <c r="B270" s="189"/>
      <c r="D270" s="189"/>
      <c r="E270" s="189"/>
    </row>
    <row r="271" spans="1:5" x14ac:dyDescent="0.3">
      <c r="A271" s="205"/>
      <c r="B271" s="189"/>
      <c r="D271" s="189"/>
      <c r="E271" s="189"/>
    </row>
    <row r="272" spans="1:5" x14ac:dyDescent="0.3">
      <c r="A272" s="205"/>
      <c r="B272" s="189"/>
      <c r="D272" s="189"/>
      <c r="E272" s="189"/>
    </row>
    <row r="273" spans="1:5" x14ac:dyDescent="0.3">
      <c r="A273" s="205"/>
      <c r="B273" s="189"/>
      <c r="D273" s="189"/>
      <c r="E273" s="189"/>
    </row>
    <row r="274" spans="1:5" x14ac:dyDescent="0.3">
      <c r="A274" s="205"/>
      <c r="B274" s="189"/>
      <c r="D274" s="189"/>
      <c r="E274" s="189"/>
    </row>
    <row r="275" spans="1:5" x14ac:dyDescent="0.3">
      <c r="A275" s="205"/>
      <c r="B275" s="189"/>
      <c r="D275" s="189"/>
      <c r="E275" s="189"/>
    </row>
    <row r="276" spans="1:5" x14ac:dyDescent="0.3">
      <c r="A276" s="205"/>
      <c r="B276" s="189"/>
      <c r="D276" s="189"/>
      <c r="E276" s="189"/>
    </row>
    <row r="277" spans="1:5" x14ac:dyDescent="0.3">
      <c r="A277" s="205"/>
      <c r="B277" s="189"/>
      <c r="D277" s="189"/>
      <c r="E277" s="189"/>
    </row>
    <row r="278" spans="1:5" x14ac:dyDescent="0.3">
      <c r="A278" s="205"/>
      <c r="B278" s="189"/>
      <c r="D278" s="189"/>
      <c r="E278" s="189"/>
    </row>
    <row r="279" spans="1:5" x14ac:dyDescent="0.3">
      <c r="A279" s="205"/>
      <c r="B279" s="189"/>
      <c r="D279" s="189"/>
      <c r="E279" s="189"/>
    </row>
    <row r="280" spans="1:5" x14ac:dyDescent="0.3">
      <c r="A280" s="205"/>
      <c r="B280" s="189"/>
      <c r="D280" s="189"/>
      <c r="E280" s="189"/>
    </row>
    <row r="281" spans="1:5" x14ac:dyDescent="0.3">
      <c r="A281" s="205"/>
      <c r="B281" s="189"/>
      <c r="D281" s="189"/>
      <c r="E281" s="189"/>
    </row>
    <row r="282" spans="1:5" x14ac:dyDescent="0.3">
      <c r="A282" s="205"/>
      <c r="B282" s="189"/>
      <c r="D282" s="189"/>
      <c r="E282" s="189"/>
    </row>
    <row r="283" spans="1:5" x14ac:dyDescent="0.3">
      <c r="A283" s="205"/>
      <c r="B283" s="189"/>
      <c r="D283" s="189"/>
      <c r="E283" s="189"/>
    </row>
    <row r="284" spans="1:5" x14ac:dyDescent="0.3">
      <c r="A284" s="205"/>
      <c r="B284" s="189"/>
      <c r="D284" s="189"/>
      <c r="E284" s="189"/>
    </row>
    <row r="285" spans="1:5" x14ac:dyDescent="0.3">
      <c r="A285" s="205"/>
      <c r="B285" s="189"/>
      <c r="D285" s="189"/>
      <c r="E285" s="189"/>
    </row>
    <row r="286" spans="1:5" x14ac:dyDescent="0.3">
      <c r="A286" s="205"/>
      <c r="B286" s="189"/>
      <c r="D286" s="189"/>
      <c r="E286" s="189"/>
    </row>
    <row r="287" spans="1:5" x14ac:dyDescent="0.3">
      <c r="A287" s="205"/>
      <c r="B287" s="189"/>
      <c r="D287" s="189"/>
      <c r="E287" s="189"/>
    </row>
    <row r="288" spans="1:5" x14ac:dyDescent="0.3">
      <c r="A288" s="205"/>
      <c r="B288" s="189"/>
      <c r="D288" s="189"/>
      <c r="E288" s="189"/>
    </row>
    <row r="289" spans="1:5" x14ac:dyDescent="0.3">
      <c r="A289" s="205"/>
      <c r="B289" s="189"/>
      <c r="D289" s="189"/>
      <c r="E289" s="189"/>
    </row>
    <row r="290" spans="1:5" x14ac:dyDescent="0.3">
      <c r="A290" s="205"/>
      <c r="B290" s="189"/>
      <c r="D290" s="189"/>
      <c r="E290" s="189"/>
    </row>
    <row r="291" spans="1:5" x14ac:dyDescent="0.3">
      <c r="A291" s="205"/>
      <c r="B291" s="189"/>
      <c r="D291" s="189"/>
      <c r="E291" s="189"/>
    </row>
    <row r="292" spans="1:5" x14ac:dyDescent="0.3">
      <c r="A292" s="205"/>
      <c r="B292" s="189"/>
      <c r="D292" s="189"/>
      <c r="E292" s="189"/>
    </row>
    <row r="293" spans="1:5" x14ac:dyDescent="0.3">
      <c r="A293" s="205"/>
      <c r="B293" s="189"/>
      <c r="D293" s="189"/>
      <c r="E293" s="189"/>
    </row>
    <row r="294" spans="1:5" x14ac:dyDescent="0.3">
      <c r="A294" s="205"/>
      <c r="B294" s="189"/>
      <c r="D294" s="189"/>
      <c r="E294" s="189"/>
    </row>
    <row r="295" spans="1:5" x14ac:dyDescent="0.3">
      <c r="A295" s="205"/>
      <c r="B295" s="189"/>
      <c r="D295" s="189"/>
      <c r="E295" s="189"/>
    </row>
    <row r="296" spans="1:5" x14ac:dyDescent="0.3">
      <c r="A296" s="205"/>
      <c r="B296" s="189"/>
      <c r="D296" s="189"/>
      <c r="E296" s="189"/>
    </row>
    <row r="297" spans="1:5" x14ac:dyDescent="0.3">
      <c r="A297" s="205"/>
      <c r="B297" s="189"/>
      <c r="D297" s="189"/>
      <c r="E297" s="189"/>
    </row>
    <row r="298" spans="1:5" x14ac:dyDescent="0.3">
      <c r="A298" s="205"/>
      <c r="B298" s="189"/>
      <c r="D298" s="189"/>
      <c r="E298" s="189"/>
    </row>
    <row r="299" spans="1:5" x14ac:dyDescent="0.3">
      <c r="A299" s="205"/>
      <c r="B299" s="189"/>
      <c r="D299" s="189"/>
      <c r="E299" s="189"/>
    </row>
    <row r="300" spans="1:5" x14ac:dyDescent="0.3">
      <c r="A300" s="205"/>
      <c r="B300" s="189"/>
      <c r="D300" s="189"/>
      <c r="E300" s="189"/>
    </row>
    <row r="301" spans="1:5" x14ac:dyDescent="0.3">
      <c r="A301" s="205"/>
      <c r="B301" s="189"/>
      <c r="D301" s="189"/>
      <c r="E301" s="189"/>
    </row>
    <row r="302" spans="1:5" x14ac:dyDescent="0.3">
      <c r="A302" s="205"/>
      <c r="B302" s="189"/>
      <c r="D302" s="189"/>
      <c r="E302" s="189"/>
    </row>
    <row r="303" spans="1:5" x14ac:dyDescent="0.3">
      <c r="A303" s="205"/>
      <c r="B303" s="189"/>
      <c r="D303" s="189"/>
      <c r="E303" s="189"/>
    </row>
    <row r="304" spans="1:5" x14ac:dyDescent="0.3">
      <c r="A304" s="205"/>
      <c r="B304" s="189"/>
      <c r="D304" s="189"/>
      <c r="E304" s="189"/>
    </row>
    <row r="305" spans="1:5" x14ac:dyDescent="0.3">
      <c r="A305" s="205"/>
      <c r="B305" s="189"/>
      <c r="D305" s="189"/>
      <c r="E305" s="189"/>
    </row>
    <row r="306" spans="1:5" x14ac:dyDescent="0.3">
      <c r="A306" s="205"/>
      <c r="B306" s="189"/>
      <c r="D306" s="189"/>
      <c r="E306" s="189"/>
    </row>
    <row r="307" spans="1:5" x14ac:dyDescent="0.3">
      <c r="A307" s="205"/>
      <c r="B307" s="189"/>
      <c r="D307" s="189"/>
      <c r="E307" s="189"/>
    </row>
    <row r="308" spans="1:5" x14ac:dyDescent="0.3">
      <c r="A308" s="205"/>
      <c r="B308" s="189"/>
      <c r="D308" s="189"/>
      <c r="E308" s="189"/>
    </row>
    <row r="309" spans="1:5" x14ac:dyDescent="0.3">
      <c r="A309" s="205"/>
      <c r="B309" s="189"/>
      <c r="D309" s="189"/>
      <c r="E309" s="189"/>
    </row>
    <row r="310" spans="1:5" x14ac:dyDescent="0.3">
      <c r="A310" s="205"/>
      <c r="B310" s="189"/>
      <c r="D310" s="189"/>
      <c r="E310" s="189"/>
    </row>
    <row r="311" spans="1:5" x14ac:dyDescent="0.3">
      <c r="A311" s="205"/>
      <c r="B311" s="189"/>
      <c r="D311" s="189"/>
      <c r="E311" s="189"/>
    </row>
    <row r="312" spans="1:5" x14ac:dyDescent="0.3">
      <c r="A312" s="205"/>
      <c r="B312" s="189"/>
      <c r="D312" s="189"/>
      <c r="E312" s="189"/>
    </row>
    <row r="313" spans="1:5" x14ac:dyDescent="0.3">
      <c r="A313" s="205"/>
      <c r="B313" s="189"/>
      <c r="D313" s="189"/>
      <c r="E313" s="189"/>
    </row>
    <row r="314" spans="1:5" x14ac:dyDescent="0.3">
      <c r="A314" s="205"/>
      <c r="B314" s="189"/>
      <c r="D314" s="189"/>
      <c r="E314" s="189"/>
    </row>
    <row r="315" spans="1:5" x14ac:dyDescent="0.3">
      <c r="A315" s="205"/>
      <c r="B315" s="189"/>
      <c r="D315" s="189"/>
      <c r="E315" s="189"/>
    </row>
    <row r="316" spans="1:5" x14ac:dyDescent="0.3">
      <c r="A316" s="205"/>
      <c r="B316" s="189"/>
      <c r="D316" s="189"/>
      <c r="E316" s="189"/>
    </row>
    <row r="317" spans="1:5" x14ac:dyDescent="0.3">
      <c r="A317" s="205"/>
      <c r="B317" s="189"/>
      <c r="D317" s="189"/>
      <c r="E317" s="189"/>
    </row>
    <row r="318" spans="1:5" x14ac:dyDescent="0.3">
      <c r="A318" s="205"/>
      <c r="B318" s="189"/>
      <c r="D318" s="189"/>
      <c r="E318" s="189"/>
    </row>
    <row r="319" spans="1:5" x14ac:dyDescent="0.3">
      <c r="A319" s="205"/>
      <c r="B319" s="189"/>
      <c r="D319" s="189"/>
      <c r="E319" s="189"/>
    </row>
    <row r="320" spans="1:5" x14ac:dyDescent="0.3">
      <c r="A320" s="205"/>
      <c r="B320" s="189"/>
      <c r="D320" s="189"/>
      <c r="E320" s="189"/>
    </row>
    <row r="321" spans="1:5" x14ac:dyDescent="0.3">
      <c r="A321" s="205"/>
      <c r="B321" s="189"/>
      <c r="D321" s="189"/>
      <c r="E321" s="189"/>
    </row>
    <row r="322" spans="1:5" x14ac:dyDescent="0.3">
      <c r="A322" s="205"/>
      <c r="B322" s="189"/>
      <c r="D322" s="189"/>
      <c r="E322" s="189"/>
    </row>
    <row r="323" spans="1:5" x14ac:dyDescent="0.3">
      <c r="A323" s="205"/>
      <c r="B323" s="189"/>
      <c r="D323" s="189"/>
      <c r="E323" s="189"/>
    </row>
    <row r="324" spans="1:5" x14ac:dyDescent="0.3">
      <c r="A324" s="205"/>
      <c r="B324" s="189"/>
      <c r="D324" s="189"/>
      <c r="E324" s="189"/>
    </row>
    <row r="325" spans="1:5" x14ac:dyDescent="0.3">
      <c r="A325" s="205"/>
      <c r="B325" s="189"/>
      <c r="D325" s="189"/>
      <c r="E325" s="189"/>
    </row>
    <row r="326" spans="1:5" x14ac:dyDescent="0.3">
      <c r="A326" s="205"/>
      <c r="B326" s="189"/>
      <c r="D326" s="189"/>
      <c r="E326" s="189"/>
    </row>
    <row r="327" spans="1:5" x14ac:dyDescent="0.3">
      <c r="A327" s="205"/>
      <c r="B327" s="189"/>
      <c r="D327" s="189"/>
      <c r="E327" s="189"/>
    </row>
    <row r="328" spans="1:5" x14ac:dyDescent="0.3">
      <c r="A328" s="205"/>
      <c r="B328" s="189"/>
      <c r="D328" s="189"/>
      <c r="E328" s="189"/>
    </row>
    <row r="329" spans="1:5" x14ac:dyDescent="0.3">
      <c r="A329" s="205"/>
      <c r="B329" s="189"/>
      <c r="D329" s="189"/>
      <c r="E329" s="189"/>
    </row>
    <row r="330" spans="1:5" x14ac:dyDescent="0.3">
      <c r="A330" s="205"/>
      <c r="B330" s="189"/>
      <c r="D330" s="189"/>
      <c r="E330" s="189"/>
    </row>
    <row r="331" spans="1:5" x14ac:dyDescent="0.3">
      <c r="A331" s="205"/>
      <c r="B331" s="189"/>
      <c r="D331" s="189"/>
      <c r="E331" s="189"/>
    </row>
    <row r="332" spans="1:5" x14ac:dyDescent="0.3">
      <c r="A332" s="205"/>
      <c r="B332" s="189"/>
      <c r="D332" s="189"/>
      <c r="E332" s="189"/>
    </row>
    <row r="333" spans="1:5" x14ac:dyDescent="0.3">
      <c r="A333" s="205"/>
      <c r="B333" s="189"/>
      <c r="D333" s="189"/>
      <c r="E333" s="189"/>
    </row>
    <row r="334" spans="1:5" x14ac:dyDescent="0.3">
      <c r="A334" s="205"/>
      <c r="B334" s="189"/>
      <c r="D334" s="189"/>
      <c r="E334" s="189"/>
    </row>
    <row r="335" spans="1:5" x14ac:dyDescent="0.3">
      <c r="A335" s="205"/>
      <c r="B335" s="189"/>
      <c r="D335" s="189"/>
      <c r="E335" s="189"/>
    </row>
    <row r="336" spans="1:5" x14ac:dyDescent="0.3">
      <c r="A336" s="205"/>
      <c r="B336" s="189"/>
      <c r="D336" s="189"/>
      <c r="E336" s="189"/>
    </row>
    <row r="337" spans="1:5" x14ac:dyDescent="0.3">
      <c r="A337" s="205"/>
      <c r="B337" s="189"/>
      <c r="D337" s="189"/>
      <c r="E337" s="189"/>
    </row>
    <row r="338" spans="1:5" x14ac:dyDescent="0.3">
      <c r="A338" s="205"/>
      <c r="B338" s="189"/>
      <c r="D338" s="189"/>
      <c r="E338" s="189"/>
    </row>
    <row r="339" spans="1:5" x14ac:dyDescent="0.3">
      <c r="A339" s="205"/>
      <c r="B339" s="189"/>
      <c r="D339" s="189"/>
      <c r="E339" s="189"/>
    </row>
    <row r="340" spans="1:5" x14ac:dyDescent="0.3">
      <c r="A340" s="205"/>
      <c r="B340" s="189"/>
      <c r="D340" s="189"/>
      <c r="E340" s="189"/>
    </row>
    <row r="341" spans="1:5" x14ac:dyDescent="0.3">
      <c r="A341" s="205"/>
      <c r="B341" s="189"/>
      <c r="D341" s="189"/>
      <c r="E341" s="189"/>
    </row>
    <row r="342" spans="1:5" x14ac:dyDescent="0.3">
      <c r="A342" s="205"/>
      <c r="B342" s="189"/>
      <c r="D342" s="189"/>
      <c r="E342" s="189"/>
    </row>
    <row r="343" spans="1:5" x14ac:dyDescent="0.3">
      <c r="A343" s="205"/>
      <c r="B343" s="189"/>
      <c r="D343" s="189"/>
      <c r="E343" s="189"/>
    </row>
    <row r="344" spans="1:5" x14ac:dyDescent="0.3">
      <c r="A344" s="205"/>
      <c r="B344" s="189"/>
      <c r="D344" s="189"/>
      <c r="E344" s="189"/>
    </row>
    <row r="345" spans="1:5" x14ac:dyDescent="0.3">
      <c r="A345" s="205"/>
      <c r="B345" s="189"/>
      <c r="D345" s="189"/>
      <c r="E345" s="189"/>
    </row>
    <row r="346" spans="1:5" x14ac:dyDescent="0.3">
      <c r="A346" s="205"/>
      <c r="B346" s="189"/>
      <c r="D346" s="189"/>
      <c r="E346" s="189"/>
    </row>
    <row r="347" spans="1:5" x14ac:dyDescent="0.3">
      <c r="A347" s="205"/>
      <c r="B347" s="189"/>
      <c r="D347" s="189"/>
      <c r="E347" s="189"/>
    </row>
    <row r="348" spans="1:5" x14ac:dyDescent="0.3">
      <c r="A348" s="205"/>
      <c r="B348" s="189"/>
      <c r="D348" s="189"/>
      <c r="E348" s="189"/>
    </row>
    <row r="349" spans="1:5" x14ac:dyDescent="0.3">
      <c r="A349" s="205"/>
      <c r="B349" s="189"/>
      <c r="D349" s="189"/>
      <c r="E349" s="189"/>
    </row>
    <row r="350" spans="1:5" x14ac:dyDescent="0.3">
      <c r="A350" s="205"/>
      <c r="B350" s="189"/>
      <c r="D350" s="189"/>
      <c r="E350" s="189"/>
    </row>
    <row r="351" spans="1:5" x14ac:dyDescent="0.3">
      <c r="A351" s="205"/>
      <c r="B351" s="189"/>
      <c r="D351" s="189"/>
      <c r="E351" s="189"/>
    </row>
    <row r="352" spans="1:5" x14ac:dyDescent="0.3">
      <c r="A352" s="205"/>
      <c r="B352" s="189"/>
      <c r="D352" s="189"/>
      <c r="E352" s="189"/>
    </row>
    <row r="353" spans="1:5" x14ac:dyDescent="0.3">
      <c r="A353" s="205"/>
      <c r="B353" s="189"/>
      <c r="D353" s="189"/>
      <c r="E353" s="189"/>
    </row>
    <row r="354" spans="1:5" x14ac:dyDescent="0.3">
      <c r="A354" s="205"/>
      <c r="B354" s="189"/>
      <c r="D354" s="189"/>
      <c r="E354" s="189"/>
    </row>
    <row r="355" spans="1:5" x14ac:dyDescent="0.3">
      <c r="A355" s="205"/>
      <c r="B355" s="189"/>
      <c r="D355" s="189"/>
      <c r="E355" s="189"/>
    </row>
    <row r="356" spans="1:5" x14ac:dyDescent="0.3">
      <c r="A356" s="205"/>
      <c r="B356" s="189"/>
      <c r="D356" s="189"/>
      <c r="E356" s="189"/>
    </row>
    <row r="357" spans="1:5" x14ac:dyDescent="0.3">
      <c r="A357" s="205"/>
      <c r="B357" s="189"/>
      <c r="D357" s="189"/>
      <c r="E357" s="189"/>
    </row>
    <row r="358" spans="1:5" x14ac:dyDescent="0.3">
      <c r="A358" s="205"/>
      <c r="B358" s="189"/>
      <c r="D358" s="189"/>
      <c r="E358" s="189"/>
    </row>
    <row r="359" spans="1:5" x14ac:dyDescent="0.3">
      <c r="A359" s="205"/>
      <c r="B359" s="189"/>
      <c r="D359" s="189"/>
      <c r="E359" s="189"/>
    </row>
    <row r="360" spans="1:5" x14ac:dyDescent="0.3">
      <c r="A360" s="205"/>
      <c r="B360" s="189"/>
      <c r="D360" s="189"/>
      <c r="E360" s="189"/>
    </row>
    <row r="361" spans="1:5" x14ac:dyDescent="0.3">
      <c r="A361" s="205"/>
      <c r="B361" s="189"/>
      <c r="D361" s="189"/>
      <c r="E361" s="189"/>
    </row>
    <row r="362" spans="1:5" x14ac:dyDescent="0.3">
      <c r="A362" s="205"/>
      <c r="B362" s="189"/>
      <c r="D362" s="189"/>
      <c r="E362" s="189"/>
    </row>
    <row r="363" spans="1:5" x14ac:dyDescent="0.3">
      <c r="A363" s="205"/>
      <c r="B363" s="189"/>
      <c r="D363" s="189"/>
      <c r="E363" s="189"/>
    </row>
    <row r="364" spans="1:5" x14ac:dyDescent="0.3">
      <c r="A364" s="205"/>
      <c r="B364" s="189"/>
      <c r="D364" s="189"/>
      <c r="E364" s="189"/>
    </row>
    <row r="365" spans="1:5" x14ac:dyDescent="0.3">
      <c r="A365" s="205"/>
      <c r="B365" s="189"/>
      <c r="D365" s="189"/>
      <c r="E365" s="189"/>
    </row>
    <row r="366" spans="1:5" x14ac:dyDescent="0.3">
      <c r="A366" s="205"/>
      <c r="B366" s="189"/>
      <c r="D366" s="189"/>
      <c r="E366" s="189"/>
    </row>
    <row r="367" spans="1:5" x14ac:dyDescent="0.3">
      <c r="A367" s="205"/>
      <c r="B367" s="189"/>
      <c r="D367" s="189"/>
      <c r="E367" s="189"/>
    </row>
    <row r="368" spans="1:5" x14ac:dyDescent="0.3">
      <c r="A368" s="205"/>
      <c r="B368" s="189"/>
      <c r="D368" s="189"/>
      <c r="E368" s="189"/>
    </row>
    <row r="369" spans="1:5" x14ac:dyDescent="0.3">
      <c r="A369" s="205"/>
      <c r="B369" s="189"/>
      <c r="D369" s="189"/>
      <c r="E369" s="189"/>
    </row>
    <row r="370" spans="1:5" x14ac:dyDescent="0.3">
      <c r="A370" s="205"/>
      <c r="B370" s="189"/>
      <c r="D370" s="189"/>
      <c r="E370" s="189"/>
    </row>
    <row r="371" spans="1:5" x14ac:dyDescent="0.3">
      <c r="A371" s="205"/>
      <c r="B371" s="189"/>
      <c r="D371" s="189"/>
      <c r="E371" s="189"/>
    </row>
    <row r="372" spans="1:5" x14ac:dyDescent="0.3">
      <c r="A372" s="205"/>
      <c r="B372" s="189"/>
      <c r="D372" s="189"/>
      <c r="E372" s="189"/>
    </row>
    <row r="373" spans="1:5" x14ac:dyDescent="0.3">
      <c r="A373" s="205"/>
      <c r="B373" s="189"/>
      <c r="D373" s="189"/>
      <c r="E373" s="189"/>
    </row>
    <row r="374" spans="1:5" x14ac:dyDescent="0.3">
      <c r="A374" s="205"/>
      <c r="B374" s="189"/>
      <c r="D374" s="189"/>
      <c r="E374" s="189"/>
    </row>
    <row r="375" spans="1:5" x14ac:dyDescent="0.3">
      <c r="A375" s="205"/>
      <c r="B375" s="189"/>
      <c r="D375" s="189"/>
      <c r="E375" s="189"/>
    </row>
    <row r="376" spans="1:5" x14ac:dyDescent="0.3">
      <c r="A376" s="205"/>
      <c r="B376" s="189"/>
      <c r="D376" s="189"/>
      <c r="E376" s="189"/>
    </row>
    <row r="377" spans="1:5" x14ac:dyDescent="0.3">
      <c r="A377" s="205"/>
      <c r="B377" s="189"/>
      <c r="D377" s="189"/>
      <c r="E377" s="189"/>
    </row>
    <row r="378" spans="1:5" x14ac:dyDescent="0.3">
      <c r="A378" s="205"/>
      <c r="B378" s="189"/>
      <c r="D378" s="189"/>
      <c r="E378" s="189"/>
    </row>
    <row r="379" spans="1:5" x14ac:dyDescent="0.3">
      <c r="A379" s="205"/>
      <c r="B379" s="189"/>
      <c r="D379" s="189"/>
      <c r="E379" s="189"/>
    </row>
    <row r="380" spans="1:5" x14ac:dyDescent="0.3">
      <c r="A380" s="205"/>
      <c r="B380" s="189"/>
      <c r="D380" s="189"/>
      <c r="E380" s="189"/>
    </row>
    <row r="381" spans="1:5" x14ac:dyDescent="0.3">
      <c r="A381" s="205"/>
      <c r="B381" s="189"/>
      <c r="D381" s="189"/>
      <c r="E381" s="189"/>
    </row>
    <row r="382" spans="1:5" x14ac:dyDescent="0.3">
      <c r="A382" s="205"/>
      <c r="B382" s="189"/>
      <c r="D382" s="189"/>
      <c r="E382" s="189"/>
    </row>
    <row r="383" spans="1:5" x14ac:dyDescent="0.3">
      <c r="A383" s="205"/>
      <c r="B383" s="189"/>
      <c r="D383" s="189"/>
      <c r="E383" s="189"/>
    </row>
    <row r="384" spans="1:5" x14ac:dyDescent="0.3">
      <c r="A384" s="205"/>
      <c r="B384" s="189"/>
      <c r="D384" s="189"/>
      <c r="E384" s="189"/>
    </row>
    <row r="385" spans="1:5" x14ac:dyDescent="0.3">
      <c r="A385" s="205"/>
      <c r="B385" s="189"/>
      <c r="D385" s="189"/>
      <c r="E385" s="189"/>
    </row>
    <row r="386" spans="1:5" x14ac:dyDescent="0.3">
      <c r="A386" s="205"/>
      <c r="B386" s="189"/>
      <c r="D386" s="189"/>
      <c r="E386" s="189"/>
    </row>
    <row r="387" spans="1:5" x14ac:dyDescent="0.3">
      <c r="A387" s="205"/>
      <c r="B387" s="189"/>
      <c r="D387" s="189"/>
      <c r="E387" s="189"/>
    </row>
    <row r="388" spans="1:5" x14ac:dyDescent="0.3">
      <c r="A388" s="205"/>
      <c r="B388" s="189"/>
      <c r="D388" s="189"/>
      <c r="E388" s="189"/>
    </row>
    <row r="389" spans="1:5" x14ac:dyDescent="0.3">
      <c r="A389" s="205"/>
      <c r="B389" s="189"/>
      <c r="D389" s="189"/>
      <c r="E389" s="189"/>
    </row>
    <row r="390" spans="1:5" x14ac:dyDescent="0.3">
      <c r="A390" s="205"/>
      <c r="B390" s="189"/>
      <c r="D390" s="189"/>
      <c r="E390" s="189"/>
    </row>
    <row r="391" spans="1:5" x14ac:dyDescent="0.3">
      <c r="A391" s="205"/>
      <c r="B391" s="189"/>
      <c r="D391" s="189"/>
      <c r="E391" s="189"/>
    </row>
    <row r="392" spans="1:5" x14ac:dyDescent="0.3">
      <c r="A392" s="205"/>
      <c r="B392" s="189"/>
      <c r="D392" s="189"/>
      <c r="E392" s="189"/>
    </row>
    <row r="393" spans="1:5" x14ac:dyDescent="0.3">
      <c r="A393" s="205"/>
      <c r="B393" s="189"/>
      <c r="D393" s="189"/>
      <c r="E393" s="189"/>
    </row>
    <row r="394" spans="1:5" x14ac:dyDescent="0.3">
      <c r="A394" s="205"/>
      <c r="B394" s="189"/>
      <c r="D394" s="189"/>
      <c r="E394" s="189"/>
    </row>
    <row r="395" spans="1:5" x14ac:dyDescent="0.3">
      <c r="A395" s="205"/>
      <c r="B395" s="189"/>
      <c r="D395" s="189"/>
      <c r="E395" s="189"/>
    </row>
    <row r="396" spans="1:5" x14ac:dyDescent="0.3">
      <c r="A396" s="205"/>
      <c r="B396" s="189"/>
      <c r="D396" s="189"/>
      <c r="E396" s="189"/>
    </row>
    <row r="397" spans="1:5" x14ac:dyDescent="0.3">
      <c r="A397" s="205"/>
      <c r="B397" s="189"/>
      <c r="D397" s="189"/>
      <c r="E397" s="189"/>
    </row>
    <row r="398" spans="1:5" x14ac:dyDescent="0.3">
      <c r="A398" s="205"/>
      <c r="B398" s="189"/>
      <c r="D398" s="189"/>
      <c r="E398" s="189"/>
    </row>
    <row r="399" spans="1:5" x14ac:dyDescent="0.3">
      <c r="A399" s="205"/>
      <c r="B399" s="189"/>
      <c r="D399" s="189"/>
      <c r="E399" s="189"/>
    </row>
    <row r="400" spans="1:5" x14ac:dyDescent="0.3">
      <c r="A400" s="205"/>
      <c r="B400" s="189"/>
      <c r="D400" s="189"/>
      <c r="E400" s="189"/>
    </row>
    <row r="401" spans="1:5" x14ac:dyDescent="0.3">
      <c r="A401" s="205"/>
      <c r="B401" s="189"/>
      <c r="D401" s="189"/>
      <c r="E401" s="189"/>
    </row>
    <row r="402" spans="1:5" x14ac:dyDescent="0.3">
      <c r="A402" s="205"/>
      <c r="B402" s="189"/>
      <c r="D402" s="189"/>
      <c r="E402" s="189"/>
    </row>
    <row r="403" spans="1:5" x14ac:dyDescent="0.3">
      <c r="A403" s="205"/>
      <c r="B403" s="189"/>
      <c r="D403" s="189"/>
      <c r="E403" s="189"/>
    </row>
    <row r="404" spans="1:5" x14ac:dyDescent="0.3">
      <c r="A404" s="205"/>
      <c r="B404" s="189"/>
      <c r="D404" s="189"/>
      <c r="E404" s="189"/>
    </row>
    <row r="405" spans="1:5" x14ac:dyDescent="0.3">
      <c r="A405" s="205"/>
      <c r="B405" s="189"/>
      <c r="D405" s="189"/>
      <c r="E405" s="189"/>
    </row>
    <row r="406" spans="1:5" x14ac:dyDescent="0.3">
      <c r="A406" s="205"/>
      <c r="B406" s="189"/>
      <c r="D406" s="189"/>
      <c r="E406" s="189"/>
    </row>
    <row r="407" spans="1:5" x14ac:dyDescent="0.3">
      <c r="A407" s="205"/>
      <c r="B407" s="189"/>
      <c r="D407" s="189"/>
      <c r="E407" s="189"/>
    </row>
    <row r="408" spans="1:5" x14ac:dyDescent="0.3">
      <c r="A408" s="205"/>
      <c r="B408" s="189"/>
      <c r="D408" s="189"/>
      <c r="E408" s="189"/>
    </row>
    <row r="409" spans="1:5" x14ac:dyDescent="0.3">
      <c r="A409" s="205"/>
      <c r="B409" s="189"/>
      <c r="D409" s="189"/>
      <c r="E409" s="189"/>
    </row>
    <row r="410" spans="1:5" x14ac:dyDescent="0.3">
      <c r="A410" s="205"/>
      <c r="B410" s="189"/>
      <c r="D410" s="189"/>
      <c r="E410" s="189"/>
    </row>
    <row r="411" spans="1:5" x14ac:dyDescent="0.3">
      <c r="A411" s="205"/>
      <c r="B411" s="189"/>
      <c r="D411" s="189"/>
      <c r="E411" s="189"/>
    </row>
    <row r="412" spans="1:5" x14ac:dyDescent="0.3">
      <c r="A412" s="205"/>
      <c r="B412" s="189"/>
      <c r="D412" s="189"/>
      <c r="E412" s="189"/>
    </row>
    <row r="413" spans="1:5" x14ac:dyDescent="0.3">
      <c r="A413" s="205"/>
      <c r="B413" s="189"/>
      <c r="D413" s="189"/>
      <c r="E413" s="189"/>
    </row>
    <row r="414" spans="1:5" x14ac:dyDescent="0.3">
      <c r="A414" s="205"/>
      <c r="B414" s="189"/>
      <c r="D414" s="189"/>
      <c r="E414" s="189"/>
    </row>
    <row r="415" spans="1:5" x14ac:dyDescent="0.3">
      <c r="A415" s="205"/>
      <c r="B415" s="189"/>
      <c r="D415" s="189"/>
      <c r="E415" s="189"/>
    </row>
    <row r="416" spans="1:5" x14ac:dyDescent="0.3">
      <c r="A416" s="205"/>
      <c r="B416" s="189"/>
      <c r="D416" s="189"/>
      <c r="E416" s="189"/>
    </row>
    <row r="417" spans="1:5" x14ac:dyDescent="0.3">
      <c r="A417" s="205"/>
      <c r="B417" s="189"/>
      <c r="D417" s="189"/>
      <c r="E417" s="189"/>
    </row>
    <row r="418" spans="1:5" x14ac:dyDescent="0.3">
      <c r="A418" s="205"/>
      <c r="B418" s="189"/>
      <c r="D418" s="189"/>
      <c r="E418" s="189"/>
    </row>
    <row r="419" spans="1:5" x14ac:dyDescent="0.3">
      <c r="A419" s="205"/>
      <c r="B419" s="189"/>
      <c r="D419" s="189"/>
      <c r="E419" s="189"/>
    </row>
    <row r="420" spans="1:5" x14ac:dyDescent="0.3">
      <c r="A420" s="205"/>
      <c r="B420" s="189"/>
      <c r="D420" s="189"/>
      <c r="E420" s="189"/>
    </row>
    <row r="421" spans="1:5" x14ac:dyDescent="0.3">
      <c r="A421" s="205"/>
      <c r="B421" s="189"/>
      <c r="D421" s="189"/>
      <c r="E421" s="189"/>
    </row>
    <row r="422" spans="1:5" x14ac:dyDescent="0.3">
      <c r="A422" s="205"/>
      <c r="B422" s="189"/>
      <c r="D422" s="189"/>
      <c r="E422" s="189"/>
    </row>
    <row r="423" spans="1:5" x14ac:dyDescent="0.3">
      <c r="A423" s="205"/>
      <c r="B423" s="189"/>
      <c r="D423" s="189"/>
      <c r="E423" s="189"/>
    </row>
    <row r="424" spans="1:5" x14ac:dyDescent="0.3">
      <c r="A424" s="205"/>
      <c r="B424" s="189"/>
      <c r="D424" s="189"/>
      <c r="E424" s="189"/>
    </row>
    <row r="425" spans="1:5" x14ac:dyDescent="0.3">
      <c r="A425" s="205"/>
      <c r="B425" s="189"/>
      <c r="D425" s="189"/>
      <c r="E425" s="189"/>
    </row>
    <row r="426" spans="1:5" x14ac:dyDescent="0.3">
      <c r="A426" s="205"/>
      <c r="B426" s="189"/>
      <c r="D426" s="189"/>
      <c r="E426" s="189"/>
    </row>
    <row r="427" spans="1:5" x14ac:dyDescent="0.3">
      <c r="A427" s="205"/>
      <c r="B427" s="189"/>
      <c r="D427" s="189"/>
      <c r="E427" s="189"/>
    </row>
    <row r="428" spans="1:5" x14ac:dyDescent="0.3">
      <c r="A428" s="205"/>
      <c r="B428" s="189"/>
      <c r="D428" s="189"/>
      <c r="E428" s="189"/>
    </row>
    <row r="429" spans="1:5" x14ac:dyDescent="0.3">
      <c r="A429" s="205"/>
      <c r="B429" s="189"/>
      <c r="D429" s="189"/>
      <c r="E429" s="189"/>
    </row>
    <row r="430" spans="1:5" x14ac:dyDescent="0.3">
      <c r="A430" s="205"/>
      <c r="B430" s="189"/>
      <c r="D430" s="189"/>
      <c r="E430" s="189"/>
    </row>
    <row r="431" spans="1:5" x14ac:dyDescent="0.3">
      <c r="A431" s="205"/>
      <c r="B431" s="189"/>
      <c r="D431" s="189"/>
      <c r="E431" s="189"/>
    </row>
    <row r="432" spans="1:5" x14ac:dyDescent="0.3">
      <c r="A432" s="205"/>
      <c r="B432" s="189"/>
      <c r="D432" s="189"/>
      <c r="E432" s="189"/>
    </row>
    <row r="433" spans="1:5" x14ac:dyDescent="0.3">
      <c r="A433" s="205"/>
      <c r="B433" s="189"/>
      <c r="D433" s="189"/>
      <c r="E433" s="189"/>
    </row>
    <row r="434" spans="1:5" x14ac:dyDescent="0.3">
      <c r="A434" s="205"/>
      <c r="B434" s="189"/>
      <c r="D434" s="189"/>
      <c r="E434" s="189"/>
    </row>
    <row r="435" spans="1:5" x14ac:dyDescent="0.3">
      <c r="A435" s="205"/>
      <c r="B435" s="189"/>
      <c r="D435" s="189"/>
      <c r="E435" s="189"/>
    </row>
    <row r="436" spans="1:5" x14ac:dyDescent="0.3">
      <c r="A436" s="205"/>
      <c r="B436" s="189"/>
      <c r="D436" s="189"/>
      <c r="E436" s="189"/>
    </row>
    <row r="437" spans="1:5" x14ac:dyDescent="0.3">
      <c r="A437" s="205"/>
      <c r="B437" s="189"/>
      <c r="D437" s="189"/>
      <c r="E437" s="189"/>
    </row>
    <row r="438" spans="1:5" x14ac:dyDescent="0.3">
      <c r="A438" s="205"/>
      <c r="B438" s="189"/>
      <c r="D438" s="189"/>
      <c r="E438" s="189"/>
    </row>
    <row r="439" spans="1:5" x14ac:dyDescent="0.3">
      <c r="A439" s="205"/>
      <c r="B439" s="189"/>
      <c r="D439" s="189"/>
      <c r="E439" s="189"/>
    </row>
    <row r="440" spans="1:5" x14ac:dyDescent="0.3">
      <c r="A440" s="205"/>
      <c r="B440" s="189"/>
      <c r="D440" s="189"/>
      <c r="E440" s="189"/>
    </row>
    <row r="441" spans="1:5" x14ac:dyDescent="0.3">
      <c r="A441" s="205"/>
      <c r="B441" s="189"/>
      <c r="D441" s="189"/>
      <c r="E441" s="189"/>
    </row>
    <row r="442" spans="1:5" x14ac:dyDescent="0.3">
      <c r="A442" s="205"/>
      <c r="B442" s="189"/>
      <c r="D442" s="189"/>
      <c r="E442" s="189"/>
    </row>
    <row r="443" spans="1:5" x14ac:dyDescent="0.3">
      <c r="A443" s="205"/>
      <c r="B443" s="189"/>
      <c r="D443" s="189"/>
      <c r="E443" s="189"/>
    </row>
    <row r="444" spans="1:5" x14ac:dyDescent="0.3">
      <c r="A444" s="205"/>
      <c r="B444" s="189"/>
      <c r="D444" s="189"/>
      <c r="E444" s="189"/>
    </row>
    <row r="445" spans="1:5" x14ac:dyDescent="0.3">
      <c r="A445" s="205"/>
      <c r="B445" s="189"/>
      <c r="D445" s="189"/>
      <c r="E445" s="189"/>
    </row>
    <row r="446" spans="1:5" x14ac:dyDescent="0.3">
      <c r="A446" s="205"/>
      <c r="B446" s="189"/>
      <c r="D446" s="189"/>
      <c r="E446" s="189"/>
    </row>
    <row r="447" spans="1:5" x14ac:dyDescent="0.3">
      <c r="A447" s="205"/>
      <c r="B447" s="189"/>
      <c r="D447" s="189"/>
      <c r="E447" s="189"/>
    </row>
    <row r="448" spans="1:5" x14ac:dyDescent="0.3">
      <c r="A448" s="205"/>
      <c r="B448" s="189"/>
      <c r="D448" s="189"/>
      <c r="E448" s="189"/>
    </row>
    <row r="449" spans="1:5" x14ac:dyDescent="0.3">
      <c r="A449" s="205"/>
      <c r="B449" s="189"/>
      <c r="D449" s="189"/>
      <c r="E449" s="189"/>
    </row>
    <row r="450" spans="1:5" x14ac:dyDescent="0.3">
      <c r="A450" s="205"/>
      <c r="B450" s="189"/>
      <c r="D450" s="189"/>
      <c r="E450" s="189"/>
    </row>
    <row r="451" spans="1:5" x14ac:dyDescent="0.3">
      <c r="A451" s="205"/>
      <c r="B451" s="189"/>
      <c r="D451" s="189"/>
      <c r="E451" s="189"/>
    </row>
    <row r="452" spans="1:5" x14ac:dyDescent="0.3">
      <c r="A452" s="205"/>
      <c r="B452" s="189"/>
      <c r="D452" s="189"/>
      <c r="E452" s="189"/>
    </row>
    <row r="453" spans="1:5" x14ac:dyDescent="0.3">
      <c r="A453" s="205"/>
      <c r="B453" s="189"/>
      <c r="D453" s="189"/>
      <c r="E453" s="189"/>
    </row>
    <row r="454" spans="1:5" x14ac:dyDescent="0.3">
      <c r="A454" s="205"/>
      <c r="B454" s="189"/>
      <c r="D454" s="189"/>
      <c r="E454" s="189"/>
    </row>
    <row r="455" spans="1:5" x14ac:dyDescent="0.3">
      <c r="A455" s="205"/>
      <c r="B455" s="189"/>
      <c r="D455" s="189"/>
      <c r="E455" s="189"/>
    </row>
    <row r="456" spans="1:5" x14ac:dyDescent="0.3">
      <c r="A456" s="205"/>
      <c r="B456" s="189"/>
      <c r="D456" s="189"/>
      <c r="E456" s="189"/>
    </row>
    <row r="457" spans="1:5" x14ac:dyDescent="0.3">
      <c r="A457" s="205"/>
      <c r="B457" s="189"/>
      <c r="D457" s="189"/>
      <c r="E457" s="189"/>
    </row>
    <row r="458" spans="1:5" x14ac:dyDescent="0.3">
      <c r="A458" s="205"/>
      <c r="B458" s="189"/>
      <c r="D458" s="189"/>
      <c r="E458" s="189"/>
    </row>
    <row r="459" spans="1:5" x14ac:dyDescent="0.3">
      <c r="A459" s="205"/>
      <c r="B459" s="189"/>
      <c r="D459" s="189"/>
      <c r="E459" s="189"/>
    </row>
    <row r="460" spans="1:5" x14ac:dyDescent="0.3">
      <c r="A460" s="205"/>
      <c r="B460" s="189"/>
      <c r="D460" s="189"/>
      <c r="E460" s="189"/>
    </row>
    <row r="461" spans="1:5" x14ac:dyDescent="0.3">
      <c r="A461" s="205"/>
      <c r="B461" s="189"/>
      <c r="D461" s="189"/>
      <c r="E461" s="189"/>
    </row>
    <row r="462" spans="1:5" x14ac:dyDescent="0.3">
      <c r="A462" s="205"/>
      <c r="B462" s="189"/>
      <c r="D462" s="189"/>
      <c r="E462" s="189"/>
    </row>
    <row r="463" spans="1:5" x14ac:dyDescent="0.3">
      <c r="A463" s="205"/>
      <c r="B463" s="189"/>
      <c r="D463" s="189"/>
      <c r="E463" s="189"/>
    </row>
    <row r="464" spans="1:5" x14ac:dyDescent="0.3">
      <c r="A464" s="205"/>
      <c r="B464" s="189"/>
      <c r="D464" s="189"/>
      <c r="E464" s="189"/>
    </row>
    <row r="465" spans="1:5" x14ac:dyDescent="0.3">
      <c r="A465" s="205"/>
      <c r="B465" s="189"/>
      <c r="D465" s="189"/>
      <c r="E465" s="189"/>
    </row>
    <row r="466" spans="1:5" x14ac:dyDescent="0.3">
      <c r="A466" s="205"/>
      <c r="B466" s="189"/>
      <c r="D466" s="189"/>
      <c r="E466" s="189"/>
    </row>
    <row r="467" spans="1:5" x14ac:dyDescent="0.3">
      <c r="A467" s="205"/>
      <c r="B467" s="189"/>
      <c r="D467" s="189"/>
      <c r="E467" s="189"/>
    </row>
    <row r="468" spans="1:5" x14ac:dyDescent="0.3">
      <c r="A468" s="205"/>
      <c r="B468" s="189"/>
      <c r="D468" s="189"/>
      <c r="E468" s="189"/>
    </row>
    <row r="469" spans="1:5" x14ac:dyDescent="0.3">
      <c r="A469" s="205"/>
      <c r="B469" s="189"/>
      <c r="D469" s="189"/>
      <c r="E469" s="189"/>
    </row>
    <row r="470" spans="1:5" x14ac:dyDescent="0.3">
      <c r="A470" s="205"/>
      <c r="B470" s="189"/>
      <c r="D470" s="189"/>
      <c r="E470" s="189"/>
    </row>
    <row r="471" spans="1:5" x14ac:dyDescent="0.3">
      <c r="A471" s="205"/>
      <c r="B471" s="189"/>
      <c r="D471" s="189"/>
      <c r="E471" s="189"/>
    </row>
    <row r="472" spans="1:5" x14ac:dyDescent="0.3">
      <c r="A472" s="205"/>
      <c r="B472" s="189"/>
      <c r="D472" s="189"/>
      <c r="E472" s="189"/>
    </row>
    <row r="473" spans="1:5" x14ac:dyDescent="0.3">
      <c r="A473" s="205"/>
      <c r="B473" s="189"/>
      <c r="D473" s="189"/>
      <c r="E473" s="189"/>
    </row>
    <row r="474" spans="1:5" x14ac:dyDescent="0.3">
      <c r="A474" s="205"/>
      <c r="B474" s="189"/>
      <c r="D474" s="189"/>
      <c r="E474" s="189"/>
    </row>
    <row r="475" spans="1:5" x14ac:dyDescent="0.3">
      <c r="A475" s="205"/>
      <c r="B475" s="189"/>
      <c r="D475" s="189"/>
      <c r="E475" s="189"/>
    </row>
    <row r="476" spans="1:5" x14ac:dyDescent="0.3">
      <c r="A476" s="205"/>
      <c r="B476" s="189"/>
      <c r="D476" s="189"/>
      <c r="E476" s="189"/>
    </row>
    <row r="477" spans="1:5" x14ac:dyDescent="0.3">
      <c r="A477" s="205"/>
      <c r="B477" s="189"/>
      <c r="D477" s="189"/>
      <c r="E477" s="189"/>
    </row>
    <row r="478" spans="1:5" x14ac:dyDescent="0.3">
      <c r="A478" s="205"/>
      <c r="B478" s="189"/>
      <c r="D478" s="189"/>
      <c r="E478" s="189"/>
    </row>
    <row r="479" spans="1:5" x14ac:dyDescent="0.3">
      <c r="A479" s="205"/>
      <c r="B479" s="189"/>
      <c r="D479" s="189"/>
      <c r="E479" s="189"/>
    </row>
    <row r="480" spans="1:5" x14ac:dyDescent="0.3">
      <c r="A480" s="205"/>
      <c r="B480" s="189"/>
      <c r="D480" s="189"/>
      <c r="E480" s="189"/>
    </row>
    <row r="481" spans="1:5" x14ac:dyDescent="0.3">
      <c r="A481" s="205"/>
      <c r="B481" s="189"/>
      <c r="D481" s="189"/>
      <c r="E481" s="189"/>
    </row>
    <row r="482" spans="1:5" x14ac:dyDescent="0.3">
      <c r="A482" s="205"/>
      <c r="B482" s="189"/>
      <c r="D482" s="189"/>
      <c r="E482" s="189"/>
    </row>
    <row r="483" spans="1:5" x14ac:dyDescent="0.3">
      <c r="A483" s="205"/>
      <c r="B483" s="189"/>
      <c r="D483" s="189"/>
      <c r="E483" s="189"/>
    </row>
    <row r="484" spans="1:5" x14ac:dyDescent="0.3">
      <c r="A484" s="205"/>
      <c r="B484" s="189"/>
      <c r="D484" s="189"/>
      <c r="E484" s="189"/>
    </row>
    <row r="485" spans="1:5" x14ac:dyDescent="0.3">
      <c r="A485" s="205"/>
      <c r="B485" s="189"/>
      <c r="D485" s="189"/>
      <c r="E485" s="189"/>
    </row>
    <row r="486" spans="1:5" x14ac:dyDescent="0.3">
      <c r="A486" s="205"/>
      <c r="B486" s="189"/>
      <c r="D486" s="189"/>
      <c r="E486" s="189"/>
    </row>
    <row r="487" spans="1:5" x14ac:dyDescent="0.3">
      <c r="A487" s="205"/>
      <c r="B487" s="189"/>
      <c r="D487" s="189"/>
      <c r="E487" s="189"/>
    </row>
    <row r="488" spans="1:5" x14ac:dyDescent="0.3">
      <c r="A488" s="205"/>
      <c r="B488" s="189"/>
      <c r="D488" s="189"/>
      <c r="E488" s="189"/>
    </row>
    <row r="489" spans="1:5" x14ac:dyDescent="0.3">
      <c r="A489" s="205"/>
      <c r="B489" s="189"/>
      <c r="D489" s="189"/>
      <c r="E489" s="189"/>
    </row>
    <row r="490" spans="1:5" x14ac:dyDescent="0.3">
      <c r="A490" s="205"/>
      <c r="B490" s="189"/>
      <c r="D490" s="189"/>
      <c r="E490" s="189"/>
    </row>
    <row r="491" spans="1:5" x14ac:dyDescent="0.3">
      <c r="A491" s="205"/>
      <c r="B491" s="189"/>
      <c r="D491" s="189"/>
      <c r="E491" s="189"/>
    </row>
    <row r="492" spans="1:5" x14ac:dyDescent="0.3">
      <c r="A492" s="205"/>
      <c r="B492" s="189"/>
      <c r="D492" s="189"/>
      <c r="E492" s="189"/>
    </row>
    <row r="493" spans="1:5" x14ac:dyDescent="0.3">
      <c r="A493" s="205"/>
      <c r="B493" s="189"/>
      <c r="D493" s="189"/>
      <c r="E493" s="189"/>
    </row>
    <row r="494" spans="1:5" x14ac:dyDescent="0.3">
      <c r="A494" s="205"/>
      <c r="B494" s="189"/>
      <c r="D494" s="189"/>
      <c r="E494" s="189"/>
    </row>
    <row r="495" spans="1:5" x14ac:dyDescent="0.3">
      <c r="A495" s="205"/>
      <c r="B495" s="189"/>
      <c r="D495" s="189"/>
      <c r="E495" s="189"/>
    </row>
    <row r="496" spans="1:5" x14ac:dyDescent="0.3">
      <c r="A496" s="205"/>
      <c r="B496" s="189"/>
      <c r="D496" s="189"/>
      <c r="E496" s="189"/>
    </row>
    <row r="497" spans="1:5" x14ac:dyDescent="0.3">
      <c r="A497" s="205"/>
      <c r="B497" s="189"/>
      <c r="D497" s="189"/>
      <c r="E497" s="189"/>
    </row>
    <row r="498" spans="1:5" x14ac:dyDescent="0.3">
      <c r="A498" s="205"/>
      <c r="B498" s="189"/>
      <c r="D498" s="189"/>
      <c r="E498" s="189"/>
    </row>
    <row r="499" spans="1:5" x14ac:dyDescent="0.3">
      <c r="A499" s="205"/>
      <c r="B499" s="189"/>
      <c r="D499" s="189"/>
      <c r="E499" s="189"/>
    </row>
    <row r="500" spans="1:5" x14ac:dyDescent="0.3">
      <c r="A500" s="205"/>
      <c r="B500" s="189"/>
      <c r="D500" s="189"/>
      <c r="E500" s="189"/>
    </row>
    <row r="501" spans="1:5" x14ac:dyDescent="0.3">
      <c r="A501" s="205"/>
      <c r="B501" s="189"/>
      <c r="D501" s="189"/>
      <c r="E501" s="189"/>
    </row>
    <row r="502" spans="1:5" x14ac:dyDescent="0.3">
      <c r="A502" s="205"/>
      <c r="B502" s="189"/>
      <c r="D502" s="189"/>
      <c r="E502" s="189"/>
    </row>
    <row r="503" spans="1:5" x14ac:dyDescent="0.3">
      <c r="A503" s="205"/>
      <c r="B503" s="189"/>
      <c r="D503" s="189"/>
      <c r="E503" s="189"/>
    </row>
    <row r="504" spans="1:5" x14ac:dyDescent="0.3">
      <c r="A504" s="205"/>
      <c r="B504" s="189"/>
      <c r="D504" s="189"/>
      <c r="E504" s="189"/>
    </row>
    <row r="505" spans="1:5" x14ac:dyDescent="0.3">
      <c r="A505" s="205"/>
      <c r="B505" s="189"/>
      <c r="D505" s="189"/>
      <c r="E505" s="189"/>
    </row>
    <row r="506" spans="1:5" x14ac:dyDescent="0.3">
      <c r="A506" s="205"/>
      <c r="B506" s="189"/>
      <c r="D506" s="189"/>
      <c r="E506" s="189"/>
    </row>
    <row r="507" spans="1:5" x14ac:dyDescent="0.3">
      <c r="A507" s="205"/>
      <c r="B507" s="189"/>
      <c r="D507" s="189"/>
      <c r="E507" s="189"/>
    </row>
    <row r="508" spans="1:5" x14ac:dyDescent="0.3">
      <c r="A508" s="205"/>
      <c r="B508" s="189"/>
      <c r="D508" s="189"/>
      <c r="E508" s="189"/>
    </row>
    <row r="509" spans="1:5" x14ac:dyDescent="0.3">
      <c r="A509" s="205"/>
      <c r="B509" s="189"/>
      <c r="D509" s="189"/>
      <c r="E509" s="189"/>
    </row>
    <row r="510" spans="1:5" x14ac:dyDescent="0.3">
      <c r="A510" s="205"/>
      <c r="B510" s="189"/>
      <c r="D510" s="189"/>
      <c r="E510" s="189"/>
    </row>
    <row r="511" spans="1:5" x14ac:dyDescent="0.3">
      <c r="A511" s="205"/>
      <c r="B511" s="189"/>
      <c r="D511" s="189"/>
      <c r="E511" s="189"/>
    </row>
    <row r="512" spans="1:5" x14ac:dyDescent="0.3">
      <c r="A512" s="205"/>
      <c r="B512" s="189"/>
      <c r="D512" s="189"/>
      <c r="E512" s="189"/>
    </row>
    <row r="513" spans="1:5" x14ac:dyDescent="0.3">
      <c r="A513" s="205"/>
      <c r="B513" s="189"/>
      <c r="D513" s="189"/>
      <c r="E513" s="189"/>
    </row>
    <row r="514" spans="1:5" x14ac:dyDescent="0.3">
      <c r="A514" s="205"/>
      <c r="B514" s="189"/>
      <c r="D514" s="189"/>
      <c r="E514" s="189"/>
    </row>
    <row r="515" spans="1:5" x14ac:dyDescent="0.3">
      <c r="A515" s="205"/>
      <c r="B515" s="189"/>
      <c r="D515" s="189"/>
      <c r="E515" s="189"/>
    </row>
    <row r="516" spans="1:5" x14ac:dyDescent="0.3">
      <c r="A516" s="205"/>
      <c r="B516" s="189"/>
      <c r="D516" s="189"/>
      <c r="E516" s="189"/>
    </row>
    <row r="517" spans="1:5" x14ac:dyDescent="0.3">
      <c r="A517" s="205"/>
      <c r="B517" s="189"/>
      <c r="D517" s="189"/>
      <c r="E517" s="189"/>
    </row>
    <row r="518" spans="1:5" x14ac:dyDescent="0.3">
      <c r="A518" s="205"/>
      <c r="B518" s="189"/>
      <c r="D518" s="189"/>
      <c r="E518" s="189"/>
    </row>
    <row r="519" spans="1:5" x14ac:dyDescent="0.3">
      <c r="A519" s="205"/>
      <c r="B519" s="189"/>
      <c r="D519" s="189"/>
      <c r="E519" s="189"/>
    </row>
    <row r="520" spans="1:5" x14ac:dyDescent="0.3">
      <c r="A520" s="205"/>
      <c r="B520" s="189"/>
      <c r="D520" s="189"/>
      <c r="E520" s="189"/>
    </row>
    <row r="521" spans="1:5" x14ac:dyDescent="0.3">
      <c r="A521" s="205"/>
      <c r="B521" s="189"/>
      <c r="D521" s="189"/>
      <c r="E521" s="189"/>
    </row>
    <row r="522" spans="1:5" x14ac:dyDescent="0.3">
      <c r="A522" s="205"/>
      <c r="B522" s="189"/>
      <c r="D522" s="189"/>
      <c r="E522" s="189"/>
    </row>
    <row r="523" spans="1:5" x14ac:dyDescent="0.3">
      <c r="A523" s="205"/>
      <c r="B523" s="189"/>
      <c r="D523" s="189"/>
      <c r="E523" s="189"/>
    </row>
    <row r="524" spans="1:5" x14ac:dyDescent="0.3">
      <c r="A524" s="205"/>
      <c r="B524" s="189"/>
      <c r="D524" s="189"/>
      <c r="E524" s="189"/>
    </row>
    <row r="525" spans="1:5" x14ac:dyDescent="0.3">
      <c r="A525" s="205"/>
      <c r="B525" s="189"/>
      <c r="D525" s="189"/>
      <c r="E525" s="189"/>
    </row>
    <row r="526" spans="1:5" x14ac:dyDescent="0.3">
      <c r="A526" s="205"/>
      <c r="B526" s="189"/>
      <c r="D526" s="189"/>
      <c r="E526" s="189"/>
    </row>
    <row r="527" spans="1:5" x14ac:dyDescent="0.3">
      <c r="A527" s="205"/>
      <c r="B527" s="189"/>
      <c r="D527" s="189"/>
      <c r="E527" s="189"/>
    </row>
    <row r="528" spans="1:5" x14ac:dyDescent="0.3">
      <c r="A528" s="205"/>
      <c r="B528" s="189"/>
      <c r="D528" s="189"/>
      <c r="E528" s="189"/>
    </row>
    <row r="529" spans="1:5" x14ac:dyDescent="0.3">
      <c r="A529" s="205"/>
      <c r="B529" s="189"/>
      <c r="D529" s="189"/>
      <c r="E529" s="189"/>
    </row>
    <row r="530" spans="1:5" x14ac:dyDescent="0.3">
      <c r="A530" s="205"/>
      <c r="B530" s="189"/>
      <c r="D530" s="189"/>
      <c r="E530" s="189"/>
    </row>
    <row r="531" spans="1:5" x14ac:dyDescent="0.3">
      <c r="A531" s="205"/>
      <c r="B531" s="189"/>
      <c r="D531" s="189"/>
      <c r="E531" s="189"/>
    </row>
    <row r="532" spans="1:5" x14ac:dyDescent="0.3">
      <c r="A532" s="205"/>
      <c r="B532" s="189"/>
      <c r="D532" s="189"/>
      <c r="E532" s="189"/>
    </row>
    <row r="533" spans="1:5" x14ac:dyDescent="0.3">
      <c r="A533" s="205"/>
      <c r="B533" s="189"/>
      <c r="D533" s="189"/>
      <c r="E533" s="189"/>
    </row>
    <row r="534" spans="1:5" x14ac:dyDescent="0.3">
      <c r="A534" s="205"/>
      <c r="B534" s="189"/>
      <c r="D534" s="189"/>
      <c r="E534" s="189"/>
    </row>
    <row r="535" spans="1:5" x14ac:dyDescent="0.3">
      <c r="A535" s="205"/>
      <c r="B535" s="189"/>
      <c r="D535" s="189"/>
      <c r="E535" s="189"/>
    </row>
    <row r="536" spans="1:5" x14ac:dyDescent="0.3">
      <c r="A536" s="205"/>
      <c r="B536" s="189"/>
      <c r="D536" s="189"/>
      <c r="E536" s="189"/>
    </row>
    <row r="537" spans="1:5" x14ac:dyDescent="0.3">
      <c r="A537" s="205"/>
      <c r="B537" s="189"/>
      <c r="D537" s="189"/>
      <c r="E537" s="189"/>
    </row>
    <row r="538" spans="1:5" x14ac:dyDescent="0.3">
      <c r="A538" s="205"/>
      <c r="B538" s="189"/>
      <c r="D538" s="189"/>
      <c r="E538" s="189"/>
    </row>
    <row r="539" spans="1:5" x14ac:dyDescent="0.3">
      <c r="A539" s="205"/>
      <c r="B539" s="189"/>
      <c r="D539" s="189"/>
      <c r="E539" s="189"/>
    </row>
    <row r="540" spans="1:5" x14ac:dyDescent="0.3">
      <c r="A540" s="205"/>
      <c r="B540" s="189"/>
      <c r="D540" s="189"/>
      <c r="E540" s="189"/>
    </row>
    <row r="541" spans="1:5" x14ac:dyDescent="0.3">
      <c r="A541" s="205"/>
      <c r="B541" s="189"/>
      <c r="D541" s="189"/>
      <c r="E541" s="189"/>
    </row>
    <row r="542" spans="1:5" x14ac:dyDescent="0.3">
      <c r="A542" s="205"/>
      <c r="B542" s="189"/>
      <c r="D542" s="189"/>
      <c r="E542" s="189"/>
    </row>
    <row r="543" spans="1:5" x14ac:dyDescent="0.3">
      <c r="A543" s="205"/>
      <c r="B543" s="189"/>
      <c r="D543" s="189"/>
      <c r="E543" s="189"/>
    </row>
    <row r="544" spans="1:5" x14ac:dyDescent="0.3">
      <c r="A544" s="205"/>
      <c r="B544" s="189"/>
      <c r="D544" s="189"/>
      <c r="E544" s="189"/>
    </row>
    <row r="545" spans="1:5" x14ac:dyDescent="0.3">
      <c r="A545" s="205"/>
      <c r="B545" s="189"/>
      <c r="D545" s="189"/>
      <c r="E545" s="189"/>
    </row>
    <row r="546" spans="1:5" x14ac:dyDescent="0.3">
      <c r="A546" s="205"/>
      <c r="B546" s="189"/>
      <c r="D546" s="189"/>
      <c r="E546" s="189"/>
    </row>
    <row r="547" spans="1:5" x14ac:dyDescent="0.3">
      <c r="A547" s="205"/>
      <c r="B547" s="189"/>
      <c r="D547" s="189"/>
      <c r="E547" s="189"/>
    </row>
    <row r="548" spans="1:5" x14ac:dyDescent="0.3">
      <c r="A548" s="205"/>
      <c r="B548" s="189"/>
      <c r="D548" s="189"/>
      <c r="E548" s="189"/>
    </row>
    <row r="549" spans="1:5" x14ac:dyDescent="0.3">
      <c r="A549" s="205"/>
      <c r="B549" s="189"/>
      <c r="D549" s="189"/>
      <c r="E549" s="189"/>
    </row>
    <row r="550" spans="1:5" x14ac:dyDescent="0.3">
      <c r="A550" s="205"/>
      <c r="B550" s="189"/>
      <c r="D550" s="189"/>
      <c r="E550" s="189"/>
    </row>
    <row r="551" spans="1:5" x14ac:dyDescent="0.3">
      <c r="A551" s="205"/>
      <c r="B551" s="189"/>
      <c r="D551" s="189"/>
      <c r="E551" s="189"/>
    </row>
    <row r="552" spans="1:5" x14ac:dyDescent="0.3">
      <c r="A552" s="205"/>
      <c r="B552" s="189"/>
      <c r="D552" s="189"/>
      <c r="E552" s="189"/>
    </row>
    <row r="553" spans="1:5" x14ac:dyDescent="0.3">
      <c r="A553" s="205"/>
      <c r="B553" s="189"/>
      <c r="D553" s="189"/>
      <c r="E553" s="189"/>
    </row>
    <row r="554" spans="1:5" x14ac:dyDescent="0.3">
      <c r="A554" s="205"/>
      <c r="B554" s="189"/>
      <c r="D554" s="189"/>
      <c r="E554" s="189"/>
    </row>
    <row r="555" spans="1:5" x14ac:dyDescent="0.3">
      <c r="A555" s="205"/>
      <c r="B555" s="189"/>
      <c r="D555" s="189"/>
      <c r="E555" s="189"/>
    </row>
    <row r="556" spans="1:5" x14ac:dyDescent="0.3">
      <c r="A556" s="205"/>
      <c r="B556" s="189"/>
      <c r="D556" s="189"/>
      <c r="E556" s="189"/>
    </row>
    <row r="557" spans="1:5" x14ac:dyDescent="0.3">
      <c r="A557" s="205"/>
      <c r="B557" s="189"/>
      <c r="D557" s="189"/>
      <c r="E557" s="189"/>
    </row>
    <row r="558" spans="1:5" x14ac:dyDescent="0.3">
      <c r="A558" s="205"/>
      <c r="B558" s="189"/>
      <c r="D558" s="189"/>
      <c r="E558" s="189"/>
    </row>
    <row r="559" spans="1:5" x14ac:dyDescent="0.3">
      <c r="A559" s="205"/>
      <c r="B559" s="189"/>
      <c r="D559" s="189"/>
      <c r="E559" s="189"/>
    </row>
    <row r="560" spans="1:5" x14ac:dyDescent="0.3">
      <c r="A560" s="205"/>
      <c r="B560" s="189"/>
      <c r="D560" s="189"/>
      <c r="E560" s="189"/>
    </row>
    <row r="561" spans="1:5" x14ac:dyDescent="0.3">
      <c r="A561" s="205"/>
      <c r="B561" s="189"/>
      <c r="D561" s="189"/>
      <c r="E561" s="189"/>
    </row>
    <row r="562" spans="1:5" x14ac:dyDescent="0.3">
      <c r="A562" s="205"/>
      <c r="B562" s="189"/>
      <c r="D562" s="189"/>
      <c r="E562" s="189"/>
    </row>
    <row r="563" spans="1:5" x14ac:dyDescent="0.3">
      <c r="A563" s="205"/>
      <c r="B563" s="189"/>
      <c r="D563" s="189"/>
      <c r="E563" s="189"/>
    </row>
    <row r="564" spans="1:5" x14ac:dyDescent="0.3">
      <c r="A564" s="205"/>
      <c r="B564" s="189"/>
      <c r="D564" s="189"/>
      <c r="E564" s="189"/>
    </row>
    <row r="565" spans="1:5" x14ac:dyDescent="0.3">
      <c r="A565" s="205"/>
      <c r="B565" s="189"/>
      <c r="D565" s="189"/>
      <c r="E565" s="189"/>
    </row>
    <row r="566" spans="1:5" x14ac:dyDescent="0.3">
      <c r="A566" s="205"/>
      <c r="B566" s="189"/>
      <c r="D566" s="189"/>
      <c r="E566" s="189"/>
    </row>
    <row r="567" spans="1:5" x14ac:dyDescent="0.3">
      <c r="A567" s="205"/>
      <c r="B567" s="189"/>
      <c r="D567" s="189"/>
      <c r="E567" s="189"/>
    </row>
    <row r="568" spans="1:5" x14ac:dyDescent="0.3">
      <c r="A568" s="205"/>
      <c r="B568" s="189"/>
      <c r="D568" s="189"/>
      <c r="E568" s="189"/>
    </row>
    <row r="569" spans="1:5" x14ac:dyDescent="0.3">
      <c r="A569" s="205"/>
      <c r="B569" s="189"/>
      <c r="D569" s="189"/>
      <c r="E569" s="189"/>
    </row>
    <row r="570" spans="1:5" x14ac:dyDescent="0.3">
      <c r="A570" s="205"/>
      <c r="B570" s="189"/>
      <c r="D570" s="189"/>
      <c r="E570" s="189"/>
    </row>
    <row r="571" spans="1:5" x14ac:dyDescent="0.3">
      <c r="A571" s="205"/>
      <c r="B571" s="189"/>
      <c r="D571" s="189"/>
      <c r="E571" s="189"/>
    </row>
    <row r="572" spans="1:5" x14ac:dyDescent="0.3">
      <c r="A572" s="205"/>
      <c r="B572" s="189"/>
      <c r="D572" s="189"/>
      <c r="E572" s="189"/>
    </row>
    <row r="573" spans="1:5" x14ac:dyDescent="0.3">
      <c r="A573" s="205"/>
      <c r="B573" s="189"/>
      <c r="D573" s="189"/>
      <c r="E573" s="189"/>
    </row>
    <row r="574" spans="1:5" x14ac:dyDescent="0.3">
      <c r="A574" s="205"/>
      <c r="B574" s="189"/>
      <c r="D574" s="189"/>
      <c r="E574" s="189"/>
    </row>
    <row r="575" spans="1:5" x14ac:dyDescent="0.3">
      <c r="A575" s="205"/>
      <c r="B575" s="189"/>
      <c r="D575" s="189"/>
      <c r="E575" s="189"/>
    </row>
    <row r="576" spans="1:5" x14ac:dyDescent="0.3">
      <c r="A576" s="205"/>
      <c r="B576" s="189"/>
      <c r="D576" s="189"/>
      <c r="E576" s="189"/>
    </row>
    <row r="577" spans="1:5" x14ac:dyDescent="0.3">
      <c r="A577" s="205"/>
      <c r="B577" s="189"/>
      <c r="D577" s="189"/>
      <c r="E577" s="189"/>
    </row>
    <row r="578" spans="1:5" x14ac:dyDescent="0.3">
      <c r="A578" s="205"/>
      <c r="B578" s="189"/>
      <c r="D578" s="189"/>
      <c r="E578" s="189"/>
    </row>
    <row r="579" spans="1:5" x14ac:dyDescent="0.3">
      <c r="A579" s="205"/>
      <c r="B579" s="189"/>
      <c r="D579" s="189"/>
      <c r="E579" s="189"/>
    </row>
    <row r="580" spans="1:5" x14ac:dyDescent="0.3">
      <c r="A580" s="205"/>
      <c r="B580" s="189"/>
      <c r="D580" s="189"/>
      <c r="E580" s="189"/>
    </row>
    <row r="581" spans="1:5" x14ac:dyDescent="0.3">
      <c r="A581" s="205"/>
      <c r="B581" s="189"/>
      <c r="D581" s="189"/>
      <c r="E581" s="189"/>
    </row>
    <row r="582" spans="1:5" x14ac:dyDescent="0.3">
      <c r="A582" s="205"/>
      <c r="B582" s="189"/>
      <c r="D582" s="189"/>
      <c r="E582" s="189"/>
    </row>
    <row r="583" spans="1:5" x14ac:dyDescent="0.3">
      <c r="A583" s="205"/>
      <c r="B583" s="189"/>
      <c r="D583" s="189"/>
      <c r="E583" s="189"/>
    </row>
    <row r="584" spans="1:5" x14ac:dyDescent="0.3">
      <c r="A584" s="205"/>
      <c r="B584" s="189"/>
      <c r="D584" s="189"/>
      <c r="E584" s="189"/>
    </row>
    <row r="585" spans="1:5" x14ac:dyDescent="0.3">
      <c r="A585" s="205"/>
      <c r="B585" s="189"/>
      <c r="D585" s="189"/>
      <c r="E585" s="189"/>
    </row>
    <row r="586" spans="1:5" x14ac:dyDescent="0.3">
      <c r="A586" s="205"/>
      <c r="B586" s="189"/>
      <c r="D586" s="189"/>
      <c r="E586" s="189"/>
    </row>
    <row r="587" spans="1:5" x14ac:dyDescent="0.3">
      <c r="A587" s="205"/>
      <c r="B587" s="189"/>
      <c r="D587" s="189"/>
      <c r="E587" s="189"/>
    </row>
    <row r="588" spans="1:5" x14ac:dyDescent="0.3">
      <c r="A588" s="205"/>
      <c r="B588" s="189"/>
      <c r="D588" s="189"/>
      <c r="E588" s="189"/>
    </row>
    <row r="589" spans="1:5" x14ac:dyDescent="0.3">
      <c r="A589" s="205"/>
      <c r="B589" s="189"/>
      <c r="D589" s="189"/>
      <c r="E589" s="189"/>
    </row>
    <row r="590" spans="1:5" x14ac:dyDescent="0.3">
      <c r="A590" s="205"/>
      <c r="B590" s="189"/>
      <c r="D590" s="189"/>
      <c r="E590" s="189"/>
    </row>
    <row r="591" spans="1:5" x14ac:dyDescent="0.3">
      <c r="A591" s="205"/>
      <c r="B591" s="189"/>
      <c r="D591" s="189"/>
      <c r="E591" s="189"/>
    </row>
    <row r="592" spans="1:5" x14ac:dyDescent="0.3">
      <c r="A592" s="205"/>
      <c r="B592" s="189"/>
      <c r="D592" s="189"/>
      <c r="E592" s="189"/>
    </row>
    <row r="593" spans="1:5" x14ac:dyDescent="0.3">
      <c r="A593" s="205"/>
      <c r="B593" s="189"/>
      <c r="D593" s="189"/>
      <c r="E593" s="189"/>
    </row>
    <row r="594" spans="1:5" x14ac:dyDescent="0.3">
      <c r="A594" s="205"/>
      <c r="B594" s="189"/>
      <c r="D594" s="189"/>
      <c r="E594" s="189"/>
    </row>
    <row r="595" spans="1:5" x14ac:dyDescent="0.3">
      <c r="A595" s="205"/>
      <c r="B595" s="189"/>
      <c r="D595" s="189"/>
      <c r="E595" s="189"/>
    </row>
    <row r="596" spans="1:5" x14ac:dyDescent="0.3">
      <c r="A596" s="205"/>
      <c r="B596" s="189"/>
      <c r="D596" s="189"/>
      <c r="E596" s="189"/>
    </row>
    <row r="597" spans="1:5" x14ac:dyDescent="0.3">
      <c r="A597" s="205"/>
      <c r="B597" s="189"/>
      <c r="D597" s="189"/>
      <c r="E597" s="189"/>
    </row>
    <row r="598" spans="1:5" x14ac:dyDescent="0.3">
      <c r="A598" s="205"/>
      <c r="B598" s="189"/>
      <c r="D598" s="189"/>
      <c r="E598" s="189"/>
    </row>
    <row r="599" spans="1:5" x14ac:dyDescent="0.3">
      <c r="A599" s="205"/>
      <c r="B599" s="189"/>
      <c r="D599" s="189"/>
      <c r="E599" s="189"/>
    </row>
    <row r="600" spans="1:5" x14ac:dyDescent="0.3">
      <c r="A600" s="205"/>
      <c r="B600" s="189"/>
      <c r="D600" s="189"/>
      <c r="E600" s="189"/>
    </row>
    <row r="601" spans="1:5" x14ac:dyDescent="0.3">
      <c r="A601" s="205"/>
      <c r="B601" s="189"/>
      <c r="D601" s="189"/>
      <c r="E601" s="189"/>
    </row>
    <row r="602" spans="1:5" x14ac:dyDescent="0.3">
      <c r="A602" s="205"/>
      <c r="B602" s="189"/>
      <c r="D602" s="189"/>
      <c r="E602" s="189"/>
    </row>
    <row r="603" spans="1:5" x14ac:dyDescent="0.3">
      <c r="A603" s="205"/>
      <c r="B603" s="189"/>
      <c r="D603" s="189"/>
      <c r="E603" s="189"/>
    </row>
    <row r="604" spans="1:5" x14ac:dyDescent="0.3">
      <c r="A604" s="205"/>
      <c r="B604" s="189"/>
      <c r="D604" s="189"/>
      <c r="E604" s="189"/>
    </row>
    <row r="605" spans="1:5" x14ac:dyDescent="0.3">
      <c r="A605" s="205"/>
      <c r="B605" s="189"/>
      <c r="D605" s="189"/>
      <c r="E605" s="189"/>
    </row>
    <row r="606" spans="1:5" x14ac:dyDescent="0.3">
      <c r="A606" s="205"/>
      <c r="B606" s="189"/>
      <c r="D606" s="189"/>
      <c r="E606" s="189"/>
    </row>
    <row r="607" spans="1:5" x14ac:dyDescent="0.3">
      <c r="A607" s="205"/>
      <c r="B607" s="189"/>
      <c r="D607" s="189"/>
      <c r="E607" s="189"/>
    </row>
    <row r="608" spans="1:5" x14ac:dyDescent="0.3">
      <c r="A608" s="205"/>
      <c r="B608" s="189"/>
      <c r="D608" s="189"/>
      <c r="E608" s="189"/>
    </row>
    <row r="609" spans="1:5" x14ac:dyDescent="0.3">
      <c r="A609" s="205"/>
      <c r="B609" s="189"/>
      <c r="D609" s="189"/>
      <c r="E609" s="189"/>
    </row>
    <row r="610" spans="1:5" x14ac:dyDescent="0.3">
      <c r="A610" s="205"/>
      <c r="B610" s="189"/>
      <c r="D610" s="189"/>
      <c r="E610" s="189"/>
    </row>
    <row r="611" spans="1:5" x14ac:dyDescent="0.3">
      <c r="A611" s="205"/>
      <c r="B611" s="189"/>
      <c r="D611" s="189"/>
      <c r="E611" s="189"/>
    </row>
    <row r="612" spans="1:5" x14ac:dyDescent="0.3">
      <c r="A612" s="205"/>
      <c r="B612" s="189"/>
      <c r="D612" s="189"/>
      <c r="E612" s="189"/>
    </row>
    <row r="613" spans="1:5" x14ac:dyDescent="0.3">
      <c r="A613" s="205"/>
      <c r="B613" s="189"/>
      <c r="D613" s="189"/>
      <c r="E613" s="189"/>
    </row>
    <row r="614" spans="1:5" x14ac:dyDescent="0.3">
      <c r="A614" s="205"/>
      <c r="B614" s="189"/>
      <c r="D614" s="189"/>
      <c r="E614" s="189"/>
    </row>
    <row r="615" spans="1:5" x14ac:dyDescent="0.3">
      <c r="A615" s="205"/>
      <c r="B615" s="189"/>
      <c r="D615" s="189"/>
      <c r="E615" s="189"/>
    </row>
    <row r="616" spans="1:5" x14ac:dyDescent="0.3">
      <c r="A616" s="205"/>
      <c r="B616" s="189"/>
      <c r="D616" s="189"/>
      <c r="E616" s="189"/>
    </row>
    <row r="617" spans="1:5" x14ac:dyDescent="0.3">
      <c r="A617" s="205"/>
      <c r="B617" s="189"/>
      <c r="D617" s="189"/>
      <c r="E617" s="189"/>
    </row>
    <row r="618" spans="1:5" x14ac:dyDescent="0.3">
      <c r="A618" s="205"/>
      <c r="B618" s="189"/>
      <c r="D618" s="189"/>
      <c r="E618" s="189"/>
    </row>
    <row r="619" spans="1:5" x14ac:dyDescent="0.3">
      <c r="A619" s="205"/>
      <c r="B619" s="189"/>
      <c r="D619" s="189"/>
      <c r="E619" s="189"/>
    </row>
    <row r="620" spans="1:5" x14ac:dyDescent="0.3">
      <c r="A620" s="205"/>
      <c r="B620" s="189"/>
      <c r="D620" s="189"/>
      <c r="E620" s="189"/>
    </row>
    <row r="621" spans="1:5" x14ac:dyDescent="0.3">
      <c r="A621" s="205"/>
      <c r="B621" s="189"/>
      <c r="D621" s="189"/>
      <c r="E621" s="189"/>
    </row>
    <row r="622" spans="1:5" x14ac:dyDescent="0.3">
      <c r="A622" s="205"/>
      <c r="B622" s="189"/>
      <c r="D622" s="189"/>
      <c r="E622" s="189"/>
    </row>
    <row r="623" spans="1:5" x14ac:dyDescent="0.3">
      <c r="A623" s="205"/>
      <c r="B623" s="189"/>
      <c r="D623" s="189"/>
      <c r="E623" s="189"/>
    </row>
    <row r="624" spans="1:5" x14ac:dyDescent="0.3">
      <c r="A624" s="205"/>
      <c r="B624" s="189"/>
      <c r="D624" s="189"/>
      <c r="E624" s="189"/>
    </row>
    <row r="625" spans="1:5" x14ac:dyDescent="0.3">
      <c r="A625" s="205"/>
      <c r="B625" s="189"/>
      <c r="D625" s="189"/>
      <c r="E625" s="189"/>
    </row>
    <row r="626" spans="1:5" x14ac:dyDescent="0.3">
      <c r="A626" s="205"/>
      <c r="B626" s="189"/>
      <c r="D626" s="189"/>
      <c r="E626" s="189"/>
    </row>
    <row r="627" spans="1:5" x14ac:dyDescent="0.3">
      <c r="A627" s="205"/>
      <c r="B627" s="189"/>
      <c r="D627" s="189"/>
      <c r="E627" s="189"/>
    </row>
    <row r="628" spans="1:5" x14ac:dyDescent="0.3">
      <c r="A628" s="205"/>
      <c r="B628" s="189"/>
      <c r="D628" s="189"/>
      <c r="E628" s="189"/>
    </row>
    <row r="629" spans="1:5" x14ac:dyDescent="0.3">
      <c r="A629" s="205"/>
      <c r="B629" s="189"/>
      <c r="D629" s="189"/>
      <c r="E629" s="189"/>
    </row>
    <row r="630" spans="1:5" x14ac:dyDescent="0.3">
      <c r="A630" s="205"/>
      <c r="B630" s="189"/>
      <c r="D630" s="189"/>
      <c r="E630" s="189"/>
    </row>
    <row r="631" spans="1:5" x14ac:dyDescent="0.3">
      <c r="A631" s="205"/>
      <c r="B631" s="189"/>
      <c r="D631" s="189"/>
      <c r="E631" s="189"/>
    </row>
    <row r="632" spans="1:5" x14ac:dyDescent="0.3">
      <c r="A632" s="205"/>
      <c r="B632" s="189"/>
      <c r="D632" s="189"/>
      <c r="E632" s="189"/>
    </row>
    <row r="633" spans="1:5" x14ac:dyDescent="0.3">
      <c r="A633" s="205"/>
      <c r="B633" s="189"/>
      <c r="D633" s="189"/>
      <c r="E633" s="189"/>
    </row>
    <row r="634" spans="1:5" x14ac:dyDescent="0.3">
      <c r="A634" s="205"/>
      <c r="B634" s="189"/>
      <c r="D634" s="189"/>
      <c r="E634" s="189"/>
    </row>
    <row r="635" spans="1:5" x14ac:dyDescent="0.3">
      <c r="A635" s="205"/>
      <c r="B635" s="189"/>
      <c r="D635" s="189"/>
      <c r="E635" s="189"/>
    </row>
    <row r="636" spans="1:5" x14ac:dyDescent="0.3">
      <c r="A636" s="205"/>
      <c r="B636" s="189"/>
      <c r="D636" s="189"/>
      <c r="E636" s="189"/>
    </row>
    <row r="637" spans="1:5" x14ac:dyDescent="0.3">
      <c r="A637" s="205"/>
      <c r="B637" s="189"/>
      <c r="D637" s="189"/>
      <c r="E637" s="189"/>
    </row>
    <row r="638" spans="1:5" x14ac:dyDescent="0.3">
      <c r="A638" s="205"/>
      <c r="B638" s="189"/>
      <c r="D638" s="189"/>
      <c r="E638" s="189"/>
    </row>
    <row r="639" spans="1:5" x14ac:dyDescent="0.3">
      <c r="A639" s="205"/>
      <c r="B639" s="189"/>
      <c r="D639" s="189"/>
      <c r="E639" s="189"/>
    </row>
    <row r="640" spans="1:5" x14ac:dyDescent="0.3">
      <c r="A640" s="205"/>
      <c r="B640" s="189"/>
      <c r="D640" s="189"/>
      <c r="E640" s="189"/>
    </row>
    <row r="641" spans="1:5" x14ac:dyDescent="0.3">
      <c r="A641" s="205"/>
      <c r="B641" s="189"/>
      <c r="D641" s="189"/>
      <c r="E641" s="189"/>
    </row>
    <row r="642" spans="1:5" x14ac:dyDescent="0.3">
      <c r="A642" s="205"/>
      <c r="B642" s="189"/>
      <c r="D642" s="189"/>
      <c r="E642" s="189"/>
    </row>
    <row r="643" spans="1:5" x14ac:dyDescent="0.3">
      <c r="A643" s="205"/>
      <c r="B643" s="189"/>
      <c r="D643" s="189"/>
      <c r="E643" s="189"/>
    </row>
    <row r="644" spans="1:5" x14ac:dyDescent="0.3">
      <c r="A644" s="205"/>
      <c r="B644" s="189"/>
      <c r="D644" s="189"/>
      <c r="E644" s="189"/>
    </row>
    <row r="645" spans="1:5" x14ac:dyDescent="0.3">
      <c r="A645" s="205"/>
      <c r="B645" s="189"/>
      <c r="D645" s="189"/>
      <c r="E645" s="189"/>
    </row>
    <row r="646" spans="1:5" x14ac:dyDescent="0.3">
      <c r="A646" s="205"/>
      <c r="B646" s="189"/>
      <c r="D646" s="189"/>
      <c r="E646" s="189"/>
    </row>
    <row r="647" spans="1:5" x14ac:dyDescent="0.3">
      <c r="A647" s="205"/>
      <c r="B647" s="189"/>
      <c r="D647" s="189"/>
      <c r="E647" s="189"/>
    </row>
    <row r="648" spans="1:5" x14ac:dyDescent="0.3">
      <c r="A648" s="205"/>
      <c r="B648" s="189"/>
      <c r="D648" s="189"/>
      <c r="E648" s="189"/>
    </row>
    <row r="649" spans="1:5" x14ac:dyDescent="0.3">
      <c r="A649" s="205"/>
      <c r="B649" s="189"/>
      <c r="D649" s="189"/>
      <c r="E649" s="189"/>
    </row>
    <row r="650" spans="1:5" x14ac:dyDescent="0.3">
      <c r="A650" s="205"/>
      <c r="B650" s="189"/>
      <c r="D650" s="189"/>
      <c r="E650" s="189"/>
    </row>
    <row r="651" spans="1:5" x14ac:dyDescent="0.3">
      <c r="A651" s="205"/>
      <c r="B651" s="189"/>
      <c r="D651" s="189"/>
      <c r="E651" s="189"/>
    </row>
    <row r="652" spans="1:5" x14ac:dyDescent="0.3">
      <c r="A652" s="205"/>
      <c r="B652" s="189"/>
      <c r="D652" s="189"/>
      <c r="E652" s="189"/>
    </row>
    <row r="653" spans="1:5" x14ac:dyDescent="0.3">
      <c r="A653" s="205"/>
      <c r="B653" s="189"/>
      <c r="D653" s="189"/>
      <c r="E653" s="189"/>
    </row>
    <row r="654" spans="1:5" x14ac:dyDescent="0.3">
      <c r="A654" s="205"/>
      <c r="B654" s="189"/>
      <c r="D654" s="189"/>
      <c r="E654" s="189"/>
    </row>
    <row r="655" spans="1:5" x14ac:dyDescent="0.3">
      <c r="A655" s="205"/>
      <c r="B655" s="189"/>
      <c r="D655" s="189"/>
      <c r="E655" s="189"/>
    </row>
    <row r="656" spans="1:5" x14ac:dyDescent="0.3">
      <c r="A656" s="205"/>
      <c r="B656" s="189"/>
      <c r="D656" s="189"/>
      <c r="E656" s="189"/>
    </row>
    <row r="657" spans="1:5" x14ac:dyDescent="0.3">
      <c r="A657" s="205"/>
      <c r="B657" s="189"/>
      <c r="D657" s="189"/>
      <c r="E657" s="189"/>
    </row>
    <row r="658" spans="1:5" x14ac:dyDescent="0.3">
      <c r="A658" s="205"/>
      <c r="B658" s="189"/>
      <c r="D658" s="189"/>
      <c r="E658" s="189"/>
    </row>
    <row r="659" spans="1:5" x14ac:dyDescent="0.3">
      <c r="A659" s="205"/>
      <c r="B659" s="189"/>
      <c r="D659" s="189"/>
      <c r="E659" s="189"/>
    </row>
    <row r="660" spans="1:5" x14ac:dyDescent="0.3">
      <c r="A660" s="205"/>
      <c r="B660" s="189"/>
      <c r="D660" s="189"/>
      <c r="E660" s="189"/>
    </row>
    <row r="661" spans="1:5" x14ac:dyDescent="0.3">
      <c r="A661" s="205"/>
      <c r="B661" s="189"/>
      <c r="D661" s="189"/>
      <c r="E661" s="189"/>
    </row>
    <row r="662" spans="1:5" x14ac:dyDescent="0.3">
      <c r="A662" s="205"/>
      <c r="B662" s="189"/>
      <c r="D662" s="189"/>
      <c r="E662" s="189"/>
    </row>
    <row r="663" spans="1:5" x14ac:dyDescent="0.3">
      <c r="A663" s="205"/>
      <c r="B663" s="189"/>
      <c r="D663" s="189"/>
      <c r="E663" s="189"/>
    </row>
    <row r="664" spans="1:5" x14ac:dyDescent="0.3">
      <c r="A664" s="205"/>
      <c r="B664" s="189"/>
      <c r="D664" s="189"/>
      <c r="E664" s="189"/>
    </row>
    <row r="665" spans="1:5" x14ac:dyDescent="0.3">
      <c r="A665" s="205"/>
      <c r="B665" s="189"/>
      <c r="D665" s="189"/>
      <c r="E665" s="189"/>
    </row>
    <row r="666" spans="1:5" x14ac:dyDescent="0.3">
      <c r="A666" s="205"/>
      <c r="B666" s="189"/>
      <c r="D666" s="189"/>
      <c r="E666" s="189"/>
    </row>
    <row r="667" spans="1:5" x14ac:dyDescent="0.3">
      <c r="A667" s="205"/>
      <c r="B667" s="189"/>
      <c r="D667" s="189"/>
      <c r="E667" s="189"/>
    </row>
    <row r="668" spans="1:5" x14ac:dyDescent="0.3">
      <c r="A668" s="205"/>
      <c r="B668" s="189"/>
      <c r="D668" s="189"/>
      <c r="E668" s="189"/>
    </row>
    <row r="669" spans="1:5" x14ac:dyDescent="0.3">
      <c r="A669" s="205"/>
      <c r="B669" s="189"/>
      <c r="D669" s="189"/>
      <c r="E669" s="189"/>
    </row>
    <row r="670" spans="1:5" x14ac:dyDescent="0.3">
      <c r="A670" s="205"/>
      <c r="B670" s="189"/>
      <c r="D670" s="189"/>
      <c r="E670" s="189"/>
    </row>
    <row r="671" spans="1:5" x14ac:dyDescent="0.3">
      <c r="A671" s="205"/>
      <c r="B671" s="189"/>
      <c r="D671" s="189"/>
      <c r="E671" s="189"/>
    </row>
    <row r="672" spans="1:5" x14ac:dyDescent="0.3">
      <c r="A672" s="205"/>
      <c r="B672" s="189"/>
      <c r="D672" s="189"/>
      <c r="E672" s="189"/>
    </row>
    <row r="673" spans="1:5" x14ac:dyDescent="0.3">
      <c r="A673" s="205"/>
      <c r="B673" s="189"/>
      <c r="D673" s="189"/>
      <c r="E673" s="189"/>
    </row>
    <row r="674" spans="1:5" x14ac:dyDescent="0.3">
      <c r="A674" s="205"/>
      <c r="B674" s="189"/>
      <c r="D674" s="189"/>
      <c r="E674" s="189"/>
    </row>
    <row r="675" spans="1:5" x14ac:dyDescent="0.3">
      <c r="A675" s="205"/>
      <c r="B675" s="189"/>
      <c r="D675" s="189"/>
      <c r="E675" s="189"/>
    </row>
    <row r="676" spans="1:5" x14ac:dyDescent="0.3">
      <c r="A676" s="205"/>
      <c r="B676" s="189"/>
      <c r="D676" s="189"/>
      <c r="E676" s="189"/>
    </row>
    <row r="677" spans="1:5" x14ac:dyDescent="0.3">
      <c r="A677" s="205"/>
      <c r="B677" s="189"/>
      <c r="D677" s="189"/>
      <c r="E677" s="189"/>
    </row>
    <row r="678" spans="1:5" x14ac:dyDescent="0.3">
      <c r="A678" s="205"/>
      <c r="B678" s="189"/>
      <c r="D678" s="189"/>
      <c r="E678" s="189"/>
    </row>
    <row r="679" spans="1:5" x14ac:dyDescent="0.3">
      <c r="A679" s="205"/>
      <c r="B679" s="189"/>
      <c r="D679" s="189"/>
      <c r="E679" s="189"/>
    </row>
    <row r="680" spans="1:5" x14ac:dyDescent="0.3">
      <c r="A680" s="205"/>
      <c r="B680" s="189"/>
      <c r="D680" s="189"/>
      <c r="E680" s="189"/>
    </row>
    <row r="681" spans="1:5" x14ac:dyDescent="0.3">
      <c r="A681" s="205"/>
      <c r="B681" s="189"/>
      <c r="D681" s="189"/>
      <c r="E681" s="189"/>
    </row>
    <row r="682" spans="1:5" x14ac:dyDescent="0.3">
      <c r="A682" s="205"/>
      <c r="B682" s="189"/>
      <c r="D682" s="189"/>
      <c r="E682" s="189"/>
    </row>
    <row r="683" spans="1:5" x14ac:dyDescent="0.3">
      <c r="A683" s="205"/>
      <c r="B683" s="189"/>
      <c r="D683" s="189"/>
      <c r="E683" s="189"/>
    </row>
    <row r="684" spans="1:5" x14ac:dyDescent="0.3">
      <c r="A684" s="205"/>
      <c r="B684" s="189"/>
      <c r="D684" s="189"/>
      <c r="E684" s="189"/>
    </row>
    <row r="685" spans="1:5" x14ac:dyDescent="0.3">
      <c r="A685" s="205"/>
      <c r="B685" s="189"/>
      <c r="D685" s="189"/>
      <c r="E685" s="189"/>
    </row>
    <row r="686" spans="1:5" x14ac:dyDescent="0.3">
      <c r="A686" s="205"/>
      <c r="B686" s="189"/>
      <c r="D686" s="189"/>
      <c r="E686" s="189"/>
    </row>
    <row r="687" spans="1:5" x14ac:dyDescent="0.3">
      <c r="A687" s="205"/>
      <c r="B687" s="189"/>
      <c r="D687" s="189"/>
      <c r="E687" s="189"/>
    </row>
    <row r="688" spans="1:5" x14ac:dyDescent="0.3">
      <c r="A688" s="205"/>
      <c r="B688" s="189"/>
      <c r="D688" s="189"/>
      <c r="E688" s="189"/>
    </row>
    <row r="689" spans="1:5" x14ac:dyDescent="0.3">
      <c r="A689" s="205"/>
      <c r="B689" s="189"/>
      <c r="D689" s="189"/>
      <c r="E689" s="189"/>
    </row>
    <row r="690" spans="1:5" x14ac:dyDescent="0.3">
      <c r="A690" s="205"/>
      <c r="B690" s="189"/>
      <c r="D690" s="189"/>
      <c r="E690" s="189"/>
    </row>
    <row r="691" spans="1:5" x14ac:dyDescent="0.3">
      <c r="A691" s="205"/>
      <c r="B691" s="189"/>
      <c r="D691" s="189"/>
      <c r="E691" s="189"/>
    </row>
    <row r="692" spans="1:5" x14ac:dyDescent="0.3">
      <c r="A692" s="205"/>
      <c r="B692" s="189"/>
      <c r="D692" s="189"/>
      <c r="E692" s="189"/>
    </row>
    <row r="693" spans="1:5" x14ac:dyDescent="0.3">
      <c r="A693" s="205"/>
      <c r="B693" s="189"/>
      <c r="D693" s="189"/>
      <c r="E693" s="189"/>
    </row>
    <row r="694" spans="1:5" x14ac:dyDescent="0.3">
      <c r="A694" s="205"/>
      <c r="B694" s="189"/>
      <c r="D694" s="189"/>
      <c r="E694" s="189"/>
    </row>
    <row r="695" spans="1:5" x14ac:dyDescent="0.3">
      <c r="A695" s="205"/>
      <c r="B695" s="189"/>
      <c r="D695" s="189"/>
      <c r="E695" s="189"/>
    </row>
    <row r="696" spans="1:5" x14ac:dyDescent="0.3">
      <c r="A696" s="205"/>
      <c r="B696" s="189"/>
      <c r="D696" s="189"/>
      <c r="E696" s="189"/>
    </row>
    <row r="697" spans="1:5" x14ac:dyDescent="0.3">
      <c r="A697" s="205"/>
      <c r="B697" s="189"/>
      <c r="D697" s="189"/>
      <c r="E697" s="189"/>
    </row>
    <row r="698" spans="1:5" x14ac:dyDescent="0.3">
      <c r="A698" s="205"/>
      <c r="B698" s="189"/>
      <c r="D698" s="189"/>
      <c r="E698" s="189"/>
    </row>
    <row r="699" spans="1:5" x14ac:dyDescent="0.3">
      <c r="A699" s="205"/>
      <c r="B699" s="189"/>
      <c r="D699" s="189"/>
      <c r="E699" s="189"/>
    </row>
    <row r="700" spans="1:5" x14ac:dyDescent="0.3">
      <c r="A700" s="205"/>
      <c r="B700" s="189"/>
      <c r="D700" s="189"/>
      <c r="E700" s="189"/>
    </row>
    <row r="701" spans="1:5" x14ac:dyDescent="0.3">
      <c r="A701" s="205"/>
      <c r="B701" s="189"/>
      <c r="D701" s="189"/>
      <c r="E701" s="189"/>
    </row>
    <row r="702" spans="1:5" x14ac:dyDescent="0.3">
      <c r="A702" s="205"/>
      <c r="B702" s="189"/>
      <c r="D702" s="189"/>
      <c r="E702" s="189"/>
    </row>
    <row r="703" spans="1:5" x14ac:dyDescent="0.3">
      <c r="A703" s="205"/>
      <c r="B703" s="189"/>
      <c r="D703" s="189"/>
      <c r="E703" s="189"/>
    </row>
    <row r="704" spans="1:5" x14ac:dyDescent="0.3">
      <c r="A704" s="205"/>
      <c r="B704" s="189"/>
      <c r="D704" s="189"/>
      <c r="E704" s="189"/>
    </row>
    <row r="705" spans="1:5" x14ac:dyDescent="0.3">
      <c r="A705" s="205"/>
      <c r="B705" s="189"/>
      <c r="D705" s="189"/>
      <c r="E705" s="189"/>
    </row>
    <row r="706" spans="1:5" x14ac:dyDescent="0.3">
      <c r="A706" s="205"/>
      <c r="B706" s="189"/>
      <c r="D706" s="189"/>
      <c r="E706" s="189"/>
    </row>
    <row r="707" spans="1:5" x14ac:dyDescent="0.3">
      <c r="A707" s="205"/>
      <c r="B707" s="189"/>
      <c r="D707" s="189"/>
      <c r="E707" s="189"/>
    </row>
    <row r="708" spans="1:5" x14ac:dyDescent="0.3">
      <c r="A708" s="205"/>
      <c r="B708" s="189"/>
      <c r="D708" s="189"/>
      <c r="E708" s="189"/>
    </row>
    <row r="709" spans="1:5" x14ac:dyDescent="0.3">
      <c r="A709" s="205"/>
      <c r="B709" s="189"/>
      <c r="D709" s="189"/>
      <c r="E709" s="189"/>
    </row>
    <row r="710" spans="1:5" x14ac:dyDescent="0.3">
      <c r="A710" s="205"/>
      <c r="B710" s="189"/>
      <c r="D710" s="189"/>
      <c r="E710" s="189"/>
    </row>
    <row r="711" spans="1:5" x14ac:dyDescent="0.3">
      <c r="A711" s="205"/>
      <c r="B711" s="189"/>
      <c r="D711" s="189"/>
      <c r="E711" s="189"/>
    </row>
    <row r="712" spans="1:5" x14ac:dyDescent="0.3">
      <c r="A712" s="205"/>
      <c r="B712" s="189"/>
      <c r="D712" s="189"/>
      <c r="E712" s="189"/>
    </row>
    <row r="713" spans="1:5" x14ac:dyDescent="0.3">
      <c r="A713" s="205"/>
      <c r="B713" s="189"/>
      <c r="D713" s="189"/>
      <c r="E713" s="189"/>
    </row>
    <row r="714" spans="1:5" x14ac:dyDescent="0.3">
      <c r="A714" s="205"/>
      <c r="B714" s="189"/>
      <c r="D714" s="189"/>
      <c r="E714" s="189"/>
    </row>
    <row r="715" spans="1:5" x14ac:dyDescent="0.3">
      <c r="A715" s="205"/>
      <c r="B715" s="189"/>
      <c r="D715" s="189"/>
      <c r="E715" s="189"/>
    </row>
    <row r="716" spans="1:5" x14ac:dyDescent="0.3">
      <c r="A716" s="205"/>
      <c r="B716" s="189"/>
      <c r="D716" s="189"/>
      <c r="E716" s="189"/>
    </row>
    <row r="717" spans="1:5" x14ac:dyDescent="0.3">
      <c r="A717" s="205"/>
      <c r="B717" s="189"/>
      <c r="D717" s="189"/>
      <c r="E717" s="189"/>
    </row>
    <row r="718" spans="1:5" x14ac:dyDescent="0.3">
      <c r="A718" s="205"/>
      <c r="B718" s="189"/>
      <c r="D718" s="189"/>
      <c r="E718" s="189"/>
    </row>
    <row r="719" spans="1:5" x14ac:dyDescent="0.3">
      <c r="A719" s="205"/>
      <c r="B719" s="189"/>
      <c r="D719" s="189"/>
      <c r="E719" s="189"/>
    </row>
    <row r="720" spans="1:5" x14ac:dyDescent="0.3">
      <c r="A720" s="205"/>
      <c r="B720" s="189"/>
      <c r="D720" s="189"/>
      <c r="E720" s="189"/>
    </row>
    <row r="721" spans="1:5" x14ac:dyDescent="0.3">
      <c r="A721" s="205"/>
      <c r="B721" s="189"/>
      <c r="D721" s="189"/>
      <c r="E721" s="189"/>
    </row>
    <row r="722" spans="1:5" x14ac:dyDescent="0.3">
      <c r="A722" s="205"/>
      <c r="B722" s="189"/>
      <c r="D722" s="189"/>
      <c r="E722" s="189"/>
    </row>
    <row r="723" spans="1:5" x14ac:dyDescent="0.3">
      <c r="A723" s="205"/>
      <c r="B723" s="189"/>
      <c r="D723" s="189"/>
      <c r="E723" s="189"/>
    </row>
    <row r="724" spans="1:5" x14ac:dyDescent="0.3">
      <c r="A724" s="205"/>
      <c r="B724" s="189"/>
      <c r="D724" s="189"/>
      <c r="E724" s="189"/>
    </row>
    <row r="725" spans="1:5" x14ac:dyDescent="0.3">
      <c r="A725" s="205"/>
      <c r="B725" s="189"/>
      <c r="D725" s="189"/>
      <c r="E725" s="189"/>
    </row>
    <row r="726" spans="1:5" x14ac:dyDescent="0.3">
      <c r="A726" s="205"/>
      <c r="B726" s="189"/>
      <c r="D726" s="189"/>
      <c r="E726" s="189"/>
    </row>
    <row r="727" spans="1:5" x14ac:dyDescent="0.3">
      <c r="A727" s="205"/>
      <c r="B727" s="189"/>
      <c r="D727" s="189"/>
      <c r="E727" s="189"/>
    </row>
    <row r="728" spans="1:5" x14ac:dyDescent="0.3">
      <c r="A728" s="205"/>
      <c r="B728" s="189"/>
      <c r="D728" s="189"/>
      <c r="E728" s="189"/>
    </row>
    <row r="729" spans="1:5" x14ac:dyDescent="0.3">
      <c r="A729" s="205"/>
      <c r="B729" s="189"/>
      <c r="D729" s="189"/>
      <c r="E729" s="189"/>
    </row>
    <row r="730" spans="1:5" x14ac:dyDescent="0.3">
      <c r="A730" s="205"/>
      <c r="B730" s="189"/>
      <c r="D730" s="189"/>
      <c r="E730" s="189"/>
    </row>
    <row r="731" spans="1:5" x14ac:dyDescent="0.3">
      <c r="A731" s="205"/>
      <c r="B731" s="189"/>
      <c r="D731" s="189"/>
      <c r="E731" s="189"/>
    </row>
    <row r="732" spans="1:5" x14ac:dyDescent="0.3">
      <c r="A732" s="205"/>
      <c r="B732" s="189"/>
      <c r="D732" s="189"/>
      <c r="E732" s="189"/>
    </row>
    <row r="733" spans="1:5" x14ac:dyDescent="0.3">
      <c r="A733" s="205"/>
      <c r="B733" s="189"/>
      <c r="D733" s="189"/>
      <c r="E733" s="189"/>
    </row>
    <row r="734" spans="1:5" x14ac:dyDescent="0.3">
      <c r="A734" s="205"/>
      <c r="B734" s="189"/>
      <c r="D734" s="189"/>
      <c r="E734" s="189"/>
    </row>
    <row r="735" spans="1:5" x14ac:dyDescent="0.3">
      <c r="A735" s="205"/>
      <c r="B735" s="189"/>
      <c r="D735" s="189"/>
      <c r="E735" s="189"/>
    </row>
    <row r="736" spans="1:5" x14ac:dyDescent="0.3">
      <c r="A736" s="205"/>
      <c r="B736" s="189"/>
      <c r="D736" s="189"/>
      <c r="E736" s="189"/>
    </row>
    <row r="737" spans="1:5" x14ac:dyDescent="0.3">
      <c r="A737" s="205"/>
      <c r="B737" s="189"/>
      <c r="D737" s="189"/>
      <c r="E737" s="189"/>
    </row>
    <row r="738" spans="1:5" x14ac:dyDescent="0.3">
      <c r="A738" s="205"/>
      <c r="B738" s="189"/>
      <c r="D738" s="189"/>
      <c r="E738" s="189"/>
    </row>
    <row r="739" spans="1:5" x14ac:dyDescent="0.3">
      <c r="A739" s="205"/>
      <c r="B739" s="189"/>
      <c r="D739" s="189"/>
      <c r="E739" s="189"/>
    </row>
    <row r="740" spans="1:5" x14ac:dyDescent="0.3">
      <c r="A740" s="205"/>
      <c r="B740" s="189"/>
      <c r="D740" s="189"/>
      <c r="E740" s="189"/>
    </row>
    <row r="741" spans="1:5" x14ac:dyDescent="0.3">
      <c r="A741" s="205"/>
      <c r="B741" s="189"/>
      <c r="D741" s="189"/>
      <c r="E741" s="189"/>
    </row>
    <row r="742" spans="1:5" x14ac:dyDescent="0.3">
      <c r="A742" s="205"/>
      <c r="B742" s="189"/>
      <c r="D742" s="189"/>
      <c r="E742" s="189"/>
    </row>
    <row r="743" spans="1:5" x14ac:dyDescent="0.3">
      <c r="A743" s="205"/>
      <c r="B743" s="189"/>
      <c r="D743" s="189"/>
      <c r="E743" s="189"/>
    </row>
    <row r="744" spans="1:5" x14ac:dyDescent="0.3">
      <c r="A744" s="205"/>
      <c r="B744" s="189"/>
      <c r="D744" s="189"/>
      <c r="E744" s="189"/>
    </row>
    <row r="745" spans="1:5" x14ac:dyDescent="0.3">
      <c r="A745" s="205"/>
      <c r="B745" s="189"/>
      <c r="D745" s="189"/>
      <c r="E745" s="189"/>
    </row>
    <row r="746" spans="1:5" x14ac:dyDescent="0.3">
      <c r="A746" s="205"/>
      <c r="B746" s="189"/>
      <c r="D746" s="189"/>
      <c r="E746" s="189"/>
    </row>
    <row r="747" spans="1:5" x14ac:dyDescent="0.3">
      <c r="A747" s="205"/>
      <c r="B747" s="189"/>
      <c r="D747" s="189"/>
      <c r="E747" s="189"/>
    </row>
    <row r="748" spans="1:5" x14ac:dyDescent="0.3">
      <c r="A748" s="205"/>
      <c r="B748" s="189"/>
      <c r="D748" s="189"/>
      <c r="E748" s="189"/>
    </row>
    <row r="749" spans="1:5" x14ac:dyDescent="0.3">
      <c r="A749" s="205"/>
      <c r="B749" s="189"/>
      <c r="D749" s="189"/>
      <c r="E749" s="189"/>
    </row>
    <row r="750" spans="1:5" x14ac:dyDescent="0.3">
      <c r="A750" s="205"/>
      <c r="B750" s="189"/>
      <c r="D750" s="189"/>
      <c r="E750" s="189"/>
    </row>
    <row r="751" spans="1:5" x14ac:dyDescent="0.3">
      <c r="A751" s="205"/>
      <c r="B751" s="189"/>
      <c r="D751" s="189"/>
      <c r="E751" s="189"/>
    </row>
    <row r="752" spans="1:5" x14ac:dyDescent="0.3">
      <c r="A752" s="205"/>
      <c r="B752" s="189"/>
      <c r="D752" s="189"/>
      <c r="E752" s="189"/>
    </row>
    <row r="753" spans="1:5" x14ac:dyDescent="0.3">
      <c r="A753" s="205"/>
      <c r="B753" s="189"/>
      <c r="D753" s="189"/>
      <c r="E753" s="189"/>
    </row>
    <row r="754" spans="1:5" x14ac:dyDescent="0.3">
      <c r="A754" s="205"/>
      <c r="B754" s="189"/>
      <c r="D754" s="189"/>
      <c r="E754" s="189"/>
    </row>
    <row r="755" spans="1:5" x14ac:dyDescent="0.3">
      <c r="A755" s="205"/>
      <c r="B755" s="189"/>
      <c r="D755" s="189"/>
      <c r="E755" s="189"/>
    </row>
    <row r="756" spans="1:5" x14ac:dyDescent="0.3">
      <c r="A756" s="205"/>
      <c r="B756" s="189"/>
      <c r="D756" s="189"/>
      <c r="E756" s="189"/>
    </row>
    <row r="757" spans="1:5" x14ac:dyDescent="0.3">
      <c r="A757" s="205"/>
      <c r="B757" s="189"/>
      <c r="D757" s="189"/>
      <c r="E757" s="189"/>
    </row>
    <row r="758" spans="1:5" x14ac:dyDescent="0.3">
      <c r="A758" s="205"/>
      <c r="B758" s="189"/>
      <c r="D758" s="189"/>
      <c r="E758" s="189"/>
    </row>
    <row r="759" spans="1:5" x14ac:dyDescent="0.3">
      <c r="A759" s="205"/>
      <c r="B759" s="189"/>
      <c r="D759" s="189"/>
      <c r="E759" s="189"/>
    </row>
    <row r="760" spans="1:5" x14ac:dyDescent="0.3">
      <c r="A760" s="205"/>
      <c r="B760" s="189"/>
      <c r="D760" s="189"/>
      <c r="E760" s="189"/>
    </row>
    <row r="761" spans="1:5" x14ac:dyDescent="0.3">
      <c r="A761" s="205"/>
      <c r="B761" s="189"/>
      <c r="D761" s="189"/>
      <c r="E761" s="189"/>
    </row>
    <row r="762" spans="1:5" x14ac:dyDescent="0.3">
      <c r="A762" s="205"/>
      <c r="B762" s="189"/>
      <c r="D762" s="189"/>
      <c r="E762" s="189"/>
    </row>
    <row r="763" spans="1:5" x14ac:dyDescent="0.3">
      <c r="A763" s="205"/>
      <c r="B763" s="189"/>
      <c r="D763" s="189"/>
      <c r="E763" s="189"/>
    </row>
    <row r="764" spans="1:5" x14ac:dyDescent="0.3">
      <c r="A764" s="205"/>
      <c r="B764" s="189"/>
      <c r="D764" s="189"/>
      <c r="E764" s="189"/>
    </row>
    <row r="765" spans="1:5" x14ac:dyDescent="0.3">
      <c r="A765" s="205"/>
      <c r="B765" s="189"/>
      <c r="D765" s="189"/>
      <c r="E765" s="189"/>
    </row>
    <row r="766" spans="1:5" x14ac:dyDescent="0.3">
      <c r="A766" s="205"/>
      <c r="B766" s="189"/>
      <c r="D766" s="189"/>
      <c r="E766" s="189"/>
    </row>
    <row r="767" spans="1:5" x14ac:dyDescent="0.3">
      <c r="A767" s="205"/>
      <c r="B767" s="189"/>
      <c r="D767" s="189"/>
      <c r="E767" s="189"/>
    </row>
    <row r="768" spans="1:5" x14ac:dyDescent="0.3">
      <c r="A768" s="205"/>
      <c r="B768" s="189"/>
      <c r="D768" s="189"/>
      <c r="E768" s="189"/>
    </row>
    <row r="769" spans="1:5" x14ac:dyDescent="0.3">
      <c r="A769" s="205"/>
      <c r="B769" s="189"/>
      <c r="D769" s="189"/>
      <c r="E769" s="189"/>
    </row>
    <row r="770" spans="1:5" x14ac:dyDescent="0.3">
      <c r="A770" s="205"/>
      <c r="B770" s="189"/>
      <c r="D770" s="189"/>
      <c r="E770" s="189"/>
    </row>
    <row r="771" spans="1:5" x14ac:dyDescent="0.3">
      <c r="A771" s="205"/>
      <c r="B771" s="189"/>
      <c r="D771" s="189"/>
      <c r="E771" s="189"/>
    </row>
    <row r="772" spans="1:5" x14ac:dyDescent="0.3">
      <c r="A772" s="205"/>
      <c r="B772" s="189"/>
      <c r="D772" s="189"/>
      <c r="E772" s="189"/>
    </row>
    <row r="773" spans="1:5" x14ac:dyDescent="0.3">
      <c r="A773" s="205"/>
      <c r="B773" s="189"/>
      <c r="D773" s="189"/>
      <c r="E773" s="189"/>
    </row>
    <row r="774" spans="1:5" x14ac:dyDescent="0.3">
      <c r="A774" s="205"/>
      <c r="B774" s="189"/>
      <c r="D774" s="189"/>
      <c r="E774" s="189"/>
    </row>
    <row r="775" spans="1:5" x14ac:dyDescent="0.3">
      <c r="A775" s="205"/>
      <c r="B775" s="189"/>
      <c r="D775" s="189"/>
      <c r="E775" s="189"/>
    </row>
    <row r="776" spans="1:5" x14ac:dyDescent="0.3">
      <c r="A776" s="205"/>
      <c r="B776" s="189"/>
      <c r="D776" s="189"/>
      <c r="E776" s="189"/>
    </row>
    <row r="777" spans="1:5" x14ac:dyDescent="0.3">
      <c r="A777" s="205"/>
      <c r="B777" s="189"/>
      <c r="D777" s="189"/>
      <c r="E777" s="189"/>
    </row>
    <row r="778" spans="1:5" x14ac:dyDescent="0.3">
      <c r="A778" s="205"/>
      <c r="B778" s="189"/>
      <c r="D778" s="189"/>
      <c r="E778" s="189"/>
    </row>
    <row r="779" spans="1:5" x14ac:dyDescent="0.3">
      <c r="A779" s="205"/>
      <c r="B779" s="189"/>
      <c r="D779" s="189"/>
      <c r="E779" s="189"/>
    </row>
    <row r="780" spans="1:5" x14ac:dyDescent="0.3">
      <c r="A780" s="205"/>
      <c r="B780" s="189"/>
      <c r="D780" s="189"/>
      <c r="E780" s="189"/>
    </row>
    <row r="781" spans="1:5" x14ac:dyDescent="0.3">
      <c r="A781" s="205"/>
      <c r="B781" s="189"/>
      <c r="D781" s="189"/>
      <c r="E781" s="189"/>
    </row>
    <row r="782" spans="1:5" x14ac:dyDescent="0.3">
      <c r="A782" s="205"/>
      <c r="B782" s="189"/>
      <c r="D782" s="189"/>
      <c r="E782" s="189"/>
    </row>
    <row r="783" spans="1:5" x14ac:dyDescent="0.3">
      <c r="A783" s="205"/>
      <c r="B783" s="189"/>
      <c r="D783" s="189"/>
      <c r="E783" s="189"/>
    </row>
    <row r="784" spans="1:5" x14ac:dyDescent="0.3">
      <c r="A784" s="205"/>
      <c r="B784" s="189"/>
      <c r="D784" s="189"/>
      <c r="E784" s="189"/>
    </row>
    <row r="785" spans="1:5" x14ac:dyDescent="0.3">
      <c r="A785" s="205"/>
      <c r="B785" s="189"/>
      <c r="D785" s="189"/>
      <c r="E785" s="189"/>
    </row>
    <row r="786" spans="1:5" x14ac:dyDescent="0.3">
      <c r="A786" s="205"/>
      <c r="B786" s="189"/>
      <c r="D786" s="189"/>
      <c r="E786" s="189"/>
    </row>
    <row r="787" spans="1:5" x14ac:dyDescent="0.3">
      <c r="A787" s="205"/>
      <c r="B787" s="189"/>
      <c r="D787" s="189"/>
      <c r="E787" s="189"/>
    </row>
    <row r="788" spans="1:5" x14ac:dyDescent="0.3">
      <c r="A788" s="205"/>
      <c r="B788" s="189"/>
      <c r="D788" s="189"/>
      <c r="E788" s="189"/>
    </row>
    <row r="789" spans="1:5" x14ac:dyDescent="0.3">
      <c r="A789" s="205"/>
      <c r="B789" s="189"/>
      <c r="D789" s="189"/>
      <c r="E789" s="189"/>
    </row>
    <row r="790" spans="1:5" x14ac:dyDescent="0.3">
      <c r="A790" s="205"/>
      <c r="B790" s="189"/>
      <c r="D790" s="189"/>
      <c r="E790" s="189"/>
    </row>
    <row r="791" spans="1:5" x14ac:dyDescent="0.3">
      <c r="A791" s="205"/>
      <c r="B791" s="189"/>
      <c r="D791" s="189"/>
      <c r="E791" s="189"/>
    </row>
    <row r="792" spans="1:5" x14ac:dyDescent="0.3">
      <c r="A792" s="205"/>
      <c r="B792" s="189"/>
      <c r="D792" s="189"/>
      <c r="E792" s="189"/>
    </row>
    <row r="793" spans="1:5" x14ac:dyDescent="0.3">
      <c r="A793" s="205"/>
      <c r="B793" s="189"/>
      <c r="D793" s="189"/>
      <c r="E793" s="189"/>
    </row>
    <row r="794" spans="1:5" x14ac:dyDescent="0.3">
      <c r="A794" s="205"/>
      <c r="B794" s="189"/>
      <c r="D794" s="189"/>
      <c r="E794" s="189"/>
    </row>
    <row r="795" spans="1:5" x14ac:dyDescent="0.3">
      <c r="A795" s="205"/>
      <c r="B795" s="189"/>
      <c r="D795" s="189"/>
      <c r="E795" s="189"/>
    </row>
    <row r="796" spans="1:5" x14ac:dyDescent="0.3">
      <c r="A796" s="205"/>
      <c r="B796" s="189"/>
      <c r="D796" s="189"/>
      <c r="E796" s="189"/>
    </row>
    <row r="797" spans="1:5" x14ac:dyDescent="0.3">
      <c r="A797" s="205"/>
      <c r="B797" s="189"/>
      <c r="D797" s="189"/>
      <c r="E797" s="189"/>
    </row>
    <row r="798" spans="1:5" x14ac:dyDescent="0.3">
      <c r="A798" s="205"/>
      <c r="B798" s="189"/>
      <c r="D798" s="189"/>
      <c r="E798" s="189"/>
    </row>
    <row r="799" spans="1:5" x14ac:dyDescent="0.3">
      <c r="A799" s="205"/>
      <c r="B799" s="189"/>
      <c r="D799" s="189"/>
      <c r="E799" s="189"/>
    </row>
  </sheetData>
  <protectedRanges>
    <protectedRange algorithmName="SHA-512" hashValue="TSxOzMpOVxFMS6xWZYL0AGDSPbfCgoYdKMKR9+8iIbSwo+jjXQk9IiqDgSAlCZMmgsmvOll3e5AHwICd4/z0Xw==" saltValue="B02j2lzV8CCWjDUslandDA==" spinCount="100000" sqref="B3:B28 E28 B38 E38" name="Range1"/>
    <protectedRange algorithmName="SHA-512" hashValue="TSxOzMpOVxFMS6xWZYL0AGDSPbfCgoYdKMKR9+8iIbSwo+jjXQk9IiqDgSAlCZMmgsmvOll3e5AHwICd4/z0Xw==" saltValue="B02j2lzV8CCWjDUslandDA==" spinCount="100000" sqref="B31:C37" name="Range1_2"/>
    <protectedRange algorithmName="SHA-512" hashValue="TSxOzMpOVxFMS6xWZYL0AGDSPbfCgoYdKMKR9+8iIbSwo+jjXQk9IiqDgSAlCZMmgsmvOll3e5AHwICd4/z0Xw==" saltValue="B02j2lzV8CCWjDUslandDA==" spinCount="100000" sqref="B41:C46 C47" name="Range1_3"/>
    <protectedRange algorithmName="SHA-512" hashValue="TSxOzMpOVxFMS6xWZYL0AGDSPbfCgoYdKMKR9+8iIbSwo+jjXQk9IiqDgSAlCZMmgsmvOll3e5AHwICd4/z0Xw==" saltValue="B02j2lzV8CCWjDUslandDA==" spinCount="100000" sqref="B50:C77" name="Range1_6"/>
    <protectedRange algorithmName="SHA-512" hashValue="TSxOzMpOVxFMS6xWZYL0AGDSPbfCgoYdKMKR9+8iIbSwo+jjXQk9IiqDgSAlCZMmgsmvOll3e5AHwICd4/z0Xw==" saltValue="B02j2lzV8CCWjDUslandDA==" spinCount="100000" sqref="B91:C103" name="Range1_8"/>
    <protectedRange algorithmName="SHA-512" hashValue="TSxOzMpOVxFMS6xWZYL0AGDSPbfCgoYdKMKR9+8iIbSwo+jjXQk9IiqDgSAlCZMmgsmvOll3e5AHwICd4/z0Xw==" saltValue="B02j2lzV8CCWjDUslandDA==" spinCount="100000" sqref="B106:C121" name="Range1_10"/>
    <protectedRange algorithmName="SHA-512" hashValue="TSxOzMpOVxFMS6xWZYL0AGDSPbfCgoYdKMKR9+8iIbSwo+jjXQk9IiqDgSAlCZMmgsmvOll3e5AHwICd4/z0Xw==" saltValue="B02j2lzV8CCWjDUslandDA==" spinCount="100000" sqref="B124:C131 C132:C133" name="Range1_12"/>
    <protectedRange algorithmName="SHA-512" hashValue="TSxOzMpOVxFMS6xWZYL0AGDSPbfCgoYdKMKR9+8iIbSwo+jjXQk9IiqDgSAlCZMmgsmvOll3e5AHwICd4/z0Xw==" saltValue="B02j2lzV8CCWjDUslandDA==" spinCount="100000" sqref="B136:C152" name="Range1_13"/>
    <protectedRange algorithmName="SHA-512" hashValue="TSxOzMpOVxFMS6xWZYL0AGDSPbfCgoYdKMKR9+8iIbSwo+jjXQk9IiqDgSAlCZMmgsmvOll3e5AHwICd4/z0Xw==" saltValue="B02j2lzV8CCWjDUslandDA==" spinCount="100000" sqref="E3:E27 H3:H28" name="Range1_14"/>
    <protectedRange algorithmName="SHA-512" hashValue="TSxOzMpOVxFMS6xWZYL0AGDSPbfCgoYdKMKR9+8iIbSwo+jjXQk9IiqDgSAlCZMmgsmvOll3e5AHwICd4/z0Xw==" saltValue="B02j2lzV8CCWjDUslandDA==" spinCount="100000" sqref="E31:E37 H31:H37" name="Range1_15"/>
    <protectedRange algorithmName="SHA-512" hashValue="TSxOzMpOVxFMS6xWZYL0AGDSPbfCgoYdKMKR9+8iIbSwo+jjXQk9IiqDgSAlCZMmgsmvOll3e5AHwICd4/z0Xw==" saltValue="B02j2lzV8CCWjDUslandDA==" spinCount="100000" sqref="E41:E47 H41:H47 B47" name="Range1_16"/>
    <protectedRange algorithmName="SHA-512" hashValue="TSxOzMpOVxFMS6xWZYL0AGDSPbfCgoYdKMKR9+8iIbSwo+jjXQk9IiqDgSAlCZMmgsmvOll3e5AHwICd4/z0Xw==" saltValue="B02j2lzV8CCWjDUslandDA==" spinCount="100000" sqref="H55:H88 E50:E77" name="Range1_18"/>
    <protectedRange algorithmName="SHA-512" hashValue="TSxOzMpOVxFMS6xWZYL0AGDSPbfCgoYdKMKR9+8iIbSwo+jjXQk9IiqDgSAlCZMmgsmvOll3e5AHwICd4/z0Xw==" saltValue="B02j2lzV8CCWjDUslandDA==" spinCount="100000" sqref="E91:E103 H91:H103 H117:H121" name="Range1_19"/>
    <protectedRange algorithmName="SHA-512" hashValue="TSxOzMpOVxFMS6xWZYL0AGDSPbfCgoYdKMKR9+8iIbSwo+jjXQk9IiqDgSAlCZMmgsmvOll3e5AHwICd4/z0Xw==" saltValue="B02j2lzV8CCWjDUslandDA==" spinCount="100000" sqref="E106:E121 H106:H116" name="Range1_20"/>
    <protectedRange algorithmName="SHA-512" hashValue="TSxOzMpOVxFMS6xWZYL0AGDSPbfCgoYdKMKR9+8iIbSwo+jjXQk9IiqDgSAlCZMmgsmvOll3e5AHwICd4/z0Xw==" saltValue="B02j2lzV8CCWjDUslandDA==" spinCount="100000" sqref="H124:H133 E124:E133 B132:B133 H136:H152" name="Range1_21"/>
    <protectedRange algorithmName="SHA-512" hashValue="TSxOzMpOVxFMS6xWZYL0AGDSPbfCgoYdKMKR9+8iIbSwo+jjXQk9IiqDgSAlCZMmgsmvOll3e5AHwICd4/z0Xw==" saltValue="B02j2lzV8CCWjDUslandDA==" spinCount="100000" sqref="E136:E152" name="Range1_22"/>
  </protectedRanges>
  <mergeCells count="3">
    <mergeCell ref="D1:E1"/>
    <mergeCell ref="A1:B1"/>
    <mergeCell ref="G1:H1"/>
  </mergeCells>
  <phoneticPr fontId="1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7C15E-73D4-4E8F-88B8-1F0C9C789E50}">
  <sheetPr codeName="Sheet16"/>
  <dimension ref="A1:AX159"/>
  <sheetViews>
    <sheetView topLeftCell="A84" zoomScale="60" zoomScaleNormal="60" workbookViewId="0">
      <selection activeCell="AK176" sqref="AK176"/>
    </sheetView>
  </sheetViews>
  <sheetFormatPr defaultColWidth="8.88671875" defaultRowHeight="10.199999999999999" x14ac:dyDescent="0.3"/>
  <cols>
    <col min="1" max="2" width="8.88671875" style="21"/>
    <col min="3" max="8" width="8.88671875" style="7"/>
    <col min="9" max="9" width="2.6640625" style="7" customWidth="1"/>
    <col min="10" max="15" width="8.88671875" style="7"/>
    <col min="16" max="16" width="2.44140625" style="7" customWidth="1"/>
    <col min="17" max="22" width="8.88671875" style="7"/>
    <col min="23" max="23" width="2.33203125" style="7" customWidth="1"/>
    <col min="24" max="29" width="8.88671875" style="7"/>
    <col min="30" max="30" width="2.109375" style="7" customWidth="1"/>
    <col min="31" max="16384" width="8.88671875" style="7"/>
  </cols>
  <sheetData>
    <row r="1" spans="1:50" s="21" customFormat="1" x14ac:dyDescent="0.3">
      <c r="C1" s="11" t="s">
        <v>209</v>
      </c>
      <c r="D1" s="11"/>
      <c r="E1" s="11"/>
      <c r="F1" s="11"/>
      <c r="G1" s="11"/>
      <c r="H1" s="11"/>
      <c r="I1" s="12"/>
      <c r="J1" s="11" t="s">
        <v>344</v>
      </c>
      <c r="K1" s="11"/>
      <c r="L1" s="11"/>
      <c r="M1" s="11"/>
      <c r="N1" s="11"/>
      <c r="O1" s="11"/>
      <c r="P1" s="12"/>
      <c r="Q1" s="11" t="s">
        <v>1380</v>
      </c>
      <c r="R1" s="11"/>
      <c r="S1" s="11"/>
      <c r="T1" s="11"/>
      <c r="U1" s="11"/>
      <c r="V1" s="11"/>
      <c r="W1" s="12"/>
      <c r="X1" s="11" t="s">
        <v>214</v>
      </c>
      <c r="Y1" s="11"/>
      <c r="Z1" s="11"/>
      <c r="AA1" s="11"/>
      <c r="AB1" s="11"/>
      <c r="AC1" s="11"/>
      <c r="AD1" s="12"/>
      <c r="AE1" s="154" t="s">
        <v>19</v>
      </c>
      <c r="AF1" s="154"/>
      <c r="AG1" s="154"/>
      <c r="AH1" s="154"/>
      <c r="AI1" s="154"/>
      <c r="AJ1" s="154"/>
      <c r="AL1" s="155" t="s">
        <v>1381</v>
      </c>
      <c r="AM1" s="155"/>
      <c r="AN1" s="155"/>
      <c r="AO1" s="155"/>
      <c r="AP1" s="155"/>
      <c r="AQ1" s="155"/>
      <c r="AS1" s="208" t="s">
        <v>1006</v>
      </c>
      <c r="AT1" s="208"/>
      <c r="AU1" s="208"/>
      <c r="AV1" s="208"/>
      <c r="AW1" s="208"/>
      <c r="AX1" s="208"/>
    </row>
    <row r="2" spans="1:50" s="35" customFormat="1" x14ac:dyDescent="0.3">
      <c r="A2" s="13" t="s">
        <v>983</v>
      </c>
      <c r="B2" s="13"/>
      <c r="C2" s="137" t="s">
        <v>985</v>
      </c>
      <c r="D2" s="137" t="s">
        <v>986</v>
      </c>
      <c r="E2" s="137" t="s">
        <v>987</v>
      </c>
      <c r="F2" s="137" t="s">
        <v>988</v>
      </c>
      <c r="G2" s="137" t="s">
        <v>989</v>
      </c>
      <c r="H2" s="137" t="s">
        <v>990</v>
      </c>
      <c r="I2" s="14"/>
      <c r="J2" s="137" t="s">
        <v>985</v>
      </c>
      <c r="K2" s="137" t="s">
        <v>986</v>
      </c>
      <c r="L2" s="137" t="s">
        <v>987</v>
      </c>
      <c r="M2" s="137" t="s">
        <v>988</v>
      </c>
      <c r="N2" s="137" t="s">
        <v>989</v>
      </c>
      <c r="O2" s="137" t="s">
        <v>990</v>
      </c>
      <c r="P2" s="14"/>
      <c r="Q2" s="137" t="s">
        <v>985</v>
      </c>
      <c r="R2" s="137" t="s">
        <v>986</v>
      </c>
      <c r="S2" s="137" t="s">
        <v>987</v>
      </c>
      <c r="T2" s="137" t="s">
        <v>988</v>
      </c>
      <c r="U2" s="137" t="s">
        <v>989</v>
      </c>
      <c r="V2" s="137" t="s">
        <v>990</v>
      </c>
      <c r="W2" s="14"/>
      <c r="X2" s="137" t="s">
        <v>985</v>
      </c>
      <c r="Y2" s="137" t="s">
        <v>986</v>
      </c>
      <c r="Z2" s="137" t="s">
        <v>987</v>
      </c>
      <c r="AA2" s="137" t="s">
        <v>988</v>
      </c>
      <c r="AB2" s="137" t="s">
        <v>989</v>
      </c>
      <c r="AC2" s="137" t="s">
        <v>990</v>
      </c>
      <c r="AD2" s="14"/>
      <c r="AE2" s="137" t="s">
        <v>985</v>
      </c>
      <c r="AF2" s="137" t="s">
        <v>986</v>
      </c>
      <c r="AG2" s="137" t="s">
        <v>987</v>
      </c>
      <c r="AH2" s="137" t="s">
        <v>988</v>
      </c>
      <c r="AI2" s="137" t="s">
        <v>989</v>
      </c>
      <c r="AJ2" s="137" t="s">
        <v>990</v>
      </c>
      <c r="AL2" s="156" t="s">
        <v>985</v>
      </c>
      <c r="AM2" s="156" t="s">
        <v>986</v>
      </c>
      <c r="AN2" s="156" t="s">
        <v>987</v>
      </c>
      <c r="AO2" s="156" t="s">
        <v>988</v>
      </c>
      <c r="AP2" s="156" t="s">
        <v>989</v>
      </c>
      <c r="AQ2" s="156" t="s">
        <v>990</v>
      </c>
      <c r="AS2" s="209" t="s">
        <v>985</v>
      </c>
      <c r="AT2" s="209" t="s">
        <v>986</v>
      </c>
      <c r="AU2" s="209" t="s">
        <v>987</v>
      </c>
      <c r="AV2" s="209" t="s">
        <v>988</v>
      </c>
      <c r="AW2" s="209" t="s">
        <v>989</v>
      </c>
      <c r="AX2" s="209" t="s">
        <v>990</v>
      </c>
    </row>
    <row r="3" spans="1:50" ht="12" x14ac:dyDescent="0.3">
      <c r="A3" s="13" t="s">
        <v>1008</v>
      </c>
      <c r="B3" s="13"/>
      <c r="C3" s="8" t="s">
        <v>445</v>
      </c>
      <c r="D3" s="8" t="s">
        <v>445</v>
      </c>
      <c r="E3" s="8" t="s">
        <v>445</v>
      </c>
      <c r="F3" s="27" t="s">
        <v>158</v>
      </c>
      <c r="G3" s="8" t="s">
        <v>997</v>
      </c>
      <c r="H3" s="27" t="s">
        <v>158</v>
      </c>
      <c r="I3" s="15"/>
      <c r="J3" s="8" t="s">
        <v>445</v>
      </c>
      <c r="K3" s="8" t="s">
        <v>445</v>
      </c>
      <c r="L3" s="8" t="s">
        <v>445</v>
      </c>
      <c r="M3" s="27" t="s">
        <v>158</v>
      </c>
      <c r="N3" s="8" t="s">
        <v>997</v>
      </c>
      <c r="O3" s="27" t="s">
        <v>158</v>
      </c>
      <c r="P3" s="15"/>
      <c r="Q3" s="8" t="s">
        <v>445</v>
      </c>
      <c r="R3" s="8" t="s">
        <v>445</v>
      </c>
      <c r="S3" s="8" t="s">
        <v>445</v>
      </c>
      <c r="T3" s="27" t="s">
        <v>158</v>
      </c>
      <c r="U3" s="8" t="s">
        <v>997</v>
      </c>
      <c r="V3" s="27" t="s">
        <v>158</v>
      </c>
      <c r="W3" s="15"/>
      <c r="X3" s="8" t="s">
        <v>445</v>
      </c>
      <c r="Y3" s="8" t="s">
        <v>445</v>
      </c>
      <c r="Z3" s="8" t="s">
        <v>445</v>
      </c>
      <c r="AA3" s="27" t="s">
        <v>158</v>
      </c>
      <c r="AB3" s="8" t="s">
        <v>997</v>
      </c>
      <c r="AC3" s="27" t="s">
        <v>158</v>
      </c>
      <c r="AD3" s="15"/>
      <c r="AE3" s="8" t="s">
        <v>445</v>
      </c>
      <c r="AF3" s="8" t="s">
        <v>445</v>
      </c>
      <c r="AG3" s="8" t="s">
        <v>445</v>
      </c>
      <c r="AH3" s="27" t="s">
        <v>158</v>
      </c>
      <c r="AI3" s="8" t="s">
        <v>997</v>
      </c>
      <c r="AJ3" s="27" t="s">
        <v>158</v>
      </c>
      <c r="AK3" s="153"/>
      <c r="AL3" s="167" t="s">
        <v>445</v>
      </c>
      <c r="AM3" s="167" t="s">
        <v>445</v>
      </c>
      <c r="AN3" s="167" t="s">
        <v>445</v>
      </c>
      <c r="AO3" s="167">
        <v>0</v>
      </c>
      <c r="AP3" s="167" t="s">
        <v>997</v>
      </c>
      <c r="AQ3" s="167">
        <v>0</v>
      </c>
      <c r="AR3" s="153"/>
      <c r="AS3" s="167" t="s">
        <v>445</v>
      </c>
      <c r="AT3" s="167" t="s">
        <v>445</v>
      </c>
      <c r="AU3" s="167" t="s">
        <v>445</v>
      </c>
      <c r="AV3" s="167" t="s">
        <v>158</v>
      </c>
      <c r="AW3" s="167" t="s">
        <v>370</v>
      </c>
      <c r="AX3" s="167" t="s">
        <v>158</v>
      </c>
    </row>
    <row r="4" spans="1:50" ht="12" x14ac:dyDescent="0.3">
      <c r="A4" s="13" t="s">
        <v>1011</v>
      </c>
      <c r="B4" s="13"/>
      <c r="C4" s="8" t="s">
        <v>445</v>
      </c>
      <c r="D4" s="8" t="s">
        <v>445</v>
      </c>
      <c r="E4" s="8" t="s">
        <v>445</v>
      </c>
      <c r="F4" s="27" t="s">
        <v>158</v>
      </c>
      <c r="G4" s="8" t="s">
        <v>997</v>
      </c>
      <c r="H4" s="27" t="s">
        <v>158</v>
      </c>
      <c r="I4" s="15"/>
      <c r="J4" s="8" t="s">
        <v>445</v>
      </c>
      <c r="K4" s="8" t="s">
        <v>445</v>
      </c>
      <c r="L4" s="8" t="s">
        <v>445</v>
      </c>
      <c r="M4" s="27" t="s">
        <v>158</v>
      </c>
      <c r="N4" s="8" t="s">
        <v>997</v>
      </c>
      <c r="O4" s="27" t="s">
        <v>158</v>
      </c>
      <c r="P4" s="15"/>
      <c r="Q4" s="8" t="s">
        <v>445</v>
      </c>
      <c r="R4" s="8" t="s">
        <v>445</v>
      </c>
      <c r="S4" s="8" t="s">
        <v>445</v>
      </c>
      <c r="T4" s="27" t="s">
        <v>158</v>
      </c>
      <c r="U4" s="8" t="s">
        <v>997</v>
      </c>
      <c r="V4" s="27" t="s">
        <v>158</v>
      </c>
      <c r="W4" s="15"/>
      <c r="X4" s="8" t="s">
        <v>445</v>
      </c>
      <c r="Y4" s="8" t="s">
        <v>445</v>
      </c>
      <c r="Z4" s="8" t="s">
        <v>445</v>
      </c>
      <c r="AA4" s="27" t="s">
        <v>158</v>
      </c>
      <c r="AB4" s="8" t="s">
        <v>997</v>
      </c>
      <c r="AC4" s="27" t="s">
        <v>158</v>
      </c>
      <c r="AD4" s="15"/>
      <c r="AE4" s="8" t="s">
        <v>445</v>
      </c>
      <c r="AF4" s="8" t="s">
        <v>445</v>
      </c>
      <c r="AG4" s="8" t="s">
        <v>445</v>
      </c>
      <c r="AH4" s="27" t="s">
        <v>158</v>
      </c>
      <c r="AI4" s="8" t="s">
        <v>997</v>
      </c>
      <c r="AJ4" s="27" t="s">
        <v>158</v>
      </c>
      <c r="AK4" s="153"/>
      <c r="AL4" s="167" t="s">
        <v>445</v>
      </c>
      <c r="AM4" s="167" t="s">
        <v>445</v>
      </c>
      <c r="AN4" s="167" t="s">
        <v>445</v>
      </c>
      <c r="AO4" s="167">
        <v>0</v>
      </c>
      <c r="AP4" s="167" t="s">
        <v>997</v>
      </c>
      <c r="AQ4" s="167">
        <v>0</v>
      </c>
      <c r="AR4" s="153"/>
      <c r="AS4" s="167" t="s">
        <v>445</v>
      </c>
      <c r="AT4" s="167" t="s">
        <v>445</v>
      </c>
      <c r="AU4" s="167" t="s">
        <v>445</v>
      </c>
      <c r="AV4" s="167" t="s">
        <v>158</v>
      </c>
      <c r="AW4" s="167" t="s">
        <v>370</v>
      </c>
      <c r="AX4" s="167" t="s">
        <v>158</v>
      </c>
    </row>
    <row r="5" spans="1:50" ht="12" x14ac:dyDescent="0.3">
      <c r="A5" s="13" t="s">
        <v>1013</v>
      </c>
      <c r="B5" s="13"/>
      <c r="C5" s="8" t="s">
        <v>445</v>
      </c>
      <c r="D5" s="8" t="s">
        <v>445</v>
      </c>
      <c r="E5" s="8" t="s">
        <v>445</v>
      </c>
      <c r="F5" s="27" t="s">
        <v>158</v>
      </c>
      <c r="G5" s="8" t="s">
        <v>997</v>
      </c>
      <c r="H5" s="27" t="s">
        <v>158</v>
      </c>
      <c r="I5" s="15"/>
      <c r="J5" s="8" t="s">
        <v>445</v>
      </c>
      <c r="K5" s="8" t="s">
        <v>445</v>
      </c>
      <c r="L5" s="8" t="s">
        <v>445</v>
      </c>
      <c r="M5" s="27" t="s">
        <v>158</v>
      </c>
      <c r="N5" s="8" t="s">
        <v>997</v>
      </c>
      <c r="O5" s="27" t="s">
        <v>158</v>
      </c>
      <c r="P5" s="15"/>
      <c r="Q5" s="8" t="s">
        <v>445</v>
      </c>
      <c r="R5" s="8" t="s">
        <v>445</v>
      </c>
      <c r="S5" s="8" t="s">
        <v>445</v>
      </c>
      <c r="T5" s="27" t="s">
        <v>158</v>
      </c>
      <c r="U5" s="8" t="s">
        <v>997</v>
      </c>
      <c r="V5" s="27" t="s">
        <v>158</v>
      </c>
      <c r="W5" s="15"/>
      <c r="X5" s="8" t="s">
        <v>445</v>
      </c>
      <c r="Y5" s="8" t="s">
        <v>445</v>
      </c>
      <c r="Z5" s="8" t="s">
        <v>445</v>
      </c>
      <c r="AA5" s="27" t="s">
        <v>158</v>
      </c>
      <c r="AB5" s="8" t="s">
        <v>997</v>
      </c>
      <c r="AC5" s="27" t="s">
        <v>158</v>
      </c>
      <c r="AD5" s="15"/>
      <c r="AE5" s="8" t="s">
        <v>445</v>
      </c>
      <c r="AF5" s="8" t="s">
        <v>445</v>
      </c>
      <c r="AG5" s="8" t="s">
        <v>445</v>
      </c>
      <c r="AH5" s="27" t="s">
        <v>158</v>
      </c>
      <c r="AI5" s="8" t="s">
        <v>997</v>
      </c>
      <c r="AJ5" s="27" t="s">
        <v>158</v>
      </c>
      <c r="AK5" s="153"/>
      <c r="AL5" s="167" t="s">
        <v>445</v>
      </c>
      <c r="AM5" s="167" t="s">
        <v>445</v>
      </c>
      <c r="AN5" s="167" t="s">
        <v>445</v>
      </c>
      <c r="AO5" s="167">
        <v>0</v>
      </c>
      <c r="AP5" s="167" t="s">
        <v>997</v>
      </c>
      <c r="AQ5" s="167">
        <v>0</v>
      </c>
      <c r="AR5" s="153"/>
      <c r="AS5" s="167" t="s">
        <v>445</v>
      </c>
      <c r="AT5" s="167" t="s">
        <v>445</v>
      </c>
      <c r="AU5" s="167" t="s">
        <v>445</v>
      </c>
      <c r="AV5" s="167" t="s">
        <v>158</v>
      </c>
      <c r="AW5" s="167" t="s">
        <v>370</v>
      </c>
      <c r="AX5" s="167" t="s">
        <v>158</v>
      </c>
    </row>
    <row r="6" spans="1:50" ht="12" x14ac:dyDescent="0.3">
      <c r="A6" s="13" t="s">
        <v>1015</v>
      </c>
      <c r="B6" s="13"/>
      <c r="C6" s="8" t="s">
        <v>445</v>
      </c>
      <c r="D6" s="8" t="s">
        <v>445</v>
      </c>
      <c r="E6" s="8" t="s">
        <v>445</v>
      </c>
      <c r="F6" s="8" t="s">
        <v>997</v>
      </c>
      <c r="G6" s="27" t="s">
        <v>158</v>
      </c>
      <c r="H6" s="27" t="s">
        <v>158</v>
      </c>
      <c r="I6" s="15"/>
      <c r="J6" s="8" t="s">
        <v>445</v>
      </c>
      <c r="K6" s="8" t="s">
        <v>445</v>
      </c>
      <c r="L6" s="8" t="s">
        <v>445</v>
      </c>
      <c r="M6" s="8" t="s">
        <v>997</v>
      </c>
      <c r="N6" s="27" t="s">
        <v>158</v>
      </c>
      <c r="O6" s="27" t="s">
        <v>158</v>
      </c>
      <c r="P6" s="15"/>
      <c r="Q6" s="8" t="s">
        <v>445</v>
      </c>
      <c r="R6" s="8" t="s">
        <v>445</v>
      </c>
      <c r="S6" s="8" t="s">
        <v>445</v>
      </c>
      <c r="T6" s="8" t="s">
        <v>997</v>
      </c>
      <c r="U6" s="27" t="s">
        <v>158</v>
      </c>
      <c r="V6" s="27" t="s">
        <v>158</v>
      </c>
      <c r="W6" s="15"/>
      <c r="X6" s="8" t="s">
        <v>445</v>
      </c>
      <c r="Y6" s="8" t="s">
        <v>445</v>
      </c>
      <c r="Z6" s="8" t="s">
        <v>445</v>
      </c>
      <c r="AA6" s="8" t="s">
        <v>997</v>
      </c>
      <c r="AB6" s="27" t="s">
        <v>158</v>
      </c>
      <c r="AC6" s="27" t="s">
        <v>158</v>
      </c>
      <c r="AD6" s="15"/>
      <c r="AE6" s="8" t="s">
        <v>445</v>
      </c>
      <c r="AF6" s="8" t="s">
        <v>445</v>
      </c>
      <c r="AG6" s="8" t="s">
        <v>445</v>
      </c>
      <c r="AH6" s="8" t="s">
        <v>997</v>
      </c>
      <c r="AI6" s="27" t="s">
        <v>158</v>
      </c>
      <c r="AJ6" s="27" t="s">
        <v>158</v>
      </c>
      <c r="AK6" s="153"/>
      <c r="AL6" s="167" t="s">
        <v>445</v>
      </c>
      <c r="AM6" s="167" t="s">
        <v>445</v>
      </c>
      <c r="AN6" s="167" t="s">
        <v>445</v>
      </c>
      <c r="AO6" s="167" t="s">
        <v>997</v>
      </c>
      <c r="AP6" s="167">
        <v>0</v>
      </c>
      <c r="AQ6" s="167">
        <v>0</v>
      </c>
      <c r="AR6" s="153"/>
      <c r="AS6" s="167" t="s">
        <v>370</v>
      </c>
      <c r="AT6" s="167" t="s">
        <v>370</v>
      </c>
      <c r="AU6" s="167" t="s">
        <v>158</v>
      </c>
      <c r="AV6" s="167" t="s">
        <v>445</v>
      </c>
      <c r="AW6" s="167" t="s">
        <v>158</v>
      </c>
      <c r="AX6" s="167" t="s">
        <v>158</v>
      </c>
    </row>
    <row r="7" spans="1:50" ht="12" x14ac:dyDescent="0.3">
      <c r="A7" s="13" t="s">
        <v>1018</v>
      </c>
      <c r="B7" s="13"/>
      <c r="C7" s="8" t="s">
        <v>445</v>
      </c>
      <c r="D7" s="8" t="s">
        <v>445</v>
      </c>
      <c r="E7" s="8" t="s">
        <v>445</v>
      </c>
      <c r="F7" s="8" t="s">
        <v>997</v>
      </c>
      <c r="G7" s="27" t="s">
        <v>158</v>
      </c>
      <c r="H7" s="27" t="s">
        <v>158</v>
      </c>
      <c r="I7" s="15"/>
      <c r="J7" s="8" t="s">
        <v>445</v>
      </c>
      <c r="K7" s="8" t="s">
        <v>445</v>
      </c>
      <c r="L7" s="8" t="s">
        <v>445</v>
      </c>
      <c r="M7" s="8" t="s">
        <v>997</v>
      </c>
      <c r="N7" s="27" t="s">
        <v>158</v>
      </c>
      <c r="O7" s="27" t="s">
        <v>158</v>
      </c>
      <c r="P7" s="15"/>
      <c r="Q7" s="8" t="s">
        <v>445</v>
      </c>
      <c r="R7" s="8" t="s">
        <v>445</v>
      </c>
      <c r="S7" s="8" t="s">
        <v>445</v>
      </c>
      <c r="T7" s="8" t="s">
        <v>997</v>
      </c>
      <c r="U7" s="27" t="s">
        <v>158</v>
      </c>
      <c r="V7" s="27" t="s">
        <v>158</v>
      </c>
      <c r="W7" s="15"/>
      <c r="X7" s="8" t="s">
        <v>445</v>
      </c>
      <c r="Y7" s="8" t="s">
        <v>445</v>
      </c>
      <c r="Z7" s="8" t="s">
        <v>445</v>
      </c>
      <c r="AA7" s="8" t="s">
        <v>997</v>
      </c>
      <c r="AB7" s="27" t="s">
        <v>158</v>
      </c>
      <c r="AC7" s="27" t="s">
        <v>158</v>
      </c>
      <c r="AD7" s="15"/>
      <c r="AE7" s="8" t="s">
        <v>445</v>
      </c>
      <c r="AF7" s="8" t="s">
        <v>445</v>
      </c>
      <c r="AG7" s="8" t="s">
        <v>445</v>
      </c>
      <c r="AH7" s="8" t="s">
        <v>997</v>
      </c>
      <c r="AI7" s="27" t="s">
        <v>158</v>
      </c>
      <c r="AJ7" s="27" t="s">
        <v>158</v>
      </c>
      <c r="AK7" s="153"/>
      <c r="AL7" s="167" t="s">
        <v>445</v>
      </c>
      <c r="AM7" s="167" t="s">
        <v>445</v>
      </c>
      <c r="AN7" s="167" t="s">
        <v>445</v>
      </c>
      <c r="AO7" s="167" t="s">
        <v>997</v>
      </c>
      <c r="AP7" s="167">
        <v>0</v>
      </c>
      <c r="AQ7" s="167">
        <v>0</v>
      </c>
      <c r="AR7" s="153"/>
      <c r="AS7" s="167" t="s">
        <v>370</v>
      </c>
      <c r="AT7" s="167" t="s">
        <v>370</v>
      </c>
      <c r="AU7" s="167" t="s">
        <v>445</v>
      </c>
      <c r="AV7" s="167" t="s">
        <v>445</v>
      </c>
      <c r="AW7" s="167" t="s">
        <v>158</v>
      </c>
      <c r="AX7" s="167" t="s">
        <v>158</v>
      </c>
    </row>
    <row r="8" spans="1:50" ht="12" x14ac:dyDescent="0.3">
      <c r="A8" s="13" t="s">
        <v>1020</v>
      </c>
      <c r="B8" s="13"/>
      <c r="C8" s="8" t="s">
        <v>445</v>
      </c>
      <c r="D8" s="8" t="s">
        <v>445</v>
      </c>
      <c r="E8" s="8" t="s">
        <v>445</v>
      </c>
      <c r="F8" s="27" t="s">
        <v>158</v>
      </c>
      <c r="G8" s="8" t="s">
        <v>997</v>
      </c>
      <c r="H8" s="27" t="s">
        <v>158</v>
      </c>
      <c r="I8" s="15"/>
      <c r="J8" s="8" t="s">
        <v>445</v>
      </c>
      <c r="K8" s="8" t="s">
        <v>445</v>
      </c>
      <c r="L8" s="8" t="s">
        <v>445</v>
      </c>
      <c r="M8" s="27" t="s">
        <v>158</v>
      </c>
      <c r="N8" s="8" t="s">
        <v>997</v>
      </c>
      <c r="O8" s="27" t="s">
        <v>158</v>
      </c>
      <c r="P8" s="15"/>
      <c r="Q8" s="8" t="s">
        <v>445</v>
      </c>
      <c r="R8" s="8" t="s">
        <v>445</v>
      </c>
      <c r="S8" s="8" t="s">
        <v>445</v>
      </c>
      <c r="T8" s="27" t="s">
        <v>158</v>
      </c>
      <c r="U8" s="8" t="s">
        <v>997</v>
      </c>
      <c r="V8" s="27" t="s">
        <v>158</v>
      </c>
      <c r="W8" s="15"/>
      <c r="X8" s="8" t="s">
        <v>445</v>
      </c>
      <c r="Y8" s="8" t="s">
        <v>445</v>
      </c>
      <c r="Z8" s="8" t="s">
        <v>445</v>
      </c>
      <c r="AA8" s="27" t="s">
        <v>158</v>
      </c>
      <c r="AB8" s="8" t="s">
        <v>997</v>
      </c>
      <c r="AC8" s="27" t="s">
        <v>158</v>
      </c>
      <c r="AD8" s="15"/>
      <c r="AE8" s="8" t="s">
        <v>445</v>
      </c>
      <c r="AF8" s="8" t="s">
        <v>445</v>
      </c>
      <c r="AG8" s="8" t="s">
        <v>445</v>
      </c>
      <c r="AH8" s="27" t="s">
        <v>158</v>
      </c>
      <c r="AI8" s="8" t="s">
        <v>997</v>
      </c>
      <c r="AJ8" s="27" t="s">
        <v>158</v>
      </c>
      <c r="AK8" s="153"/>
      <c r="AL8" s="167" t="s">
        <v>445</v>
      </c>
      <c r="AM8" s="167" t="s">
        <v>445</v>
      </c>
      <c r="AN8" s="167" t="s">
        <v>445</v>
      </c>
      <c r="AO8" s="167">
        <v>0</v>
      </c>
      <c r="AP8" s="167" t="s">
        <v>997</v>
      </c>
      <c r="AQ8" s="167">
        <v>0</v>
      </c>
      <c r="AR8" s="153"/>
      <c r="AS8" s="167" t="s">
        <v>445</v>
      </c>
      <c r="AT8" s="167" t="s">
        <v>445</v>
      </c>
      <c r="AU8" s="167" t="s">
        <v>445</v>
      </c>
      <c r="AV8" s="167" t="s">
        <v>370</v>
      </c>
      <c r="AW8" s="167" t="s">
        <v>158</v>
      </c>
      <c r="AX8" s="167" t="s">
        <v>158</v>
      </c>
    </row>
    <row r="9" spans="1:50" ht="12" x14ac:dyDescent="0.3">
      <c r="A9" s="13" t="s">
        <v>1023</v>
      </c>
      <c r="B9" s="13"/>
      <c r="C9" s="8" t="s">
        <v>445</v>
      </c>
      <c r="D9" s="8" t="s">
        <v>445</v>
      </c>
      <c r="E9" s="8" t="s">
        <v>445</v>
      </c>
      <c r="F9" s="8" t="s">
        <v>997</v>
      </c>
      <c r="G9" s="27" t="s">
        <v>158</v>
      </c>
      <c r="H9" s="27" t="s">
        <v>158</v>
      </c>
      <c r="I9" s="15"/>
      <c r="J9" s="8" t="s">
        <v>445</v>
      </c>
      <c r="K9" s="8" t="s">
        <v>445</v>
      </c>
      <c r="L9" s="8" t="s">
        <v>445</v>
      </c>
      <c r="M9" s="8" t="s">
        <v>997</v>
      </c>
      <c r="N9" s="27" t="s">
        <v>158</v>
      </c>
      <c r="O9" s="27" t="s">
        <v>158</v>
      </c>
      <c r="P9" s="15"/>
      <c r="Q9" s="8" t="s">
        <v>445</v>
      </c>
      <c r="R9" s="8" t="s">
        <v>445</v>
      </c>
      <c r="S9" s="8" t="s">
        <v>445</v>
      </c>
      <c r="T9" s="8" t="s">
        <v>997</v>
      </c>
      <c r="U9" s="27" t="s">
        <v>158</v>
      </c>
      <c r="V9" s="27" t="s">
        <v>158</v>
      </c>
      <c r="W9" s="15"/>
      <c r="X9" s="8" t="s">
        <v>445</v>
      </c>
      <c r="Y9" s="8" t="s">
        <v>445</v>
      </c>
      <c r="Z9" s="8" t="s">
        <v>445</v>
      </c>
      <c r="AA9" s="8" t="s">
        <v>997</v>
      </c>
      <c r="AB9" s="27" t="s">
        <v>158</v>
      </c>
      <c r="AC9" s="27" t="s">
        <v>158</v>
      </c>
      <c r="AD9" s="15"/>
      <c r="AE9" s="8" t="s">
        <v>445</v>
      </c>
      <c r="AF9" s="8" t="s">
        <v>445</v>
      </c>
      <c r="AG9" s="8" t="s">
        <v>445</v>
      </c>
      <c r="AH9" s="8" t="s">
        <v>997</v>
      </c>
      <c r="AI9" s="27" t="s">
        <v>158</v>
      </c>
      <c r="AJ9" s="27" t="s">
        <v>158</v>
      </c>
      <c r="AK9" s="153"/>
      <c r="AL9" s="167" t="s">
        <v>445</v>
      </c>
      <c r="AM9" s="167" t="s">
        <v>445</v>
      </c>
      <c r="AN9" s="167" t="s">
        <v>445</v>
      </c>
      <c r="AO9" s="167" t="s">
        <v>997</v>
      </c>
      <c r="AP9" s="167">
        <v>0</v>
      </c>
      <c r="AQ9" s="167">
        <v>0</v>
      </c>
      <c r="AR9" s="153"/>
      <c r="AS9" s="167" t="s">
        <v>445</v>
      </c>
      <c r="AT9" s="167" t="s">
        <v>445</v>
      </c>
      <c r="AU9" s="167" t="s">
        <v>445</v>
      </c>
      <c r="AV9" s="167" t="s">
        <v>370</v>
      </c>
      <c r="AW9" s="167" t="s">
        <v>158</v>
      </c>
      <c r="AX9" s="167" t="s">
        <v>158</v>
      </c>
    </row>
    <row r="10" spans="1:50" ht="12" x14ac:dyDescent="0.3">
      <c r="A10" s="13" t="s">
        <v>1027</v>
      </c>
      <c r="B10" s="13"/>
      <c r="C10" s="8" t="s">
        <v>445</v>
      </c>
      <c r="D10" s="8" t="s">
        <v>445</v>
      </c>
      <c r="E10" s="8" t="s">
        <v>445</v>
      </c>
      <c r="F10" s="27" t="s">
        <v>158</v>
      </c>
      <c r="G10" s="8" t="s">
        <v>997</v>
      </c>
      <c r="H10" s="27" t="s">
        <v>158</v>
      </c>
      <c r="I10" s="15"/>
      <c r="J10" s="8" t="s">
        <v>445</v>
      </c>
      <c r="K10" s="8" t="s">
        <v>445</v>
      </c>
      <c r="L10" s="8" t="s">
        <v>445</v>
      </c>
      <c r="M10" s="27" t="s">
        <v>158</v>
      </c>
      <c r="N10" s="8" t="s">
        <v>997</v>
      </c>
      <c r="O10" s="27" t="s">
        <v>158</v>
      </c>
      <c r="P10" s="15"/>
      <c r="Q10" s="8" t="s">
        <v>445</v>
      </c>
      <c r="R10" s="8" t="s">
        <v>445</v>
      </c>
      <c r="S10" s="8" t="s">
        <v>445</v>
      </c>
      <c r="T10" s="27" t="s">
        <v>158</v>
      </c>
      <c r="U10" s="8" t="s">
        <v>997</v>
      </c>
      <c r="V10" s="27" t="s">
        <v>158</v>
      </c>
      <c r="W10" s="15"/>
      <c r="X10" s="8" t="s">
        <v>445</v>
      </c>
      <c r="Y10" s="8" t="s">
        <v>445</v>
      </c>
      <c r="Z10" s="8" t="s">
        <v>445</v>
      </c>
      <c r="AA10" s="27" t="s">
        <v>158</v>
      </c>
      <c r="AB10" s="8" t="s">
        <v>997</v>
      </c>
      <c r="AC10" s="27" t="s">
        <v>158</v>
      </c>
      <c r="AD10" s="15"/>
      <c r="AE10" s="8" t="s">
        <v>445</v>
      </c>
      <c r="AF10" s="8" t="s">
        <v>445</v>
      </c>
      <c r="AG10" s="8" t="s">
        <v>445</v>
      </c>
      <c r="AH10" s="27" t="s">
        <v>158</v>
      </c>
      <c r="AI10" s="8" t="s">
        <v>997</v>
      </c>
      <c r="AJ10" s="27" t="s">
        <v>158</v>
      </c>
      <c r="AK10" s="153"/>
      <c r="AL10" s="167" t="s">
        <v>445</v>
      </c>
      <c r="AM10" s="167" t="s">
        <v>445</v>
      </c>
      <c r="AN10" s="167" t="s">
        <v>445</v>
      </c>
      <c r="AO10" s="167">
        <v>0</v>
      </c>
      <c r="AP10" s="167" t="s">
        <v>997</v>
      </c>
      <c r="AQ10" s="167">
        <v>0</v>
      </c>
      <c r="AR10" s="153"/>
      <c r="AS10" s="167" t="s">
        <v>445</v>
      </c>
      <c r="AT10" s="167" t="s">
        <v>445</v>
      </c>
      <c r="AU10" s="167" t="s">
        <v>445</v>
      </c>
      <c r="AV10" s="167" t="s">
        <v>1382</v>
      </c>
      <c r="AW10" s="167" t="s">
        <v>370</v>
      </c>
      <c r="AX10" s="167" t="s">
        <v>158</v>
      </c>
    </row>
    <row r="11" spans="1:50" ht="12" x14ac:dyDescent="0.3">
      <c r="A11" s="13" t="s">
        <v>1030</v>
      </c>
      <c r="B11" s="13"/>
      <c r="C11" s="8" t="s">
        <v>445</v>
      </c>
      <c r="D11" s="8" t="s">
        <v>445</v>
      </c>
      <c r="E11" s="8" t="s">
        <v>445</v>
      </c>
      <c r="F11" s="8" t="s">
        <v>997</v>
      </c>
      <c r="G11" s="27" t="s">
        <v>158</v>
      </c>
      <c r="H11" s="27" t="s">
        <v>158</v>
      </c>
      <c r="I11" s="15"/>
      <c r="J11" s="8" t="s">
        <v>445</v>
      </c>
      <c r="K11" s="8" t="s">
        <v>445</v>
      </c>
      <c r="L11" s="8" t="s">
        <v>445</v>
      </c>
      <c r="M11" s="8" t="s">
        <v>997</v>
      </c>
      <c r="N11" s="27" t="s">
        <v>158</v>
      </c>
      <c r="O11" s="27" t="s">
        <v>158</v>
      </c>
      <c r="P11" s="15"/>
      <c r="Q11" s="8" t="s">
        <v>445</v>
      </c>
      <c r="R11" s="8" t="s">
        <v>445</v>
      </c>
      <c r="S11" s="8" t="s">
        <v>445</v>
      </c>
      <c r="T11" s="8" t="s">
        <v>997</v>
      </c>
      <c r="U11" s="27" t="s">
        <v>158</v>
      </c>
      <c r="V11" s="27" t="s">
        <v>158</v>
      </c>
      <c r="W11" s="15"/>
      <c r="X11" s="8" t="s">
        <v>445</v>
      </c>
      <c r="Y11" s="8" t="s">
        <v>445</v>
      </c>
      <c r="Z11" s="8" t="s">
        <v>445</v>
      </c>
      <c r="AA11" s="8" t="s">
        <v>997</v>
      </c>
      <c r="AB11" s="27" t="s">
        <v>158</v>
      </c>
      <c r="AC11" s="27" t="s">
        <v>158</v>
      </c>
      <c r="AD11" s="15"/>
      <c r="AE11" s="8" t="s">
        <v>445</v>
      </c>
      <c r="AF11" s="8" t="s">
        <v>445</v>
      </c>
      <c r="AG11" s="8" t="s">
        <v>445</v>
      </c>
      <c r="AH11" s="8" t="s">
        <v>997</v>
      </c>
      <c r="AI11" s="27" t="s">
        <v>158</v>
      </c>
      <c r="AJ11" s="27" t="s">
        <v>158</v>
      </c>
      <c r="AK11" s="153"/>
      <c r="AL11" s="167" t="s">
        <v>445</v>
      </c>
      <c r="AM11" s="167" t="s">
        <v>445</v>
      </c>
      <c r="AN11" s="167" t="s">
        <v>445</v>
      </c>
      <c r="AO11" s="167" t="s">
        <v>997</v>
      </c>
      <c r="AP11" s="167">
        <v>0</v>
      </c>
      <c r="AQ11" s="167">
        <v>0</v>
      </c>
      <c r="AR11" s="153"/>
      <c r="AS11" s="167" t="s">
        <v>370</v>
      </c>
      <c r="AT11" s="167" t="s">
        <v>370</v>
      </c>
      <c r="AU11" s="167" t="s">
        <v>445</v>
      </c>
      <c r="AV11" s="167" t="s">
        <v>445</v>
      </c>
      <c r="AW11" s="167" t="s">
        <v>158</v>
      </c>
      <c r="AX11" s="167" t="s">
        <v>158</v>
      </c>
    </row>
    <row r="12" spans="1:50" ht="12" x14ac:dyDescent="0.3">
      <c r="A12" s="13" t="s">
        <v>1034</v>
      </c>
      <c r="B12" s="13"/>
      <c r="C12" s="8" t="s">
        <v>445</v>
      </c>
      <c r="D12" s="8" t="s">
        <v>445</v>
      </c>
      <c r="E12" s="8" t="s">
        <v>445</v>
      </c>
      <c r="F12" s="8" t="s">
        <v>997</v>
      </c>
      <c r="G12" s="27" t="s">
        <v>158</v>
      </c>
      <c r="H12" s="27" t="s">
        <v>158</v>
      </c>
      <c r="I12" s="15"/>
      <c r="J12" s="8" t="s">
        <v>445</v>
      </c>
      <c r="K12" s="8" t="s">
        <v>445</v>
      </c>
      <c r="L12" s="8" t="s">
        <v>445</v>
      </c>
      <c r="M12" s="8" t="s">
        <v>997</v>
      </c>
      <c r="N12" s="27" t="s">
        <v>158</v>
      </c>
      <c r="O12" s="27" t="s">
        <v>158</v>
      </c>
      <c r="P12" s="15"/>
      <c r="Q12" s="8" t="s">
        <v>445</v>
      </c>
      <c r="R12" s="8" t="s">
        <v>445</v>
      </c>
      <c r="S12" s="8" t="s">
        <v>445</v>
      </c>
      <c r="T12" s="8" t="s">
        <v>997</v>
      </c>
      <c r="U12" s="27" t="s">
        <v>158</v>
      </c>
      <c r="V12" s="27" t="s">
        <v>158</v>
      </c>
      <c r="W12" s="15"/>
      <c r="X12" s="8" t="s">
        <v>445</v>
      </c>
      <c r="Y12" s="8" t="s">
        <v>445</v>
      </c>
      <c r="Z12" s="8" t="s">
        <v>445</v>
      </c>
      <c r="AA12" s="8" t="s">
        <v>997</v>
      </c>
      <c r="AB12" s="27" t="s">
        <v>158</v>
      </c>
      <c r="AC12" s="27" t="s">
        <v>158</v>
      </c>
      <c r="AD12" s="15"/>
      <c r="AE12" s="8" t="s">
        <v>445</v>
      </c>
      <c r="AF12" s="8" t="s">
        <v>445</v>
      </c>
      <c r="AG12" s="8" t="s">
        <v>445</v>
      </c>
      <c r="AH12" s="8" t="s">
        <v>997</v>
      </c>
      <c r="AI12" s="27" t="s">
        <v>158</v>
      </c>
      <c r="AJ12" s="27" t="s">
        <v>158</v>
      </c>
      <c r="AK12" s="153"/>
      <c r="AL12" s="167" t="s">
        <v>997</v>
      </c>
      <c r="AM12" s="167" t="s">
        <v>997</v>
      </c>
      <c r="AN12" s="167" t="s">
        <v>997</v>
      </c>
      <c r="AO12" s="167" t="s">
        <v>445</v>
      </c>
      <c r="AP12" s="167">
        <v>0</v>
      </c>
      <c r="AQ12" s="167">
        <v>0</v>
      </c>
      <c r="AR12" s="153"/>
      <c r="AS12" s="167" t="s">
        <v>370</v>
      </c>
      <c r="AT12" s="167" t="s">
        <v>370</v>
      </c>
      <c r="AU12" s="167" t="s">
        <v>445</v>
      </c>
      <c r="AV12" s="167" t="s">
        <v>445</v>
      </c>
      <c r="AW12" s="167" t="s">
        <v>158</v>
      </c>
      <c r="AX12" s="167" t="s">
        <v>445</v>
      </c>
    </row>
    <row r="13" spans="1:50" ht="12" x14ac:dyDescent="0.3">
      <c r="A13" s="13" t="s">
        <v>1036</v>
      </c>
      <c r="B13" s="13"/>
      <c r="C13" s="8" t="s">
        <v>997</v>
      </c>
      <c r="D13" s="8" t="s">
        <v>997</v>
      </c>
      <c r="E13" s="8" t="s">
        <v>445</v>
      </c>
      <c r="F13" s="8" t="s">
        <v>445</v>
      </c>
      <c r="G13" s="27" t="s">
        <v>158</v>
      </c>
      <c r="H13" s="27" t="s">
        <v>158</v>
      </c>
      <c r="I13" s="15"/>
      <c r="J13" s="8" t="s">
        <v>997</v>
      </c>
      <c r="K13" s="8" t="s">
        <v>997</v>
      </c>
      <c r="L13" s="8" t="s">
        <v>445</v>
      </c>
      <c r="M13" s="8" t="s">
        <v>445</v>
      </c>
      <c r="N13" s="27" t="s">
        <v>158</v>
      </c>
      <c r="O13" s="27" t="s">
        <v>158</v>
      </c>
      <c r="P13" s="15"/>
      <c r="Q13" s="8" t="s">
        <v>997</v>
      </c>
      <c r="R13" s="8" t="s">
        <v>997</v>
      </c>
      <c r="S13" s="8" t="s">
        <v>445</v>
      </c>
      <c r="T13" s="8" t="s">
        <v>445</v>
      </c>
      <c r="U13" s="27" t="s">
        <v>158</v>
      </c>
      <c r="V13" s="27" t="s">
        <v>158</v>
      </c>
      <c r="W13" s="15"/>
      <c r="X13" s="8" t="s">
        <v>997</v>
      </c>
      <c r="Y13" s="8" t="s">
        <v>997</v>
      </c>
      <c r="Z13" s="8" t="s">
        <v>445</v>
      </c>
      <c r="AA13" s="8" t="s">
        <v>445</v>
      </c>
      <c r="AB13" s="27" t="s">
        <v>158</v>
      </c>
      <c r="AC13" s="27" t="s">
        <v>158</v>
      </c>
      <c r="AD13" s="15"/>
      <c r="AE13" s="8" t="s">
        <v>997</v>
      </c>
      <c r="AF13" s="8" t="s">
        <v>997</v>
      </c>
      <c r="AG13" s="8" t="s">
        <v>445</v>
      </c>
      <c r="AH13" s="8" t="s">
        <v>445</v>
      </c>
      <c r="AI13" s="27" t="s">
        <v>158</v>
      </c>
      <c r="AJ13" s="27" t="s">
        <v>158</v>
      </c>
      <c r="AK13" s="153"/>
      <c r="AL13" s="167" t="s">
        <v>997</v>
      </c>
      <c r="AM13" s="167" t="s">
        <v>997</v>
      </c>
      <c r="AN13" s="167" t="s">
        <v>445</v>
      </c>
      <c r="AO13" s="167" t="s">
        <v>445</v>
      </c>
      <c r="AP13" s="167">
        <v>0</v>
      </c>
      <c r="AQ13" s="167">
        <v>0</v>
      </c>
      <c r="AR13" s="153"/>
      <c r="AS13" s="167" t="s">
        <v>370</v>
      </c>
      <c r="AT13" s="167" t="s">
        <v>370</v>
      </c>
      <c r="AU13" s="167" t="s">
        <v>445</v>
      </c>
      <c r="AV13" s="167" t="s">
        <v>445</v>
      </c>
      <c r="AW13" s="167" t="s">
        <v>158</v>
      </c>
      <c r="AX13" s="167" t="s">
        <v>158</v>
      </c>
    </row>
    <row r="14" spans="1:50" ht="12" x14ac:dyDescent="0.3">
      <c r="A14" s="13" t="s">
        <v>1039</v>
      </c>
      <c r="B14" s="13"/>
      <c r="C14" s="8" t="s">
        <v>997</v>
      </c>
      <c r="D14" s="8" t="s">
        <v>997</v>
      </c>
      <c r="E14" s="8" t="s">
        <v>445</v>
      </c>
      <c r="F14" s="8" t="s">
        <v>445</v>
      </c>
      <c r="G14" s="27" t="s">
        <v>158</v>
      </c>
      <c r="H14" s="27" t="s">
        <v>158</v>
      </c>
      <c r="I14" s="15"/>
      <c r="J14" s="8" t="s">
        <v>997</v>
      </c>
      <c r="K14" s="8" t="s">
        <v>997</v>
      </c>
      <c r="L14" s="8" t="s">
        <v>445</v>
      </c>
      <c r="M14" s="8" t="s">
        <v>445</v>
      </c>
      <c r="N14" s="27" t="s">
        <v>158</v>
      </c>
      <c r="O14" s="27" t="s">
        <v>158</v>
      </c>
      <c r="P14" s="15"/>
      <c r="Q14" s="8" t="s">
        <v>997</v>
      </c>
      <c r="R14" s="8" t="s">
        <v>997</v>
      </c>
      <c r="S14" s="8" t="s">
        <v>445</v>
      </c>
      <c r="T14" s="8" t="s">
        <v>445</v>
      </c>
      <c r="U14" s="27" t="s">
        <v>158</v>
      </c>
      <c r="V14" s="27" t="s">
        <v>158</v>
      </c>
      <c r="W14" s="15"/>
      <c r="X14" s="8" t="s">
        <v>997</v>
      </c>
      <c r="Y14" s="8" t="s">
        <v>997</v>
      </c>
      <c r="Z14" s="8" t="s">
        <v>445</v>
      </c>
      <c r="AA14" s="8" t="s">
        <v>445</v>
      </c>
      <c r="AB14" s="27" t="s">
        <v>158</v>
      </c>
      <c r="AC14" s="27" t="s">
        <v>158</v>
      </c>
      <c r="AD14" s="15"/>
      <c r="AE14" s="8" t="s">
        <v>997</v>
      </c>
      <c r="AF14" s="8" t="s">
        <v>997</v>
      </c>
      <c r="AG14" s="8" t="s">
        <v>445</v>
      </c>
      <c r="AH14" s="8" t="s">
        <v>445</v>
      </c>
      <c r="AI14" s="27" t="s">
        <v>158</v>
      </c>
      <c r="AJ14" s="27" t="s">
        <v>158</v>
      </c>
      <c r="AK14" s="153"/>
      <c r="AL14" s="167" t="s">
        <v>997</v>
      </c>
      <c r="AM14" s="167" t="s">
        <v>997</v>
      </c>
      <c r="AN14" s="167" t="s">
        <v>445</v>
      </c>
      <c r="AO14" s="167" t="s">
        <v>445</v>
      </c>
      <c r="AP14" s="167">
        <v>0</v>
      </c>
      <c r="AQ14" s="167">
        <v>0</v>
      </c>
      <c r="AR14" s="153"/>
      <c r="AS14" s="167" t="s">
        <v>370</v>
      </c>
      <c r="AT14" s="167" t="s">
        <v>370</v>
      </c>
      <c r="AU14" s="167" t="s">
        <v>445</v>
      </c>
      <c r="AV14" s="167" t="s">
        <v>445</v>
      </c>
      <c r="AW14" s="167" t="s">
        <v>158</v>
      </c>
      <c r="AX14" s="167" t="s">
        <v>158</v>
      </c>
    </row>
    <row r="15" spans="1:50" ht="12" x14ac:dyDescent="0.3">
      <c r="A15" s="13" t="s">
        <v>1042</v>
      </c>
      <c r="B15" s="13"/>
      <c r="C15" s="8" t="s">
        <v>445</v>
      </c>
      <c r="D15" s="8" t="s">
        <v>445</v>
      </c>
      <c r="E15" s="8" t="s">
        <v>445</v>
      </c>
      <c r="F15" s="8" t="s">
        <v>997</v>
      </c>
      <c r="G15" s="27" t="s">
        <v>158</v>
      </c>
      <c r="H15" s="27" t="s">
        <v>158</v>
      </c>
      <c r="I15" s="15"/>
      <c r="J15" s="8" t="s">
        <v>997</v>
      </c>
      <c r="K15" s="8" t="s">
        <v>997</v>
      </c>
      <c r="L15" s="8" t="s">
        <v>997</v>
      </c>
      <c r="M15" s="8" t="s">
        <v>445</v>
      </c>
      <c r="N15" s="27" t="s">
        <v>158</v>
      </c>
      <c r="O15" s="27" t="s">
        <v>158</v>
      </c>
      <c r="P15" s="15"/>
      <c r="Q15" s="8" t="s">
        <v>445</v>
      </c>
      <c r="R15" s="8" t="s">
        <v>445</v>
      </c>
      <c r="S15" s="8" t="s">
        <v>445</v>
      </c>
      <c r="T15" s="8" t="s">
        <v>997</v>
      </c>
      <c r="U15" s="27" t="s">
        <v>158</v>
      </c>
      <c r="V15" s="27" t="s">
        <v>158</v>
      </c>
      <c r="W15" s="15"/>
      <c r="X15" s="8" t="s">
        <v>445</v>
      </c>
      <c r="Y15" s="8" t="s">
        <v>445</v>
      </c>
      <c r="Z15" s="8" t="s">
        <v>445</v>
      </c>
      <c r="AA15" s="8" t="s">
        <v>997</v>
      </c>
      <c r="AB15" s="27" t="s">
        <v>158</v>
      </c>
      <c r="AC15" s="27" t="s">
        <v>158</v>
      </c>
      <c r="AD15" s="15"/>
      <c r="AE15" s="8" t="s">
        <v>445</v>
      </c>
      <c r="AF15" s="8" t="s">
        <v>445</v>
      </c>
      <c r="AG15" s="8" t="s">
        <v>445</v>
      </c>
      <c r="AH15" s="8" t="s">
        <v>997</v>
      </c>
      <c r="AI15" s="27" t="s">
        <v>158</v>
      </c>
      <c r="AJ15" s="27" t="s">
        <v>158</v>
      </c>
      <c r="AK15" s="153"/>
      <c r="AL15" s="167" t="s">
        <v>997</v>
      </c>
      <c r="AM15" s="167" t="s">
        <v>997</v>
      </c>
      <c r="AN15" s="167" t="s">
        <v>997</v>
      </c>
      <c r="AO15" s="167" t="s">
        <v>445</v>
      </c>
      <c r="AP15" s="167">
        <v>0</v>
      </c>
      <c r="AQ15" s="167">
        <v>0</v>
      </c>
      <c r="AR15" s="153"/>
      <c r="AS15" s="167" t="s">
        <v>370</v>
      </c>
      <c r="AT15" s="167" t="s">
        <v>370</v>
      </c>
      <c r="AU15" s="167" t="s">
        <v>445</v>
      </c>
      <c r="AV15" s="167" t="s">
        <v>158</v>
      </c>
      <c r="AW15" s="167" t="s">
        <v>158</v>
      </c>
      <c r="AX15" s="167" t="s">
        <v>158</v>
      </c>
    </row>
    <row r="16" spans="1:50" ht="12" x14ac:dyDescent="0.3">
      <c r="A16" s="13" t="s">
        <v>1045</v>
      </c>
      <c r="B16" s="13"/>
      <c r="C16" s="8" t="s">
        <v>997</v>
      </c>
      <c r="D16" s="8" t="s">
        <v>1383</v>
      </c>
      <c r="E16" s="8" t="s">
        <v>1383</v>
      </c>
      <c r="F16" s="8" t="s">
        <v>1383</v>
      </c>
      <c r="G16" s="8" t="s">
        <v>1383</v>
      </c>
      <c r="H16" s="8" t="s">
        <v>1383</v>
      </c>
      <c r="I16" s="15"/>
      <c r="J16" s="8" t="s">
        <v>997</v>
      </c>
      <c r="K16" s="8" t="s">
        <v>997</v>
      </c>
      <c r="L16" s="8" t="s">
        <v>997</v>
      </c>
      <c r="M16" s="8" t="s">
        <v>445</v>
      </c>
      <c r="N16" s="8" t="s">
        <v>445</v>
      </c>
      <c r="O16" s="8" t="s">
        <v>445</v>
      </c>
      <c r="P16" s="15"/>
      <c r="Q16" s="8" t="s">
        <v>1383</v>
      </c>
      <c r="R16" s="8" t="s">
        <v>1383</v>
      </c>
      <c r="S16" s="8" t="s">
        <v>1383</v>
      </c>
      <c r="T16" s="8" t="s">
        <v>445</v>
      </c>
      <c r="U16" s="8" t="s">
        <v>445</v>
      </c>
      <c r="V16" s="8" t="s">
        <v>445</v>
      </c>
      <c r="W16" s="15"/>
      <c r="X16" s="8" t="s">
        <v>1383</v>
      </c>
      <c r="Y16" s="8" t="s">
        <v>1383</v>
      </c>
      <c r="Z16" s="8" t="s">
        <v>1383</v>
      </c>
      <c r="AA16" s="8" t="s">
        <v>445</v>
      </c>
      <c r="AB16" s="8" t="s">
        <v>445</v>
      </c>
      <c r="AC16" s="8" t="s">
        <v>445</v>
      </c>
      <c r="AD16" s="15"/>
      <c r="AE16" s="8" t="s">
        <v>1383</v>
      </c>
      <c r="AF16" s="8" t="s">
        <v>1383</v>
      </c>
      <c r="AG16" s="8" t="s">
        <v>1383</v>
      </c>
      <c r="AH16" s="8" t="s">
        <v>445</v>
      </c>
      <c r="AI16" s="8" t="s">
        <v>445</v>
      </c>
      <c r="AJ16" s="8" t="s">
        <v>445</v>
      </c>
      <c r="AL16" s="167" t="s">
        <v>997</v>
      </c>
      <c r="AM16" s="167" t="s">
        <v>997</v>
      </c>
      <c r="AN16" s="167" t="s">
        <v>997</v>
      </c>
      <c r="AO16" s="167" t="s">
        <v>445</v>
      </c>
      <c r="AP16" s="167" t="s">
        <v>445</v>
      </c>
      <c r="AQ16" s="167" t="s">
        <v>445</v>
      </c>
      <c r="AS16" s="167" t="s">
        <v>370</v>
      </c>
      <c r="AT16" s="167" t="s">
        <v>1384</v>
      </c>
      <c r="AU16" s="167" t="s">
        <v>1384</v>
      </c>
      <c r="AV16" s="167" t="s">
        <v>1384</v>
      </c>
      <c r="AW16" s="167" t="s">
        <v>1384</v>
      </c>
      <c r="AX16" s="167" t="s">
        <v>1384</v>
      </c>
    </row>
    <row r="17" spans="1:50" ht="12" x14ac:dyDescent="0.3">
      <c r="A17" s="13" t="s">
        <v>1046</v>
      </c>
      <c r="B17" s="13"/>
      <c r="C17" s="8" t="s">
        <v>997</v>
      </c>
      <c r="D17" s="8" t="s">
        <v>997</v>
      </c>
      <c r="E17" s="8" t="s">
        <v>445</v>
      </c>
      <c r="F17" s="27" t="s">
        <v>158</v>
      </c>
      <c r="G17" s="8" t="s">
        <v>445</v>
      </c>
      <c r="H17" s="27" t="s">
        <v>158</v>
      </c>
      <c r="I17" s="15"/>
      <c r="J17" s="8" t="s">
        <v>997</v>
      </c>
      <c r="K17" s="8" t="s">
        <v>997</v>
      </c>
      <c r="L17" s="8" t="s">
        <v>445</v>
      </c>
      <c r="M17" s="27" t="s">
        <v>158</v>
      </c>
      <c r="N17" s="8" t="s">
        <v>445</v>
      </c>
      <c r="O17" s="27" t="s">
        <v>158</v>
      </c>
      <c r="P17" s="15"/>
      <c r="Q17" s="8" t="s">
        <v>997</v>
      </c>
      <c r="R17" s="8" t="s">
        <v>997</v>
      </c>
      <c r="S17" s="8" t="s">
        <v>445</v>
      </c>
      <c r="T17" s="8" t="s">
        <v>997</v>
      </c>
      <c r="U17" s="8" t="s">
        <v>445</v>
      </c>
      <c r="V17" s="8" t="s">
        <v>997</v>
      </c>
      <c r="W17" s="15"/>
      <c r="X17" s="8" t="s">
        <v>997</v>
      </c>
      <c r="Y17" s="8" t="s">
        <v>997</v>
      </c>
      <c r="Z17" s="8" t="s">
        <v>445</v>
      </c>
      <c r="AA17" s="8" t="s">
        <v>997</v>
      </c>
      <c r="AB17" s="8" t="s">
        <v>445</v>
      </c>
      <c r="AC17" s="8" t="s">
        <v>997</v>
      </c>
      <c r="AD17" s="15"/>
      <c r="AE17" s="8" t="s">
        <v>997</v>
      </c>
      <c r="AF17" s="8" t="s">
        <v>997</v>
      </c>
      <c r="AG17" s="8" t="s">
        <v>445</v>
      </c>
      <c r="AH17" s="8" t="s">
        <v>997</v>
      </c>
      <c r="AI17" s="8" t="s">
        <v>445</v>
      </c>
      <c r="AJ17" s="8" t="s">
        <v>997</v>
      </c>
      <c r="AL17" s="167" t="s">
        <v>997</v>
      </c>
      <c r="AM17" s="167" t="s">
        <v>997</v>
      </c>
      <c r="AN17" s="167" t="s">
        <v>445</v>
      </c>
      <c r="AO17" s="167">
        <v>0</v>
      </c>
      <c r="AP17" s="167" t="s">
        <v>445</v>
      </c>
      <c r="AQ17" s="167">
        <v>0</v>
      </c>
      <c r="AS17" s="167" t="s">
        <v>370</v>
      </c>
      <c r="AT17" s="167" t="s">
        <v>370</v>
      </c>
      <c r="AU17" s="167" t="s">
        <v>445</v>
      </c>
      <c r="AV17" s="167" t="s">
        <v>158</v>
      </c>
      <c r="AW17" s="167" t="s">
        <v>445</v>
      </c>
      <c r="AX17" s="167" t="s">
        <v>158</v>
      </c>
    </row>
    <row r="18" spans="1:50" ht="12" x14ac:dyDescent="0.3">
      <c r="A18" s="13" t="s">
        <v>1049</v>
      </c>
      <c r="B18" s="13"/>
      <c r="C18" s="8" t="s">
        <v>445</v>
      </c>
      <c r="D18" s="8" t="s">
        <v>445</v>
      </c>
      <c r="E18" s="8" t="s">
        <v>445</v>
      </c>
      <c r="F18" s="27" t="s">
        <v>158</v>
      </c>
      <c r="G18" s="27" t="s">
        <v>158</v>
      </c>
      <c r="H18" s="27" t="s">
        <v>158</v>
      </c>
      <c r="I18" s="15"/>
      <c r="J18" s="8" t="s">
        <v>997</v>
      </c>
      <c r="K18" s="8" t="s">
        <v>997</v>
      </c>
      <c r="L18" s="8" t="s">
        <v>997</v>
      </c>
      <c r="M18" s="8" t="s">
        <v>445</v>
      </c>
      <c r="N18" s="27" t="s">
        <v>158</v>
      </c>
      <c r="O18" s="27" t="s">
        <v>158</v>
      </c>
      <c r="P18" s="15"/>
      <c r="Q18" s="8" t="s">
        <v>997</v>
      </c>
      <c r="R18" s="8" t="s">
        <v>997</v>
      </c>
      <c r="S18" s="8" t="s">
        <v>997</v>
      </c>
      <c r="T18" s="8" t="s">
        <v>445</v>
      </c>
      <c r="U18" s="8" t="s">
        <v>997</v>
      </c>
      <c r="V18" s="8" t="s">
        <v>997</v>
      </c>
      <c r="W18" s="15"/>
      <c r="X18" s="8" t="s">
        <v>997</v>
      </c>
      <c r="Y18" s="8" t="s">
        <v>997</v>
      </c>
      <c r="Z18" s="8" t="s">
        <v>997</v>
      </c>
      <c r="AA18" s="8" t="s">
        <v>445</v>
      </c>
      <c r="AB18" s="8" t="s">
        <v>997</v>
      </c>
      <c r="AC18" s="8" t="s">
        <v>997</v>
      </c>
      <c r="AD18" s="15"/>
      <c r="AE18" s="8" t="s">
        <v>997</v>
      </c>
      <c r="AF18" s="8" t="s">
        <v>997</v>
      </c>
      <c r="AG18" s="8" t="s">
        <v>997</v>
      </c>
      <c r="AH18" s="8" t="s">
        <v>445</v>
      </c>
      <c r="AI18" s="8" t="s">
        <v>997</v>
      </c>
      <c r="AJ18" s="8" t="s">
        <v>997</v>
      </c>
      <c r="AL18" s="167" t="s">
        <v>997</v>
      </c>
      <c r="AM18" s="167" t="s">
        <v>997</v>
      </c>
      <c r="AN18" s="167" t="s">
        <v>997</v>
      </c>
      <c r="AO18" s="167" t="s">
        <v>445</v>
      </c>
      <c r="AP18" s="167">
        <v>0</v>
      </c>
      <c r="AQ18" s="167">
        <v>0</v>
      </c>
      <c r="AS18" s="167" t="s">
        <v>370</v>
      </c>
      <c r="AT18" s="167" t="s">
        <v>370</v>
      </c>
      <c r="AU18" s="167" t="s">
        <v>158</v>
      </c>
      <c r="AV18" s="167" t="s">
        <v>445</v>
      </c>
      <c r="AW18" s="167" t="s">
        <v>158</v>
      </c>
      <c r="AX18" s="167" t="s">
        <v>158</v>
      </c>
    </row>
    <row r="19" spans="1:50" ht="12" x14ac:dyDescent="0.3">
      <c r="A19" s="13" t="s">
        <v>1052</v>
      </c>
      <c r="B19" s="13"/>
      <c r="C19" s="8" t="s">
        <v>445</v>
      </c>
      <c r="D19" s="8" t="s">
        <v>445</v>
      </c>
      <c r="E19" s="8" t="s">
        <v>445</v>
      </c>
      <c r="F19" s="27" t="s">
        <v>158</v>
      </c>
      <c r="G19" s="27" t="s">
        <v>158</v>
      </c>
      <c r="H19" s="27" t="s">
        <v>158</v>
      </c>
      <c r="I19" s="15"/>
      <c r="J19" s="8" t="s">
        <v>997</v>
      </c>
      <c r="K19" s="8" t="s">
        <v>997</v>
      </c>
      <c r="L19" s="8" t="s">
        <v>997</v>
      </c>
      <c r="M19" s="8" t="s">
        <v>445</v>
      </c>
      <c r="N19" s="27" t="s">
        <v>158</v>
      </c>
      <c r="O19" s="27" t="s">
        <v>158</v>
      </c>
      <c r="P19" s="15"/>
      <c r="Q19" s="8" t="s">
        <v>445</v>
      </c>
      <c r="R19" s="8" t="s">
        <v>445</v>
      </c>
      <c r="S19" s="8" t="s">
        <v>445</v>
      </c>
      <c r="T19" s="8" t="s">
        <v>997</v>
      </c>
      <c r="U19" s="27" t="s">
        <v>158</v>
      </c>
      <c r="V19" s="8" t="s">
        <v>445</v>
      </c>
      <c r="W19" s="15"/>
      <c r="X19" s="8" t="s">
        <v>445</v>
      </c>
      <c r="Y19" s="8" t="s">
        <v>445</v>
      </c>
      <c r="Z19" s="8" t="s">
        <v>445</v>
      </c>
      <c r="AA19" s="8" t="s">
        <v>997</v>
      </c>
      <c r="AB19" s="27" t="s">
        <v>158</v>
      </c>
      <c r="AC19" s="8" t="s">
        <v>445</v>
      </c>
      <c r="AD19" s="15"/>
      <c r="AE19" s="8" t="s">
        <v>445</v>
      </c>
      <c r="AF19" s="8" t="s">
        <v>445</v>
      </c>
      <c r="AG19" s="8" t="s">
        <v>445</v>
      </c>
      <c r="AH19" s="8" t="s">
        <v>997</v>
      </c>
      <c r="AI19" s="27" t="s">
        <v>158</v>
      </c>
      <c r="AJ19" s="8" t="s">
        <v>445</v>
      </c>
      <c r="AL19" s="167" t="s">
        <v>997</v>
      </c>
      <c r="AM19" s="167" t="s">
        <v>997</v>
      </c>
      <c r="AN19" s="167" t="s">
        <v>997</v>
      </c>
      <c r="AO19" s="167" t="s">
        <v>445</v>
      </c>
      <c r="AP19" s="167">
        <v>0</v>
      </c>
      <c r="AQ19" s="167">
        <v>0</v>
      </c>
      <c r="AS19" s="167" t="s">
        <v>370</v>
      </c>
      <c r="AT19" s="167" t="s">
        <v>370</v>
      </c>
      <c r="AU19" s="167" t="s">
        <v>445</v>
      </c>
      <c r="AV19" s="167" t="s">
        <v>445</v>
      </c>
      <c r="AW19" s="167" t="s">
        <v>158</v>
      </c>
      <c r="AX19" s="167" t="s">
        <v>158</v>
      </c>
    </row>
    <row r="20" spans="1:50" ht="12" x14ac:dyDescent="0.3">
      <c r="A20" s="13" t="s">
        <v>1054</v>
      </c>
      <c r="B20" s="13"/>
      <c r="C20" s="8" t="s">
        <v>997</v>
      </c>
      <c r="D20" s="8" t="s">
        <v>997</v>
      </c>
      <c r="E20" s="8" t="s">
        <v>445</v>
      </c>
      <c r="F20" s="27" t="s">
        <v>158</v>
      </c>
      <c r="G20" s="27" t="s">
        <v>158</v>
      </c>
      <c r="H20" s="8" t="s">
        <v>445</v>
      </c>
      <c r="I20" s="15"/>
      <c r="J20" s="8" t="s">
        <v>997</v>
      </c>
      <c r="K20" s="8" t="s">
        <v>997</v>
      </c>
      <c r="L20" s="8" t="s">
        <v>997</v>
      </c>
      <c r="M20" s="27" t="s">
        <v>158</v>
      </c>
      <c r="N20" s="27" t="s">
        <v>158</v>
      </c>
      <c r="O20" s="8" t="s">
        <v>445</v>
      </c>
      <c r="P20" s="15"/>
      <c r="Q20" s="8" t="s">
        <v>997</v>
      </c>
      <c r="R20" s="8" t="s">
        <v>997</v>
      </c>
      <c r="S20" s="8" t="s">
        <v>997</v>
      </c>
      <c r="T20" s="8" t="s">
        <v>997</v>
      </c>
      <c r="U20" s="8" t="s">
        <v>997</v>
      </c>
      <c r="V20" s="8" t="s">
        <v>445</v>
      </c>
      <c r="W20" s="15"/>
      <c r="X20" s="8" t="s">
        <v>997</v>
      </c>
      <c r="Y20" s="8" t="s">
        <v>997</v>
      </c>
      <c r="Z20" s="8" t="s">
        <v>997</v>
      </c>
      <c r="AA20" s="8" t="s">
        <v>997</v>
      </c>
      <c r="AB20" s="8" t="s">
        <v>997</v>
      </c>
      <c r="AC20" s="8" t="s">
        <v>445</v>
      </c>
      <c r="AD20" s="15"/>
      <c r="AE20" s="8" t="s">
        <v>997</v>
      </c>
      <c r="AF20" s="8" t="s">
        <v>997</v>
      </c>
      <c r="AG20" s="8" t="s">
        <v>997</v>
      </c>
      <c r="AH20" s="8" t="s">
        <v>997</v>
      </c>
      <c r="AI20" s="8" t="s">
        <v>997</v>
      </c>
      <c r="AJ20" s="8" t="s">
        <v>445</v>
      </c>
      <c r="AL20" s="167" t="s">
        <v>997</v>
      </c>
      <c r="AM20" s="167" t="s">
        <v>997</v>
      </c>
      <c r="AN20" s="167" t="s">
        <v>997</v>
      </c>
      <c r="AO20" s="167">
        <v>0</v>
      </c>
      <c r="AP20" s="167">
        <v>0</v>
      </c>
      <c r="AQ20" s="167" t="s">
        <v>445</v>
      </c>
      <c r="AS20" s="167" t="s">
        <v>370</v>
      </c>
      <c r="AT20" s="167" t="s">
        <v>370</v>
      </c>
      <c r="AU20" s="167" t="s">
        <v>445</v>
      </c>
      <c r="AV20" s="167" t="s">
        <v>158</v>
      </c>
      <c r="AW20" s="167" t="s">
        <v>158</v>
      </c>
      <c r="AX20" s="167" t="s">
        <v>445</v>
      </c>
    </row>
    <row r="21" spans="1:50" ht="12" x14ac:dyDescent="0.3">
      <c r="A21" s="13" t="s">
        <v>1057</v>
      </c>
      <c r="B21" s="13"/>
      <c r="C21" s="8" t="s">
        <v>445</v>
      </c>
      <c r="D21" s="8" t="s">
        <v>445</v>
      </c>
      <c r="E21" s="8" t="s">
        <v>445</v>
      </c>
      <c r="F21" s="8" t="s">
        <v>997</v>
      </c>
      <c r="G21" s="27" t="s">
        <v>158</v>
      </c>
      <c r="H21" s="27" t="s">
        <v>158</v>
      </c>
      <c r="I21" s="15"/>
      <c r="J21" s="8" t="s">
        <v>997</v>
      </c>
      <c r="K21" s="8" t="s">
        <v>997</v>
      </c>
      <c r="L21" s="8" t="s">
        <v>997</v>
      </c>
      <c r="M21" s="8" t="s">
        <v>997</v>
      </c>
      <c r="N21" s="27" t="s">
        <v>158</v>
      </c>
      <c r="O21" s="27" t="s">
        <v>158</v>
      </c>
      <c r="P21" s="15"/>
      <c r="Q21" s="8" t="s">
        <v>997</v>
      </c>
      <c r="R21" s="8" t="s">
        <v>997</v>
      </c>
      <c r="S21" s="8" t="s">
        <v>997</v>
      </c>
      <c r="T21" s="8" t="s">
        <v>997</v>
      </c>
      <c r="U21" s="8" t="s">
        <v>997</v>
      </c>
      <c r="V21" s="8" t="s">
        <v>997</v>
      </c>
      <c r="W21" s="15"/>
      <c r="X21" s="8" t="s">
        <v>997</v>
      </c>
      <c r="Y21" s="8" t="s">
        <v>997</v>
      </c>
      <c r="Z21" s="8" t="s">
        <v>997</v>
      </c>
      <c r="AA21" s="8" t="s">
        <v>997</v>
      </c>
      <c r="AB21" s="8" t="s">
        <v>997</v>
      </c>
      <c r="AC21" s="8" t="s">
        <v>997</v>
      </c>
      <c r="AD21" s="15"/>
      <c r="AE21" s="8" t="s">
        <v>997</v>
      </c>
      <c r="AF21" s="8" t="s">
        <v>997</v>
      </c>
      <c r="AG21" s="8" t="s">
        <v>997</v>
      </c>
      <c r="AH21" s="8" t="s">
        <v>997</v>
      </c>
      <c r="AI21" s="8" t="s">
        <v>997</v>
      </c>
      <c r="AJ21" s="8" t="s">
        <v>997</v>
      </c>
      <c r="AL21" s="167" t="s">
        <v>997</v>
      </c>
      <c r="AM21" s="167" t="s">
        <v>997</v>
      </c>
      <c r="AN21" s="167" t="s">
        <v>997</v>
      </c>
      <c r="AO21" s="167" t="s">
        <v>997</v>
      </c>
      <c r="AP21" s="167">
        <v>0</v>
      </c>
      <c r="AQ21" s="167">
        <v>0</v>
      </c>
      <c r="AS21" s="167" t="s">
        <v>370</v>
      </c>
      <c r="AT21" s="167" t="s">
        <v>370</v>
      </c>
      <c r="AU21" s="167" t="s">
        <v>445</v>
      </c>
      <c r="AV21" s="167" t="s">
        <v>370</v>
      </c>
      <c r="AW21" s="167" t="s">
        <v>1382</v>
      </c>
      <c r="AX21" s="167" t="s">
        <v>1382</v>
      </c>
    </row>
    <row r="22" spans="1:50" ht="12" x14ac:dyDescent="0.3">
      <c r="A22" s="13" t="s">
        <v>1059</v>
      </c>
      <c r="B22" s="13"/>
      <c r="C22" s="8" t="s">
        <v>997</v>
      </c>
      <c r="D22" s="8" t="s">
        <v>997</v>
      </c>
      <c r="E22" s="8" t="s">
        <v>445</v>
      </c>
      <c r="F22" s="27" t="s">
        <v>158</v>
      </c>
      <c r="G22" s="8" t="s">
        <v>445</v>
      </c>
      <c r="H22" s="27" t="s">
        <v>158</v>
      </c>
      <c r="I22" s="15"/>
      <c r="J22" s="8" t="s">
        <v>997</v>
      </c>
      <c r="K22" s="8" t="s">
        <v>997</v>
      </c>
      <c r="L22" s="8" t="s">
        <v>997</v>
      </c>
      <c r="M22" s="27" t="s">
        <v>158</v>
      </c>
      <c r="N22" s="8" t="s">
        <v>445</v>
      </c>
      <c r="O22" s="27" t="s">
        <v>158</v>
      </c>
      <c r="P22" s="15"/>
      <c r="Q22" s="8" t="s">
        <v>997</v>
      </c>
      <c r="R22" s="8" t="s">
        <v>997</v>
      </c>
      <c r="S22" s="8" t="s">
        <v>997</v>
      </c>
      <c r="T22" s="8" t="s">
        <v>997</v>
      </c>
      <c r="U22" s="8" t="s">
        <v>445</v>
      </c>
      <c r="V22" s="8" t="s">
        <v>997</v>
      </c>
      <c r="W22" s="15"/>
      <c r="X22" s="8" t="s">
        <v>997</v>
      </c>
      <c r="Y22" s="8" t="s">
        <v>997</v>
      </c>
      <c r="Z22" s="8" t="s">
        <v>997</v>
      </c>
      <c r="AA22" s="8" t="s">
        <v>997</v>
      </c>
      <c r="AB22" s="8" t="s">
        <v>445</v>
      </c>
      <c r="AC22" s="8" t="s">
        <v>997</v>
      </c>
      <c r="AD22" s="15"/>
      <c r="AE22" s="8" t="s">
        <v>997</v>
      </c>
      <c r="AF22" s="8" t="s">
        <v>997</v>
      </c>
      <c r="AG22" s="8" t="s">
        <v>997</v>
      </c>
      <c r="AH22" s="8" t="s">
        <v>997</v>
      </c>
      <c r="AI22" s="8" t="s">
        <v>445</v>
      </c>
      <c r="AJ22" s="8" t="s">
        <v>997</v>
      </c>
      <c r="AL22" s="167" t="s">
        <v>997</v>
      </c>
      <c r="AM22" s="167" t="s">
        <v>997</v>
      </c>
      <c r="AN22" s="167" t="s">
        <v>997</v>
      </c>
      <c r="AO22" s="167">
        <v>0</v>
      </c>
      <c r="AP22" s="167" t="s">
        <v>445</v>
      </c>
      <c r="AQ22" s="167">
        <v>0</v>
      </c>
      <c r="AS22" s="167" t="s">
        <v>445</v>
      </c>
      <c r="AT22" s="167" t="s">
        <v>445</v>
      </c>
      <c r="AU22" s="167" t="s">
        <v>445</v>
      </c>
      <c r="AV22" s="167" t="s">
        <v>370</v>
      </c>
      <c r="AW22" s="167" t="s">
        <v>158</v>
      </c>
      <c r="AX22" s="167" t="s">
        <v>1382</v>
      </c>
    </row>
    <row r="23" spans="1:50" ht="12" x14ac:dyDescent="0.3">
      <c r="A23" s="13" t="s">
        <v>1062</v>
      </c>
      <c r="B23" s="13"/>
      <c r="C23" s="8" t="s">
        <v>997</v>
      </c>
      <c r="D23" s="8" t="s">
        <v>997</v>
      </c>
      <c r="E23" s="8" t="s">
        <v>445</v>
      </c>
      <c r="F23" s="27" t="s">
        <v>158</v>
      </c>
      <c r="G23" s="27" t="s">
        <v>158</v>
      </c>
      <c r="H23" s="8" t="s">
        <v>445</v>
      </c>
      <c r="I23" s="15"/>
      <c r="J23" s="8" t="s">
        <v>997</v>
      </c>
      <c r="K23" s="8" t="s">
        <v>997</v>
      </c>
      <c r="L23" s="8" t="s">
        <v>997</v>
      </c>
      <c r="M23" s="27" t="s">
        <v>158</v>
      </c>
      <c r="N23" s="27" t="s">
        <v>158</v>
      </c>
      <c r="O23" s="8" t="s">
        <v>445</v>
      </c>
      <c r="P23" s="15"/>
      <c r="Q23" s="8" t="s">
        <v>997</v>
      </c>
      <c r="R23" s="8" t="s">
        <v>997</v>
      </c>
      <c r="S23" s="8" t="s">
        <v>997</v>
      </c>
      <c r="T23" s="8" t="s">
        <v>997</v>
      </c>
      <c r="U23" s="8" t="s">
        <v>997</v>
      </c>
      <c r="V23" s="8" t="s">
        <v>445</v>
      </c>
      <c r="W23" s="15"/>
      <c r="X23" s="8" t="s">
        <v>997</v>
      </c>
      <c r="Y23" s="8" t="s">
        <v>997</v>
      </c>
      <c r="Z23" s="8" t="s">
        <v>997</v>
      </c>
      <c r="AA23" s="8" t="s">
        <v>997</v>
      </c>
      <c r="AB23" s="8" t="s">
        <v>997</v>
      </c>
      <c r="AC23" s="8" t="s">
        <v>445</v>
      </c>
      <c r="AD23" s="15"/>
      <c r="AE23" s="8" t="s">
        <v>997</v>
      </c>
      <c r="AF23" s="8" t="s">
        <v>997</v>
      </c>
      <c r="AG23" s="8" t="s">
        <v>997</v>
      </c>
      <c r="AH23" s="8" t="s">
        <v>997</v>
      </c>
      <c r="AI23" s="8" t="s">
        <v>997</v>
      </c>
      <c r="AJ23" s="8" t="s">
        <v>445</v>
      </c>
      <c r="AL23" s="167" t="s">
        <v>997</v>
      </c>
      <c r="AM23" s="167" t="s">
        <v>997</v>
      </c>
      <c r="AN23" s="167" t="s">
        <v>997</v>
      </c>
      <c r="AO23" s="167">
        <v>0</v>
      </c>
      <c r="AP23" s="167">
        <v>0</v>
      </c>
      <c r="AQ23" s="167" t="s">
        <v>445</v>
      </c>
      <c r="AS23" s="167" t="s">
        <v>370</v>
      </c>
      <c r="AT23" s="167" t="s">
        <v>370</v>
      </c>
      <c r="AU23" s="167" t="s">
        <v>445</v>
      </c>
      <c r="AV23" s="167" t="s">
        <v>1382</v>
      </c>
      <c r="AW23" s="167" t="s">
        <v>1382</v>
      </c>
      <c r="AX23" s="167" t="s">
        <v>445</v>
      </c>
    </row>
    <row r="24" spans="1:50" ht="12" x14ac:dyDescent="0.3">
      <c r="A24" s="13" t="s">
        <v>1064</v>
      </c>
      <c r="B24" s="13"/>
      <c r="C24" s="8" t="s">
        <v>997</v>
      </c>
      <c r="D24" s="8" t="s">
        <v>997</v>
      </c>
      <c r="E24" s="8" t="s">
        <v>445</v>
      </c>
      <c r="F24" s="8" t="s">
        <v>445</v>
      </c>
      <c r="G24" s="27" t="s">
        <v>158</v>
      </c>
      <c r="H24" s="27" t="s">
        <v>158</v>
      </c>
      <c r="I24" s="15"/>
      <c r="J24" s="8" t="s">
        <v>997</v>
      </c>
      <c r="K24" s="8" t="s">
        <v>997</v>
      </c>
      <c r="L24" s="8" t="s">
        <v>997</v>
      </c>
      <c r="M24" s="27" t="s">
        <v>158</v>
      </c>
      <c r="N24" s="27" t="s">
        <v>158</v>
      </c>
      <c r="O24" s="8" t="s">
        <v>445</v>
      </c>
      <c r="P24" s="15"/>
      <c r="Q24" s="8" t="s">
        <v>1383</v>
      </c>
      <c r="R24" s="8" t="s">
        <v>1383</v>
      </c>
      <c r="S24" s="8" t="s">
        <v>1383</v>
      </c>
      <c r="T24" s="8" t="s">
        <v>1383</v>
      </c>
      <c r="U24" s="8" t="s">
        <v>1383</v>
      </c>
      <c r="V24" s="8" t="s">
        <v>1383</v>
      </c>
      <c r="W24" s="15"/>
      <c r="X24" s="8" t="s">
        <v>1383</v>
      </c>
      <c r="Y24" s="8" t="s">
        <v>1383</v>
      </c>
      <c r="Z24" s="8" t="s">
        <v>1383</v>
      </c>
      <c r="AA24" s="8" t="s">
        <v>1383</v>
      </c>
      <c r="AB24" s="8" t="s">
        <v>1383</v>
      </c>
      <c r="AC24" s="8" t="s">
        <v>1383</v>
      </c>
      <c r="AD24" s="15"/>
      <c r="AE24" s="8" t="s">
        <v>1383</v>
      </c>
      <c r="AF24" s="8" t="s">
        <v>1383</v>
      </c>
      <c r="AG24" s="8" t="s">
        <v>1383</v>
      </c>
      <c r="AH24" s="8" t="s">
        <v>1383</v>
      </c>
      <c r="AI24" s="8" t="s">
        <v>1383</v>
      </c>
      <c r="AJ24" s="8" t="s">
        <v>1383</v>
      </c>
      <c r="AL24" s="167" t="s">
        <v>997</v>
      </c>
      <c r="AM24" s="167" t="s">
        <v>997</v>
      </c>
      <c r="AN24" s="167" t="s">
        <v>997</v>
      </c>
      <c r="AO24" s="167">
        <v>0</v>
      </c>
      <c r="AP24" s="167">
        <v>0</v>
      </c>
      <c r="AQ24" s="167" t="s">
        <v>445</v>
      </c>
      <c r="AS24" s="167" t="s">
        <v>370</v>
      </c>
      <c r="AT24" s="167" t="s">
        <v>370</v>
      </c>
      <c r="AU24" s="167" t="s">
        <v>445</v>
      </c>
      <c r="AV24" s="167" t="s">
        <v>445</v>
      </c>
      <c r="AW24" s="167" t="s">
        <v>1382</v>
      </c>
      <c r="AX24" s="167" t="s">
        <v>1382</v>
      </c>
    </row>
    <row r="25" spans="1:50" ht="12" x14ac:dyDescent="0.3">
      <c r="A25" s="13" t="s">
        <v>1067</v>
      </c>
      <c r="B25" s="13"/>
      <c r="C25" s="8" t="s">
        <v>997</v>
      </c>
      <c r="D25" s="8" t="s">
        <v>997</v>
      </c>
      <c r="E25" s="8" t="s">
        <v>445</v>
      </c>
      <c r="F25" s="8" t="s">
        <v>445</v>
      </c>
      <c r="G25" s="27" t="s">
        <v>158</v>
      </c>
      <c r="H25" s="27" t="s">
        <v>158</v>
      </c>
      <c r="I25" s="15"/>
      <c r="J25" s="8" t="s">
        <v>997</v>
      </c>
      <c r="K25" s="8" t="s">
        <v>997</v>
      </c>
      <c r="L25" s="8" t="s">
        <v>997</v>
      </c>
      <c r="M25" s="8" t="s">
        <v>445</v>
      </c>
      <c r="N25" s="8" t="s">
        <v>445</v>
      </c>
      <c r="O25" s="8" t="s">
        <v>445</v>
      </c>
      <c r="P25" s="15"/>
      <c r="Q25" s="8" t="s">
        <v>1383</v>
      </c>
      <c r="R25" s="8" t="s">
        <v>1383</v>
      </c>
      <c r="S25" s="8" t="s">
        <v>1383</v>
      </c>
      <c r="T25" s="8" t="s">
        <v>1383</v>
      </c>
      <c r="U25" s="8" t="s">
        <v>1383</v>
      </c>
      <c r="V25" s="8" t="s">
        <v>1383</v>
      </c>
      <c r="W25" s="15"/>
      <c r="X25" s="8" t="s">
        <v>1383</v>
      </c>
      <c r="Y25" s="8" t="s">
        <v>1383</v>
      </c>
      <c r="Z25" s="8" t="s">
        <v>1383</v>
      </c>
      <c r="AA25" s="8" t="s">
        <v>1383</v>
      </c>
      <c r="AB25" s="8" t="s">
        <v>1383</v>
      </c>
      <c r="AC25" s="8" t="s">
        <v>1383</v>
      </c>
      <c r="AD25" s="15"/>
      <c r="AE25" s="8" t="s">
        <v>1383</v>
      </c>
      <c r="AF25" s="8" t="s">
        <v>1383</v>
      </c>
      <c r="AG25" s="8" t="s">
        <v>1383</v>
      </c>
      <c r="AH25" s="8" t="s">
        <v>1383</v>
      </c>
      <c r="AI25" s="8" t="s">
        <v>1383</v>
      </c>
      <c r="AJ25" s="8" t="s">
        <v>1383</v>
      </c>
      <c r="AL25" s="167" t="s">
        <v>997</v>
      </c>
      <c r="AM25" s="167" t="s">
        <v>997</v>
      </c>
      <c r="AN25" s="167" t="s">
        <v>997</v>
      </c>
      <c r="AO25" s="167" t="s">
        <v>445</v>
      </c>
      <c r="AP25" s="167" t="s">
        <v>445</v>
      </c>
      <c r="AQ25" s="167" t="s">
        <v>445</v>
      </c>
      <c r="AS25" s="167" t="s">
        <v>370</v>
      </c>
      <c r="AT25" s="167" t="s">
        <v>370</v>
      </c>
      <c r="AU25" s="167" t="s">
        <v>445</v>
      </c>
      <c r="AV25" s="167" t="s">
        <v>445</v>
      </c>
      <c r="AW25" s="167" t="s">
        <v>1382</v>
      </c>
      <c r="AX25" s="167" t="s">
        <v>1382</v>
      </c>
    </row>
    <row r="26" spans="1:50" ht="12" x14ac:dyDescent="0.3">
      <c r="A26" s="13" t="s">
        <v>1071</v>
      </c>
      <c r="B26" s="13"/>
      <c r="C26" s="8" t="s">
        <v>445</v>
      </c>
      <c r="D26" s="8" t="s">
        <v>445</v>
      </c>
      <c r="E26" s="8" t="s">
        <v>445</v>
      </c>
      <c r="F26" s="27" t="s">
        <v>158</v>
      </c>
      <c r="G26" s="27" t="s">
        <v>158</v>
      </c>
      <c r="H26" s="27" t="s">
        <v>158</v>
      </c>
      <c r="I26" s="15"/>
      <c r="J26" s="8" t="s">
        <v>1383</v>
      </c>
      <c r="K26" s="8" t="s">
        <v>1383</v>
      </c>
      <c r="L26" s="8" t="s">
        <v>1383</v>
      </c>
      <c r="M26" s="8" t="s">
        <v>1383</v>
      </c>
      <c r="N26" s="8" t="s">
        <v>1383</v>
      </c>
      <c r="O26" s="8" t="s">
        <v>1383</v>
      </c>
      <c r="P26" s="15"/>
      <c r="Q26" s="8" t="s">
        <v>1383</v>
      </c>
      <c r="R26" s="8" t="s">
        <v>1383</v>
      </c>
      <c r="S26" s="8" t="s">
        <v>1383</v>
      </c>
      <c r="T26" s="8" t="s">
        <v>1383</v>
      </c>
      <c r="U26" s="8" t="s">
        <v>1383</v>
      </c>
      <c r="V26" s="8" t="s">
        <v>1383</v>
      </c>
      <c r="W26" s="15"/>
      <c r="X26" s="8" t="s">
        <v>1383</v>
      </c>
      <c r="Y26" s="8" t="s">
        <v>1383</v>
      </c>
      <c r="Z26" s="8" t="s">
        <v>1383</v>
      </c>
      <c r="AA26" s="8" t="s">
        <v>1383</v>
      </c>
      <c r="AB26" s="8" t="s">
        <v>1383</v>
      </c>
      <c r="AC26" s="8" t="s">
        <v>1383</v>
      </c>
      <c r="AD26" s="15"/>
      <c r="AE26" s="8" t="s">
        <v>1383</v>
      </c>
      <c r="AF26" s="8" t="s">
        <v>1383</v>
      </c>
      <c r="AG26" s="8" t="s">
        <v>1383</v>
      </c>
      <c r="AH26" s="8" t="s">
        <v>1383</v>
      </c>
      <c r="AI26" s="8" t="s">
        <v>1383</v>
      </c>
      <c r="AJ26" s="8" t="s">
        <v>1383</v>
      </c>
      <c r="AL26" s="167" t="s">
        <v>997</v>
      </c>
      <c r="AM26" s="167" t="s">
        <v>997</v>
      </c>
      <c r="AN26" s="167" t="s">
        <v>997</v>
      </c>
      <c r="AO26" s="167" t="s">
        <v>445</v>
      </c>
      <c r="AP26" s="168" t="s">
        <v>158</v>
      </c>
      <c r="AQ26" s="168" t="s">
        <v>158</v>
      </c>
      <c r="AS26" s="167" t="s">
        <v>370</v>
      </c>
      <c r="AT26" s="167" t="s">
        <v>370</v>
      </c>
      <c r="AU26" s="167" t="s">
        <v>158</v>
      </c>
      <c r="AV26" s="167" t="s">
        <v>445</v>
      </c>
      <c r="AW26" s="167" t="s">
        <v>1382</v>
      </c>
      <c r="AX26" s="167" t="s">
        <v>1382</v>
      </c>
    </row>
    <row r="27" spans="1:50" ht="12" x14ac:dyDescent="0.3">
      <c r="A27" s="13" t="s">
        <v>1073</v>
      </c>
      <c r="B27" s="13"/>
      <c r="C27" s="8" t="s">
        <v>445</v>
      </c>
      <c r="D27" s="8" t="s">
        <v>445</v>
      </c>
      <c r="E27" s="8" t="s">
        <v>445</v>
      </c>
      <c r="F27" s="27" t="s">
        <v>158</v>
      </c>
      <c r="G27" s="27" t="s">
        <v>158</v>
      </c>
      <c r="H27" s="27" t="s">
        <v>158</v>
      </c>
      <c r="I27" s="15"/>
      <c r="J27" s="8" t="s">
        <v>1383</v>
      </c>
      <c r="K27" s="8" t="s">
        <v>1383</v>
      </c>
      <c r="L27" s="8" t="s">
        <v>1383</v>
      </c>
      <c r="M27" s="8" t="s">
        <v>1383</v>
      </c>
      <c r="N27" s="8" t="s">
        <v>1383</v>
      </c>
      <c r="O27" s="8" t="s">
        <v>1383</v>
      </c>
      <c r="P27" s="15"/>
      <c r="Q27" s="8" t="s">
        <v>1383</v>
      </c>
      <c r="R27" s="8" t="s">
        <v>1383</v>
      </c>
      <c r="S27" s="8" t="s">
        <v>1383</v>
      </c>
      <c r="T27" s="8" t="s">
        <v>1383</v>
      </c>
      <c r="U27" s="8" t="s">
        <v>1383</v>
      </c>
      <c r="V27" s="8" t="s">
        <v>1383</v>
      </c>
      <c r="W27" s="15"/>
      <c r="X27" s="8" t="s">
        <v>1383</v>
      </c>
      <c r="Y27" s="8" t="s">
        <v>1383</v>
      </c>
      <c r="Z27" s="8" t="s">
        <v>1383</v>
      </c>
      <c r="AA27" s="8" t="s">
        <v>1383</v>
      </c>
      <c r="AB27" s="8" t="s">
        <v>1383</v>
      </c>
      <c r="AC27" s="8" t="s">
        <v>1383</v>
      </c>
      <c r="AD27" s="15"/>
      <c r="AE27" s="8" t="s">
        <v>1383</v>
      </c>
      <c r="AF27" s="8" t="s">
        <v>1383</v>
      </c>
      <c r="AG27" s="8" t="s">
        <v>1383</v>
      </c>
      <c r="AH27" s="8" t="s">
        <v>1383</v>
      </c>
      <c r="AI27" s="8" t="s">
        <v>1383</v>
      </c>
      <c r="AJ27" s="8" t="s">
        <v>1383</v>
      </c>
      <c r="AL27" s="167" t="s">
        <v>997</v>
      </c>
      <c r="AM27" s="167" t="s">
        <v>997</v>
      </c>
      <c r="AN27" s="167" t="s">
        <v>997</v>
      </c>
      <c r="AO27" s="168" t="s">
        <v>158</v>
      </c>
      <c r="AP27" s="167" t="s">
        <v>445</v>
      </c>
      <c r="AQ27" s="167" t="s">
        <v>445</v>
      </c>
      <c r="AS27" s="167" t="s">
        <v>370</v>
      </c>
      <c r="AT27" s="167" t="s">
        <v>370</v>
      </c>
      <c r="AU27" s="167" t="s">
        <v>158</v>
      </c>
      <c r="AV27" s="167" t="s">
        <v>445</v>
      </c>
      <c r="AW27" s="167" t="s">
        <v>1382</v>
      </c>
      <c r="AX27" s="167" t="s">
        <v>1382</v>
      </c>
    </row>
    <row r="28" spans="1:50" ht="12" x14ac:dyDescent="0.3">
      <c r="A28" s="13" t="s">
        <v>1076</v>
      </c>
      <c r="B28" s="180"/>
      <c r="C28" s="8" t="s">
        <v>75</v>
      </c>
      <c r="D28" s="24" t="s">
        <v>158</v>
      </c>
      <c r="E28" s="24" t="s">
        <v>158</v>
      </c>
      <c r="F28" s="210" t="s">
        <v>158</v>
      </c>
      <c r="G28" s="210" t="s">
        <v>158</v>
      </c>
      <c r="H28" s="210" t="s">
        <v>158</v>
      </c>
      <c r="J28" s="8" t="s">
        <v>75</v>
      </c>
      <c r="K28" s="8" t="s">
        <v>158</v>
      </c>
      <c r="L28" s="8" t="s">
        <v>158</v>
      </c>
      <c r="M28" s="27" t="s">
        <v>158</v>
      </c>
      <c r="N28" s="27" t="s">
        <v>158</v>
      </c>
      <c r="O28" s="27" t="s">
        <v>158</v>
      </c>
      <c r="Q28" s="8" t="s">
        <v>75</v>
      </c>
      <c r="R28" s="8" t="s">
        <v>158</v>
      </c>
      <c r="S28" s="8" t="s">
        <v>158</v>
      </c>
      <c r="T28" s="27" t="s">
        <v>158</v>
      </c>
      <c r="U28" s="27" t="s">
        <v>158</v>
      </c>
      <c r="V28" s="27" t="s">
        <v>158</v>
      </c>
      <c r="X28" s="8" t="s">
        <v>75</v>
      </c>
      <c r="Y28" s="8" t="s">
        <v>158</v>
      </c>
      <c r="Z28" s="8" t="s">
        <v>158</v>
      </c>
      <c r="AA28" s="27" t="s">
        <v>158</v>
      </c>
      <c r="AB28" s="27" t="s">
        <v>158</v>
      </c>
      <c r="AC28" s="27" t="s">
        <v>158</v>
      </c>
      <c r="AE28" s="8" t="s">
        <v>75</v>
      </c>
      <c r="AF28" s="8" t="s">
        <v>158</v>
      </c>
      <c r="AG28" s="8" t="s">
        <v>158</v>
      </c>
      <c r="AH28" s="27" t="s">
        <v>158</v>
      </c>
      <c r="AI28" s="27" t="s">
        <v>158</v>
      </c>
      <c r="AJ28" s="27" t="s">
        <v>158</v>
      </c>
      <c r="AL28" s="8" t="s">
        <v>75</v>
      </c>
      <c r="AM28" s="8" t="s">
        <v>158</v>
      </c>
      <c r="AN28" s="8" t="s">
        <v>158</v>
      </c>
      <c r="AO28" s="27" t="s">
        <v>158</v>
      </c>
      <c r="AP28" s="27" t="s">
        <v>158</v>
      </c>
      <c r="AQ28" s="27" t="s">
        <v>158</v>
      </c>
      <c r="AS28" s="167" t="s">
        <v>370</v>
      </c>
      <c r="AT28" s="167" t="s">
        <v>370</v>
      </c>
      <c r="AU28" s="167" t="s">
        <v>158</v>
      </c>
      <c r="AV28" s="167" t="s">
        <v>445</v>
      </c>
      <c r="AW28" s="167" t="s">
        <v>1382</v>
      </c>
      <c r="AX28" s="167" t="s">
        <v>1382</v>
      </c>
    </row>
    <row r="29" spans="1:50" x14ac:dyDescent="0.3">
      <c r="A29" s="23"/>
      <c r="B29" s="180"/>
      <c r="C29" s="24"/>
      <c r="D29" s="24"/>
      <c r="E29" s="24"/>
      <c r="F29" s="24"/>
      <c r="G29" s="24"/>
      <c r="H29" s="24"/>
      <c r="J29" s="24"/>
      <c r="K29" s="24"/>
      <c r="L29" s="24"/>
      <c r="M29" s="24"/>
      <c r="N29" s="24"/>
      <c r="O29" s="24"/>
      <c r="Q29" s="24"/>
      <c r="R29" s="24"/>
      <c r="S29" s="24"/>
      <c r="T29" s="24"/>
      <c r="U29" s="24"/>
      <c r="V29" s="24"/>
      <c r="X29" s="24"/>
      <c r="Y29" s="24"/>
      <c r="Z29" s="24"/>
      <c r="AA29" s="24"/>
      <c r="AB29" s="24"/>
      <c r="AC29" s="24"/>
      <c r="AE29" s="24"/>
      <c r="AF29" s="24"/>
      <c r="AG29" s="24"/>
      <c r="AH29" s="24"/>
      <c r="AI29" s="24"/>
      <c r="AJ29" s="24"/>
    </row>
    <row r="30" spans="1:50" s="17" customFormat="1" x14ac:dyDescent="0.3">
      <c r="A30" s="22" t="s">
        <v>1078</v>
      </c>
      <c r="B30" s="181"/>
    </row>
    <row r="31" spans="1:50" s="35" customFormat="1" x14ac:dyDescent="0.3">
      <c r="A31" s="19" t="s">
        <v>983</v>
      </c>
      <c r="B31" s="19"/>
      <c r="C31" s="34" t="s">
        <v>985</v>
      </c>
      <c r="D31" s="34" t="s">
        <v>986</v>
      </c>
      <c r="E31" s="34" t="s">
        <v>987</v>
      </c>
      <c r="F31" s="34" t="s">
        <v>988</v>
      </c>
      <c r="G31" s="34" t="s">
        <v>989</v>
      </c>
      <c r="H31" s="34" t="s">
        <v>990</v>
      </c>
      <c r="I31" s="14"/>
      <c r="J31" s="34" t="s">
        <v>985</v>
      </c>
      <c r="K31" s="34" t="s">
        <v>986</v>
      </c>
      <c r="L31" s="34" t="s">
        <v>987</v>
      </c>
      <c r="M31" s="34" t="s">
        <v>988</v>
      </c>
      <c r="N31" s="34" t="s">
        <v>989</v>
      </c>
      <c r="O31" s="34" t="s">
        <v>990</v>
      </c>
      <c r="P31" s="14"/>
      <c r="Q31" s="34" t="s">
        <v>985</v>
      </c>
      <c r="R31" s="34" t="s">
        <v>986</v>
      </c>
      <c r="S31" s="34" t="s">
        <v>987</v>
      </c>
      <c r="T31" s="34" t="s">
        <v>988</v>
      </c>
      <c r="U31" s="34" t="s">
        <v>989</v>
      </c>
      <c r="V31" s="34" t="s">
        <v>990</v>
      </c>
      <c r="W31" s="14"/>
      <c r="X31" s="34" t="s">
        <v>985</v>
      </c>
      <c r="Y31" s="34" t="s">
        <v>986</v>
      </c>
      <c r="Z31" s="34" t="s">
        <v>987</v>
      </c>
      <c r="AA31" s="34" t="s">
        <v>988</v>
      </c>
      <c r="AB31" s="34" t="s">
        <v>989</v>
      </c>
      <c r="AC31" s="34" t="s">
        <v>990</v>
      </c>
      <c r="AD31" s="14"/>
      <c r="AE31" s="34" t="s">
        <v>985</v>
      </c>
      <c r="AF31" s="34" t="s">
        <v>986</v>
      </c>
      <c r="AG31" s="34" t="s">
        <v>987</v>
      </c>
      <c r="AH31" s="34" t="s">
        <v>988</v>
      </c>
      <c r="AI31" s="34" t="s">
        <v>989</v>
      </c>
      <c r="AJ31" s="34" t="s">
        <v>990</v>
      </c>
      <c r="AL31" s="156" t="s">
        <v>985</v>
      </c>
      <c r="AM31" s="156" t="s">
        <v>986</v>
      </c>
      <c r="AN31" s="156" t="s">
        <v>987</v>
      </c>
      <c r="AO31" s="156" t="s">
        <v>988</v>
      </c>
      <c r="AP31" s="156" t="s">
        <v>989</v>
      </c>
      <c r="AQ31" s="156" t="s">
        <v>990</v>
      </c>
      <c r="AS31" s="209" t="s">
        <v>985</v>
      </c>
      <c r="AT31" s="209" t="s">
        <v>986</v>
      </c>
      <c r="AU31" s="209" t="s">
        <v>987</v>
      </c>
      <c r="AV31" s="209" t="s">
        <v>988</v>
      </c>
      <c r="AW31" s="209" t="s">
        <v>989</v>
      </c>
      <c r="AX31" s="209" t="s">
        <v>990</v>
      </c>
    </row>
    <row r="32" spans="1:50" x14ac:dyDescent="0.3">
      <c r="A32" s="20" t="s">
        <v>1079</v>
      </c>
      <c r="B32" s="20"/>
      <c r="C32" s="8" t="s">
        <v>445</v>
      </c>
      <c r="D32" s="8" t="s">
        <v>445</v>
      </c>
      <c r="E32" s="8" t="s">
        <v>445</v>
      </c>
      <c r="F32" s="27" t="s">
        <v>158</v>
      </c>
      <c r="G32" s="27" t="s">
        <v>158</v>
      </c>
      <c r="H32" s="27" t="s">
        <v>158</v>
      </c>
      <c r="I32" s="15"/>
      <c r="J32" s="8" t="s">
        <v>445</v>
      </c>
      <c r="K32" s="8" t="s">
        <v>445</v>
      </c>
      <c r="L32" s="8" t="s">
        <v>445</v>
      </c>
      <c r="M32" s="27" t="s">
        <v>158</v>
      </c>
      <c r="N32" s="27" t="s">
        <v>158</v>
      </c>
      <c r="O32" s="27" t="s">
        <v>158</v>
      </c>
      <c r="P32" s="15"/>
      <c r="Q32" s="8" t="s">
        <v>445</v>
      </c>
      <c r="R32" s="8" t="s">
        <v>445</v>
      </c>
      <c r="S32" s="8" t="s">
        <v>445</v>
      </c>
      <c r="T32" s="27" t="s">
        <v>158</v>
      </c>
      <c r="U32" s="8" t="s">
        <v>997</v>
      </c>
      <c r="V32" s="27" t="s">
        <v>158</v>
      </c>
      <c r="W32" s="15"/>
      <c r="X32" s="8" t="s">
        <v>445</v>
      </c>
      <c r="Y32" s="8" t="s">
        <v>445</v>
      </c>
      <c r="Z32" s="8" t="s">
        <v>445</v>
      </c>
      <c r="AA32" s="27" t="s">
        <v>158</v>
      </c>
      <c r="AB32" s="8" t="s">
        <v>997</v>
      </c>
      <c r="AC32" s="27" t="s">
        <v>158</v>
      </c>
      <c r="AD32" s="15"/>
      <c r="AE32" s="8" t="s">
        <v>445</v>
      </c>
      <c r="AF32" s="8" t="s">
        <v>445</v>
      </c>
      <c r="AG32" s="8" t="s">
        <v>445</v>
      </c>
      <c r="AH32" s="27" t="s">
        <v>158</v>
      </c>
      <c r="AI32" s="8" t="s">
        <v>997</v>
      </c>
      <c r="AJ32" s="27" t="s">
        <v>158</v>
      </c>
      <c r="AK32" s="153"/>
      <c r="AL32" s="139" t="s">
        <v>445</v>
      </c>
      <c r="AM32" s="139" t="s">
        <v>445</v>
      </c>
      <c r="AN32" s="139" t="s">
        <v>445</v>
      </c>
      <c r="AO32" s="139" t="s">
        <v>158</v>
      </c>
      <c r="AP32" s="139" t="s">
        <v>158</v>
      </c>
      <c r="AQ32" s="139" t="s">
        <v>158</v>
      </c>
      <c r="AR32" s="153"/>
      <c r="AS32" s="139" t="s">
        <v>445</v>
      </c>
      <c r="AT32" s="139" t="s">
        <v>445</v>
      </c>
      <c r="AU32" s="139" t="s">
        <v>445</v>
      </c>
      <c r="AV32" s="139" t="s">
        <v>1382</v>
      </c>
      <c r="AW32" s="139" t="s">
        <v>370</v>
      </c>
      <c r="AX32" s="139" t="s">
        <v>1382</v>
      </c>
    </row>
    <row r="33" spans="1:50" x14ac:dyDescent="0.3">
      <c r="A33" s="20" t="s">
        <v>1082</v>
      </c>
      <c r="B33" s="20"/>
      <c r="C33" s="8" t="s">
        <v>445</v>
      </c>
      <c r="D33" s="8" t="s">
        <v>445</v>
      </c>
      <c r="E33" s="8" t="s">
        <v>445</v>
      </c>
      <c r="F33" s="27" t="s">
        <v>158</v>
      </c>
      <c r="G33" s="27" t="s">
        <v>158</v>
      </c>
      <c r="H33" s="27" t="s">
        <v>158</v>
      </c>
      <c r="I33" s="15"/>
      <c r="J33" s="8" t="s">
        <v>445</v>
      </c>
      <c r="K33" s="8" t="s">
        <v>445</v>
      </c>
      <c r="L33" s="8" t="s">
        <v>445</v>
      </c>
      <c r="M33" s="27" t="s">
        <v>158</v>
      </c>
      <c r="N33" s="27" t="s">
        <v>158</v>
      </c>
      <c r="O33" s="27" t="s">
        <v>158</v>
      </c>
      <c r="P33" s="15"/>
      <c r="Q33" s="8" t="s">
        <v>445</v>
      </c>
      <c r="R33" s="8" t="s">
        <v>445</v>
      </c>
      <c r="S33" s="8" t="s">
        <v>445</v>
      </c>
      <c r="T33" s="27" t="s">
        <v>158</v>
      </c>
      <c r="U33" s="8" t="s">
        <v>997</v>
      </c>
      <c r="V33" s="27" t="s">
        <v>158</v>
      </c>
      <c r="W33" s="15"/>
      <c r="X33" s="8" t="s">
        <v>445</v>
      </c>
      <c r="Y33" s="8" t="s">
        <v>445</v>
      </c>
      <c r="Z33" s="8" t="s">
        <v>445</v>
      </c>
      <c r="AA33" s="27" t="s">
        <v>158</v>
      </c>
      <c r="AB33" s="8" t="s">
        <v>997</v>
      </c>
      <c r="AC33" s="27" t="s">
        <v>158</v>
      </c>
      <c r="AD33" s="15"/>
      <c r="AE33" s="8" t="s">
        <v>445</v>
      </c>
      <c r="AF33" s="8" t="s">
        <v>445</v>
      </c>
      <c r="AG33" s="8" t="s">
        <v>445</v>
      </c>
      <c r="AH33" s="27" t="s">
        <v>158</v>
      </c>
      <c r="AI33" s="8" t="s">
        <v>997</v>
      </c>
      <c r="AJ33" s="27" t="s">
        <v>158</v>
      </c>
      <c r="AK33" s="153"/>
      <c r="AL33" s="139" t="s">
        <v>1383</v>
      </c>
      <c r="AM33" s="139" t="s">
        <v>1383</v>
      </c>
      <c r="AN33" s="139" t="s">
        <v>1383</v>
      </c>
      <c r="AO33" s="139" t="s">
        <v>1383</v>
      </c>
      <c r="AP33" s="139" t="s">
        <v>1383</v>
      </c>
      <c r="AQ33" s="139" t="s">
        <v>1383</v>
      </c>
      <c r="AR33" s="153"/>
      <c r="AS33" s="139" t="s">
        <v>445</v>
      </c>
      <c r="AT33" s="139" t="s">
        <v>445</v>
      </c>
      <c r="AU33" s="139" t="s">
        <v>445</v>
      </c>
      <c r="AV33" s="139" t="s">
        <v>1382</v>
      </c>
      <c r="AW33" s="139" t="s">
        <v>370</v>
      </c>
      <c r="AX33" s="139" t="s">
        <v>1382</v>
      </c>
    </row>
    <row r="34" spans="1:50" x14ac:dyDescent="0.3">
      <c r="A34" s="20" t="s">
        <v>1084</v>
      </c>
      <c r="B34" s="20"/>
      <c r="C34" s="8" t="s">
        <v>445</v>
      </c>
      <c r="D34" s="8" t="s">
        <v>445</v>
      </c>
      <c r="E34" s="8" t="s">
        <v>445</v>
      </c>
      <c r="F34" s="27" t="s">
        <v>158</v>
      </c>
      <c r="G34" s="27" t="s">
        <v>158</v>
      </c>
      <c r="H34" s="27" t="s">
        <v>158</v>
      </c>
      <c r="I34" s="15"/>
      <c r="J34" s="8" t="s">
        <v>445</v>
      </c>
      <c r="K34" s="8" t="s">
        <v>445</v>
      </c>
      <c r="L34" s="8" t="s">
        <v>445</v>
      </c>
      <c r="M34" s="27" t="s">
        <v>158</v>
      </c>
      <c r="N34" s="27" t="s">
        <v>158</v>
      </c>
      <c r="O34" s="27" t="s">
        <v>158</v>
      </c>
      <c r="P34" s="15"/>
      <c r="Q34" s="8" t="s">
        <v>445</v>
      </c>
      <c r="R34" s="8" t="s">
        <v>445</v>
      </c>
      <c r="S34" s="8" t="s">
        <v>445</v>
      </c>
      <c r="T34" s="27" t="s">
        <v>158</v>
      </c>
      <c r="U34" s="8" t="s">
        <v>997</v>
      </c>
      <c r="V34" s="27" t="s">
        <v>158</v>
      </c>
      <c r="W34" s="15"/>
      <c r="X34" s="8" t="s">
        <v>445</v>
      </c>
      <c r="Y34" s="8" t="s">
        <v>445</v>
      </c>
      <c r="Z34" s="8" t="s">
        <v>445</v>
      </c>
      <c r="AA34" s="27" t="s">
        <v>158</v>
      </c>
      <c r="AB34" s="8" t="s">
        <v>997</v>
      </c>
      <c r="AC34" s="27" t="s">
        <v>158</v>
      </c>
      <c r="AD34" s="15"/>
      <c r="AE34" s="8" t="s">
        <v>445</v>
      </c>
      <c r="AF34" s="8" t="s">
        <v>445</v>
      </c>
      <c r="AG34" s="8" t="s">
        <v>445</v>
      </c>
      <c r="AH34" s="27" t="s">
        <v>158</v>
      </c>
      <c r="AI34" s="8" t="s">
        <v>997</v>
      </c>
      <c r="AJ34" s="27" t="s">
        <v>158</v>
      </c>
      <c r="AK34" s="153"/>
      <c r="AL34" s="139" t="s">
        <v>445</v>
      </c>
      <c r="AM34" s="139" t="s">
        <v>445</v>
      </c>
      <c r="AN34" s="139" t="s">
        <v>445</v>
      </c>
      <c r="AO34" s="139" t="s">
        <v>158</v>
      </c>
      <c r="AP34" s="139" t="s">
        <v>158</v>
      </c>
      <c r="AQ34" s="139" t="s">
        <v>158</v>
      </c>
      <c r="AR34" s="153"/>
      <c r="AS34" s="139" t="s">
        <v>445</v>
      </c>
      <c r="AT34" s="139" t="s">
        <v>445</v>
      </c>
      <c r="AU34" s="139" t="s">
        <v>445</v>
      </c>
      <c r="AV34" s="139" t="s">
        <v>1382</v>
      </c>
      <c r="AW34" s="139" t="s">
        <v>370</v>
      </c>
      <c r="AX34" s="139" t="s">
        <v>1382</v>
      </c>
    </row>
    <row r="35" spans="1:50" x14ac:dyDescent="0.3">
      <c r="A35" s="20" t="s">
        <v>1087</v>
      </c>
      <c r="B35" s="20"/>
      <c r="C35" s="8" t="s">
        <v>445</v>
      </c>
      <c r="D35" s="8" t="s">
        <v>445</v>
      </c>
      <c r="E35" s="8" t="s">
        <v>445</v>
      </c>
      <c r="F35" s="27" t="s">
        <v>158</v>
      </c>
      <c r="G35" s="27" t="s">
        <v>158</v>
      </c>
      <c r="H35" s="27" t="s">
        <v>158</v>
      </c>
      <c r="I35" s="15"/>
      <c r="J35" s="8" t="s">
        <v>997</v>
      </c>
      <c r="K35" s="8" t="s">
        <v>997</v>
      </c>
      <c r="L35" s="8" t="s">
        <v>997</v>
      </c>
      <c r="M35" s="27" t="s">
        <v>158</v>
      </c>
      <c r="N35" s="8" t="s">
        <v>445</v>
      </c>
      <c r="O35" s="27" t="s">
        <v>158</v>
      </c>
      <c r="P35" s="15"/>
      <c r="Q35" s="8" t="s">
        <v>445</v>
      </c>
      <c r="R35" s="8" t="s">
        <v>445</v>
      </c>
      <c r="S35" s="8" t="s">
        <v>445</v>
      </c>
      <c r="T35" s="27" t="s">
        <v>158</v>
      </c>
      <c r="U35" s="8" t="s">
        <v>997</v>
      </c>
      <c r="V35" s="27" t="s">
        <v>158</v>
      </c>
      <c r="W35" s="15"/>
      <c r="X35" s="8" t="s">
        <v>445</v>
      </c>
      <c r="Y35" s="8" t="s">
        <v>445</v>
      </c>
      <c r="Z35" s="8" t="s">
        <v>445</v>
      </c>
      <c r="AA35" s="27" t="s">
        <v>158</v>
      </c>
      <c r="AB35" s="8" t="s">
        <v>997</v>
      </c>
      <c r="AC35" s="27" t="s">
        <v>158</v>
      </c>
      <c r="AD35" s="15"/>
      <c r="AE35" s="8" t="s">
        <v>445</v>
      </c>
      <c r="AF35" s="8" t="s">
        <v>445</v>
      </c>
      <c r="AG35" s="8" t="s">
        <v>445</v>
      </c>
      <c r="AH35" s="27" t="s">
        <v>158</v>
      </c>
      <c r="AI35" s="8" t="s">
        <v>997</v>
      </c>
      <c r="AJ35" s="27" t="s">
        <v>158</v>
      </c>
      <c r="AK35" s="153"/>
      <c r="AL35" s="139" t="s">
        <v>997</v>
      </c>
      <c r="AM35" s="139" t="s">
        <v>997</v>
      </c>
      <c r="AN35" s="139" t="s">
        <v>997</v>
      </c>
      <c r="AO35" s="139" t="s">
        <v>158</v>
      </c>
      <c r="AP35" s="139" t="s">
        <v>445</v>
      </c>
      <c r="AQ35" s="139" t="s">
        <v>158</v>
      </c>
      <c r="AR35" s="153"/>
      <c r="AS35" s="139" t="s">
        <v>370</v>
      </c>
      <c r="AT35" s="139" t="s">
        <v>370</v>
      </c>
      <c r="AU35" s="139" t="s">
        <v>445</v>
      </c>
      <c r="AV35" s="139" t="s">
        <v>445</v>
      </c>
      <c r="AW35" s="139" t="s">
        <v>1382</v>
      </c>
      <c r="AX35" s="139" t="s">
        <v>1382</v>
      </c>
    </row>
    <row r="36" spans="1:50" x14ac:dyDescent="0.3">
      <c r="A36" s="20" t="s">
        <v>1090</v>
      </c>
      <c r="B36" s="20"/>
      <c r="C36" s="8" t="s">
        <v>445</v>
      </c>
      <c r="D36" s="8" t="s">
        <v>445</v>
      </c>
      <c r="E36" s="8" t="s">
        <v>445</v>
      </c>
      <c r="F36" s="27" t="s">
        <v>158</v>
      </c>
      <c r="G36" s="27" t="s">
        <v>158</v>
      </c>
      <c r="H36" s="27" t="s">
        <v>158</v>
      </c>
      <c r="I36" s="15"/>
      <c r="J36" s="8" t="s">
        <v>997</v>
      </c>
      <c r="K36" s="8" t="s">
        <v>997</v>
      </c>
      <c r="L36" s="8" t="s">
        <v>997</v>
      </c>
      <c r="M36" s="27" t="s">
        <v>158</v>
      </c>
      <c r="N36" s="8" t="s">
        <v>445</v>
      </c>
      <c r="O36" s="8" t="s">
        <v>445</v>
      </c>
      <c r="P36" s="15"/>
      <c r="Q36" s="8" t="s">
        <v>445</v>
      </c>
      <c r="R36" s="8" t="s">
        <v>445</v>
      </c>
      <c r="S36" s="8" t="s">
        <v>445</v>
      </c>
      <c r="T36" s="27" t="s">
        <v>158</v>
      </c>
      <c r="U36" s="8" t="s">
        <v>997</v>
      </c>
      <c r="V36" s="8" t="s">
        <v>997</v>
      </c>
      <c r="W36" s="15"/>
      <c r="X36" s="8" t="s">
        <v>445</v>
      </c>
      <c r="Y36" s="8" t="s">
        <v>445</v>
      </c>
      <c r="Z36" s="8" t="s">
        <v>445</v>
      </c>
      <c r="AA36" s="27" t="s">
        <v>158</v>
      </c>
      <c r="AB36" s="8" t="s">
        <v>997</v>
      </c>
      <c r="AC36" s="8" t="s">
        <v>997</v>
      </c>
      <c r="AD36" s="15"/>
      <c r="AE36" s="8" t="s">
        <v>445</v>
      </c>
      <c r="AF36" s="8" t="s">
        <v>445</v>
      </c>
      <c r="AG36" s="8" t="s">
        <v>445</v>
      </c>
      <c r="AH36" s="27" t="s">
        <v>158</v>
      </c>
      <c r="AI36" s="8" t="s">
        <v>997</v>
      </c>
      <c r="AJ36" s="8" t="s">
        <v>997</v>
      </c>
      <c r="AL36" s="139" t="s">
        <v>997</v>
      </c>
      <c r="AM36" s="139" t="s">
        <v>997</v>
      </c>
      <c r="AN36" s="139" t="s">
        <v>997</v>
      </c>
      <c r="AO36" s="139" t="s">
        <v>158</v>
      </c>
      <c r="AP36" s="139" t="s">
        <v>445</v>
      </c>
      <c r="AQ36" s="139" t="s">
        <v>445</v>
      </c>
      <c r="AS36" s="139" t="s">
        <v>445</v>
      </c>
      <c r="AT36" s="139" t="s">
        <v>445</v>
      </c>
      <c r="AU36" s="139" t="s">
        <v>445</v>
      </c>
      <c r="AV36" s="139" t="s">
        <v>1382</v>
      </c>
      <c r="AW36" s="139" t="s">
        <v>370</v>
      </c>
      <c r="AX36" s="139" t="s">
        <v>1382</v>
      </c>
    </row>
    <row r="37" spans="1:50" x14ac:dyDescent="0.3">
      <c r="A37" s="20" t="s">
        <v>1092</v>
      </c>
      <c r="B37" s="20"/>
      <c r="C37" s="8" t="s">
        <v>445</v>
      </c>
      <c r="D37" s="8" t="s">
        <v>445</v>
      </c>
      <c r="E37" s="8" t="s">
        <v>445</v>
      </c>
      <c r="F37" s="27" t="s">
        <v>158</v>
      </c>
      <c r="G37" s="27" t="s">
        <v>158</v>
      </c>
      <c r="H37" s="27" t="s">
        <v>158</v>
      </c>
      <c r="I37" s="15"/>
      <c r="J37" s="8" t="s">
        <v>445</v>
      </c>
      <c r="K37" s="8" t="s">
        <v>445</v>
      </c>
      <c r="L37" s="8" t="s">
        <v>445</v>
      </c>
      <c r="M37" s="8" t="s">
        <v>997</v>
      </c>
      <c r="N37" s="27" t="s">
        <v>158</v>
      </c>
      <c r="O37" s="27" t="s">
        <v>158</v>
      </c>
      <c r="P37" s="15"/>
      <c r="Q37" s="8" t="s">
        <v>445</v>
      </c>
      <c r="R37" s="8" t="s">
        <v>445</v>
      </c>
      <c r="S37" s="8" t="s">
        <v>445</v>
      </c>
      <c r="T37" s="27" t="s">
        <v>158</v>
      </c>
      <c r="U37" s="8" t="s">
        <v>997</v>
      </c>
      <c r="V37" s="8" t="s">
        <v>997</v>
      </c>
      <c r="W37" s="15"/>
      <c r="X37" s="8" t="s">
        <v>445</v>
      </c>
      <c r="Y37" s="8" t="s">
        <v>445</v>
      </c>
      <c r="Z37" s="8" t="s">
        <v>445</v>
      </c>
      <c r="AA37" s="27" t="s">
        <v>158</v>
      </c>
      <c r="AB37" s="8" t="s">
        <v>997</v>
      </c>
      <c r="AC37" s="8" t="s">
        <v>997</v>
      </c>
      <c r="AD37" s="15"/>
      <c r="AE37" s="8" t="s">
        <v>445</v>
      </c>
      <c r="AF37" s="8" t="s">
        <v>445</v>
      </c>
      <c r="AG37" s="8" t="s">
        <v>445</v>
      </c>
      <c r="AH37" s="27" t="s">
        <v>158</v>
      </c>
      <c r="AI37" s="8" t="s">
        <v>997</v>
      </c>
      <c r="AJ37" s="8" t="s">
        <v>997</v>
      </c>
      <c r="AL37" s="139" t="s">
        <v>445</v>
      </c>
      <c r="AM37" s="139" t="s">
        <v>445</v>
      </c>
      <c r="AN37" s="139" t="s">
        <v>445</v>
      </c>
      <c r="AO37" s="139" t="s">
        <v>997</v>
      </c>
      <c r="AP37" s="139" t="s">
        <v>158</v>
      </c>
      <c r="AQ37" s="139" t="s">
        <v>158</v>
      </c>
      <c r="AS37" s="139" t="s">
        <v>445</v>
      </c>
      <c r="AT37" s="139" t="s">
        <v>445</v>
      </c>
      <c r="AU37" s="139" t="s">
        <v>445</v>
      </c>
      <c r="AV37" s="139" t="s">
        <v>1382</v>
      </c>
      <c r="AW37" s="139" t="s">
        <v>1382</v>
      </c>
      <c r="AX37" s="139" t="s">
        <v>1382</v>
      </c>
    </row>
    <row r="38" spans="1:50" x14ac:dyDescent="0.3">
      <c r="A38" s="20" t="s">
        <v>1095</v>
      </c>
      <c r="B38" s="182"/>
      <c r="C38" s="16" t="s">
        <v>445</v>
      </c>
      <c r="D38" s="16" t="s">
        <v>445</v>
      </c>
      <c r="E38" s="16" t="s">
        <v>445</v>
      </c>
      <c r="F38" s="27" t="s">
        <v>158</v>
      </c>
      <c r="G38" s="27" t="s">
        <v>158</v>
      </c>
      <c r="H38" s="27" t="s">
        <v>158</v>
      </c>
      <c r="I38" s="15"/>
      <c r="J38" s="16" t="s">
        <v>1383</v>
      </c>
      <c r="K38" s="16" t="s">
        <v>1383</v>
      </c>
      <c r="L38" s="16" t="s">
        <v>1383</v>
      </c>
      <c r="M38" s="16" t="s">
        <v>1383</v>
      </c>
      <c r="N38" s="16" t="s">
        <v>1383</v>
      </c>
      <c r="O38" s="16" t="s">
        <v>1383</v>
      </c>
      <c r="P38" s="15"/>
      <c r="Q38" s="16" t="s">
        <v>445</v>
      </c>
      <c r="R38" s="16" t="s">
        <v>445</v>
      </c>
      <c r="S38" s="16" t="s">
        <v>445</v>
      </c>
      <c r="T38" s="27" t="s">
        <v>158</v>
      </c>
      <c r="U38" s="16" t="s">
        <v>445</v>
      </c>
      <c r="V38" s="16" t="s">
        <v>445</v>
      </c>
      <c r="W38" s="15"/>
      <c r="X38" s="16" t="s">
        <v>445</v>
      </c>
      <c r="Y38" s="16" t="s">
        <v>445</v>
      </c>
      <c r="Z38" s="16" t="s">
        <v>445</v>
      </c>
      <c r="AA38" s="27" t="s">
        <v>158</v>
      </c>
      <c r="AB38" s="16" t="s">
        <v>445</v>
      </c>
      <c r="AC38" s="16" t="s">
        <v>445</v>
      </c>
      <c r="AD38" s="15"/>
      <c r="AE38" s="16" t="s">
        <v>445</v>
      </c>
      <c r="AF38" s="16" t="s">
        <v>445</v>
      </c>
      <c r="AG38" s="16" t="s">
        <v>445</v>
      </c>
      <c r="AH38" s="27" t="s">
        <v>158</v>
      </c>
      <c r="AI38" s="16" t="s">
        <v>445</v>
      </c>
      <c r="AJ38" s="16" t="s">
        <v>445</v>
      </c>
      <c r="AL38" s="139" t="s">
        <v>1383</v>
      </c>
      <c r="AM38" s="139" t="s">
        <v>1383</v>
      </c>
      <c r="AN38" s="139" t="s">
        <v>1383</v>
      </c>
      <c r="AO38" s="139" t="s">
        <v>1383</v>
      </c>
      <c r="AP38" s="139" t="s">
        <v>1383</v>
      </c>
      <c r="AQ38" s="139" t="s">
        <v>1383</v>
      </c>
      <c r="AS38" s="139" t="s">
        <v>445</v>
      </c>
      <c r="AT38" s="139" t="s">
        <v>445</v>
      </c>
      <c r="AU38" s="139" t="s">
        <v>445</v>
      </c>
      <c r="AV38" s="139" t="s">
        <v>1382</v>
      </c>
      <c r="AW38" s="139" t="s">
        <v>1382</v>
      </c>
      <c r="AX38" s="139" t="s">
        <v>1382</v>
      </c>
    </row>
    <row r="39" spans="1:50" x14ac:dyDescent="0.3">
      <c r="A39" s="20" t="s">
        <v>1097</v>
      </c>
      <c r="B39" s="20"/>
      <c r="C39" s="8" t="s">
        <v>75</v>
      </c>
      <c r="D39" s="8" t="s">
        <v>158</v>
      </c>
      <c r="E39" s="8" t="s">
        <v>158</v>
      </c>
      <c r="F39" s="27" t="s">
        <v>158</v>
      </c>
      <c r="G39" s="27" t="s">
        <v>158</v>
      </c>
      <c r="H39" s="27" t="s">
        <v>158</v>
      </c>
      <c r="J39" s="8" t="s">
        <v>75</v>
      </c>
      <c r="K39" s="8" t="s">
        <v>158</v>
      </c>
      <c r="L39" s="8" t="s">
        <v>158</v>
      </c>
      <c r="M39" s="27" t="s">
        <v>158</v>
      </c>
      <c r="N39" s="27" t="s">
        <v>158</v>
      </c>
      <c r="O39" s="27" t="s">
        <v>158</v>
      </c>
      <c r="Q39" s="8" t="s">
        <v>75</v>
      </c>
      <c r="R39" s="8" t="s">
        <v>158</v>
      </c>
      <c r="S39" s="8" t="s">
        <v>158</v>
      </c>
      <c r="T39" s="27" t="s">
        <v>158</v>
      </c>
      <c r="U39" s="27" t="s">
        <v>158</v>
      </c>
      <c r="V39" s="27" t="s">
        <v>158</v>
      </c>
      <c r="X39" s="8" t="s">
        <v>75</v>
      </c>
      <c r="Y39" s="8" t="s">
        <v>158</v>
      </c>
      <c r="Z39" s="8" t="s">
        <v>158</v>
      </c>
      <c r="AA39" s="27" t="s">
        <v>158</v>
      </c>
      <c r="AB39" s="27" t="s">
        <v>158</v>
      </c>
      <c r="AC39" s="27" t="s">
        <v>158</v>
      </c>
      <c r="AE39" s="8" t="s">
        <v>75</v>
      </c>
      <c r="AF39" s="8" t="s">
        <v>158</v>
      </c>
      <c r="AG39" s="8" t="s">
        <v>158</v>
      </c>
      <c r="AH39" s="27" t="s">
        <v>158</v>
      </c>
      <c r="AI39" s="27" t="s">
        <v>158</v>
      </c>
      <c r="AJ39" s="27" t="s">
        <v>158</v>
      </c>
      <c r="AL39" s="8" t="s">
        <v>75</v>
      </c>
      <c r="AM39" s="8" t="s">
        <v>158</v>
      </c>
      <c r="AN39" s="8" t="s">
        <v>158</v>
      </c>
      <c r="AO39" s="27" t="s">
        <v>158</v>
      </c>
      <c r="AP39" s="27" t="s">
        <v>158</v>
      </c>
      <c r="AQ39" s="27" t="s">
        <v>158</v>
      </c>
      <c r="AS39" s="139" t="s">
        <v>445</v>
      </c>
      <c r="AT39" s="139" t="s">
        <v>445</v>
      </c>
      <c r="AU39" s="139" t="s">
        <v>445</v>
      </c>
      <c r="AV39" s="139" t="s">
        <v>1382</v>
      </c>
      <c r="AW39" s="139" t="s">
        <v>1382</v>
      </c>
      <c r="AX39" s="139" t="s">
        <v>1382</v>
      </c>
    </row>
    <row r="40" spans="1:50" x14ac:dyDescent="0.3">
      <c r="A40" s="25"/>
      <c r="B40" s="183"/>
      <c r="C40" s="24"/>
      <c r="D40" s="24"/>
      <c r="E40" s="24"/>
      <c r="F40" s="24"/>
      <c r="G40" s="24"/>
      <c r="H40" s="24"/>
      <c r="J40" s="24"/>
      <c r="K40" s="24"/>
      <c r="L40" s="24"/>
      <c r="M40" s="24"/>
      <c r="N40" s="24"/>
      <c r="O40" s="24"/>
      <c r="Q40" s="24"/>
      <c r="R40" s="24"/>
      <c r="S40" s="24"/>
      <c r="T40" s="24"/>
      <c r="U40" s="24"/>
      <c r="V40" s="24"/>
      <c r="X40" s="24"/>
      <c r="Y40" s="24"/>
      <c r="Z40" s="24"/>
      <c r="AA40" s="24"/>
      <c r="AB40" s="24"/>
      <c r="AC40" s="24"/>
      <c r="AE40" s="24"/>
      <c r="AF40" s="24"/>
      <c r="AG40" s="24"/>
      <c r="AH40" s="24"/>
      <c r="AI40" s="24"/>
      <c r="AJ40" s="24"/>
    </row>
    <row r="41" spans="1:50" s="17" customFormat="1" x14ac:dyDescent="0.3">
      <c r="A41" s="22" t="s">
        <v>1099</v>
      </c>
      <c r="B41" s="181"/>
    </row>
    <row r="42" spans="1:50" x14ac:dyDescent="0.3">
      <c r="A42" s="19" t="s">
        <v>983</v>
      </c>
      <c r="B42" s="19"/>
      <c r="C42" s="34" t="s">
        <v>985</v>
      </c>
      <c r="D42" s="34" t="s">
        <v>986</v>
      </c>
      <c r="E42" s="34" t="s">
        <v>987</v>
      </c>
      <c r="F42" s="34" t="s">
        <v>988</v>
      </c>
      <c r="G42" s="34" t="s">
        <v>989</v>
      </c>
      <c r="H42" s="34" t="s">
        <v>990</v>
      </c>
      <c r="I42" s="14"/>
      <c r="J42" s="34" t="s">
        <v>985</v>
      </c>
      <c r="K42" s="34" t="s">
        <v>986</v>
      </c>
      <c r="L42" s="34" t="s">
        <v>987</v>
      </c>
      <c r="M42" s="34" t="s">
        <v>988</v>
      </c>
      <c r="N42" s="34" t="s">
        <v>989</v>
      </c>
      <c r="O42" s="34" t="s">
        <v>990</v>
      </c>
      <c r="P42" s="14"/>
      <c r="Q42" s="34" t="s">
        <v>985</v>
      </c>
      <c r="R42" s="34" t="s">
        <v>986</v>
      </c>
      <c r="S42" s="34" t="s">
        <v>987</v>
      </c>
      <c r="T42" s="34" t="s">
        <v>988</v>
      </c>
      <c r="U42" s="34" t="s">
        <v>989</v>
      </c>
      <c r="V42" s="34" t="s">
        <v>990</v>
      </c>
      <c r="W42" s="14"/>
      <c r="X42" s="34" t="s">
        <v>985</v>
      </c>
      <c r="Y42" s="34" t="s">
        <v>986</v>
      </c>
      <c r="Z42" s="34" t="s">
        <v>987</v>
      </c>
      <c r="AA42" s="34" t="s">
        <v>988</v>
      </c>
      <c r="AB42" s="34" t="s">
        <v>989</v>
      </c>
      <c r="AC42" s="34" t="s">
        <v>990</v>
      </c>
      <c r="AD42" s="14"/>
      <c r="AE42" s="34" t="s">
        <v>985</v>
      </c>
      <c r="AF42" s="34" t="s">
        <v>986</v>
      </c>
      <c r="AG42" s="34" t="s">
        <v>987</v>
      </c>
      <c r="AH42" s="34" t="s">
        <v>988</v>
      </c>
      <c r="AI42" s="34" t="s">
        <v>989</v>
      </c>
      <c r="AJ42" s="34" t="s">
        <v>990</v>
      </c>
      <c r="AL42" s="156" t="s">
        <v>985</v>
      </c>
      <c r="AM42" s="156" t="s">
        <v>986</v>
      </c>
      <c r="AN42" s="156" t="s">
        <v>987</v>
      </c>
      <c r="AO42" s="156" t="s">
        <v>988</v>
      </c>
      <c r="AP42" s="156" t="s">
        <v>989</v>
      </c>
      <c r="AQ42" s="156" t="s">
        <v>990</v>
      </c>
      <c r="AS42" s="209" t="s">
        <v>985</v>
      </c>
      <c r="AT42" s="209" t="s">
        <v>986</v>
      </c>
      <c r="AU42" s="209" t="s">
        <v>987</v>
      </c>
      <c r="AV42" s="209" t="s">
        <v>988</v>
      </c>
      <c r="AW42" s="209" t="s">
        <v>989</v>
      </c>
      <c r="AX42" s="209" t="s">
        <v>990</v>
      </c>
    </row>
    <row r="43" spans="1:50" x14ac:dyDescent="0.3">
      <c r="A43" s="20" t="s">
        <v>1100</v>
      </c>
      <c r="B43" s="20"/>
      <c r="C43" s="8" t="s">
        <v>445</v>
      </c>
      <c r="D43" s="8" t="s">
        <v>445</v>
      </c>
      <c r="E43" s="8" t="s">
        <v>445</v>
      </c>
      <c r="F43" s="8" t="s">
        <v>997</v>
      </c>
      <c r="G43" s="27" t="s">
        <v>158</v>
      </c>
      <c r="H43" s="27" t="s">
        <v>158</v>
      </c>
      <c r="I43" s="15"/>
      <c r="J43" s="8" t="s">
        <v>445</v>
      </c>
      <c r="K43" s="8" t="s">
        <v>445</v>
      </c>
      <c r="L43" s="8" t="s">
        <v>445</v>
      </c>
      <c r="M43" s="8" t="s">
        <v>997</v>
      </c>
      <c r="N43" s="27" t="s">
        <v>158</v>
      </c>
      <c r="O43" s="27" t="s">
        <v>158</v>
      </c>
      <c r="P43" s="15"/>
      <c r="Q43" s="8" t="s">
        <v>445</v>
      </c>
      <c r="R43" s="8" t="s">
        <v>445</v>
      </c>
      <c r="S43" s="8" t="s">
        <v>445</v>
      </c>
      <c r="T43" s="8" t="s">
        <v>997</v>
      </c>
      <c r="U43" s="27" t="s">
        <v>158</v>
      </c>
      <c r="V43" s="27" t="s">
        <v>158</v>
      </c>
      <c r="W43" s="15"/>
      <c r="X43" s="8" t="s">
        <v>445</v>
      </c>
      <c r="Y43" s="8" t="s">
        <v>445</v>
      </c>
      <c r="Z43" s="8" t="s">
        <v>445</v>
      </c>
      <c r="AA43" s="8" t="s">
        <v>997</v>
      </c>
      <c r="AB43" s="27" t="s">
        <v>158</v>
      </c>
      <c r="AC43" s="27" t="s">
        <v>158</v>
      </c>
      <c r="AD43" s="15"/>
      <c r="AE43" s="8" t="s">
        <v>445</v>
      </c>
      <c r="AF43" s="8" t="s">
        <v>445</v>
      </c>
      <c r="AG43" s="8" t="s">
        <v>445</v>
      </c>
      <c r="AH43" s="8" t="s">
        <v>997</v>
      </c>
      <c r="AI43" s="27" t="s">
        <v>158</v>
      </c>
      <c r="AJ43" s="27" t="s">
        <v>158</v>
      </c>
      <c r="AK43" s="153"/>
      <c r="AL43" s="139" t="s">
        <v>445</v>
      </c>
      <c r="AM43" s="139" t="s">
        <v>445</v>
      </c>
      <c r="AN43" s="139" t="s">
        <v>445</v>
      </c>
      <c r="AO43" s="139" t="s">
        <v>997</v>
      </c>
      <c r="AP43" s="139" t="s">
        <v>158</v>
      </c>
      <c r="AQ43" s="139" t="s">
        <v>158</v>
      </c>
      <c r="AR43" s="153"/>
      <c r="AS43" s="139" t="s">
        <v>445</v>
      </c>
      <c r="AT43" s="139" t="s">
        <v>445</v>
      </c>
      <c r="AU43" s="139" t="s">
        <v>445</v>
      </c>
      <c r="AV43" s="139" t="s">
        <v>370</v>
      </c>
      <c r="AW43" s="139" t="s">
        <v>1382</v>
      </c>
      <c r="AX43" s="139" t="s">
        <v>1382</v>
      </c>
    </row>
    <row r="44" spans="1:50" x14ac:dyDescent="0.3">
      <c r="A44" s="20" t="s">
        <v>1103</v>
      </c>
      <c r="B44" s="20"/>
      <c r="C44" s="8" t="s">
        <v>445</v>
      </c>
      <c r="D44" s="8" t="s">
        <v>445</v>
      </c>
      <c r="E44" s="8" t="s">
        <v>445</v>
      </c>
      <c r="F44" s="8" t="s">
        <v>997</v>
      </c>
      <c r="G44" s="27" t="s">
        <v>158</v>
      </c>
      <c r="H44" s="27" t="s">
        <v>158</v>
      </c>
      <c r="I44" s="15"/>
      <c r="J44" s="8" t="s">
        <v>445</v>
      </c>
      <c r="K44" s="8" t="s">
        <v>445</v>
      </c>
      <c r="L44" s="8" t="s">
        <v>445</v>
      </c>
      <c r="M44" s="8" t="s">
        <v>997</v>
      </c>
      <c r="N44" s="27" t="s">
        <v>158</v>
      </c>
      <c r="O44" s="27" t="s">
        <v>158</v>
      </c>
      <c r="P44" s="15"/>
      <c r="Q44" s="8" t="s">
        <v>445</v>
      </c>
      <c r="R44" s="8" t="s">
        <v>445</v>
      </c>
      <c r="S44" s="8" t="s">
        <v>445</v>
      </c>
      <c r="T44" s="8" t="s">
        <v>997</v>
      </c>
      <c r="U44" s="27" t="s">
        <v>158</v>
      </c>
      <c r="V44" s="27" t="s">
        <v>158</v>
      </c>
      <c r="W44" s="15"/>
      <c r="X44" s="8" t="s">
        <v>445</v>
      </c>
      <c r="Y44" s="8" t="s">
        <v>445</v>
      </c>
      <c r="Z44" s="8" t="s">
        <v>445</v>
      </c>
      <c r="AA44" s="8" t="s">
        <v>997</v>
      </c>
      <c r="AB44" s="27" t="s">
        <v>158</v>
      </c>
      <c r="AC44" s="27" t="s">
        <v>158</v>
      </c>
      <c r="AD44" s="15"/>
      <c r="AE44" s="8" t="s">
        <v>445</v>
      </c>
      <c r="AF44" s="8" t="s">
        <v>445</v>
      </c>
      <c r="AG44" s="8" t="s">
        <v>445</v>
      </c>
      <c r="AH44" s="8" t="s">
        <v>997</v>
      </c>
      <c r="AI44" s="27" t="s">
        <v>158</v>
      </c>
      <c r="AJ44" s="27" t="s">
        <v>158</v>
      </c>
      <c r="AK44" s="153"/>
      <c r="AL44" s="139" t="s">
        <v>445</v>
      </c>
      <c r="AM44" s="139" t="s">
        <v>445</v>
      </c>
      <c r="AN44" s="139" t="s">
        <v>445</v>
      </c>
      <c r="AO44" s="139" t="s">
        <v>997</v>
      </c>
      <c r="AP44" s="139" t="s">
        <v>158</v>
      </c>
      <c r="AQ44" s="139" t="s">
        <v>158</v>
      </c>
      <c r="AR44" s="153"/>
      <c r="AS44" s="139" t="s">
        <v>445</v>
      </c>
      <c r="AT44" s="139" t="s">
        <v>445</v>
      </c>
      <c r="AU44" s="139" t="s">
        <v>445</v>
      </c>
      <c r="AV44" s="139" t="s">
        <v>370</v>
      </c>
      <c r="AW44" s="139" t="s">
        <v>1382</v>
      </c>
      <c r="AX44" s="139" t="s">
        <v>1382</v>
      </c>
    </row>
    <row r="45" spans="1:50" x14ac:dyDescent="0.3">
      <c r="A45" s="20" t="s">
        <v>1106</v>
      </c>
      <c r="B45" s="20"/>
      <c r="C45" s="8" t="s">
        <v>445</v>
      </c>
      <c r="D45" s="8" t="s">
        <v>445</v>
      </c>
      <c r="E45" s="8" t="s">
        <v>445</v>
      </c>
      <c r="F45" s="8" t="s">
        <v>997</v>
      </c>
      <c r="G45" s="27" t="s">
        <v>158</v>
      </c>
      <c r="H45" s="27" t="s">
        <v>158</v>
      </c>
      <c r="I45" s="15"/>
      <c r="J45" s="8" t="s">
        <v>997</v>
      </c>
      <c r="K45" s="8" t="s">
        <v>997</v>
      </c>
      <c r="L45" s="8" t="s">
        <v>997</v>
      </c>
      <c r="M45" s="27" t="s">
        <v>158</v>
      </c>
      <c r="N45" s="8" t="s">
        <v>445</v>
      </c>
      <c r="O45" s="27" t="s">
        <v>158</v>
      </c>
      <c r="P45" s="15"/>
      <c r="Q45" s="8" t="s">
        <v>445</v>
      </c>
      <c r="R45" s="8" t="s">
        <v>445</v>
      </c>
      <c r="S45" s="8" t="s">
        <v>445</v>
      </c>
      <c r="T45" s="27" t="s">
        <v>158</v>
      </c>
      <c r="U45" s="27" t="s">
        <v>158</v>
      </c>
      <c r="V45" s="27" t="s">
        <v>158</v>
      </c>
      <c r="W45" s="15"/>
      <c r="X45" s="8" t="s">
        <v>445</v>
      </c>
      <c r="Y45" s="8" t="s">
        <v>445</v>
      </c>
      <c r="Z45" s="8" t="s">
        <v>445</v>
      </c>
      <c r="AA45" s="27" t="s">
        <v>158</v>
      </c>
      <c r="AB45" s="27" t="s">
        <v>158</v>
      </c>
      <c r="AC45" s="27" t="s">
        <v>158</v>
      </c>
      <c r="AD45" s="15"/>
      <c r="AE45" s="8" t="s">
        <v>445</v>
      </c>
      <c r="AF45" s="8" t="s">
        <v>445</v>
      </c>
      <c r="AG45" s="8" t="s">
        <v>445</v>
      </c>
      <c r="AH45" s="27" t="s">
        <v>158</v>
      </c>
      <c r="AI45" s="27" t="s">
        <v>158</v>
      </c>
      <c r="AJ45" s="27" t="s">
        <v>158</v>
      </c>
      <c r="AK45" s="153"/>
      <c r="AL45" s="139" t="s">
        <v>997</v>
      </c>
      <c r="AM45" s="139" t="s">
        <v>997</v>
      </c>
      <c r="AN45" s="139" t="s">
        <v>997</v>
      </c>
      <c r="AO45" s="139" t="s">
        <v>158</v>
      </c>
      <c r="AP45" s="139" t="s">
        <v>445</v>
      </c>
      <c r="AQ45" s="139" t="s">
        <v>158</v>
      </c>
      <c r="AR45" s="153"/>
      <c r="AS45" s="139" t="s">
        <v>370</v>
      </c>
      <c r="AT45" s="139" t="s">
        <v>370</v>
      </c>
      <c r="AU45" s="139" t="s">
        <v>445</v>
      </c>
      <c r="AV45" s="139" t="s">
        <v>445</v>
      </c>
      <c r="AW45" s="139" t="s">
        <v>1382</v>
      </c>
      <c r="AX45" s="139" t="s">
        <v>1382</v>
      </c>
    </row>
    <row r="46" spans="1:50" x14ac:dyDescent="0.3">
      <c r="A46" s="20" t="s">
        <v>1110</v>
      </c>
      <c r="B46" s="20"/>
      <c r="C46" s="8" t="s">
        <v>997</v>
      </c>
      <c r="D46" s="8" t="s">
        <v>997</v>
      </c>
      <c r="E46" s="8" t="s">
        <v>445</v>
      </c>
      <c r="F46" s="8" t="s">
        <v>997</v>
      </c>
      <c r="G46" s="27" t="s">
        <v>158</v>
      </c>
      <c r="H46" s="27" t="s">
        <v>158</v>
      </c>
      <c r="I46" s="15"/>
      <c r="J46" s="8" t="s">
        <v>997</v>
      </c>
      <c r="K46" s="8" t="s">
        <v>997</v>
      </c>
      <c r="L46" s="8" t="s">
        <v>445</v>
      </c>
      <c r="M46" s="8" t="s">
        <v>445</v>
      </c>
      <c r="N46" s="8" t="s">
        <v>158</v>
      </c>
      <c r="O46" s="8" t="s">
        <v>158</v>
      </c>
      <c r="P46" s="15"/>
      <c r="Q46" s="8" t="s">
        <v>997</v>
      </c>
      <c r="R46" s="8" t="s">
        <v>997</v>
      </c>
      <c r="S46" s="8" t="s">
        <v>445</v>
      </c>
      <c r="T46" s="8" t="s">
        <v>445</v>
      </c>
      <c r="U46" s="27" t="s">
        <v>158</v>
      </c>
      <c r="V46" s="27" t="s">
        <v>158</v>
      </c>
      <c r="W46" s="15"/>
      <c r="X46" s="8" t="s">
        <v>445</v>
      </c>
      <c r="Y46" s="8" t="s">
        <v>445</v>
      </c>
      <c r="Z46" s="8" t="s">
        <v>445</v>
      </c>
      <c r="AA46" s="8" t="s">
        <v>997</v>
      </c>
      <c r="AB46" s="27" t="s">
        <v>158</v>
      </c>
      <c r="AC46" s="27" t="s">
        <v>158</v>
      </c>
      <c r="AD46" s="15"/>
      <c r="AE46" s="8" t="s">
        <v>445</v>
      </c>
      <c r="AF46" s="8" t="s">
        <v>445</v>
      </c>
      <c r="AG46" s="8" t="s">
        <v>445</v>
      </c>
      <c r="AH46" s="8" t="s">
        <v>997</v>
      </c>
      <c r="AI46" s="27" t="s">
        <v>158</v>
      </c>
      <c r="AJ46" s="27" t="s">
        <v>158</v>
      </c>
      <c r="AK46" s="153"/>
      <c r="AL46" s="139" t="s">
        <v>997</v>
      </c>
      <c r="AM46" s="139" t="s">
        <v>997</v>
      </c>
      <c r="AN46" s="139" t="s">
        <v>997</v>
      </c>
      <c r="AO46" s="139" t="s">
        <v>445</v>
      </c>
      <c r="AP46" s="139" t="s">
        <v>445</v>
      </c>
      <c r="AQ46" s="139" t="s">
        <v>445</v>
      </c>
      <c r="AR46" s="153"/>
      <c r="AS46" s="139" t="s">
        <v>445</v>
      </c>
      <c r="AT46" s="139" t="s">
        <v>445</v>
      </c>
      <c r="AU46" s="139" t="s">
        <v>158</v>
      </c>
      <c r="AV46" s="139" t="s">
        <v>158</v>
      </c>
      <c r="AW46" s="139" t="s">
        <v>370</v>
      </c>
      <c r="AX46" s="139" t="s">
        <v>1382</v>
      </c>
    </row>
    <row r="47" spans="1:50" x14ac:dyDescent="0.3">
      <c r="A47" s="20" t="s">
        <v>1114</v>
      </c>
      <c r="B47" s="20"/>
      <c r="C47" s="8" t="s">
        <v>445</v>
      </c>
      <c r="D47" s="8" t="s">
        <v>445</v>
      </c>
      <c r="E47" s="8" t="s">
        <v>445</v>
      </c>
      <c r="F47" s="8" t="s">
        <v>997</v>
      </c>
      <c r="G47" s="27" t="s">
        <v>158</v>
      </c>
      <c r="H47" s="27" t="s">
        <v>158</v>
      </c>
      <c r="I47" s="15"/>
      <c r="J47" s="8" t="s">
        <v>1383</v>
      </c>
      <c r="K47" s="8" t="s">
        <v>1383</v>
      </c>
      <c r="L47" s="8" t="s">
        <v>1383</v>
      </c>
      <c r="M47" s="8" t="s">
        <v>1383</v>
      </c>
      <c r="N47" s="8" t="s">
        <v>1383</v>
      </c>
      <c r="O47" s="8" t="s">
        <v>1383</v>
      </c>
      <c r="P47" s="15"/>
      <c r="Q47" s="8" t="s">
        <v>445</v>
      </c>
      <c r="R47" s="8" t="s">
        <v>445</v>
      </c>
      <c r="S47" s="8" t="s">
        <v>445</v>
      </c>
      <c r="T47" s="8" t="s">
        <v>997</v>
      </c>
      <c r="U47" s="27" t="s">
        <v>158</v>
      </c>
      <c r="V47" s="27" t="s">
        <v>158</v>
      </c>
      <c r="W47" s="15"/>
      <c r="X47" s="8" t="s">
        <v>445</v>
      </c>
      <c r="Y47" s="8" t="s">
        <v>445</v>
      </c>
      <c r="Z47" s="8" t="s">
        <v>445</v>
      </c>
      <c r="AA47" s="8" t="s">
        <v>997</v>
      </c>
      <c r="AB47" s="27" t="s">
        <v>158</v>
      </c>
      <c r="AC47" s="27" t="s">
        <v>158</v>
      </c>
      <c r="AD47" s="15"/>
      <c r="AE47" s="8" t="s">
        <v>445</v>
      </c>
      <c r="AF47" s="8" t="s">
        <v>445</v>
      </c>
      <c r="AG47" s="8" t="s">
        <v>445</v>
      </c>
      <c r="AH47" s="8" t="s">
        <v>997</v>
      </c>
      <c r="AI47" s="27" t="s">
        <v>158</v>
      </c>
      <c r="AJ47" s="27" t="s">
        <v>158</v>
      </c>
      <c r="AK47" s="153"/>
      <c r="AL47" s="139" t="s">
        <v>1383</v>
      </c>
      <c r="AM47" s="139" t="s">
        <v>1383</v>
      </c>
      <c r="AN47" s="139" t="s">
        <v>1383</v>
      </c>
      <c r="AO47" s="139" t="s">
        <v>1383</v>
      </c>
      <c r="AP47" s="139" t="s">
        <v>1383</v>
      </c>
      <c r="AQ47" s="139" t="s">
        <v>1383</v>
      </c>
      <c r="AR47" s="153"/>
      <c r="AS47" s="139" t="s">
        <v>370</v>
      </c>
      <c r="AT47" s="139" t="s">
        <v>370</v>
      </c>
      <c r="AU47" s="139" t="s">
        <v>445</v>
      </c>
      <c r="AV47" s="139" t="s">
        <v>370</v>
      </c>
      <c r="AW47" s="139" t="s">
        <v>1382</v>
      </c>
      <c r="AX47" s="139" t="s">
        <v>1382</v>
      </c>
    </row>
    <row r="48" spans="1:50" x14ac:dyDescent="0.3">
      <c r="A48" s="20" t="s">
        <v>1118</v>
      </c>
      <c r="B48" s="20"/>
      <c r="C48" s="8" t="s">
        <v>445</v>
      </c>
      <c r="D48" s="8" t="s">
        <v>445</v>
      </c>
      <c r="E48" s="8" t="s">
        <v>445</v>
      </c>
      <c r="F48" s="8" t="s">
        <v>997</v>
      </c>
      <c r="G48" s="27" t="s">
        <v>158</v>
      </c>
      <c r="H48" s="27" t="s">
        <v>158</v>
      </c>
      <c r="I48" s="15"/>
      <c r="J48" s="8" t="s">
        <v>997</v>
      </c>
      <c r="K48" s="8" t="s">
        <v>997</v>
      </c>
      <c r="L48" s="8" t="s">
        <v>997</v>
      </c>
      <c r="M48" s="8" t="s">
        <v>445</v>
      </c>
      <c r="N48" s="8" t="s">
        <v>445</v>
      </c>
      <c r="O48" s="8" t="s">
        <v>445</v>
      </c>
      <c r="P48" s="15"/>
      <c r="Q48" s="8" t="s">
        <v>997</v>
      </c>
      <c r="R48" s="8" t="s">
        <v>997</v>
      </c>
      <c r="S48" s="8" t="s">
        <v>445</v>
      </c>
      <c r="T48" s="8" t="s">
        <v>997</v>
      </c>
      <c r="U48" s="27" t="s">
        <v>158</v>
      </c>
      <c r="V48" s="27" t="s">
        <v>158</v>
      </c>
      <c r="W48" s="15"/>
      <c r="X48" s="8" t="s">
        <v>997</v>
      </c>
      <c r="Y48" s="8" t="s">
        <v>997</v>
      </c>
      <c r="Z48" s="8" t="s">
        <v>445</v>
      </c>
      <c r="AA48" s="8" t="s">
        <v>997</v>
      </c>
      <c r="AB48" s="27" t="s">
        <v>158</v>
      </c>
      <c r="AC48" s="27" t="s">
        <v>158</v>
      </c>
      <c r="AD48" s="15"/>
      <c r="AE48" s="8" t="s">
        <v>997</v>
      </c>
      <c r="AF48" s="8" t="s">
        <v>997</v>
      </c>
      <c r="AG48" s="8" t="s">
        <v>445</v>
      </c>
      <c r="AH48" s="8" t="s">
        <v>997</v>
      </c>
      <c r="AI48" s="27" t="s">
        <v>158</v>
      </c>
      <c r="AJ48" s="27" t="s">
        <v>158</v>
      </c>
      <c r="AK48" s="153"/>
      <c r="AL48" s="139" t="s">
        <v>997</v>
      </c>
      <c r="AM48" s="139" t="s">
        <v>997</v>
      </c>
      <c r="AN48" s="139" t="s">
        <v>997</v>
      </c>
      <c r="AO48" s="139" t="s">
        <v>445</v>
      </c>
      <c r="AP48" s="139" t="s">
        <v>158</v>
      </c>
      <c r="AQ48" s="139" t="s">
        <v>158</v>
      </c>
      <c r="AR48" s="153"/>
      <c r="AS48" s="139" t="s">
        <v>370</v>
      </c>
      <c r="AT48" s="139" t="s">
        <v>370</v>
      </c>
      <c r="AU48" s="139" t="s">
        <v>445</v>
      </c>
      <c r="AV48" s="139" t="s">
        <v>445</v>
      </c>
      <c r="AW48" s="139" t="s">
        <v>1382</v>
      </c>
      <c r="AX48" s="139" t="s">
        <v>1382</v>
      </c>
    </row>
    <row r="49" spans="1:50" x14ac:dyDescent="0.3">
      <c r="A49" s="25" t="s">
        <v>1122</v>
      </c>
      <c r="B49" s="183"/>
      <c r="C49" s="8" t="s">
        <v>75</v>
      </c>
      <c r="D49" s="24" t="s">
        <v>158</v>
      </c>
      <c r="E49" s="24" t="s">
        <v>158</v>
      </c>
      <c r="F49" s="24" t="s">
        <v>158</v>
      </c>
      <c r="G49" s="210" t="s">
        <v>158</v>
      </c>
      <c r="H49" s="210" t="s">
        <v>158</v>
      </c>
      <c r="J49" s="8" t="s">
        <v>75</v>
      </c>
      <c r="K49" s="24" t="s">
        <v>158</v>
      </c>
      <c r="L49" s="24" t="s">
        <v>158</v>
      </c>
      <c r="M49" s="24" t="s">
        <v>158</v>
      </c>
      <c r="N49" s="24" t="s">
        <v>158</v>
      </c>
      <c r="O49" s="24" t="s">
        <v>158</v>
      </c>
      <c r="Q49" s="8" t="s">
        <v>75</v>
      </c>
      <c r="R49" s="24" t="s">
        <v>158</v>
      </c>
      <c r="S49" s="24" t="s">
        <v>158</v>
      </c>
      <c r="T49" s="24" t="s">
        <v>158</v>
      </c>
      <c r="U49" s="210" t="s">
        <v>158</v>
      </c>
      <c r="V49" s="210" t="s">
        <v>158</v>
      </c>
      <c r="X49" s="8" t="s">
        <v>75</v>
      </c>
      <c r="Y49" s="24" t="s">
        <v>158</v>
      </c>
      <c r="Z49" s="24" t="s">
        <v>158</v>
      </c>
      <c r="AA49" s="24" t="s">
        <v>158</v>
      </c>
      <c r="AB49" s="210" t="s">
        <v>158</v>
      </c>
      <c r="AC49" s="210" t="s">
        <v>158</v>
      </c>
      <c r="AE49" s="8" t="s">
        <v>75</v>
      </c>
      <c r="AF49" s="24" t="s">
        <v>158</v>
      </c>
      <c r="AG49" s="24" t="s">
        <v>158</v>
      </c>
      <c r="AH49" s="24" t="s">
        <v>158</v>
      </c>
      <c r="AI49" s="210" t="s">
        <v>158</v>
      </c>
      <c r="AJ49" s="210" t="s">
        <v>158</v>
      </c>
      <c r="AK49" s="153"/>
      <c r="AL49" s="8" t="s">
        <v>75</v>
      </c>
      <c r="AM49" s="211" t="s">
        <v>158</v>
      </c>
      <c r="AN49" s="211" t="s">
        <v>158</v>
      </c>
      <c r="AO49" s="211" t="s">
        <v>158</v>
      </c>
      <c r="AP49" s="211" t="s">
        <v>158</v>
      </c>
      <c r="AQ49" s="211" t="s">
        <v>158</v>
      </c>
      <c r="AR49" s="153"/>
      <c r="AS49" s="139" t="s">
        <v>370</v>
      </c>
      <c r="AT49" s="139" t="s">
        <v>370</v>
      </c>
      <c r="AU49" s="139" t="s">
        <v>445</v>
      </c>
      <c r="AV49" s="139" t="s">
        <v>158</v>
      </c>
      <c r="AW49" s="139" t="s">
        <v>158</v>
      </c>
      <c r="AX49" s="139" t="s">
        <v>158</v>
      </c>
    </row>
    <row r="50" spans="1:50" x14ac:dyDescent="0.3">
      <c r="A50" s="25"/>
      <c r="B50" s="183"/>
      <c r="C50" s="24"/>
      <c r="D50" s="24"/>
      <c r="E50" s="24"/>
      <c r="F50" s="24"/>
      <c r="G50" s="24"/>
      <c r="H50" s="24"/>
      <c r="J50" s="24"/>
      <c r="K50" s="24"/>
      <c r="L50" s="24"/>
      <c r="M50" s="24"/>
      <c r="N50" s="24"/>
      <c r="O50" s="24"/>
      <c r="Q50" s="24"/>
      <c r="R50" s="24"/>
      <c r="S50" s="24"/>
      <c r="T50" s="24"/>
      <c r="U50" s="24"/>
      <c r="V50" s="24"/>
      <c r="X50" s="24"/>
      <c r="Y50" s="24"/>
      <c r="Z50" s="24"/>
      <c r="AA50" s="24"/>
      <c r="AB50" s="24"/>
      <c r="AC50" s="24"/>
      <c r="AE50" s="24"/>
      <c r="AF50" s="24"/>
      <c r="AG50" s="24"/>
      <c r="AH50" s="24"/>
      <c r="AI50" s="24"/>
      <c r="AJ50" s="24"/>
    </row>
    <row r="51" spans="1:50" s="17" customFormat="1" x14ac:dyDescent="0.3">
      <c r="A51" s="22" t="s">
        <v>1124</v>
      </c>
      <c r="B51" s="181"/>
    </row>
    <row r="52" spans="1:50" x14ac:dyDescent="0.3">
      <c r="A52" s="19" t="s">
        <v>983</v>
      </c>
      <c r="B52" s="19"/>
      <c r="C52" s="34" t="s">
        <v>985</v>
      </c>
      <c r="D52" s="34" t="s">
        <v>986</v>
      </c>
      <c r="E52" s="34" t="s">
        <v>987</v>
      </c>
      <c r="F52" s="34" t="s">
        <v>988</v>
      </c>
      <c r="G52" s="34" t="s">
        <v>989</v>
      </c>
      <c r="H52" s="34" t="s">
        <v>990</v>
      </c>
      <c r="I52" s="14"/>
      <c r="J52" s="34" t="s">
        <v>985</v>
      </c>
      <c r="K52" s="34" t="s">
        <v>986</v>
      </c>
      <c r="L52" s="34" t="s">
        <v>987</v>
      </c>
      <c r="M52" s="34" t="s">
        <v>988</v>
      </c>
      <c r="N52" s="34" t="s">
        <v>989</v>
      </c>
      <c r="O52" s="34" t="s">
        <v>990</v>
      </c>
      <c r="P52" s="14"/>
      <c r="Q52" s="34" t="s">
        <v>985</v>
      </c>
      <c r="R52" s="34" t="s">
        <v>986</v>
      </c>
      <c r="S52" s="34" t="s">
        <v>987</v>
      </c>
      <c r="T52" s="34" t="s">
        <v>988</v>
      </c>
      <c r="U52" s="34" t="s">
        <v>989</v>
      </c>
      <c r="V52" s="34" t="s">
        <v>990</v>
      </c>
      <c r="W52" s="14" t="s">
        <v>158</v>
      </c>
      <c r="X52" s="34" t="s">
        <v>985</v>
      </c>
      <c r="Y52" s="34" t="s">
        <v>986</v>
      </c>
      <c r="Z52" s="34" t="s">
        <v>987</v>
      </c>
      <c r="AA52" s="34" t="s">
        <v>988</v>
      </c>
      <c r="AB52" s="34" t="s">
        <v>989</v>
      </c>
      <c r="AC52" s="34" t="s">
        <v>990</v>
      </c>
      <c r="AD52" s="14"/>
      <c r="AE52" s="34" t="s">
        <v>985</v>
      </c>
      <c r="AF52" s="34" t="s">
        <v>986</v>
      </c>
      <c r="AG52" s="34" t="s">
        <v>987</v>
      </c>
      <c r="AH52" s="34" t="s">
        <v>988</v>
      </c>
      <c r="AI52" s="34" t="s">
        <v>989</v>
      </c>
      <c r="AJ52" s="34" t="s">
        <v>990</v>
      </c>
      <c r="AL52" s="156" t="s">
        <v>985</v>
      </c>
      <c r="AM52" s="156" t="s">
        <v>986</v>
      </c>
      <c r="AN52" s="156" t="s">
        <v>987</v>
      </c>
      <c r="AO52" s="156" t="s">
        <v>988</v>
      </c>
      <c r="AP52" s="156" t="s">
        <v>989</v>
      </c>
      <c r="AQ52" s="156" t="s">
        <v>990</v>
      </c>
      <c r="AS52" s="209" t="s">
        <v>985</v>
      </c>
      <c r="AT52" s="209" t="s">
        <v>986</v>
      </c>
      <c r="AU52" s="209" t="s">
        <v>987</v>
      </c>
      <c r="AV52" s="209" t="s">
        <v>988</v>
      </c>
      <c r="AW52" s="209" t="s">
        <v>989</v>
      </c>
      <c r="AX52" s="209" t="s">
        <v>990</v>
      </c>
    </row>
    <row r="53" spans="1:50" ht="12" x14ac:dyDescent="0.3">
      <c r="A53" s="20" t="s">
        <v>1125</v>
      </c>
      <c r="B53" s="20"/>
      <c r="C53" s="8" t="s">
        <v>445</v>
      </c>
      <c r="D53" s="8" t="s">
        <v>445</v>
      </c>
      <c r="E53" s="8" t="s">
        <v>445</v>
      </c>
      <c r="F53" s="27" t="s">
        <v>158</v>
      </c>
      <c r="G53" s="27" t="s">
        <v>158</v>
      </c>
      <c r="H53" s="27" t="s">
        <v>158</v>
      </c>
      <c r="I53" s="15"/>
      <c r="J53" s="8" t="s">
        <v>445</v>
      </c>
      <c r="K53" s="8" t="s">
        <v>445</v>
      </c>
      <c r="L53" s="8" t="s">
        <v>445</v>
      </c>
      <c r="M53" s="8" t="s">
        <v>997</v>
      </c>
      <c r="N53" s="27" t="s">
        <v>158</v>
      </c>
      <c r="O53" s="27" t="s">
        <v>158</v>
      </c>
      <c r="P53" s="15"/>
      <c r="Q53" s="8" t="s">
        <v>445</v>
      </c>
      <c r="R53" s="8" t="s">
        <v>445</v>
      </c>
      <c r="S53" s="8" t="s">
        <v>445</v>
      </c>
      <c r="T53" s="8" t="s">
        <v>997</v>
      </c>
      <c r="U53" s="27" t="s">
        <v>158</v>
      </c>
      <c r="V53" s="27" t="s">
        <v>158</v>
      </c>
      <c r="W53" s="15" t="s">
        <v>158</v>
      </c>
      <c r="X53" s="8" t="s">
        <v>445</v>
      </c>
      <c r="Y53" s="8" t="s">
        <v>445</v>
      </c>
      <c r="Z53" s="8" t="s">
        <v>445</v>
      </c>
      <c r="AA53" s="8" t="s">
        <v>997</v>
      </c>
      <c r="AB53" s="27" t="s">
        <v>158</v>
      </c>
      <c r="AC53" s="27" t="s">
        <v>158</v>
      </c>
      <c r="AD53" s="15"/>
      <c r="AE53" s="8" t="s">
        <v>445</v>
      </c>
      <c r="AF53" s="8" t="s">
        <v>445</v>
      </c>
      <c r="AG53" s="8" t="s">
        <v>445</v>
      </c>
      <c r="AH53" s="8" t="s">
        <v>997</v>
      </c>
      <c r="AI53" s="27" t="s">
        <v>158</v>
      </c>
      <c r="AJ53" s="27" t="s">
        <v>158</v>
      </c>
      <c r="AK53" s="153"/>
      <c r="AL53" s="171" t="s">
        <v>445</v>
      </c>
      <c r="AM53" s="171" t="s">
        <v>445</v>
      </c>
      <c r="AN53" s="171" t="s">
        <v>445</v>
      </c>
      <c r="AO53" s="171" t="s">
        <v>997</v>
      </c>
      <c r="AP53" s="171">
        <v>0</v>
      </c>
      <c r="AQ53" s="171">
        <v>0</v>
      </c>
      <c r="AR53" s="153"/>
      <c r="AS53" s="171" t="s">
        <v>370</v>
      </c>
      <c r="AT53" s="171" t="s">
        <v>370</v>
      </c>
      <c r="AU53" s="171" t="s">
        <v>158</v>
      </c>
      <c r="AV53" s="171" t="s">
        <v>445</v>
      </c>
      <c r="AW53" s="171" t="s">
        <v>1382</v>
      </c>
      <c r="AX53" s="171" t="s">
        <v>1382</v>
      </c>
    </row>
    <row r="54" spans="1:50" ht="12" x14ac:dyDescent="0.3">
      <c r="A54" s="20" t="s">
        <v>1129</v>
      </c>
      <c r="B54" s="20"/>
      <c r="C54" s="8" t="s">
        <v>445</v>
      </c>
      <c r="D54" s="8" t="s">
        <v>445</v>
      </c>
      <c r="E54" s="8" t="s">
        <v>445</v>
      </c>
      <c r="F54" s="27" t="s">
        <v>158</v>
      </c>
      <c r="G54" s="27" t="s">
        <v>158</v>
      </c>
      <c r="H54" s="27" t="s">
        <v>158</v>
      </c>
      <c r="I54" s="15"/>
      <c r="J54" s="8" t="s">
        <v>445</v>
      </c>
      <c r="K54" s="8" t="s">
        <v>445</v>
      </c>
      <c r="L54" s="8" t="s">
        <v>445</v>
      </c>
      <c r="M54" s="8" t="s">
        <v>997</v>
      </c>
      <c r="N54" s="27" t="s">
        <v>158</v>
      </c>
      <c r="O54" s="27" t="s">
        <v>158</v>
      </c>
      <c r="P54" s="15"/>
      <c r="Q54" s="8" t="s">
        <v>445</v>
      </c>
      <c r="R54" s="8" t="s">
        <v>445</v>
      </c>
      <c r="S54" s="8" t="s">
        <v>445</v>
      </c>
      <c r="T54" s="8" t="s">
        <v>997</v>
      </c>
      <c r="U54" s="27" t="s">
        <v>158</v>
      </c>
      <c r="V54" s="27" t="s">
        <v>158</v>
      </c>
      <c r="W54" s="15" t="s">
        <v>158</v>
      </c>
      <c r="X54" s="8" t="s">
        <v>445</v>
      </c>
      <c r="Y54" s="8" t="s">
        <v>445</v>
      </c>
      <c r="Z54" s="8" t="s">
        <v>445</v>
      </c>
      <c r="AA54" s="8" t="s">
        <v>997</v>
      </c>
      <c r="AB54" s="27" t="s">
        <v>158</v>
      </c>
      <c r="AC54" s="27" t="s">
        <v>158</v>
      </c>
      <c r="AD54" s="15"/>
      <c r="AE54" s="8" t="s">
        <v>445</v>
      </c>
      <c r="AF54" s="8" t="s">
        <v>445</v>
      </c>
      <c r="AG54" s="8" t="s">
        <v>445</v>
      </c>
      <c r="AH54" s="8" t="s">
        <v>997</v>
      </c>
      <c r="AI54" s="27" t="s">
        <v>158</v>
      </c>
      <c r="AJ54" s="27" t="s">
        <v>158</v>
      </c>
      <c r="AK54" s="153"/>
      <c r="AL54" s="171" t="s">
        <v>445</v>
      </c>
      <c r="AM54" s="171" t="s">
        <v>445</v>
      </c>
      <c r="AN54" s="171" t="s">
        <v>445</v>
      </c>
      <c r="AO54" s="171" t="s">
        <v>997</v>
      </c>
      <c r="AP54" s="171">
        <v>0</v>
      </c>
      <c r="AQ54" s="171">
        <v>0</v>
      </c>
      <c r="AR54" s="153"/>
      <c r="AS54" s="171" t="s">
        <v>370</v>
      </c>
      <c r="AT54" s="171" t="s">
        <v>370</v>
      </c>
      <c r="AU54" s="171" t="s">
        <v>445</v>
      </c>
      <c r="AV54" s="171" t="s">
        <v>158</v>
      </c>
      <c r="AW54" s="171" t="s">
        <v>1382</v>
      </c>
      <c r="AX54" s="171" t="s">
        <v>1382</v>
      </c>
    </row>
    <row r="55" spans="1:50" ht="12" x14ac:dyDescent="0.3">
      <c r="A55" s="20" t="s">
        <v>1132</v>
      </c>
      <c r="B55" s="20"/>
      <c r="C55" s="8" t="s">
        <v>445</v>
      </c>
      <c r="D55" s="8" t="s">
        <v>445</v>
      </c>
      <c r="E55" s="8" t="s">
        <v>445</v>
      </c>
      <c r="F55" s="27" t="s">
        <v>158</v>
      </c>
      <c r="G55" s="27" t="s">
        <v>158</v>
      </c>
      <c r="H55" s="27" t="s">
        <v>158</v>
      </c>
      <c r="I55" s="15"/>
      <c r="J55" s="8" t="s">
        <v>1383</v>
      </c>
      <c r="K55" s="8" t="s">
        <v>1383</v>
      </c>
      <c r="L55" s="8" t="s">
        <v>1383</v>
      </c>
      <c r="M55" s="8" t="s">
        <v>1383</v>
      </c>
      <c r="N55" s="8" t="s">
        <v>1383</v>
      </c>
      <c r="O55" s="8" t="s">
        <v>1383</v>
      </c>
      <c r="P55" s="15"/>
      <c r="Q55" s="8" t="s">
        <v>445</v>
      </c>
      <c r="R55" s="8" t="s">
        <v>445</v>
      </c>
      <c r="S55" s="8" t="s">
        <v>445</v>
      </c>
      <c r="T55" s="8" t="s">
        <v>997</v>
      </c>
      <c r="U55" s="27" t="s">
        <v>158</v>
      </c>
      <c r="V55" s="27" t="s">
        <v>158</v>
      </c>
      <c r="W55" s="15" t="s">
        <v>158</v>
      </c>
      <c r="X55" s="8" t="s">
        <v>445</v>
      </c>
      <c r="Y55" s="8" t="s">
        <v>445</v>
      </c>
      <c r="Z55" s="8" t="s">
        <v>445</v>
      </c>
      <c r="AA55" s="8" t="s">
        <v>997</v>
      </c>
      <c r="AB55" s="27" t="s">
        <v>158</v>
      </c>
      <c r="AC55" s="27" t="s">
        <v>158</v>
      </c>
      <c r="AD55" s="15"/>
      <c r="AE55" s="8" t="s">
        <v>445</v>
      </c>
      <c r="AF55" s="8" t="s">
        <v>445</v>
      </c>
      <c r="AG55" s="8" t="s">
        <v>445</v>
      </c>
      <c r="AH55" s="8" t="s">
        <v>997</v>
      </c>
      <c r="AI55" s="27" t="s">
        <v>158</v>
      </c>
      <c r="AJ55" s="27" t="s">
        <v>158</v>
      </c>
      <c r="AK55" s="153"/>
      <c r="AL55" s="171" t="s">
        <v>1383</v>
      </c>
      <c r="AM55" s="171" t="s">
        <v>1383</v>
      </c>
      <c r="AN55" s="171" t="s">
        <v>1383</v>
      </c>
      <c r="AO55" s="171" t="s">
        <v>1383</v>
      </c>
      <c r="AP55" s="171" t="s">
        <v>1383</v>
      </c>
      <c r="AQ55" s="171" t="s">
        <v>1383</v>
      </c>
      <c r="AR55" s="153"/>
      <c r="AS55" s="171" t="s">
        <v>445</v>
      </c>
      <c r="AT55" s="171" t="s">
        <v>445</v>
      </c>
      <c r="AU55" s="171" t="s">
        <v>445</v>
      </c>
      <c r="AV55" s="171" t="s">
        <v>370</v>
      </c>
      <c r="AW55" s="171" t="s">
        <v>1382</v>
      </c>
      <c r="AX55" s="171" t="s">
        <v>1382</v>
      </c>
    </row>
    <row r="56" spans="1:50" ht="12" x14ac:dyDescent="0.3">
      <c r="A56" s="20" t="s">
        <v>1135</v>
      </c>
      <c r="B56" s="20"/>
      <c r="C56" s="8" t="s">
        <v>445</v>
      </c>
      <c r="D56" s="8" t="s">
        <v>445</v>
      </c>
      <c r="E56" s="8" t="s">
        <v>445</v>
      </c>
      <c r="F56" s="27" t="s">
        <v>158</v>
      </c>
      <c r="G56" s="27" t="s">
        <v>158</v>
      </c>
      <c r="H56" s="27" t="s">
        <v>158</v>
      </c>
      <c r="I56" s="15"/>
      <c r="J56" s="8" t="s">
        <v>445</v>
      </c>
      <c r="K56" s="8" t="s">
        <v>445</v>
      </c>
      <c r="L56" s="8" t="s">
        <v>445</v>
      </c>
      <c r="M56" s="8" t="s">
        <v>997</v>
      </c>
      <c r="N56" s="27" t="s">
        <v>158</v>
      </c>
      <c r="O56" s="27" t="s">
        <v>158</v>
      </c>
      <c r="P56" s="15"/>
      <c r="Q56" s="8" t="s">
        <v>445</v>
      </c>
      <c r="R56" s="8" t="s">
        <v>445</v>
      </c>
      <c r="S56" s="8" t="s">
        <v>445</v>
      </c>
      <c r="T56" s="8" t="s">
        <v>997</v>
      </c>
      <c r="U56" s="27" t="s">
        <v>158</v>
      </c>
      <c r="V56" s="27" t="s">
        <v>158</v>
      </c>
      <c r="W56" s="15" t="s">
        <v>158</v>
      </c>
      <c r="X56" s="8" t="s">
        <v>445</v>
      </c>
      <c r="Y56" s="8" t="s">
        <v>445</v>
      </c>
      <c r="Z56" s="8" t="s">
        <v>445</v>
      </c>
      <c r="AA56" s="8" t="s">
        <v>997</v>
      </c>
      <c r="AB56" s="27" t="s">
        <v>158</v>
      </c>
      <c r="AC56" s="27" t="s">
        <v>158</v>
      </c>
      <c r="AD56" s="15"/>
      <c r="AE56" s="8" t="s">
        <v>445</v>
      </c>
      <c r="AF56" s="8" t="s">
        <v>445</v>
      </c>
      <c r="AG56" s="8" t="s">
        <v>445</v>
      </c>
      <c r="AH56" s="8" t="s">
        <v>997</v>
      </c>
      <c r="AI56" s="27" t="s">
        <v>158</v>
      </c>
      <c r="AJ56" s="27" t="s">
        <v>158</v>
      </c>
      <c r="AK56" s="153"/>
      <c r="AL56" s="171" t="s">
        <v>445</v>
      </c>
      <c r="AM56" s="171" t="s">
        <v>445</v>
      </c>
      <c r="AN56" s="171" t="s">
        <v>445</v>
      </c>
      <c r="AO56" s="171" t="s">
        <v>997</v>
      </c>
      <c r="AP56" s="171">
        <v>0</v>
      </c>
      <c r="AQ56" s="171">
        <v>0</v>
      </c>
      <c r="AR56" s="153"/>
      <c r="AS56" s="171" t="s">
        <v>370</v>
      </c>
      <c r="AT56" s="171" t="s">
        <v>370</v>
      </c>
      <c r="AU56" s="171" t="s">
        <v>445</v>
      </c>
      <c r="AV56" s="171" t="s">
        <v>1382</v>
      </c>
      <c r="AW56" s="171" t="s">
        <v>1382</v>
      </c>
      <c r="AX56" s="171" t="s">
        <v>1382</v>
      </c>
    </row>
    <row r="57" spans="1:50" ht="12" x14ac:dyDescent="0.3">
      <c r="A57" s="20" t="s">
        <v>1138</v>
      </c>
      <c r="B57" s="20"/>
      <c r="C57" s="8" t="s">
        <v>445</v>
      </c>
      <c r="D57" s="8" t="s">
        <v>445</v>
      </c>
      <c r="E57" s="8" t="s">
        <v>445</v>
      </c>
      <c r="F57" s="27" t="s">
        <v>158</v>
      </c>
      <c r="G57" s="27" t="s">
        <v>158</v>
      </c>
      <c r="H57" s="27" t="s">
        <v>158</v>
      </c>
      <c r="I57" s="15"/>
      <c r="J57" s="8" t="s">
        <v>445</v>
      </c>
      <c r="K57" s="8" t="s">
        <v>445</v>
      </c>
      <c r="L57" s="8" t="s">
        <v>445</v>
      </c>
      <c r="M57" s="8" t="s">
        <v>997</v>
      </c>
      <c r="N57" s="27" t="s">
        <v>158</v>
      </c>
      <c r="O57" s="8" t="s">
        <v>997</v>
      </c>
      <c r="P57" s="15"/>
      <c r="Q57" s="8" t="s">
        <v>445</v>
      </c>
      <c r="R57" s="8" t="s">
        <v>445</v>
      </c>
      <c r="S57" s="8" t="s">
        <v>445</v>
      </c>
      <c r="T57" s="8" t="s">
        <v>997</v>
      </c>
      <c r="U57" s="27" t="s">
        <v>158</v>
      </c>
      <c r="V57" s="8" t="s">
        <v>997</v>
      </c>
      <c r="W57" s="15" t="s">
        <v>158</v>
      </c>
      <c r="X57" s="8" t="s">
        <v>445</v>
      </c>
      <c r="Y57" s="8" t="s">
        <v>445</v>
      </c>
      <c r="Z57" s="8" t="s">
        <v>445</v>
      </c>
      <c r="AA57" s="8" t="s">
        <v>997</v>
      </c>
      <c r="AB57" s="27" t="s">
        <v>158</v>
      </c>
      <c r="AC57" s="8" t="s">
        <v>997</v>
      </c>
      <c r="AD57" s="15"/>
      <c r="AE57" s="8" t="s">
        <v>445</v>
      </c>
      <c r="AF57" s="8" t="s">
        <v>445</v>
      </c>
      <c r="AG57" s="8" t="s">
        <v>445</v>
      </c>
      <c r="AH57" s="8" t="s">
        <v>997</v>
      </c>
      <c r="AI57" s="27" t="s">
        <v>158</v>
      </c>
      <c r="AJ57" s="8" t="s">
        <v>997</v>
      </c>
      <c r="AL57" s="171" t="s">
        <v>445</v>
      </c>
      <c r="AM57" s="171" t="s">
        <v>445</v>
      </c>
      <c r="AN57" s="171" t="s">
        <v>445</v>
      </c>
      <c r="AO57" s="171" t="s">
        <v>997</v>
      </c>
      <c r="AP57" s="171">
        <v>0</v>
      </c>
      <c r="AQ57" s="171" t="s">
        <v>997</v>
      </c>
      <c r="AS57" s="171" t="s">
        <v>370</v>
      </c>
      <c r="AT57" s="171" t="s">
        <v>370</v>
      </c>
      <c r="AU57" s="171" t="s">
        <v>158</v>
      </c>
      <c r="AV57" s="171" t="s">
        <v>445</v>
      </c>
      <c r="AW57" s="171" t="s">
        <v>1382</v>
      </c>
      <c r="AX57" s="171" t="s">
        <v>1382</v>
      </c>
    </row>
    <row r="58" spans="1:50" ht="12" x14ac:dyDescent="0.3">
      <c r="A58" s="20" t="s">
        <v>1141</v>
      </c>
      <c r="B58" s="20"/>
      <c r="C58" s="8" t="s">
        <v>445</v>
      </c>
      <c r="D58" s="8" t="s">
        <v>445</v>
      </c>
      <c r="E58" s="8" t="s">
        <v>445</v>
      </c>
      <c r="F58" s="27" t="s">
        <v>158</v>
      </c>
      <c r="G58" s="27" t="s">
        <v>158</v>
      </c>
      <c r="H58" s="27" t="s">
        <v>158</v>
      </c>
      <c r="I58" s="15"/>
      <c r="J58" s="8" t="s">
        <v>445</v>
      </c>
      <c r="K58" s="8" t="s">
        <v>445</v>
      </c>
      <c r="L58" s="8" t="s">
        <v>445</v>
      </c>
      <c r="M58" s="8" t="s">
        <v>997</v>
      </c>
      <c r="N58" s="27" t="s">
        <v>158</v>
      </c>
      <c r="O58" s="8" t="s">
        <v>997</v>
      </c>
      <c r="P58" s="15"/>
      <c r="Q58" s="8" t="s">
        <v>445</v>
      </c>
      <c r="R58" s="8" t="s">
        <v>445</v>
      </c>
      <c r="S58" s="8" t="s">
        <v>445</v>
      </c>
      <c r="T58" s="8" t="s">
        <v>997</v>
      </c>
      <c r="U58" s="27" t="s">
        <v>158</v>
      </c>
      <c r="V58" s="8" t="s">
        <v>997</v>
      </c>
      <c r="W58" s="15" t="s">
        <v>158</v>
      </c>
      <c r="X58" s="8" t="s">
        <v>445</v>
      </c>
      <c r="Y58" s="8" t="s">
        <v>445</v>
      </c>
      <c r="Z58" s="8" t="s">
        <v>445</v>
      </c>
      <c r="AA58" s="8" t="s">
        <v>997</v>
      </c>
      <c r="AB58" s="27" t="s">
        <v>158</v>
      </c>
      <c r="AC58" s="8" t="s">
        <v>997</v>
      </c>
      <c r="AD58" s="15"/>
      <c r="AE58" s="8" t="s">
        <v>445</v>
      </c>
      <c r="AF58" s="8" t="s">
        <v>445</v>
      </c>
      <c r="AG58" s="8" t="s">
        <v>445</v>
      </c>
      <c r="AH58" s="8" t="s">
        <v>997</v>
      </c>
      <c r="AI58" s="27" t="s">
        <v>158</v>
      </c>
      <c r="AJ58" s="8" t="s">
        <v>997</v>
      </c>
      <c r="AL58" s="171" t="s">
        <v>445</v>
      </c>
      <c r="AM58" s="171" t="s">
        <v>445</v>
      </c>
      <c r="AN58" s="171" t="s">
        <v>445</v>
      </c>
      <c r="AO58" s="171" t="s">
        <v>997</v>
      </c>
      <c r="AP58" s="171">
        <v>0</v>
      </c>
      <c r="AQ58" s="171" t="s">
        <v>997</v>
      </c>
      <c r="AS58" s="171" t="s">
        <v>370</v>
      </c>
      <c r="AT58" s="171" t="s">
        <v>370</v>
      </c>
      <c r="AU58" s="171" t="s">
        <v>158</v>
      </c>
      <c r="AV58" s="171" t="s">
        <v>445</v>
      </c>
      <c r="AW58" s="171" t="s">
        <v>1382</v>
      </c>
      <c r="AX58" s="171" t="s">
        <v>1382</v>
      </c>
    </row>
    <row r="59" spans="1:50" ht="24" x14ac:dyDescent="0.3">
      <c r="A59" s="20" t="s">
        <v>1143</v>
      </c>
      <c r="B59" s="20"/>
      <c r="C59" s="8" t="s">
        <v>445</v>
      </c>
      <c r="D59" s="8" t="s">
        <v>445</v>
      </c>
      <c r="E59" s="8" t="s">
        <v>445</v>
      </c>
      <c r="F59" s="27" t="s">
        <v>158</v>
      </c>
      <c r="G59" s="27" t="s">
        <v>158</v>
      </c>
      <c r="H59" s="27" t="s">
        <v>158</v>
      </c>
      <c r="I59" s="15"/>
      <c r="J59" s="8" t="s">
        <v>1383</v>
      </c>
      <c r="K59" s="8" t="s">
        <v>1383</v>
      </c>
      <c r="L59" s="8" t="s">
        <v>1383</v>
      </c>
      <c r="M59" s="8" t="s">
        <v>1383</v>
      </c>
      <c r="N59" s="8" t="s">
        <v>1383</v>
      </c>
      <c r="O59" s="8" t="s">
        <v>1383</v>
      </c>
      <c r="P59" s="15"/>
      <c r="Q59" s="8" t="s">
        <v>445</v>
      </c>
      <c r="R59" s="8" t="s">
        <v>445</v>
      </c>
      <c r="S59" s="8" t="s">
        <v>445</v>
      </c>
      <c r="T59" s="8" t="s">
        <v>997</v>
      </c>
      <c r="U59" s="27" t="s">
        <v>158</v>
      </c>
      <c r="V59" s="27" t="s">
        <v>158</v>
      </c>
      <c r="W59" s="15" t="s">
        <v>158</v>
      </c>
      <c r="X59" s="8" t="s">
        <v>445</v>
      </c>
      <c r="Y59" s="8" t="s">
        <v>445</v>
      </c>
      <c r="Z59" s="8" t="s">
        <v>445</v>
      </c>
      <c r="AA59" s="8" t="s">
        <v>997</v>
      </c>
      <c r="AB59" s="27" t="s">
        <v>158</v>
      </c>
      <c r="AC59" s="27" t="s">
        <v>158</v>
      </c>
      <c r="AD59" s="15"/>
      <c r="AE59" s="8" t="s">
        <v>445</v>
      </c>
      <c r="AF59" s="8" t="s">
        <v>445</v>
      </c>
      <c r="AG59" s="8" t="s">
        <v>445</v>
      </c>
      <c r="AH59" s="8" t="s">
        <v>997</v>
      </c>
      <c r="AI59" s="27" t="s">
        <v>158</v>
      </c>
      <c r="AJ59" s="27" t="s">
        <v>158</v>
      </c>
      <c r="AK59" s="153"/>
      <c r="AL59" s="169" t="s">
        <v>997</v>
      </c>
      <c r="AM59" s="169" t="s">
        <v>997</v>
      </c>
      <c r="AN59" s="169" t="s">
        <v>997</v>
      </c>
      <c r="AO59" s="169" t="s">
        <v>445</v>
      </c>
      <c r="AP59" s="169" t="s">
        <v>445</v>
      </c>
      <c r="AQ59" s="169" t="s">
        <v>445</v>
      </c>
      <c r="AR59" s="153"/>
      <c r="AS59" s="169" t="s">
        <v>1385</v>
      </c>
      <c r="AT59" s="169" t="s">
        <v>1385</v>
      </c>
      <c r="AU59" s="169" t="s">
        <v>1385</v>
      </c>
      <c r="AV59" s="169" t="s">
        <v>1385</v>
      </c>
      <c r="AW59" s="169" t="s">
        <v>1385</v>
      </c>
      <c r="AX59" s="169" t="s">
        <v>1385</v>
      </c>
    </row>
    <row r="60" spans="1:50" ht="12" x14ac:dyDescent="0.3">
      <c r="A60" s="20" t="s">
        <v>1145</v>
      </c>
      <c r="B60" s="20"/>
      <c r="C60" s="8" t="s">
        <v>445</v>
      </c>
      <c r="D60" s="8" t="s">
        <v>445</v>
      </c>
      <c r="E60" s="8" t="s">
        <v>445</v>
      </c>
      <c r="F60" s="27" t="s">
        <v>158</v>
      </c>
      <c r="G60" s="27" t="s">
        <v>158</v>
      </c>
      <c r="H60" s="27" t="s">
        <v>158</v>
      </c>
      <c r="I60" s="15"/>
      <c r="J60" s="8" t="s">
        <v>997</v>
      </c>
      <c r="K60" s="8" t="s">
        <v>997</v>
      </c>
      <c r="L60" s="8" t="s">
        <v>997</v>
      </c>
      <c r="M60" s="8" t="s">
        <v>445</v>
      </c>
      <c r="N60" s="27" t="s">
        <v>158</v>
      </c>
      <c r="O60" s="27" t="s">
        <v>158</v>
      </c>
      <c r="P60" s="15"/>
      <c r="Q60" s="8" t="s">
        <v>997</v>
      </c>
      <c r="R60" s="8" t="s">
        <v>997</v>
      </c>
      <c r="S60" s="27" t="s">
        <v>158</v>
      </c>
      <c r="T60" s="8" t="s">
        <v>445</v>
      </c>
      <c r="U60" s="27" t="s">
        <v>158</v>
      </c>
      <c r="V60" s="27" t="s">
        <v>158</v>
      </c>
      <c r="W60" s="15" t="s">
        <v>158</v>
      </c>
      <c r="X60" s="8" t="s">
        <v>997</v>
      </c>
      <c r="Y60" s="8" t="s">
        <v>997</v>
      </c>
      <c r="Z60" s="27" t="s">
        <v>158</v>
      </c>
      <c r="AA60" s="8" t="s">
        <v>445</v>
      </c>
      <c r="AB60" s="27" t="s">
        <v>158</v>
      </c>
      <c r="AC60" s="27" t="s">
        <v>158</v>
      </c>
      <c r="AD60" s="15"/>
      <c r="AE60" s="8" t="s">
        <v>997</v>
      </c>
      <c r="AF60" s="8" t="s">
        <v>997</v>
      </c>
      <c r="AG60" s="27" t="s">
        <v>158</v>
      </c>
      <c r="AH60" s="8" t="s">
        <v>445</v>
      </c>
      <c r="AI60" s="27" t="s">
        <v>158</v>
      </c>
      <c r="AJ60" s="27" t="s">
        <v>158</v>
      </c>
      <c r="AK60" s="153"/>
      <c r="AL60" s="171" t="s">
        <v>997</v>
      </c>
      <c r="AM60" s="171" t="s">
        <v>997</v>
      </c>
      <c r="AN60" s="171" t="s">
        <v>997</v>
      </c>
      <c r="AO60" s="171" t="s">
        <v>445</v>
      </c>
      <c r="AP60" s="171">
        <v>0</v>
      </c>
      <c r="AQ60" s="171">
        <v>0</v>
      </c>
      <c r="AR60" s="153"/>
      <c r="AS60" s="171" t="s">
        <v>445</v>
      </c>
      <c r="AT60" s="171" t="s">
        <v>445</v>
      </c>
      <c r="AU60" s="171" t="s">
        <v>158</v>
      </c>
      <c r="AV60" s="171" t="s">
        <v>158</v>
      </c>
      <c r="AW60" s="171" t="s">
        <v>370</v>
      </c>
      <c r="AX60" s="171" t="s">
        <v>158</v>
      </c>
    </row>
    <row r="61" spans="1:50" ht="12" x14ac:dyDescent="0.3">
      <c r="A61" s="20" t="s">
        <v>1148</v>
      </c>
      <c r="B61" s="20"/>
      <c r="C61" s="8" t="s">
        <v>445</v>
      </c>
      <c r="D61" s="8" t="s">
        <v>445</v>
      </c>
      <c r="E61" s="8" t="s">
        <v>445</v>
      </c>
      <c r="F61" s="27" t="s">
        <v>158</v>
      </c>
      <c r="G61" s="27" t="s">
        <v>158</v>
      </c>
      <c r="H61" s="27" t="s">
        <v>158</v>
      </c>
      <c r="I61" s="15"/>
      <c r="J61" s="8" t="s">
        <v>997</v>
      </c>
      <c r="K61" s="8" t="s">
        <v>997</v>
      </c>
      <c r="L61" s="8" t="s">
        <v>997</v>
      </c>
      <c r="M61" s="27" t="s">
        <v>158</v>
      </c>
      <c r="N61" s="8" t="s">
        <v>445</v>
      </c>
      <c r="O61" s="27" t="s">
        <v>158</v>
      </c>
      <c r="P61" s="15"/>
      <c r="Q61" s="8" t="s">
        <v>445</v>
      </c>
      <c r="R61" s="8" t="s">
        <v>997</v>
      </c>
      <c r="S61" s="8" t="s">
        <v>445</v>
      </c>
      <c r="T61" s="27" t="s">
        <v>158</v>
      </c>
      <c r="U61" s="27" t="s">
        <v>158</v>
      </c>
      <c r="V61" s="27" t="s">
        <v>158</v>
      </c>
      <c r="W61" s="15" t="s">
        <v>158</v>
      </c>
      <c r="X61" s="8" t="s">
        <v>445</v>
      </c>
      <c r="Y61" s="8" t="s">
        <v>997</v>
      </c>
      <c r="Z61" s="8" t="s">
        <v>445</v>
      </c>
      <c r="AA61" s="27" t="s">
        <v>158</v>
      </c>
      <c r="AB61" s="27" t="s">
        <v>158</v>
      </c>
      <c r="AC61" s="27" t="s">
        <v>158</v>
      </c>
      <c r="AD61" s="15"/>
      <c r="AE61" s="8" t="s">
        <v>445</v>
      </c>
      <c r="AF61" s="8" t="s">
        <v>997</v>
      </c>
      <c r="AG61" s="8" t="s">
        <v>445</v>
      </c>
      <c r="AH61" s="27" t="s">
        <v>158</v>
      </c>
      <c r="AI61" s="27" t="s">
        <v>158</v>
      </c>
      <c r="AJ61" s="27" t="s">
        <v>158</v>
      </c>
      <c r="AK61" s="153"/>
      <c r="AL61" s="171" t="s">
        <v>997</v>
      </c>
      <c r="AM61" s="171" t="s">
        <v>997</v>
      </c>
      <c r="AN61" s="171" t="s">
        <v>997</v>
      </c>
      <c r="AO61" s="171">
        <v>0</v>
      </c>
      <c r="AP61" s="171" t="s">
        <v>445</v>
      </c>
      <c r="AQ61" s="171">
        <v>0</v>
      </c>
      <c r="AR61" s="153"/>
      <c r="AS61" s="171" t="s">
        <v>445</v>
      </c>
      <c r="AT61" s="171" t="s">
        <v>445</v>
      </c>
      <c r="AU61" s="171" t="s">
        <v>158</v>
      </c>
      <c r="AV61" s="171" t="s">
        <v>370</v>
      </c>
      <c r="AW61" s="171" t="s">
        <v>158</v>
      </c>
      <c r="AX61" s="171" t="s">
        <v>158</v>
      </c>
    </row>
    <row r="62" spans="1:50" ht="12" x14ac:dyDescent="0.3">
      <c r="A62" s="20" t="s">
        <v>1152</v>
      </c>
      <c r="B62" s="20"/>
      <c r="C62" s="8" t="s">
        <v>445</v>
      </c>
      <c r="D62" s="8" t="s">
        <v>445</v>
      </c>
      <c r="E62" s="8" t="s">
        <v>445</v>
      </c>
      <c r="F62" s="27" t="s">
        <v>158</v>
      </c>
      <c r="G62" s="27" t="s">
        <v>158</v>
      </c>
      <c r="H62" s="27" t="s">
        <v>158</v>
      </c>
      <c r="I62" s="15"/>
      <c r="J62" s="8" t="s">
        <v>997</v>
      </c>
      <c r="K62" s="8" t="s">
        <v>997</v>
      </c>
      <c r="L62" s="8" t="s">
        <v>997</v>
      </c>
      <c r="M62" s="27" t="s">
        <v>158</v>
      </c>
      <c r="N62" s="8" t="s">
        <v>445</v>
      </c>
      <c r="O62" s="27" t="s">
        <v>158</v>
      </c>
      <c r="P62" s="15"/>
      <c r="Q62" s="8" t="s">
        <v>445</v>
      </c>
      <c r="R62" s="8" t="s">
        <v>997</v>
      </c>
      <c r="S62" s="8" t="s">
        <v>445</v>
      </c>
      <c r="T62" s="27" t="s">
        <v>158</v>
      </c>
      <c r="U62" s="27" t="s">
        <v>158</v>
      </c>
      <c r="V62" s="27" t="s">
        <v>158</v>
      </c>
      <c r="W62" s="15" t="s">
        <v>158</v>
      </c>
      <c r="X62" s="8" t="s">
        <v>445</v>
      </c>
      <c r="Y62" s="8" t="s">
        <v>997</v>
      </c>
      <c r="Z62" s="8" t="s">
        <v>445</v>
      </c>
      <c r="AA62" s="27" t="s">
        <v>158</v>
      </c>
      <c r="AB62" s="27" t="s">
        <v>158</v>
      </c>
      <c r="AC62" s="27" t="s">
        <v>158</v>
      </c>
      <c r="AD62" s="15"/>
      <c r="AE62" s="8" t="s">
        <v>445</v>
      </c>
      <c r="AF62" s="8" t="s">
        <v>997</v>
      </c>
      <c r="AG62" s="8" t="s">
        <v>445</v>
      </c>
      <c r="AH62" s="27" t="s">
        <v>158</v>
      </c>
      <c r="AI62" s="27" t="s">
        <v>158</v>
      </c>
      <c r="AJ62" s="27" t="s">
        <v>158</v>
      </c>
      <c r="AK62" s="153"/>
      <c r="AL62" s="171" t="s">
        <v>997</v>
      </c>
      <c r="AM62" s="171" t="s">
        <v>997</v>
      </c>
      <c r="AN62" s="171" t="s">
        <v>997</v>
      </c>
      <c r="AO62" s="171" t="s">
        <v>158</v>
      </c>
      <c r="AP62" s="171" t="s">
        <v>445</v>
      </c>
      <c r="AQ62" s="171" t="s">
        <v>158</v>
      </c>
      <c r="AR62" s="153"/>
      <c r="AS62" s="171" t="s">
        <v>370</v>
      </c>
      <c r="AT62" s="171" t="s">
        <v>370</v>
      </c>
      <c r="AU62" s="171" t="s">
        <v>158</v>
      </c>
      <c r="AV62" s="171" t="s">
        <v>158</v>
      </c>
      <c r="AW62" s="171" t="s">
        <v>445</v>
      </c>
      <c r="AX62" s="171" t="s">
        <v>158</v>
      </c>
    </row>
    <row r="63" spans="1:50" ht="12" x14ac:dyDescent="0.3">
      <c r="A63" s="20" t="s">
        <v>1155</v>
      </c>
      <c r="B63" s="20"/>
      <c r="C63" s="8" t="s">
        <v>445</v>
      </c>
      <c r="D63" s="8" t="s">
        <v>445</v>
      </c>
      <c r="E63" s="8" t="s">
        <v>445</v>
      </c>
      <c r="F63" s="8" t="s">
        <v>997</v>
      </c>
      <c r="G63" s="8" t="s">
        <v>997</v>
      </c>
      <c r="H63" s="8" t="s">
        <v>997</v>
      </c>
      <c r="I63" s="15"/>
      <c r="J63" s="8" t="s">
        <v>445</v>
      </c>
      <c r="K63" s="8" t="s">
        <v>445</v>
      </c>
      <c r="L63" s="8" t="s">
        <v>445</v>
      </c>
      <c r="M63" s="27" t="s">
        <v>158</v>
      </c>
      <c r="N63" s="27" t="s">
        <v>158</v>
      </c>
      <c r="O63" s="27" t="s">
        <v>158</v>
      </c>
      <c r="P63" s="15"/>
      <c r="Q63" s="8" t="s">
        <v>445</v>
      </c>
      <c r="R63" s="8" t="s">
        <v>445</v>
      </c>
      <c r="S63" s="8" t="s">
        <v>445</v>
      </c>
      <c r="T63" s="8" t="s">
        <v>997</v>
      </c>
      <c r="U63" s="8" t="s">
        <v>997</v>
      </c>
      <c r="V63" s="8" t="s">
        <v>997</v>
      </c>
      <c r="W63" s="15" t="s">
        <v>158</v>
      </c>
      <c r="X63" s="8" t="s">
        <v>445</v>
      </c>
      <c r="Y63" s="8" t="s">
        <v>445</v>
      </c>
      <c r="Z63" s="8" t="s">
        <v>445</v>
      </c>
      <c r="AA63" s="8" t="s">
        <v>997</v>
      </c>
      <c r="AB63" s="8" t="s">
        <v>997</v>
      </c>
      <c r="AC63" s="8" t="s">
        <v>997</v>
      </c>
      <c r="AD63" s="15"/>
      <c r="AE63" s="8" t="s">
        <v>445</v>
      </c>
      <c r="AF63" s="8" t="s">
        <v>445</v>
      </c>
      <c r="AG63" s="8" t="s">
        <v>445</v>
      </c>
      <c r="AH63" s="8" t="s">
        <v>997</v>
      </c>
      <c r="AI63" s="8" t="s">
        <v>997</v>
      </c>
      <c r="AJ63" s="8" t="s">
        <v>997</v>
      </c>
      <c r="AL63" s="171" t="s">
        <v>997</v>
      </c>
      <c r="AM63" s="171" t="s">
        <v>997</v>
      </c>
      <c r="AN63" s="171" t="s">
        <v>997</v>
      </c>
      <c r="AO63" s="171">
        <v>0</v>
      </c>
      <c r="AP63" s="171">
        <v>0</v>
      </c>
      <c r="AQ63" s="171">
        <v>0</v>
      </c>
      <c r="AS63" s="171" t="s">
        <v>445</v>
      </c>
      <c r="AT63" s="171" t="s">
        <v>445</v>
      </c>
      <c r="AU63" s="171" t="s">
        <v>158</v>
      </c>
      <c r="AV63" s="171" t="s">
        <v>370</v>
      </c>
      <c r="AW63" s="171" t="s">
        <v>158</v>
      </c>
      <c r="AX63" s="171" t="s">
        <v>158</v>
      </c>
    </row>
    <row r="64" spans="1:50" ht="12" x14ac:dyDescent="0.3">
      <c r="A64" s="20" t="s">
        <v>1158</v>
      </c>
      <c r="B64" s="20"/>
      <c r="C64" s="8" t="s">
        <v>445</v>
      </c>
      <c r="D64" s="8" t="s">
        <v>445</v>
      </c>
      <c r="E64" s="8" t="s">
        <v>445</v>
      </c>
      <c r="F64" s="27" t="s">
        <v>158</v>
      </c>
      <c r="G64" s="27" t="s">
        <v>158</v>
      </c>
      <c r="H64" s="27" t="s">
        <v>158</v>
      </c>
      <c r="I64" s="15"/>
      <c r="J64" s="8" t="s">
        <v>445</v>
      </c>
      <c r="K64" s="8" t="s">
        <v>445</v>
      </c>
      <c r="L64" s="8" t="s">
        <v>445</v>
      </c>
      <c r="M64" s="27" t="s">
        <v>158</v>
      </c>
      <c r="N64" s="27" t="s">
        <v>158</v>
      </c>
      <c r="O64" s="27" t="s">
        <v>158</v>
      </c>
      <c r="P64" s="15"/>
      <c r="Q64" s="8" t="s">
        <v>445</v>
      </c>
      <c r="R64" s="8" t="s">
        <v>445</v>
      </c>
      <c r="S64" s="8" t="s">
        <v>445</v>
      </c>
      <c r="T64" s="27" t="s">
        <v>158</v>
      </c>
      <c r="U64" s="27" t="s">
        <v>158</v>
      </c>
      <c r="V64" s="27" t="s">
        <v>158</v>
      </c>
      <c r="W64" s="15" t="s">
        <v>158</v>
      </c>
      <c r="X64" s="8" t="s">
        <v>445</v>
      </c>
      <c r="Y64" s="8" t="s">
        <v>445</v>
      </c>
      <c r="Z64" s="8" t="s">
        <v>445</v>
      </c>
      <c r="AA64" s="27" t="s">
        <v>158</v>
      </c>
      <c r="AB64" s="27" t="s">
        <v>158</v>
      </c>
      <c r="AC64" s="27" t="s">
        <v>158</v>
      </c>
      <c r="AD64" s="15"/>
      <c r="AE64" s="8" t="s">
        <v>445</v>
      </c>
      <c r="AF64" s="8" t="s">
        <v>445</v>
      </c>
      <c r="AG64" s="8" t="s">
        <v>445</v>
      </c>
      <c r="AH64" s="27" t="s">
        <v>158</v>
      </c>
      <c r="AI64" s="27" t="s">
        <v>158</v>
      </c>
      <c r="AJ64" s="27" t="s">
        <v>158</v>
      </c>
      <c r="AK64" s="153"/>
      <c r="AL64" s="171" t="s">
        <v>997</v>
      </c>
      <c r="AM64" s="171" t="s">
        <v>997</v>
      </c>
      <c r="AN64" s="171" t="s">
        <v>997</v>
      </c>
      <c r="AO64" s="171">
        <v>0</v>
      </c>
      <c r="AP64" s="171">
        <v>0</v>
      </c>
      <c r="AQ64" s="171">
        <v>0</v>
      </c>
      <c r="AR64" s="153"/>
      <c r="AS64" s="171" t="s">
        <v>370</v>
      </c>
      <c r="AT64" s="171" t="s">
        <v>370</v>
      </c>
      <c r="AU64" s="171" t="s">
        <v>158</v>
      </c>
      <c r="AV64" s="171" t="s">
        <v>445</v>
      </c>
      <c r="AW64" s="171" t="s">
        <v>158</v>
      </c>
      <c r="AX64" s="171" t="s">
        <v>158</v>
      </c>
    </row>
    <row r="65" spans="1:50" ht="12" x14ac:dyDescent="0.3">
      <c r="A65" s="20" t="s">
        <v>1161</v>
      </c>
      <c r="B65" s="20"/>
      <c r="C65" s="8" t="s">
        <v>997</v>
      </c>
      <c r="D65" s="8" t="s">
        <v>997</v>
      </c>
      <c r="E65" s="8" t="s">
        <v>445</v>
      </c>
      <c r="F65" s="27" t="s">
        <v>158</v>
      </c>
      <c r="G65" s="27" t="s">
        <v>158</v>
      </c>
      <c r="H65" s="8" t="s">
        <v>445</v>
      </c>
      <c r="I65" s="15"/>
      <c r="J65" s="8" t="s">
        <v>445</v>
      </c>
      <c r="K65" s="8" t="s">
        <v>445</v>
      </c>
      <c r="L65" s="8" t="s">
        <v>445</v>
      </c>
      <c r="M65" s="8" t="s">
        <v>997</v>
      </c>
      <c r="N65" s="8" t="s">
        <v>997</v>
      </c>
      <c r="O65" s="8" t="s">
        <v>997</v>
      </c>
      <c r="P65" s="15"/>
      <c r="Q65" s="8" t="s">
        <v>445</v>
      </c>
      <c r="R65" s="8" t="s">
        <v>445</v>
      </c>
      <c r="S65" s="8" t="s">
        <v>445</v>
      </c>
      <c r="T65" s="8" t="s">
        <v>997</v>
      </c>
      <c r="U65" s="8" t="s">
        <v>997</v>
      </c>
      <c r="V65" s="8" t="s">
        <v>997</v>
      </c>
      <c r="W65" s="15" t="s">
        <v>158</v>
      </c>
      <c r="X65" s="8" t="s">
        <v>445</v>
      </c>
      <c r="Y65" s="8" t="s">
        <v>445</v>
      </c>
      <c r="Z65" s="8" t="s">
        <v>445</v>
      </c>
      <c r="AA65" s="8" t="s">
        <v>997</v>
      </c>
      <c r="AB65" s="8" t="s">
        <v>997</v>
      </c>
      <c r="AC65" s="8" t="s">
        <v>997</v>
      </c>
      <c r="AD65" s="15"/>
      <c r="AE65" s="8" t="s">
        <v>445</v>
      </c>
      <c r="AF65" s="8" t="s">
        <v>445</v>
      </c>
      <c r="AG65" s="8" t="s">
        <v>445</v>
      </c>
      <c r="AH65" s="8" t="s">
        <v>997</v>
      </c>
      <c r="AI65" s="8" t="s">
        <v>997</v>
      </c>
      <c r="AJ65" s="8" t="s">
        <v>997</v>
      </c>
      <c r="AL65" s="171" t="s">
        <v>445</v>
      </c>
      <c r="AM65" s="171" t="s">
        <v>445</v>
      </c>
      <c r="AN65" s="171" t="s">
        <v>445</v>
      </c>
      <c r="AO65" s="171" t="s">
        <v>997</v>
      </c>
      <c r="AP65" s="171" t="s">
        <v>997</v>
      </c>
      <c r="AQ65" s="171" t="s">
        <v>997</v>
      </c>
      <c r="AS65" s="171" t="s">
        <v>445</v>
      </c>
      <c r="AT65" s="171" t="s">
        <v>445</v>
      </c>
      <c r="AU65" s="171" t="s">
        <v>158</v>
      </c>
      <c r="AV65" s="171" t="s">
        <v>370</v>
      </c>
      <c r="AW65" s="171" t="s">
        <v>158</v>
      </c>
      <c r="AX65" s="171" t="s">
        <v>158</v>
      </c>
    </row>
    <row r="66" spans="1:50" ht="12" x14ac:dyDescent="0.3">
      <c r="A66" s="20" t="s">
        <v>1164</v>
      </c>
      <c r="B66" s="20"/>
      <c r="C66" s="8" t="s">
        <v>445</v>
      </c>
      <c r="D66" s="8" t="s">
        <v>445</v>
      </c>
      <c r="E66" s="8" t="s">
        <v>445</v>
      </c>
      <c r="F66" s="27" t="s">
        <v>158</v>
      </c>
      <c r="G66" s="27" t="s">
        <v>158</v>
      </c>
      <c r="H66" s="27" t="s">
        <v>158</v>
      </c>
      <c r="I66" s="15"/>
      <c r="J66" s="8" t="s">
        <v>997</v>
      </c>
      <c r="K66" s="8" t="s">
        <v>997</v>
      </c>
      <c r="L66" s="8" t="s">
        <v>997</v>
      </c>
      <c r="M66" s="27" t="s">
        <v>158</v>
      </c>
      <c r="N66" s="8" t="s">
        <v>445</v>
      </c>
      <c r="O66" s="27" t="s">
        <v>158</v>
      </c>
      <c r="P66" s="15"/>
      <c r="Q66" s="8" t="s">
        <v>445</v>
      </c>
      <c r="R66" s="8" t="s">
        <v>445</v>
      </c>
      <c r="S66" s="8" t="s">
        <v>445</v>
      </c>
      <c r="T66" s="27" t="s">
        <v>158</v>
      </c>
      <c r="U66" s="27" t="s">
        <v>158</v>
      </c>
      <c r="V66" s="27" t="s">
        <v>158</v>
      </c>
      <c r="W66" s="15" t="s">
        <v>158</v>
      </c>
      <c r="X66" s="8" t="s">
        <v>445</v>
      </c>
      <c r="Y66" s="8" t="s">
        <v>445</v>
      </c>
      <c r="Z66" s="8" t="s">
        <v>445</v>
      </c>
      <c r="AA66" s="27" t="s">
        <v>158</v>
      </c>
      <c r="AB66" s="27" t="s">
        <v>158</v>
      </c>
      <c r="AC66" s="27" t="s">
        <v>158</v>
      </c>
      <c r="AD66" s="15"/>
      <c r="AE66" s="8" t="s">
        <v>445</v>
      </c>
      <c r="AF66" s="8" t="s">
        <v>445</v>
      </c>
      <c r="AG66" s="8" t="s">
        <v>445</v>
      </c>
      <c r="AH66" s="27" t="s">
        <v>158</v>
      </c>
      <c r="AI66" s="27" t="s">
        <v>158</v>
      </c>
      <c r="AJ66" s="27" t="s">
        <v>158</v>
      </c>
      <c r="AK66" s="153"/>
      <c r="AL66" s="171" t="s">
        <v>997</v>
      </c>
      <c r="AM66" s="171" t="s">
        <v>997</v>
      </c>
      <c r="AN66" s="171" t="s">
        <v>997</v>
      </c>
      <c r="AO66" s="171">
        <v>0</v>
      </c>
      <c r="AP66" s="171" t="s">
        <v>445</v>
      </c>
      <c r="AQ66" s="171">
        <v>0</v>
      </c>
      <c r="AR66" s="153"/>
      <c r="AS66" s="171" t="s">
        <v>370</v>
      </c>
      <c r="AT66" s="171" t="s">
        <v>370</v>
      </c>
      <c r="AU66" s="171" t="s">
        <v>158</v>
      </c>
      <c r="AV66" s="171" t="s">
        <v>158</v>
      </c>
      <c r="AW66" s="171" t="s">
        <v>445</v>
      </c>
      <c r="AX66" s="171" t="s">
        <v>158</v>
      </c>
    </row>
    <row r="67" spans="1:50" ht="12" x14ac:dyDescent="0.3">
      <c r="A67" s="20" t="s">
        <v>1167</v>
      </c>
      <c r="B67" s="20"/>
      <c r="C67" s="8" t="s">
        <v>445</v>
      </c>
      <c r="D67" s="8" t="s">
        <v>445</v>
      </c>
      <c r="E67" s="8" t="s">
        <v>445</v>
      </c>
      <c r="F67" s="27" t="s">
        <v>158</v>
      </c>
      <c r="G67" s="27" t="s">
        <v>158</v>
      </c>
      <c r="H67" s="27" t="s">
        <v>158</v>
      </c>
      <c r="I67" s="15"/>
      <c r="J67" s="8" t="s">
        <v>1383</v>
      </c>
      <c r="K67" s="8" t="s">
        <v>1383</v>
      </c>
      <c r="L67" s="8" t="s">
        <v>1383</v>
      </c>
      <c r="M67" s="8" t="s">
        <v>1383</v>
      </c>
      <c r="N67" s="8" t="s">
        <v>1383</v>
      </c>
      <c r="O67" s="27" t="s">
        <v>158</v>
      </c>
      <c r="P67" s="15"/>
      <c r="Q67" s="8" t="s">
        <v>445</v>
      </c>
      <c r="R67" s="8" t="s">
        <v>1383</v>
      </c>
      <c r="S67" s="8" t="s">
        <v>1383</v>
      </c>
      <c r="T67" s="8" t="s">
        <v>1383</v>
      </c>
      <c r="U67" s="8" t="s">
        <v>1383</v>
      </c>
      <c r="V67" s="8" t="s">
        <v>1383</v>
      </c>
      <c r="W67" s="15" t="s">
        <v>158</v>
      </c>
      <c r="X67" s="8" t="s">
        <v>445</v>
      </c>
      <c r="Y67" s="8" t="s">
        <v>1383</v>
      </c>
      <c r="Z67" s="8" t="s">
        <v>1383</v>
      </c>
      <c r="AA67" s="8" t="s">
        <v>1383</v>
      </c>
      <c r="AB67" s="8" t="s">
        <v>1383</v>
      </c>
      <c r="AC67" s="8" t="s">
        <v>1383</v>
      </c>
      <c r="AD67" s="15"/>
      <c r="AE67" s="8" t="s">
        <v>445</v>
      </c>
      <c r="AF67" s="8" t="s">
        <v>1383</v>
      </c>
      <c r="AG67" s="8" t="s">
        <v>1383</v>
      </c>
      <c r="AH67" s="8" t="s">
        <v>1383</v>
      </c>
      <c r="AI67" s="8" t="s">
        <v>1383</v>
      </c>
      <c r="AJ67" s="8" t="s">
        <v>1383</v>
      </c>
      <c r="AL67" s="171" t="s">
        <v>445</v>
      </c>
      <c r="AM67" s="171" t="s">
        <v>445</v>
      </c>
      <c r="AN67" s="171" t="s">
        <v>445</v>
      </c>
      <c r="AO67" s="171" t="s">
        <v>997</v>
      </c>
      <c r="AP67" s="171" t="s">
        <v>997</v>
      </c>
      <c r="AQ67" s="171" t="s">
        <v>997</v>
      </c>
      <c r="AS67" s="171" t="s">
        <v>370</v>
      </c>
      <c r="AT67" s="171" t="s">
        <v>370</v>
      </c>
      <c r="AU67" s="171" t="s">
        <v>158</v>
      </c>
      <c r="AV67" s="171" t="s">
        <v>158</v>
      </c>
      <c r="AW67" s="171" t="s">
        <v>445</v>
      </c>
      <c r="AX67" s="171" t="s">
        <v>158</v>
      </c>
    </row>
    <row r="68" spans="1:50" ht="12" x14ac:dyDescent="0.3">
      <c r="A68" s="20" t="s">
        <v>1170</v>
      </c>
      <c r="B68" s="20"/>
      <c r="C68" s="8" t="s">
        <v>445</v>
      </c>
      <c r="D68" s="8" t="s">
        <v>445</v>
      </c>
      <c r="E68" s="8" t="s">
        <v>445</v>
      </c>
      <c r="F68" s="27" t="s">
        <v>158</v>
      </c>
      <c r="G68" s="27" t="s">
        <v>158</v>
      </c>
      <c r="H68" s="27" t="s">
        <v>158</v>
      </c>
      <c r="I68" s="15"/>
      <c r="J68" s="8" t="s">
        <v>997</v>
      </c>
      <c r="K68" s="8" t="s">
        <v>997</v>
      </c>
      <c r="L68" s="8" t="s">
        <v>997</v>
      </c>
      <c r="M68" s="8" t="s">
        <v>445</v>
      </c>
      <c r="N68" s="27" t="s">
        <v>158</v>
      </c>
      <c r="O68" s="27" t="s">
        <v>158</v>
      </c>
      <c r="P68" s="15"/>
      <c r="Q68" s="8" t="s">
        <v>445</v>
      </c>
      <c r="R68" s="8" t="s">
        <v>445</v>
      </c>
      <c r="S68" s="8" t="s">
        <v>445</v>
      </c>
      <c r="T68" s="8" t="s">
        <v>997</v>
      </c>
      <c r="U68" s="27" t="s">
        <v>158</v>
      </c>
      <c r="V68" s="27" t="s">
        <v>158</v>
      </c>
      <c r="W68" s="15" t="s">
        <v>158</v>
      </c>
      <c r="X68" s="8" t="s">
        <v>445</v>
      </c>
      <c r="Y68" s="8" t="s">
        <v>445</v>
      </c>
      <c r="Z68" s="8" t="s">
        <v>445</v>
      </c>
      <c r="AA68" s="8" t="s">
        <v>997</v>
      </c>
      <c r="AB68" s="27" t="s">
        <v>158</v>
      </c>
      <c r="AC68" s="27" t="s">
        <v>158</v>
      </c>
      <c r="AD68" s="15"/>
      <c r="AE68" s="8" t="s">
        <v>445</v>
      </c>
      <c r="AF68" s="8" t="s">
        <v>445</v>
      </c>
      <c r="AG68" s="8" t="s">
        <v>445</v>
      </c>
      <c r="AH68" s="8" t="s">
        <v>997</v>
      </c>
      <c r="AI68" s="27" t="s">
        <v>158</v>
      </c>
      <c r="AJ68" s="27" t="s">
        <v>158</v>
      </c>
      <c r="AK68" s="153"/>
      <c r="AL68" s="171" t="s">
        <v>997</v>
      </c>
      <c r="AM68" s="171" t="s">
        <v>997</v>
      </c>
      <c r="AN68" s="171" t="s">
        <v>997</v>
      </c>
      <c r="AO68" s="171" t="s">
        <v>445</v>
      </c>
      <c r="AP68" s="171">
        <v>0</v>
      </c>
      <c r="AQ68" s="171">
        <v>0</v>
      </c>
      <c r="AR68" s="153"/>
      <c r="AS68" s="171" t="s">
        <v>370</v>
      </c>
      <c r="AT68" s="171" t="s">
        <v>370</v>
      </c>
      <c r="AU68" s="171" t="s">
        <v>158</v>
      </c>
      <c r="AV68" s="171" t="s">
        <v>158</v>
      </c>
      <c r="AW68" s="171" t="s">
        <v>445</v>
      </c>
      <c r="AX68" s="171" t="s">
        <v>158</v>
      </c>
    </row>
    <row r="69" spans="1:50" ht="12" x14ac:dyDescent="0.3">
      <c r="A69" s="20" t="s">
        <v>1174</v>
      </c>
      <c r="B69" s="20"/>
      <c r="C69" s="8" t="s">
        <v>997</v>
      </c>
      <c r="D69" s="8" t="s">
        <v>997</v>
      </c>
      <c r="E69" s="8" t="s">
        <v>445</v>
      </c>
      <c r="F69" s="27" t="s">
        <v>158</v>
      </c>
      <c r="G69" s="27" t="s">
        <v>158</v>
      </c>
      <c r="H69" s="27" t="s">
        <v>158</v>
      </c>
      <c r="I69" s="15"/>
      <c r="J69" s="8" t="s">
        <v>997</v>
      </c>
      <c r="K69" s="8" t="s">
        <v>997</v>
      </c>
      <c r="L69" s="8" t="s">
        <v>997</v>
      </c>
      <c r="M69" s="8" t="s">
        <v>445</v>
      </c>
      <c r="N69" s="8" t="s">
        <v>445</v>
      </c>
      <c r="O69" s="27" t="s">
        <v>158</v>
      </c>
      <c r="P69" s="15"/>
      <c r="Q69" s="8" t="s">
        <v>997</v>
      </c>
      <c r="R69" s="8" t="s">
        <v>997</v>
      </c>
      <c r="S69" s="8" t="s">
        <v>997</v>
      </c>
      <c r="T69" s="8" t="s">
        <v>445</v>
      </c>
      <c r="U69" s="8" t="s">
        <v>445</v>
      </c>
      <c r="V69" s="27" t="s">
        <v>158</v>
      </c>
      <c r="W69" s="15" t="s">
        <v>158</v>
      </c>
      <c r="X69" s="8" t="s">
        <v>997</v>
      </c>
      <c r="Y69" s="8" t="s">
        <v>997</v>
      </c>
      <c r="Z69" s="8" t="s">
        <v>997</v>
      </c>
      <c r="AA69" s="8" t="s">
        <v>445</v>
      </c>
      <c r="AB69" s="8" t="s">
        <v>445</v>
      </c>
      <c r="AC69" s="27" t="s">
        <v>158</v>
      </c>
      <c r="AD69" s="15"/>
      <c r="AE69" s="8" t="s">
        <v>997</v>
      </c>
      <c r="AF69" s="8" t="s">
        <v>997</v>
      </c>
      <c r="AG69" s="8" t="s">
        <v>997</v>
      </c>
      <c r="AH69" s="8" t="s">
        <v>445</v>
      </c>
      <c r="AI69" s="8" t="s">
        <v>445</v>
      </c>
      <c r="AJ69" s="27" t="s">
        <v>158</v>
      </c>
      <c r="AK69" s="153"/>
      <c r="AL69" s="171" t="s">
        <v>997</v>
      </c>
      <c r="AM69" s="171" t="s">
        <v>997</v>
      </c>
      <c r="AN69" s="171" t="s">
        <v>997</v>
      </c>
      <c r="AO69" s="171" t="s">
        <v>445</v>
      </c>
      <c r="AP69" s="171" t="s">
        <v>445</v>
      </c>
      <c r="AQ69" s="171" t="s">
        <v>158</v>
      </c>
      <c r="AR69" s="153"/>
      <c r="AS69" s="171" t="s">
        <v>370</v>
      </c>
      <c r="AT69" s="171" t="s">
        <v>370</v>
      </c>
      <c r="AU69" s="171" t="s">
        <v>158</v>
      </c>
      <c r="AV69" s="171" t="s">
        <v>158</v>
      </c>
      <c r="AW69" s="171" t="s">
        <v>445</v>
      </c>
      <c r="AX69" s="171" t="s">
        <v>158</v>
      </c>
    </row>
    <row r="70" spans="1:50" ht="12" x14ac:dyDescent="0.3">
      <c r="A70" s="20" t="s">
        <v>1178</v>
      </c>
      <c r="B70" s="20"/>
      <c r="C70" s="8" t="s">
        <v>445</v>
      </c>
      <c r="D70" s="8" t="s">
        <v>445</v>
      </c>
      <c r="E70" s="8" t="s">
        <v>445</v>
      </c>
      <c r="F70" s="27" t="s">
        <v>158</v>
      </c>
      <c r="G70" s="27" t="s">
        <v>158</v>
      </c>
      <c r="H70" s="27" t="s">
        <v>158</v>
      </c>
      <c r="I70" s="15"/>
      <c r="J70" s="8" t="s">
        <v>997</v>
      </c>
      <c r="K70" s="8" t="s">
        <v>997</v>
      </c>
      <c r="L70" s="8" t="s">
        <v>997</v>
      </c>
      <c r="M70" s="8" t="s">
        <v>445</v>
      </c>
      <c r="N70" s="27" t="s">
        <v>158</v>
      </c>
      <c r="O70" s="27" t="s">
        <v>158</v>
      </c>
      <c r="P70" s="15"/>
      <c r="Q70" s="8" t="s">
        <v>445</v>
      </c>
      <c r="R70" s="8" t="s">
        <v>445</v>
      </c>
      <c r="S70" s="8" t="s">
        <v>445</v>
      </c>
      <c r="T70" s="8" t="s">
        <v>997</v>
      </c>
      <c r="U70" s="27" t="s">
        <v>158</v>
      </c>
      <c r="V70" s="27" t="s">
        <v>158</v>
      </c>
      <c r="W70" s="15" t="s">
        <v>158</v>
      </c>
      <c r="X70" s="8" t="s">
        <v>445</v>
      </c>
      <c r="Y70" s="8" t="s">
        <v>445</v>
      </c>
      <c r="Z70" s="8" t="s">
        <v>445</v>
      </c>
      <c r="AA70" s="8" t="s">
        <v>997</v>
      </c>
      <c r="AB70" s="27" t="s">
        <v>158</v>
      </c>
      <c r="AC70" s="27" t="s">
        <v>158</v>
      </c>
      <c r="AD70" s="15"/>
      <c r="AE70" s="8" t="s">
        <v>445</v>
      </c>
      <c r="AF70" s="8" t="s">
        <v>445</v>
      </c>
      <c r="AG70" s="8" t="s">
        <v>445</v>
      </c>
      <c r="AH70" s="8" t="s">
        <v>997</v>
      </c>
      <c r="AI70" s="27" t="s">
        <v>158</v>
      </c>
      <c r="AJ70" s="27" t="s">
        <v>158</v>
      </c>
      <c r="AK70" s="153"/>
      <c r="AL70" s="171" t="s">
        <v>997</v>
      </c>
      <c r="AM70" s="171" t="s">
        <v>997</v>
      </c>
      <c r="AN70" s="171" t="s">
        <v>997</v>
      </c>
      <c r="AO70" s="171" t="s">
        <v>445</v>
      </c>
      <c r="AP70" s="171">
        <v>0</v>
      </c>
      <c r="AQ70" s="171">
        <v>0</v>
      </c>
      <c r="AR70" s="153"/>
      <c r="AS70" s="171" t="s">
        <v>445</v>
      </c>
      <c r="AT70" s="171" t="s">
        <v>445</v>
      </c>
      <c r="AU70" s="171" t="s">
        <v>158</v>
      </c>
      <c r="AV70" s="171" t="s">
        <v>370</v>
      </c>
      <c r="AW70" s="171" t="s">
        <v>158</v>
      </c>
      <c r="AX70" s="171" t="s">
        <v>158</v>
      </c>
    </row>
    <row r="71" spans="1:50" ht="12" x14ac:dyDescent="0.3">
      <c r="A71" s="20" t="s">
        <v>1182</v>
      </c>
      <c r="B71" s="20"/>
      <c r="C71" s="8" t="s">
        <v>445</v>
      </c>
      <c r="D71" s="8" t="s">
        <v>997</v>
      </c>
      <c r="E71" s="8" t="s">
        <v>445</v>
      </c>
      <c r="F71" s="27" t="s">
        <v>158</v>
      </c>
      <c r="G71" s="27" t="s">
        <v>158</v>
      </c>
      <c r="H71" s="27" t="s">
        <v>158</v>
      </c>
      <c r="I71" s="15"/>
      <c r="J71" s="8" t="s">
        <v>445</v>
      </c>
      <c r="K71" s="8" t="s">
        <v>997</v>
      </c>
      <c r="L71" s="8" t="s">
        <v>997</v>
      </c>
      <c r="M71" s="8" t="s">
        <v>445</v>
      </c>
      <c r="N71" s="27" t="s">
        <v>158</v>
      </c>
      <c r="O71" s="27" t="s">
        <v>158</v>
      </c>
      <c r="P71" s="15"/>
      <c r="Q71" s="8" t="s">
        <v>997</v>
      </c>
      <c r="R71" s="8" t="s">
        <v>445</v>
      </c>
      <c r="S71" s="8" t="s">
        <v>445</v>
      </c>
      <c r="T71" s="8" t="s">
        <v>445</v>
      </c>
      <c r="U71" s="27" t="s">
        <v>158</v>
      </c>
      <c r="V71" s="27" t="s">
        <v>158</v>
      </c>
      <c r="W71" s="15" t="s">
        <v>158</v>
      </c>
      <c r="X71" s="8" t="s">
        <v>997</v>
      </c>
      <c r="Y71" s="8" t="s">
        <v>445</v>
      </c>
      <c r="Z71" s="8" t="s">
        <v>445</v>
      </c>
      <c r="AA71" s="8" t="s">
        <v>445</v>
      </c>
      <c r="AB71" s="27" t="s">
        <v>158</v>
      </c>
      <c r="AC71" s="27" t="s">
        <v>158</v>
      </c>
      <c r="AD71" s="15"/>
      <c r="AE71" s="8" t="s">
        <v>997</v>
      </c>
      <c r="AF71" s="8" t="s">
        <v>445</v>
      </c>
      <c r="AG71" s="8" t="s">
        <v>445</v>
      </c>
      <c r="AH71" s="8" t="s">
        <v>445</v>
      </c>
      <c r="AI71" s="27" t="s">
        <v>158</v>
      </c>
      <c r="AJ71" s="27" t="s">
        <v>158</v>
      </c>
      <c r="AK71" s="153"/>
      <c r="AL71" s="171" t="s">
        <v>445</v>
      </c>
      <c r="AM71" s="171" t="s">
        <v>997</v>
      </c>
      <c r="AN71" s="171" t="s">
        <v>997</v>
      </c>
      <c r="AO71" s="171" t="s">
        <v>445</v>
      </c>
      <c r="AP71" s="171">
        <v>0</v>
      </c>
      <c r="AQ71" s="171">
        <v>0</v>
      </c>
      <c r="AR71" s="153"/>
      <c r="AS71" s="171" t="s">
        <v>445</v>
      </c>
      <c r="AT71" s="171" t="s">
        <v>445</v>
      </c>
      <c r="AU71" s="171" t="s">
        <v>158</v>
      </c>
      <c r="AV71" s="171" t="s">
        <v>370</v>
      </c>
      <c r="AW71" s="171" t="s">
        <v>158</v>
      </c>
      <c r="AX71" s="171" t="s">
        <v>158</v>
      </c>
    </row>
    <row r="72" spans="1:50" ht="12" x14ac:dyDescent="0.3">
      <c r="A72" s="20" t="s">
        <v>1185</v>
      </c>
      <c r="B72" s="20"/>
      <c r="C72" s="8" t="s">
        <v>445</v>
      </c>
      <c r="D72" s="8" t="s">
        <v>445</v>
      </c>
      <c r="E72" s="8" t="s">
        <v>445</v>
      </c>
      <c r="F72" s="27" t="s">
        <v>158</v>
      </c>
      <c r="G72" s="27" t="s">
        <v>158</v>
      </c>
      <c r="H72" s="27" t="s">
        <v>158</v>
      </c>
      <c r="I72" s="15"/>
      <c r="J72" s="8" t="s">
        <v>1383</v>
      </c>
      <c r="K72" s="8" t="s">
        <v>1383</v>
      </c>
      <c r="L72" s="8" t="s">
        <v>1383</v>
      </c>
      <c r="M72" s="8" t="s">
        <v>1383</v>
      </c>
      <c r="N72" s="8" t="s">
        <v>1383</v>
      </c>
      <c r="O72" s="8" t="s">
        <v>1383</v>
      </c>
      <c r="P72" s="15"/>
      <c r="Q72" s="8" t="s">
        <v>445</v>
      </c>
      <c r="R72" s="8" t="s">
        <v>445</v>
      </c>
      <c r="S72" s="8" t="s">
        <v>445</v>
      </c>
      <c r="T72" s="8" t="s">
        <v>997</v>
      </c>
      <c r="U72" s="27" t="s">
        <v>158</v>
      </c>
      <c r="V72" s="27" t="s">
        <v>158</v>
      </c>
      <c r="W72" s="15" t="s">
        <v>158</v>
      </c>
      <c r="X72" s="8" t="s">
        <v>445</v>
      </c>
      <c r="Y72" s="8" t="s">
        <v>445</v>
      </c>
      <c r="Z72" s="8" t="s">
        <v>445</v>
      </c>
      <c r="AA72" s="8" t="s">
        <v>997</v>
      </c>
      <c r="AB72" s="27" t="s">
        <v>158</v>
      </c>
      <c r="AC72" s="27" t="s">
        <v>158</v>
      </c>
      <c r="AD72" s="15"/>
      <c r="AE72" s="8" t="s">
        <v>445</v>
      </c>
      <c r="AF72" s="8" t="s">
        <v>445</v>
      </c>
      <c r="AG72" s="8" t="s">
        <v>445</v>
      </c>
      <c r="AH72" s="8" t="s">
        <v>997</v>
      </c>
      <c r="AI72" s="27" t="s">
        <v>158</v>
      </c>
      <c r="AJ72" s="27" t="s">
        <v>158</v>
      </c>
      <c r="AK72" s="153"/>
      <c r="AL72" s="171" t="s">
        <v>445</v>
      </c>
      <c r="AM72" s="171" t="s">
        <v>445</v>
      </c>
      <c r="AN72" s="171" t="s">
        <v>445</v>
      </c>
      <c r="AO72" s="171" t="s">
        <v>997</v>
      </c>
      <c r="AP72" s="171" t="s">
        <v>997</v>
      </c>
      <c r="AQ72" s="171" t="s">
        <v>997</v>
      </c>
      <c r="AR72" s="153"/>
      <c r="AS72" s="171" t="s">
        <v>445</v>
      </c>
      <c r="AT72" s="171" t="s">
        <v>1386</v>
      </c>
      <c r="AU72" s="171" t="s">
        <v>158</v>
      </c>
      <c r="AV72" s="171" t="s">
        <v>1387</v>
      </c>
      <c r="AW72" s="171" t="s">
        <v>158</v>
      </c>
      <c r="AX72" s="171" t="s">
        <v>158</v>
      </c>
    </row>
    <row r="73" spans="1:50" ht="12" x14ac:dyDescent="0.3">
      <c r="A73" s="20" t="s">
        <v>1188</v>
      </c>
      <c r="B73" s="20"/>
      <c r="C73" s="8" t="s">
        <v>445</v>
      </c>
      <c r="D73" s="8" t="s">
        <v>445</v>
      </c>
      <c r="E73" s="8" t="s">
        <v>445</v>
      </c>
      <c r="F73" s="27" t="s">
        <v>158</v>
      </c>
      <c r="G73" s="27" t="s">
        <v>158</v>
      </c>
      <c r="H73" s="27" t="s">
        <v>158</v>
      </c>
      <c r="I73" s="15"/>
      <c r="J73" s="8" t="s">
        <v>1383</v>
      </c>
      <c r="K73" s="8" t="s">
        <v>1383</v>
      </c>
      <c r="L73" s="8" t="s">
        <v>1383</v>
      </c>
      <c r="M73" s="8" t="s">
        <v>1383</v>
      </c>
      <c r="N73" s="8" t="s">
        <v>1383</v>
      </c>
      <c r="O73" s="8" t="s">
        <v>1383</v>
      </c>
      <c r="P73" s="15"/>
      <c r="Q73" s="8" t="s">
        <v>445</v>
      </c>
      <c r="R73" s="8" t="s">
        <v>445</v>
      </c>
      <c r="S73" s="8" t="s">
        <v>445</v>
      </c>
      <c r="T73" s="8" t="s">
        <v>997</v>
      </c>
      <c r="U73" s="27" t="s">
        <v>158</v>
      </c>
      <c r="V73" s="27" t="s">
        <v>158</v>
      </c>
      <c r="W73" s="15" t="s">
        <v>158</v>
      </c>
      <c r="X73" s="8" t="s">
        <v>445</v>
      </c>
      <c r="Y73" s="8" t="s">
        <v>445</v>
      </c>
      <c r="Z73" s="8" t="s">
        <v>445</v>
      </c>
      <c r="AA73" s="8" t="s">
        <v>997</v>
      </c>
      <c r="AB73" s="27" t="s">
        <v>158</v>
      </c>
      <c r="AC73" s="27" t="s">
        <v>158</v>
      </c>
      <c r="AD73" s="15"/>
      <c r="AE73" s="8" t="s">
        <v>445</v>
      </c>
      <c r="AF73" s="8" t="s">
        <v>445</v>
      </c>
      <c r="AG73" s="8" t="s">
        <v>445</v>
      </c>
      <c r="AH73" s="8" t="s">
        <v>997</v>
      </c>
      <c r="AI73" s="27" t="s">
        <v>158</v>
      </c>
      <c r="AJ73" s="27" t="s">
        <v>158</v>
      </c>
      <c r="AK73" s="153"/>
      <c r="AL73" s="171" t="s">
        <v>1383</v>
      </c>
      <c r="AM73" s="171" t="s">
        <v>1383</v>
      </c>
      <c r="AN73" s="171" t="s">
        <v>1383</v>
      </c>
      <c r="AO73" s="171" t="s">
        <v>1383</v>
      </c>
      <c r="AP73" s="171" t="s">
        <v>1383</v>
      </c>
      <c r="AQ73" s="171" t="s">
        <v>1383</v>
      </c>
      <c r="AR73" s="153"/>
      <c r="AS73" s="171" t="s">
        <v>370</v>
      </c>
      <c r="AT73" s="171" t="s">
        <v>370</v>
      </c>
      <c r="AU73" s="171" t="s">
        <v>158</v>
      </c>
      <c r="AV73" s="171" t="s">
        <v>445</v>
      </c>
      <c r="AW73" s="171" t="s">
        <v>1382</v>
      </c>
      <c r="AX73" s="171" t="s">
        <v>1382</v>
      </c>
    </row>
    <row r="74" spans="1:50" ht="12" x14ac:dyDescent="0.3">
      <c r="A74" s="20" t="s">
        <v>1190</v>
      </c>
      <c r="B74" s="20"/>
      <c r="C74" s="8" t="s">
        <v>445</v>
      </c>
      <c r="D74" s="8" t="s">
        <v>445</v>
      </c>
      <c r="E74" s="8" t="s">
        <v>445</v>
      </c>
      <c r="F74" s="27" t="s">
        <v>158</v>
      </c>
      <c r="G74" s="27" t="s">
        <v>158</v>
      </c>
      <c r="H74" s="27" t="s">
        <v>158</v>
      </c>
      <c r="I74" s="15"/>
      <c r="J74" s="8" t="s">
        <v>445</v>
      </c>
      <c r="K74" s="8" t="s">
        <v>445</v>
      </c>
      <c r="L74" s="8" t="s">
        <v>445</v>
      </c>
      <c r="M74" s="8" t="s">
        <v>997</v>
      </c>
      <c r="N74" s="27" t="s">
        <v>158</v>
      </c>
      <c r="O74" s="27" t="s">
        <v>158</v>
      </c>
      <c r="P74" s="15"/>
      <c r="Q74" s="8" t="s">
        <v>445</v>
      </c>
      <c r="R74" s="8" t="s">
        <v>445</v>
      </c>
      <c r="S74" s="8" t="s">
        <v>445</v>
      </c>
      <c r="T74" s="8" t="s">
        <v>997</v>
      </c>
      <c r="U74" s="27" t="s">
        <v>158</v>
      </c>
      <c r="V74" s="27" t="s">
        <v>158</v>
      </c>
      <c r="W74" s="15" t="s">
        <v>158</v>
      </c>
      <c r="X74" s="8" t="s">
        <v>445</v>
      </c>
      <c r="Y74" s="8" t="s">
        <v>445</v>
      </c>
      <c r="Z74" s="8" t="s">
        <v>445</v>
      </c>
      <c r="AA74" s="8" t="s">
        <v>997</v>
      </c>
      <c r="AB74" s="27" t="s">
        <v>158</v>
      </c>
      <c r="AC74" s="27" t="s">
        <v>158</v>
      </c>
      <c r="AD74" s="15"/>
      <c r="AE74" s="8" t="s">
        <v>445</v>
      </c>
      <c r="AF74" s="8" t="s">
        <v>445</v>
      </c>
      <c r="AG74" s="8" t="s">
        <v>445</v>
      </c>
      <c r="AH74" s="8" t="s">
        <v>997</v>
      </c>
      <c r="AI74" s="27" t="s">
        <v>158</v>
      </c>
      <c r="AJ74" s="27" t="s">
        <v>158</v>
      </c>
      <c r="AK74" s="153"/>
      <c r="AL74" s="171" t="s">
        <v>1383</v>
      </c>
      <c r="AM74" s="171" t="s">
        <v>1383</v>
      </c>
      <c r="AN74" s="171" t="s">
        <v>1383</v>
      </c>
      <c r="AO74" s="171" t="s">
        <v>1383</v>
      </c>
      <c r="AP74" s="171" t="s">
        <v>1383</v>
      </c>
      <c r="AQ74" s="171" t="s">
        <v>1383</v>
      </c>
      <c r="AR74" s="153"/>
      <c r="AS74" s="171" t="s">
        <v>370</v>
      </c>
      <c r="AT74" s="171" t="s">
        <v>370</v>
      </c>
      <c r="AU74" s="171" t="s">
        <v>445</v>
      </c>
      <c r="AV74" s="171" t="s">
        <v>1382</v>
      </c>
      <c r="AW74" s="171" t="s">
        <v>1382</v>
      </c>
      <c r="AX74" s="171" t="s">
        <v>1382</v>
      </c>
    </row>
    <row r="75" spans="1:50" ht="12" x14ac:dyDescent="0.3">
      <c r="A75" s="20" t="s">
        <v>1193</v>
      </c>
      <c r="B75" s="20"/>
      <c r="C75" s="8" t="s">
        <v>445</v>
      </c>
      <c r="D75" s="8" t="s">
        <v>445</v>
      </c>
      <c r="E75" s="8" t="s">
        <v>445</v>
      </c>
      <c r="F75" s="27" t="s">
        <v>158</v>
      </c>
      <c r="G75" s="27" t="s">
        <v>158</v>
      </c>
      <c r="H75" s="27" t="s">
        <v>158</v>
      </c>
      <c r="I75" s="15"/>
      <c r="J75" s="8" t="s">
        <v>445</v>
      </c>
      <c r="K75" s="8" t="s">
        <v>997</v>
      </c>
      <c r="L75" s="8" t="s">
        <v>445</v>
      </c>
      <c r="M75" s="8" t="s">
        <v>445</v>
      </c>
      <c r="N75" s="27" t="s">
        <v>158</v>
      </c>
      <c r="O75" s="27" t="s">
        <v>158</v>
      </c>
      <c r="P75" s="15"/>
      <c r="Q75" s="8" t="s">
        <v>997</v>
      </c>
      <c r="R75" s="8" t="s">
        <v>997</v>
      </c>
      <c r="S75" s="8" t="s">
        <v>445</v>
      </c>
      <c r="T75" s="8" t="s">
        <v>158</v>
      </c>
      <c r="U75" s="8" t="s">
        <v>445</v>
      </c>
      <c r="V75" s="27" t="s">
        <v>158</v>
      </c>
      <c r="W75" s="15" t="s">
        <v>158</v>
      </c>
      <c r="X75" s="8" t="s">
        <v>997</v>
      </c>
      <c r="Y75" s="8" t="s">
        <v>997</v>
      </c>
      <c r="Z75" s="8" t="s">
        <v>445</v>
      </c>
      <c r="AA75" s="27" t="s">
        <v>158</v>
      </c>
      <c r="AB75" s="8" t="s">
        <v>445</v>
      </c>
      <c r="AC75" s="27" t="s">
        <v>158</v>
      </c>
      <c r="AD75" s="15"/>
      <c r="AE75" s="8" t="s">
        <v>997</v>
      </c>
      <c r="AF75" s="8" t="s">
        <v>997</v>
      </c>
      <c r="AG75" s="8" t="s">
        <v>445</v>
      </c>
      <c r="AH75" s="27" t="s">
        <v>158</v>
      </c>
      <c r="AI75" s="8" t="s">
        <v>445</v>
      </c>
      <c r="AJ75" s="27" t="s">
        <v>158</v>
      </c>
      <c r="AK75" s="153"/>
      <c r="AL75" s="171" t="s">
        <v>445</v>
      </c>
      <c r="AM75" s="171" t="s">
        <v>997</v>
      </c>
      <c r="AN75" s="171" t="s">
        <v>445</v>
      </c>
      <c r="AO75" s="171" t="s">
        <v>445</v>
      </c>
      <c r="AP75" s="171">
        <v>0</v>
      </c>
      <c r="AQ75" s="171">
        <v>0</v>
      </c>
      <c r="AR75" s="153"/>
      <c r="AS75" s="171" t="s">
        <v>370</v>
      </c>
      <c r="AT75" s="171" t="s">
        <v>370</v>
      </c>
      <c r="AU75" s="171" t="s">
        <v>445</v>
      </c>
      <c r="AV75" s="171" t="s">
        <v>445</v>
      </c>
      <c r="AW75" s="171" t="s">
        <v>158</v>
      </c>
      <c r="AX75" s="171" t="s">
        <v>158</v>
      </c>
    </row>
    <row r="76" spans="1:50" ht="12" x14ac:dyDescent="0.3">
      <c r="A76" s="20" t="s">
        <v>1197</v>
      </c>
      <c r="B76" s="20"/>
      <c r="C76" s="8" t="s">
        <v>445</v>
      </c>
      <c r="D76" s="8" t="s">
        <v>445</v>
      </c>
      <c r="E76" s="8" t="s">
        <v>445</v>
      </c>
      <c r="F76" s="27" t="s">
        <v>158</v>
      </c>
      <c r="G76" s="27" t="s">
        <v>158</v>
      </c>
      <c r="H76" s="27" t="s">
        <v>158</v>
      </c>
      <c r="I76" s="15"/>
      <c r="J76" s="8" t="s">
        <v>1383</v>
      </c>
      <c r="K76" s="8" t="s">
        <v>1383</v>
      </c>
      <c r="L76" s="8" t="s">
        <v>1383</v>
      </c>
      <c r="M76" s="8" t="s">
        <v>1383</v>
      </c>
      <c r="N76" s="8" t="s">
        <v>1383</v>
      </c>
      <c r="O76" s="8" t="s">
        <v>1383</v>
      </c>
      <c r="P76" s="15"/>
      <c r="Q76" s="8" t="s">
        <v>445</v>
      </c>
      <c r="R76" s="8" t="s">
        <v>445</v>
      </c>
      <c r="S76" s="8" t="s">
        <v>445</v>
      </c>
      <c r="T76" s="8" t="s">
        <v>997</v>
      </c>
      <c r="U76" s="27" t="s">
        <v>158</v>
      </c>
      <c r="V76" s="27" t="s">
        <v>158</v>
      </c>
      <c r="W76" s="15" t="s">
        <v>158</v>
      </c>
      <c r="X76" s="8" t="s">
        <v>445</v>
      </c>
      <c r="Y76" s="8" t="s">
        <v>445</v>
      </c>
      <c r="Z76" s="8" t="s">
        <v>445</v>
      </c>
      <c r="AA76" s="8" t="s">
        <v>997</v>
      </c>
      <c r="AB76" s="27" t="s">
        <v>158</v>
      </c>
      <c r="AC76" s="27" t="s">
        <v>158</v>
      </c>
      <c r="AD76" s="15"/>
      <c r="AE76" s="8" t="s">
        <v>445</v>
      </c>
      <c r="AF76" s="8" t="s">
        <v>445</v>
      </c>
      <c r="AG76" s="8" t="s">
        <v>445</v>
      </c>
      <c r="AH76" s="8" t="s">
        <v>997</v>
      </c>
      <c r="AI76" s="27" t="s">
        <v>158</v>
      </c>
      <c r="AJ76" s="27" t="s">
        <v>158</v>
      </c>
      <c r="AK76" s="153"/>
      <c r="AL76" s="171" t="s">
        <v>1383</v>
      </c>
      <c r="AM76" s="171" t="s">
        <v>1383</v>
      </c>
      <c r="AN76" s="171" t="s">
        <v>1383</v>
      </c>
      <c r="AO76" s="171" t="s">
        <v>1383</v>
      </c>
      <c r="AP76" s="171" t="s">
        <v>1383</v>
      </c>
      <c r="AQ76" s="171" t="s">
        <v>1383</v>
      </c>
      <c r="AR76" s="153"/>
      <c r="AS76" s="171" t="s">
        <v>370</v>
      </c>
      <c r="AT76" s="171" t="s">
        <v>370</v>
      </c>
      <c r="AU76" s="171" t="s">
        <v>445</v>
      </c>
      <c r="AV76" s="171" t="s">
        <v>1382</v>
      </c>
      <c r="AW76" s="171" t="s">
        <v>1382</v>
      </c>
      <c r="AX76" s="171" t="s">
        <v>1382</v>
      </c>
    </row>
    <row r="77" spans="1:50" ht="12" x14ac:dyDescent="0.3">
      <c r="A77" s="20" t="s">
        <v>1200</v>
      </c>
      <c r="B77" s="20"/>
      <c r="C77" s="8" t="s">
        <v>445</v>
      </c>
      <c r="D77" s="8" t="s">
        <v>445</v>
      </c>
      <c r="E77" s="8" t="s">
        <v>445</v>
      </c>
      <c r="F77" s="139" t="s">
        <v>997</v>
      </c>
      <c r="G77" s="27" t="s">
        <v>158</v>
      </c>
      <c r="H77" s="27" t="s">
        <v>158</v>
      </c>
      <c r="I77" s="15"/>
      <c r="J77" s="8" t="s">
        <v>1383</v>
      </c>
      <c r="K77" s="8" t="s">
        <v>1383</v>
      </c>
      <c r="L77" s="8" t="s">
        <v>1383</v>
      </c>
      <c r="M77" s="8" t="s">
        <v>1383</v>
      </c>
      <c r="N77" s="8" t="s">
        <v>1383</v>
      </c>
      <c r="O77" s="8" t="s">
        <v>1383</v>
      </c>
      <c r="P77" s="15"/>
      <c r="Q77" s="8" t="s">
        <v>1383</v>
      </c>
      <c r="R77" s="8" t="s">
        <v>1383</v>
      </c>
      <c r="S77" s="8" t="s">
        <v>1383</v>
      </c>
      <c r="T77" s="8" t="s">
        <v>1383</v>
      </c>
      <c r="U77" s="27" t="s">
        <v>158</v>
      </c>
      <c r="V77" s="27" t="s">
        <v>158</v>
      </c>
      <c r="W77" s="15" t="s">
        <v>158</v>
      </c>
      <c r="X77" s="8" t="s">
        <v>1383</v>
      </c>
      <c r="Y77" s="8" t="s">
        <v>1383</v>
      </c>
      <c r="Z77" s="8" t="s">
        <v>1383</v>
      </c>
      <c r="AA77" s="8" t="s">
        <v>1383</v>
      </c>
      <c r="AB77" s="27" t="s">
        <v>158</v>
      </c>
      <c r="AC77" s="27" t="s">
        <v>158</v>
      </c>
      <c r="AD77" s="15"/>
      <c r="AE77" s="8" t="s">
        <v>1383</v>
      </c>
      <c r="AF77" s="8" t="s">
        <v>1383</v>
      </c>
      <c r="AG77" s="8" t="s">
        <v>1383</v>
      </c>
      <c r="AH77" s="8" t="s">
        <v>1383</v>
      </c>
      <c r="AI77" s="27" t="s">
        <v>158</v>
      </c>
      <c r="AJ77" s="27" t="s">
        <v>158</v>
      </c>
      <c r="AK77" s="153"/>
      <c r="AL77" s="171" t="s">
        <v>997</v>
      </c>
      <c r="AM77" s="171" t="s">
        <v>997</v>
      </c>
      <c r="AN77" s="171" t="s">
        <v>997</v>
      </c>
      <c r="AO77" s="171" t="s">
        <v>445</v>
      </c>
      <c r="AP77" s="172" t="s">
        <v>158</v>
      </c>
      <c r="AQ77" s="172" t="s">
        <v>158</v>
      </c>
      <c r="AR77" s="153"/>
      <c r="AS77" s="171" t="s">
        <v>370</v>
      </c>
      <c r="AT77" s="171" t="s">
        <v>370</v>
      </c>
      <c r="AU77" s="171" t="s">
        <v>445</v>
      </c>
      <c r="AV77" s="171" t="s">
        <v>445</v>
      </c>
      <c r="AW77" s="171" t="s">
        <v>1382</v>
      </c>
      <c r="AX77" s="171" t="s">
        <v>158</v>
      </c>
    </row>
    <row r="78" spans="1:50" ht="12" x14ac:dyDescent="0.3">
      <c r="A78" s="20" t="s">
        <v>1203</v>
      </c>
      <c r="B78" s="20"/>
      <c r="C78" s="8" t="s">
        <v>445</v>
      </c>
      <c r="D78" s="8" t="s">
        <v>445</v>
      </c>
      <c r="E78" s="8" t="s">
        <v>445</v>
      </c>
      <c r="F78" s="27" t="s">
        <v>158</v>
      </c>
      <c r="G78" s="27" t="s">
        <v>158</v>
      </c>
      <c r="H78" s="27" t="s">
        <v>158</v>
      </c>
      <c r="I78" s="15"/>
      <c r="J78" s="8" t="s">
        <v>997</v>
      </c>
      <c r="K78" s="8" t="s">
        <v>997</v>
      </c>
      <c r="L78" s="8" t="s">
        <v>997</v>
      </c>
      <c r="M78" s="8" t="s">
        <v>445</v>
      </c>
      <c r="N78" s="8" t="s">
        <v>445</v>
      </c>
      <c r="O78" s="8" t="s">
        <v>445</v>
      </c>
      <c r="P78" s="15"/>
      <c r="Q78" s="8" t="s">
        <v>445</v>
      </c>
      <c r="R78" s="8" t="s">
        <v>997</v>
      </c>
      <c r="S78" s="8" t="s">
        <v>445</v>
      </c>
      <c r="T78" s="8" t="s">
        <v>445</v>
      </c>
      <c r="U78" s="27" t="s">
        <v>158</v>
      </c>
      <c r="V78" s="27" t="s">
        <v>158</v>
      </c>
      <c r="W78" s="15" t="s">
        <v>158</v>
      </c>
      <c r="X78" s="8" t="s">
        <v>445</v>
      </c>
      <c r="Y78" s="8" t="s">
        <v>997</v>
      </c>
      <c r="Z78" s="8" t="s">
        <v>445</v>
      </c>
      <c r="AA78" s="8" t="s">
        <v>445</v>
      </c>
      <c r="AB78" s="27" t="s">
        <v>158</v>
      </c>
      <c r="AC78" s="27" t="s">
        <v>158</v>
      </c>
      <c r="AD78" s="15"/>
      <c r="AE78" s="8" t="s">
        <v>445</v>
      </c>
      <c r="AF78" s="8" t="s">
        <v>997</v>
      </c>
      <c r="AG78" s="8" t="s">
        <v>445</v>
      </c>
      <c r="AH78" s="8" t="s">
        <v>445</v>
      </c>
      <c r="AI78" s="27" t="s">
        <v>158</v>
      </c>
      <c r="AJ78" s="27" t="s">
        <v>158</v>
      </c>
      <c r="AK78" s="153"/>
      <c r="AL78" s="171" t="s">
        <v>997</v>
      </c>
      <c r="AM78" s="171" t="s">
        <v>997</v>
      </c>
      <c r="AN78" s="171" t="s">
        <v>997</v>
      </c>
      <c r="AO78" s="171" t="s">
        <v>445</v>
      </c>
      <c r="AP78" s="171" t="s">
        <v>445</v>
      </c>
      <c r="AQ78" s="171" t="s">
        <v>445</v>
      </c>
      <c r="AR78" s="153"/>
      <c r="AS78" s="171" t="s">
        <v>370</v>
      </c>
      <c r="AT78" s="171" t="s">
        <v>370</v>
      </c>
      <c r="AU78" s="171" t="s">
        <v>445</v>
      </c>
      <c r="AV78" s="171" t="s">
        <v>1382</v>
      </c>
      <c r="AW78" s="171" t="s">
        <v>1382</v>
      </c>
      <c r="AX78" s="171" t="s">
        <v>1382</v>
      </c>
    </row>
    <row r="79" spans="1:50" ht="12" x14ac:dyDescent="0.3">
      <c r="A79" s="20" t="s">
        <v>1206</v>
      </c>
      <c r="B79" s="20"/>
      <c r="C79" s="8" t="s">
        <v>445</v>
      </c>
      <c r="D79" s="8" t="s">
        <v>445</v>
      </c>
      <c r="E79" s="8" t="s">
        <v>445</v>
      </c>
      <c r="F79" s="27" t="s">
        <v>158</v>
      </c>
      <c r="G79" s="27" t="s">
        <v>158</v>
      </c>
      <c r="H79" s="27" t="s">
        <v>158</v>
      </c>
      <c r="I79" s="15"/>
      <c r="J79" s="8" t="s">
        <v>1383</v>
      </c>
      <c r="K79" s="8" t="s">
        <v>1383</v>
      </c>
      <c r="L79" s="8" t="s">
        <v>1383</v>
      </c>
      <c r="M79" s="8" t="s">
        <v>1383</v>
      </c>
      <c r="N79" s="8" t="s">
        <v>1383</v>
      </c>
      <c r="O79" s="8" t="s">
        <v>1383</v>
      </c>
      <c r="P79" s="15"/>
      <c r="Q79" s="8" t="s">
        <v>445</v>
      </c>
      <c r="R79" s="8" t="s">
        <v>997</v>
      </c>
      <c r="S79" s="8" t="s">
        <v>445</v>
      </c>
      <c r="T79" s="8" t="s">
        <v>445</v>
      </c>
      <c r="U79" s="27" t="s">
        <v>158</v>
      </c>
      <c r="V79" s="27" t="s">
        <v>158</v>
      </c>
      <c r="W79" s="15" t="s">
        <v>158</v>
      </c>
      <c r="X79" s="8" t="s">
        <v>445</v>
      </c>
      <c r="Y79" s="8" t="s">
        <v>997</v>
      </c>
      <c r="Z79" s="8" t="s">
        <v>445</v>
      </c>
      <c r="AA79" s="8" t="s">
        <v>445</v>
      </c>
      <c r="AB79" s="27" t="s">
        <v>158</v>
      </c>
      <c r="AC79" s="27" t="s">
        <v>158</v>
      </c>
      <c r="AD79" s="15"/>
      <c r="AE79" s="8" t="s">
        <v>445</v>
      </c>
      <c r="AF79" s="8" t="s">
        <v>997</v>
      </c>
      <c r="AG79" s="8" t="s">
        <v>445</v>
      </c>
      <c r="AH79" s="8" t="s">
        <v>445</v>
      </c>
      <c r="AI79" s="27" t="s">
        <v>158</v>
      </c>
      <c r="AJ79" s="27" t="s">
        <v>158</v>
      </c>
      <c r="AK79" s="153"/>
      <c r="AL79" s="171" t="s">
        <v>997</v>
      </c>
      <c r="AM79" s="171" t="s">
        <v>997</v>
      </c>
      <c r="AN79" s="171" t="s">
        <v>997</v>
      </c>
      <c r="AO79" s="171" t="s">
        <v>997</v>
      </c>
      <c r="AP79" s="171" t="s">
        <v>997</v>
      </c>
      <c r="AQ79" s="171" t="s">
        <v>997</v>
      </c>
      <c r="AR79" s="153"/>
      <c r="AS79" s="171" t="s">
        <v>370</v>
      </c>
      <c r="AT79" s="171" t="s">
        <v>370</v>
      </c>
      <c r="AU79" s="171" t="s">
        <v>445</v>
      </c>
      <c r="AV79" s="171" t="s">
        <v>1382</v>
      </c>
      <c r="AW79" s="171" t="s">
        <v>1382</v>
      </c>
      <c r="AX79" s="171" t="s">
        <v>1382</v>
      </c>
    </row>
    <row r="80" spans="1:50" ht="12" x14ac:dyDescent="0.3">
      <c r="A80" s="20" t="s">
        <v>1209</v>
      </c>
      <c r="B80" s="20"/>
      <c r="C80" s="8" t="s">
        <v>445</v>
      </c>
      <c r="D80" s="8" t="s">
        <v>445</v>
      </c>
      <c r="E80" s="8" t="s">
        <v>445</v>
      </c>
      <c r="F80" s="27" t="s">
        <v>158</v>
      </c>
      <c r="G80" s="27" t="s">
        <v>158</v>
      </c>
      <c r="H80" s="27" t="s">
        <v>158</v>
      </c>
      <c r="J80" s="8" t="s">
        <v>1383</v>
      </c>
      <c r="K80" s="8" t="s">
        <v>1383</v>
      </c>
      <c r="L80" s="8" t="s">
        <v>1383</v>
      </c>
      <c r="M80" s="8" t="s">
        <v>1383</v>
      </c>
      <c r="N80" s="8" t="s">
        <v>1383</v>
      </c>
      <c r="O80" s="8" t="s">
        <v>1383</v>
      </c>
      <c r="Q80" s="8" t="s">
        <v>445</v>
      </c>
      <c r="R80" s="8" t="s">
        <v>997</v>
      </c>
      <c r="S80" s="8" t="s">
        <v>445</v>
      </c>
      <c r="T80" s="27" t="s">
        <v>158</v>
      </c>
      <c r="U80" s="27" t="s">
        <v>158</v>
      </c>
      <c r="V80" s="27" t="s">
        <v>158</v>
      </c>
      <c r="W80" s="7" t="s">
        <v>158</v>
      </c>
      <c r="X80" s="8" t="s">
        <v>445</v>
      </c>
      <c r="Y80" s="8" t="s">
        <v>997</v>
      </c>
      <c r="Z80" s="8" t="s">
        <v>445</v>
      </c>
      <c r="AA80" s="27" t="s">
        <v>158</v>
      </c>
      <c r="AB80" s="27" t="s">
        <v>158</v>
      </c>
      <c r="AC80" s="27" t="s">
        <v>158</v>
      </c>
      <c r="AE80" s="8" t="s">
        <v>445</v>
      </c>
      <c r="AF80" s="8" t="s">
        <v>997</v>
      </c>
      <c r="AG80" s="8" t="s">
        <v>445</v>
      </c>
      <c r="AH80" s="27" t="s">
        <v>158</v>
      </c>
      <c r="AI80" s="27" t="s">
        <v>158</v>
      </c>
      <c r="AJ80" s="27" t="s">
        <v>158</v>
      </c>
      <c r="AK80" s="153"/>
      <c r="AL80" s="171" t="s">
        <v>997</v>
      </c>
      <c r="AM80" s="171" t="s">
        <v>997</v>
      </c>
      <c r="AN80" s="171" t="s">
        <v>997</v>
      </c>
      <c r="AO80" s="171" t="s">
        <v>445</v>
      </c>
      <c r="AP80" s="172" t="s">
        <v>158</v>
      </c>
      <c r="AQ80" s="172" t="s">
        <v>158</v>
      </c>
      <c r="AR80" s="153"/>
      <c r="AS80" s="171" t="s">
        <v>370</v>
      </c>
      <c r="AT80" s="171" t="s">
        <v>370</v>
      </c>
      <c r="AU80" s="171" t="s">
        <v>445</v>
      </c>
      <c r="AV80" s="171" t="s">
        <v>1382</v>
      </c>
      <c r="AW80" s="171" t="s">
        <v>1382</v>
      </c>
      <c r="AX80" s="171" t="s">
        <v>1382</v>
      </c>
    </row>
    <row r="81" spans="1:50" ht="12" x14ac:dyDescent="0.3">
      <c r="A81" s="20" t="s">
        <v>1212</v>
      </c>
      <c r="B81" s="8"/>
      <c r="C81" s="8" t="s">
        <v>75</v>
      </c>
      <c r="D81" s="8" t="s">
        <v>158</v>
      </c>
      <c r="E81" s="8" t="s">
        <v>158</v>
      </c>
      <c r="F81" s="8" t="s">
        <v>158</v>
      </c>
      <c r="G81" s="8" t="s">
        <v>158</v>
      </c>
      <c r="H81" s="8" t="s">
        <v>158</v>
      </c>
      <c r="J81" s="8" t="s">
        <v>75</v>
      </c>
      <c r="K81" s="8" t="s">
        <v>158</v>
      </c>
      <c r="L81" s="8" t="s">
        <v>158</v>
      </c>
      <c r="M81" s="8" t="s">
        <v>158</v>
      </c>
      <c r="N81" s="8" t="s">
        <v>158</v>
      </c>
      <c r="O81" s="8" t="s">
        <v>158</v>
      </c>
      <c r="Q81" s="8" t="s">
        <v>75</v>
      </c>
      <c r="R81" s="8" t="s">
        <v>158</v>
      </c>
      <c r="S81" s="8" t="s">
        <v>158</v>
      </c>
      <c r="T81" s="8" t="s">
        <v>158</v>
      </c>
      <c r="U81" s="8" t="s">
        <v>158</v>
      </c>
      <c r="V81" s="8" t="s">
        <v>158</v>
      </c>
      <c r="W81" s="7" t="s">
        <v>158</v>
      </c>
      <c r="X81" s="8" t="s">
        <v>75</v>
      </c>
      <c r="Y81" s="8" t="s">
        <v>158</v>
      </c>
      <c r="Z81" s="8" t="s">
        <v>158</v>
      </c>
      <c r="AA81" s="8" t="s">
        <v>158</v>
      </c>
      <c r="AB81" s="8" t="s">
        <v>158</v>
      </c>
      <c r="AC81" s="8" t="s">
        <v>158</v>
      </c>
      <c r="AE81" s="8" t="s">
        <v>75</v>
      </c>
      <c r="AF81" s="8" t="s">
        <v>158</v>
      </c>
      <c r="AG81" s="8" t="s">
        <v>158</v>
      </c>
      <c r="AH81" s="8" t="s">
        <v>158</v>
      </c>
      <c r="AI81" s="8" t="s">
        <v>158</v>
      </c>
      <c r="AJ81" s="8" t="s">
        <v>158</v>
      </c>
      <c r="AL81" s="8" t="s">
        <v>75</v>
      </c>
      <c r="AM81" s="8" t="s">
        <v>158</v>
      </c>
      <c r="AN81" s="8" t="s">
        <v>158</v>
      </c>
      <c r="AO81" s="8" t="s">
        <v>158</v>
      </c>
      <c r="AP81" s="8" t="s">
        <v>158</v>
      </c>
      <c r="AQ81" s="8" t="s">
        <v>158</v>
      </c>
      <c r="AR81" s="153"/>
      <c r="AS81" s="171" t="s">
        <v>370</v>
      </c>
      <c r="AT81" s="171" t="s">
        <v>370</v>
      </c>
      <c r="AU81" s="171" t="s">
        <v>445</v>
      </c>
      <c r="AV81" s="171" t="s">
        <v>1382</v>
      </c>
      <c r="AW81" s="171" t="s">
        <v>1382</v>
      </c>
      <c r="AX81" s="171" t="s">
        <v>1382</v>
      </c>
    </row>
    <row r="82" spans="1:50" ht="12" x14ac:dyDescent="0.3">
      <c r="A82" s="20" t="s">
        <v>1214</v>
      </c>
      <c r="B82" s="8"/>
      <c r="C82" s="8" t="s">
        <v>75</v>
      </c>
      <c r="D82" s="8" t="s">
        <v>158</v>
      </c>
      <c r="E82" s="8" t="s">
        <v>158</v>
      </c>
      <c r="F82" s="8" t="s">
        <v>158</v>
      </c>
      <c r="G82" s="8" t="s">
        <v>158</v>
      </c>
      <c r="H82" s="8" t="s">
        <v>158</v>
      </c>
      <c r="J82" s="8" t="s">
        <v>75</v>
      </c>
      <c r="K82" s="8" t="s">
        <v>158</v>
      </c>
      <c r="L82" s="8" t="s">
        <v>158</v>
      </c>
      <c r="M82" s="8" t="s">
        <v>158</v>
      </c>
      <c r="N82" s="8" t="s">
        <v>158</v>
      </c>
      <c r="O82" s="8" t="s">
        <v>158</v>
      </c>
      <c r="Q82" s="8" t="s">
        <v>75</v>
      </c>
      <c r="R82" s="8" t="s">
        <v>158</v>
      </c>
      <c r="S82" s="8" t="s">
        <v>158</v>
      </c>
      <c r="T82" s="8" t="s">
        <v>158</v>
      </c>
      <c r="U82" s="8" t="s">
        <v>158</v>
      </c>
      <c r="V82" s="8" t="s">
        <v>158</v>
      </c>
      <c r="W82" s="7" t="s">
        <v>158</v>
      </c>
      <c r="X82" s="8" t="s">
        <v>75</v>
      </c>
      <c r="Y82" s="8" t="s">
        <v>158</v>
      </c>
      <c r="Z82" s="8" t="s">
        <v>158</v>
      </c>
      <c r="AA82" s="8" t="s">
        <v>158</v>
      </c>
      <c r="AB82" s="8" t="s">
        <v>158</v>
      </c>
      <c r="AC82" s="8" t="s">
        <v>158</v>
      </c>
      <c r="AE82" s="8" t="s">
        <v>75</v>
      </c>
      <c r="AF82" s="8" t="s">
        <v>158</v>
      </c>
      <c r="AG82" s="8" t="s">
        <v>158</v>
      </c>
      <c r="AH82" s="8" t="s">
        <v>158</v>
      </c>
      <c r="AI82" s="8" t="s">
        <v>158</v>
      </c>
      <c r="AJ82" s="8" t="s">
        <v>158</v>
      </c>
      <c r="AL82" s="8" t="s">
        <v>75</v>
      </c>
      <c r="AM82" s="8" t="s">
        <v>158</v>
      </c>
      <c r="AN82" s="8" t="s">
        <v>158</v>
      </c>
      <c r="AO82" s="8" t="s">
        <v>158</v>
      </c>
      <c r="AP82" s="8" t="s">
        <v>158</v>
      </c>
      <c r="AQ82" s="8" t="s">
        <v>158</v>
      </c>
      <c r="AR82" s="153"/>
      <c r="AS82" s="171" t="s">
        <v>370</v>
      </c>
      <c r="AT82" s="171" t="s">
        <v>370</v>
      </c>
      <c r="AU82" s="171" t="s">
        <v>445</v>
      </c>
      <c r="AV82" s="171" t="s">
        <v>445</v>
      </c>
      <c r="AW82" s="171" t="s">
        <v>1382</v>
      </c>
      <c r="AX82" s="171" t="s">
        <v>1382</v>
      </c>
    </row>
    <row r="83" spans="1:50" ht="12" x14ac:dyDescent="0.3">
      <c r="A83" s="20" t="s">
        <v>1215</v>
      </c>
      <c r="B83" s="8"/>
      <c r="C83" s="8" t="s">
        <v>75</v>
      </c>
      <c r="D83" s="8" t="s">
        <v>158</v>
      </c>
      <c r="E83" s="8" t="s">
        <v>158</v>
      </c>
      <c r="F83" s="8" t="s">
        <v>158</v>
      </c>
      <c r="G83" s="8" t="s">
        <v>158</v>
      </c>
      <c r="H83" s="8" t="s">
        <v>158</v>
      </c>
      <c r="J83" s="8" t="s">
        <v>75</v>
      </c>
      <c r="K83" s="8" t="s">
        <v>158</v>
      </c>
      <c r="L83" s="8" t="s">
        <v>158</v>
      </c>
      <c r="M83" s="8" t="s">
        <v>158</v>
      </c>
      <c r="N83" s="8" t="s">
        <v>158</v>
      </c>
      <c r="O83" s="8" t="s">
        <v>158</v>
      </c>
      <c r="Q83" s="8" t="s">
        <v>75</v>
      </c>
      <c r="R83" s="8" t="s">
        <v>158</v>
      </c>
      <c r="S83" s="8" t="s">
        <v>158</v>
      </c>
      <c r="T83" s="8" t="s">
        <v>158</v>
      </c>
      <c r="U83" s="8" t="s">
        <v>158</v>
      </c>
      <c r="V83" s="8" t="s">
        <v>158</v>
      </c>
      <c r="W83" s="7" t="s">
        <v>158</v>
      </c>
      <c r="X83" s="8" t="s">
        <v>75</v>
      </c>
      <c r="Y83" s="8" t="s">
        <v>158</v>
      </c>
      <c r="Z83" s="8" t="s">
        <v>158</v>
      </c>
      <c r="AA83" s="8" t="s">
        <v>158</v>
      </c>
      <c r="AB83" s="8" t="s">
        <v>158</v>
      </c>
      <c r="AC83" s="8" t="s">
        <v>158</v>
      </c>
      <c r="AE83" s="8" t="s">
        <v>75</v>
      </c>
      <c r="AF83" s="8" t="s">
        <v>158</v>
      </c>
      <c r="AG83" s="8" t="s">
        <v>158</v>
      </c>
      <c r="AH83" s="8" t="s">
        <v>158</v>
      </c>
      <c r="AI83" s="8" t="s">
        <v>158</v>
      </c>
      <c r="AJ83" s="8" t="s">
        <v>158</v>
      </c>
      <c r="AL83" s="8" t="s">
        <v>75</v>
      </c>
      <c r="AM83" s="8" t="s">
        <v>158</v>
      </c>
      <c r="AN83" s="8" t="s">
        <v>158</v>
      </c>
      <c r="AO83" s="8" t="s">
        <v>158</v>
      </c>
      <c r="AP83" s="8" t="s">
        <v>158</v>
      </c>
      <c r="AQ83" s="8" t="s">
        <v>158</v>
      </c>
      <c r="AR83" s="153"/>
      <c r="AS83" s="171" t="s">
        <v>370</v>
      </c>
      <c r="AT83" s="171" t="s">
        <v>370</v>
      </c>
      <c r="AU83" s="171" t="s">
        <v>445</v>
      </c>
      <c r="AV83" s="171" t="s">
        <v>1382</v>
      </c>
      <c r="AW83" s="171" t="s">
        <v>1382</v>
      </c>
      <c r="AX83" s="171" t="s">
        <v>1382</v>
      </c>
    </row>
    <row r="84" spans="1:50" ht="12" x14ac:dyDescent="0.3">
      <c r="A84" s="20" t="s">
        <v>1217</v>
      </c>
      <c r="B84" s="8"/>
      <c r="C84" s="8" t="s">
        <v>75</v>
      </c>
      <c r="D84" s="8" t="s">
        <v>158</v>
      </c>
      <c r="E84" s="8" t="s">
        <v>158</v>
      </c>
      <c r="F84" s="8" t="s">
        <v>158</v>
      </c>
      <c r="G84" s="8" t="s">
        <v>158</v>
      </c>
      <c r="H84" s="8" t="s">
        <v>158</v>
      </c>
      <c r="J84" s="8" t="s">
        <v>75</v>
      </c>
      <c r="K84" s="8" t="s">
        <v>158</v>
      </c>
      <c r="L84" s="8" t="s">
        <v>158</v>
      </c>
      <c r="M84" s="8" t="s">
        <v>158</v>
      </c>
      <c r="N84" s="8" t="s">
        <v>158</v>
      </c>
      <c r="O84" s="8" t="s">
        <v>158</v>
      </c>
      <c r="Q84" s="8" t="s">
        <v>75</v>
      </c>
      <c r="R84" s="8" t="s">
        <v>158</v>
      </c>
      <c r="S84" s="8" t="s">
        <v>158</v>
      </c>
      <c r="T84" s="8" t="s">
        <v>158</v>
      </c>
      <c r="U84" s="8" t="s">
        <v>158</v>
      </c>
      <c r="V84" s="8" t="s">
        <v>158</v>
      </c>
      <c r="W84" s="7" t="s">
        <v>158</v>
      </c>
      <c r="X84" s="8" t="s">
        <v>75</v>
      </c>
      <c r="Y84" s="8" t="s">
        <v>158</v>
      </c>
      <c r="Z84" s="8" t="s">
        <v>158</v>
      </c>
      <c r="AA84" s="8" t="s">
        <v>158</v>
      </c>
      <c r="AB84" s="8" t="s">
        <v>158</v>
      </c>
      <c r="AC84" s="8" t="s">
        <v>158</v>
      </c>
      <c r="AE84" s="8" t="s">
        <v>75</v>
      </c>
      <c r="AF84" s="8" t="s">
        <v>158</v>
      </c>
      <c r="AG84" s="8" t="s">
        <v>158</v>
      </c>
      <c r="AH84" s="8" t="s">
        <v>158</v>
      </c>
      <c r="AI84" s="8" t="s">
        <v>158</v>
      </c>
      <c r="AJ84" s="8" t="s">
        <v>158</v>
      </c>
      <c r="AL84" s="8" t="s">
        <v>75</v>
      </c>
      <c r="AM84" s="8" t="s">
        <v>158</v>
      </c>
      <c r="AN84" s="8" t="s">
        <v>158</v>
      </c>
      <c r="AO84" s="8" t="s">
        <v>158</v>
      </c>
      <c r="AP84" s="8" t="s">
        <v>158</v>
      </c>
      <c r="AQ84" s="8" t="s">
        <v>158</v>
      </c>
      <c r="AR84" s="153"/>
      <c r="AS84" s="171" t="s">
        <v>370</v>
      </c>
      <c r="AT84" s="171" t="s">
        <v>370</v>
      </c>
      <c r="AU84" s="171" t="s">
        <v>445</v>
      </c>
      <c r="AV84" s="171" t="s">
        <v>445</v>
      </c>
      <c r="AW84" s="171" t="s">
        <v>1382</v>
      </c>
      <c r="AX84" s="171" t="s">
        <v>1382</v>
      </c>
    </row>
    <row r="85" spans="1:50" ht="12" x14ac:dyDescent="0.3">
      <c r="A85" s="20" t="s">
        <v>1218</v>
      </c>
      <c r="B85" s="8"/>
      <c r="C85" s="8" t="s">
        <v>75</v>
      </c>
      <c r="D85" s="8" t="s">
        <v>158</v>
      </c>
      <c r="E85" s="8" t="s">
        <v>158</v>
      </c>
      <c r="F85" s="8" t="s">
        <v>158</v>
      </c>
      <c r="G85" s="8" t="s">
        <v>158</v>
      </c>
      <c r="H85" s="8" t="s">
        <v>158</v>
      </c>
      <c r="J85" s="8" t="s">
        <v>75</v>
      </c>
      <c r="K85" s="8" t="s">
        <v>158</v>
      </c>
      <c r="L85" s="8" t="s">
        <v>158</v>
      </c>
      <c r="M85" s="8" t="s">
        <v>158</v>
      </c>
      <c r="N85" s="8" t="s">
        <v>158</v>
      </c>
      <c r="O85" s="8" t="s">
        <v>158</v>
      </c>
      <c r="Q85" s="8" t="s">
        <v>75</v>
      </c>
      <c r="R85" s="8" t="s">
        <v>158</v>
      </c>
      <c r="S85" s="8" t="s">
        <v>158</v>
      </c>
      <c r="T85" s="8" t="s">
        <v>158</v>
      </c>
      <c r="U85" s="8" t="s">
        <v>158</v>
      </c>
      <c r="V85" s="8" t="s">
        <v>158</v>
      </c>
      <c r="W85" s="7" t="s">
        <v>158</v>
      </c>
      <c r="X85" s="8" t="s">
        <v>75</v>
      </c>
      <c r="Y85" s="8" t="s">
        <v>158</v>
      </c>
      <c r="Z85" s="8" t="s">
        <v>158</v>
      </c>
      <c r="AA85" s="8" t="s">
        <v>158</v>
      </c>
      <c r="AB85" s="8" t="s">
        <v>158</v>
      </c>
      <c r="AC85" s="8" t="s">
        <v>158</v>
      </c>
      <c r="AE85" s="8" t="s">
        <v>75</v>
      </c>
      <c r="AF85" s="8" t="s">
        <v>158</v>
      </c>
      <c r="AG85" s="8" t="s">
        <v>158</v>
      </c>
      <c r="AH85" s="8" t="s">
        <v>158</v>
      </c>
      <c r="AI85" s="8" t="s">
        <v>158</v>
      </c>
      <c r="AJ85" s="8" t="s">
        <v>158</v>
      </c>
      <c r="AL85" s="8" t="s">
        <v>75</v>
      </c>
      <c r="AM85" s="8" t="s">
        <v>158</v>
      </c>
      <c r="AN85" s="8" t="s">
        <v>158</v>
      </c>
      <c r="AO85" s="8" t="s">
        <v>158</v>
      </c>
      <c r="AP85" s="8" t="s">
        <v>158</v>
      </c>
      <c r="AQ85" s="8" t="s">
        <v>158</v>
      </c>
      <c r="AR85" s="153"/>
      <c r="AS85" s="171" t="s">
        <v>370</v>
      </c>
      <c r="AT85" s="171" t="s">
        <v>370</v>
      </c>
      <c r="AU85" s="171" t="s">
        <v>445</v>
      </c>
      <c r="AV85" s="171" t="s">
        <v>1382</v>
      </c>
      <c r="AW85" s="171" t="s">
        <v>1382</v>
      </c>
      <c r="AX85" s="171" t="s">
        <v>1382</v>
      </c>
    </row>
    <row r="86" spans="1:50" ht="12" x14ac:dyDescent="0.3">
      <c r="A86" s="20" t="s">
        <v>1220</v>
      </c>
      <c r="B86" s="8"/>
      <c r="C86" s="8" t="s">
        <v>75</v>
      </c>
      <c r="D86" s="8" t="s">
        <v>158</v>
      </c>
      <c r="E86" s="8" t="s">
        <v>158</v>
      </c>
      <c r="F86" s="8" t="s">
        <v>158</v>
      </c>
      <c r="G86" s="8" t="s">
        <v>158</v>
      </c>
      <c r="H86" s="8" t="s">
        <v>158</v>
      </c>
      <c r="J86" s="8" t="s">
        <v>75</v>
      </c>
      <c r="K86" s="8" t="s">
        <v>158</v>
      </c>
      <c r="L86" s="8" t="s">
        <v>158</v>
      </c>
      <c r="M86" s="8" t="s">
        <v>158</v>
      </c>
      <c r="N86" s="8" t="s">
        <v>158</v>
      </c>
      <c r="O86" s="8" t="s">
        <v>158</v>
      </c>
      <c r="Q86" s="8" t="s">
        <v>75</v>
      </c>
      <c r="R86" s="8" t="s">
        <v>158</v>
      </c>
      <c r="S86" s="8" t="s">
        <v>158</v>
      </c>
      <c r="T86" s="8" t="s">
        <v>158</v>
      </c>
      <c r="U86" s="8" t="s">
        <v>158</v>
      </c>
      <c r="V86" s="8" t="s">
        <v>158</v>
      </c>
      <c r="W86" s="7" t="s">
        <v>158</v>
      </c>
      <c r="X86" s="8" t="s">
        <v>75</v>
      </c>
      <c r="Y86" s="8" t="s">
        <v>158</v>
      </c>
      <c r="Z86" s="8" t="s">
        <v>158</v>
      </c>
      <c r="AA86" s="8" t="s">
        <v>158</v>
      </c>
      <c r="AB86" s="8" t="s">
        <v>158</v>
      </c>
      <c r="AC86" s="8" t="s">
        <v>158</v>
      </c>
      <c r="AE86" s="8" t="s">
        <v>75</v>
      </c>
      <c r="AF86" s="8" t="s">
        <v>158</v>
      </c>
      <c r="AG86" s="8" t="s">
        <v>158</v>
      </c>
      <c r="AH86" s="8" t="s">
        <v>158</v>
      </c>
      <c r="AI86" s="8" t="s">
        <v>158</v>
      </c>
      <c r="AJ86" s="8" t="s">
        <v>158</v>
      </c>
      <c r="AL86" s="8" t="s">
        <v>75</v>
      </c>
      <c r="AM86" s="8" t="s">
        <v>158</v>
      </c>
      <c r="AN86" s="8" t="s">
        <v>158</v>
      </c>
      <c r="AO86" s="8" t="s">
        <v>158</v>
      </c>
      <c r="AP86" s="8" t="s">
        <v>158</v>
      </c>
      <c r="AQ86" s="8" t="s">
        <v>158</v>
      </c>
      <c r="AR86" s="153"/>
      <c r="AS86" s="171" t="s">
        <v>370</v>
      </c>
      <c r="AT86" s="171" t="s">
        <v>370</v>
      </c>
      <c r="AU86" s="171" t="s">
        <v>445</v>
      </c>
      <c r="AV86" s="171" t="s">
        <v>445</v>
      </c>
      <c r="AW86" s="171" t="s">
        <v>158</v>
      </c>
      <c r="AX86" s="171" t="s">
        <v>158</v>
      </c>
    </row>
    <row r="87" spans="1:50" ht="12" x14ac:dyDescent="0.3">
      <c r="A87" s="20" t="s">
        <v>1222</v>
      </c>
      <c r="B87" s="8"/>
      <c r="C87" s="8" t="s">
        <v>75</v>
      </c>
      <c r="D87" s="8" t="s">
        <v>158</v>
      </c>
      <c r="E87" s="8" t="s">
        <v>158</v>
      </c>
      <c r="F87" s="8" t="s">
        <v>158</v>
      </c>
      <c r="G87" s="8" t="s">
        <v>158</v>
      </c>
      <c r="H87" s="8" t="s">
        <v>158</v>
      </c>
      <c r="J87" s="8" t="s">
        <v>75</v>
      </c>
      <c r="K87" s="8" t="s">
        <v>158</v>
      </c>
      <c r="L87" s="8" t="s">
        <v>158</v>
      </c>
      <c r="M87" s="8" t="s">
        <v>158</v>
      </c>
      <c r="N87" s="8" t="s">
        <v>158</v>
      </c>
      <c r="O87" s="8" t="s">
        <v>158</v>
      </c>
      <c r="Q87" s="8" t="s">
        <v>75</v>
      </c>
      <c r="R87" s="8" t="s">
        <v>158</v>
      </c>
      <c r="S87" s="8" t="s">
        <v>158</v>
      </c>
      <c r="T87" s="8" t="s">
        <v>158</v>
      </c>
      <c r="U87" s="8" t="s">
        <v>158</v>
      </c>
      <c r="V87" s="8" t="s">
        <v>158</v>
      </c>
      <c r="W87" s="7" t="s">
        <v>158</v>
      </c>
      <c r="X87" s="8" t="s">
        <v>75</v>
      </c>
      <c r="Y87" s="8" t="s">
        <v>158</v>
      </c>
      <c r="Z87" s="8" t="s">
        <v>158</v>
      </c>
      <c r="AA87" s="8" t="s">
        <v>158</v>
      </c>
      <c r="AB87" s="8" t="s">
        <v>158</v>
      </c>
      <c r="AC87" s="8" t="s">
        <v>158</v>
      </c>
      <c r="AE87" s="8" t="s">
        <v>75</v>
      </c>
      <c r="AF87" s="8" t="s">
        <v>158</v>
      </c>
      <c r="AG87" s="8" t="s">
        <v>158</v>
      </c>
      <c r="AH87" s="8" t="s">
        <v>158</v>
      </c>
      <c r="AI87" s="8" t="s">
        <v>158</v>
      </c>
      <c r="AJ87" s="8" t="s">
        <v>158</v>
      </c>
      <c r="AL87" s="8" t="s">
        <v>75</v>
      </c>
      <c r="AM87" s="8" t="s">
        <v>158</v>
      </c>
      <c r="AN87" s="8" t="s">
        <v>158</v>
      </c>
      <c r="AO87" s="8" t="s">
        <v>158</v>
      </c>
      <c r="AP87" s="8" t="s">
        <v>158</v>
      </c>
      <c r="AQ87" s="8" t="s">
        <v>158</v>
      </c>
      <c r="AR87" s="153"/>
      <c r="AS87" s="171" t="s">
        <v>370</v>
      </c>
      <c r="AT87" s="171" t="s">
        <v>370</v>
      </c>
      <c r="AU87" s="171" t="s">
        <v>445</v>
      </c>
      <c r="AV87" s="171" t="s">
        <v>445</v>
      </c>
      <c r="AW87" s="172" t="s">
        <v>1382</v>
      </c>
      <c r="AX87" s="172" t="s">
        <v>1382</v>
      </c>
    </row>
    <row r="88" spans="1:50" ht="12" x14ac:dyDescent="0.3">
      <c r="A88" s="20" t="s">
        <v>1223</v>
      </c>
      <c r="B88" s="8"/>
      <c r="C88" s="8" t="s">
        <v>75</v>
      </c>
      <c r="D88" s="8" t="s">
        <v>158</v>
      </c>
      <c r="E88" s="8" t="s">
        <v>158</v>
      </c>
      <c r="F88" s="8" t="s">
        <v>158</v>
      </c>
      <c r="G88" s="8" t="s">
        <v>158</v>
      </c>
      <c r="H88" s="8" t="s">
        <v>158</v>
      </c>
      <c r="J88" s="8" t="s">
        <v>75</v>
      </c>
      <c r="K88" s="8" t="s">
        <v>158</v>
      </c>
      <c r="L88" s="8" t="s">
        <v>158</v>
      </c>
      <c r="M88" s="8" t="s">
        <v>158</v>
      </c>
      <c r="N88" s="8" t="s">
        <v>158</v>
      </c>
      <c r="O88" s="8" t="s">
        <v>158</v>
      </c>
      <c r="Q88" s="8" t="s">
        <v>75</v>
      </c>
      <c r="R88" s="8" t="s">
        <v>158</v>
      </c>
      <c r="S88" s="8" t="s">
        <v>158</v>
      </c>
      <c r="T88" s="8" t="s">
        <v>158</v>
      </c>
      <c r="U88" s="8" t="s">
        <v>158</v>
      </c>
      <c r="V88" s="8" t="s">
        <v>158</v>
      </c>
      <c r="W88" s="7" t="s">
        <v>158</v>
      </c>
      <c r="X88" s="8" t="s">
        <v>75</v>
      </c>
      <c r="Y88" s="8" t="s">
        <v>158</v>
      </c>
      <c r="Z88" s="8" t="s">
        <v>158</v>
      </c>
      <c r="AA88" s="8" t="s">
        <v>158</v>
      </c>
      <c r="AB88" s="8" t="s">
        <v>158</v>
      </c>
      <c r="AC88" s="8" t="s">
        <v>158</v>
      </c>
      <c r="AE88" s="8" t="s">
        <v>75</v>
      </c>
      <c r="AF88" s="8" t="s">
        <v>158</v>
      </c>
      <c r="AG88" s="8" t="s">
        <v>158</v>
      </c>
      <c r="AH88" s="8" t="s">
        <v>158</v>
      </c>
      <c r="AI88" s="8" t="s">
        <v>158</v>
      </c>
      <c r="AJ88" s="8" t="s">
        <v>158</v>
      </c>
      <c r="AL88" s="8" t="s">
        <v>75</v>
      </c>
      <c r="AM88" s="8" t="s">
        <v>158</v>
      </c>
      <c r="AN88" s="8" t="s">
        <v>158</v>
      </c>
      <c r="AO88" s="8" t="s">
        <v>158</v>
      </c>
      <c r="AP88" s="8" t="s">
        <v>158</v>
      </c>
      <c r="AQ88" s="8" t="s">
        <v>158</v>
      </c>
      <c r="AR88" s="153"/>
      <c r="AS88" s="171" t="s">
        <v>370</v>
      </c>
      <c r="AT88" s="171" t="s">
        <v>370</v>
      </c>
      <c r="AU88" s="171" t="s">
        <v>445</v>
      </c>
      <c r="AV88" s="171" t="s">
        <v>445</v>
      </c>
      <c r="AW88" s="171" t="s">
        <v>1382</v>
      </c>
      <c r="AX88" s="171" t="s">
        <v>1382</v>
      </c>
    </row>
    <row r="89" spans="1:50" ht="12" x14ac:dyDescent="0.3">
      <c r="A89" s="20" t="s">
        <v>1225</v>
      </c>
      <c r="B89" s="8"/>
      <c r="C89" s="8" t="s">
        <v>75</v>
      </c>
      <c r="D89" s="8" t="s">
        <v>158</v>
      </c>
      <c r="E89" s="8" t="s">
        <v>158</v>
      </c>
      <c r="F89" s="8" t="s">
        <v>158</v>
      </c>
      <c r="G89" s="8" t="s">
        <v>158</v>
      </c>
      <c r="H89" s="8" t="s">
        <v>158</v>
      </c>
      <c r="J89" s="8" t="s">
        <v>75</v>
      </c>
      <c r="K89" s="8" t="s">
        <v>158</v>
      </c>
      <c r="L89" s="8" t="s">
        <v>158</v>
      </c>
      <c r="M89" s="8" t="s">
        <v>158</v>
      </c>
      <c r="N89" s="8" t="s">
        <v>158</v>
      </c>
      <c r="O89" s="8" t="s">
        <v>158</v>
      </c>
      <c r="Q89" s="8" t="s">
        <v>75</v>
      </c>
      <c r="R89" s="8" t="s">
        <v>158</v>
      </c>
      <c r="S89" s="8" t="s">
        <v>158</v>
      </c>
      <c r="T89" s="8" t="s">
        <v>158</v>
      </c>
      <c r="U89" s="8" t="s">
        <v>158</v>
      </c>
      <c r="V89" s="8" t="s">
        <v>158</v>
      </c>
      <c r="W89" s="7" t="s">
        <v>158</v>
      </c>
      <c r="X89" s="8" t="s">
        <v>75</v>
      </c>
      <c r="Y89" s="8" t="s">
        <v>158</v>
      </c>
      <c r="Z89" s="8" t="s">
        <v>158</v>
      </c>
      <c r="AA89" s="8" t="s">
        <v>158</v>
      </c>
      <c r="AB89" s="8" t="s">
        <v>158</v>
      </c>
      <c r="AC89" s="8" t="s">
        <v>158</v>
      </c>
      <c r="AE89" s="8" t="s">
        <v>75</v>
      </c>
      <c r="AF89" s="8" t="s">
        <v>158</v>
      </c>
      <c r="AG89" s="8" t="s">
        <v>158</v>
      </c>
      <c r="AH89" s="8" t="s">
        <v>158</v>
      </c>
      <c r="AI89" s="8" t="s">
        <v>158</v>
      </c>
      <c r="AJ89" s="8" t="s">
        <v>158</v>
      </c>
      <c r="AL89" s="8" t="s">
        <v>75</v>
      </c>
      <c r="AM89" s="8" t="s">
        <v>158</v>
      </c>
      <c r="AN89" s="8" t="s">
        <v>158</v>
      </c>
      <c r="AO89" s="8" t="s">
        <v>158</v>
      </c>
      <c r="AP89" s="8" t="s">
        <v>158</v>
      </c>
      <c r="AQ89" s="8" t="s">
        <v>158</v>
      </c>
      <c r="AR89" s="153"/>
      <c r="AS89" s="171" t="s">
        <v>370</v>
      </c>
      <c r="AT89" s="171" t="s">
        <v>370</v>
      </c>
      <c r="AU89" s="171" t="s">
        <v>445</v>
      </c>
      <c r="AV89" s="171" t="s">
        <v>445</v>
      </c>
      <c r="AW89" s="171" t="s">
        <v>1382</v>
      </c>
      <c r="AX89" s="171" t="s">
        <v>1382</v>
      </c>
    </row>
    <row r="90" spans="1:50" ht="12" x14ac:dyDescent="0.3">
      <c r="A90" s="20" t="s">
        <v>1226</v>
      </c>
      <c r="B90" s="8"/>
      <c r="C90" s="8" t="s">
        <v>75</v>
      </c>
      <c r="D90" s="8" t="s">
        <v>158</v>
      </c>
      <c r="E90" s="8" t="s">
        <v>158</v>
      </c>
      <c r="F90" s="8" t="s">
        <v>158</v>
      </c>
      <c r="G90" s="8" t="s">
        <v>158</v>
      </c>
      <c r="H90" s="8" t="s">
        <v>158</v>
      </c>
      <c r="J90" s="8" t="s">
        <v>75</v>
      </c>
      <c r="K90" s="8" t="s">
        <v>158</v>
      </c>
      <c r="L90" s="8" t="s">
        <v>158</v>
      </c>
      <c r="M90" s="8" t="s">
        <v>158</v>
      </c>
      <c r="N90" s="8" t="s">
        <v>158</v>
      </c>
      <c r="O90" s="8" t="s">
        <v>158</v>
      </c>
      <c r="Q90" s="8" t="s">
        <v>75</v>
      </c>
      <c r="R90" s="8" t="s">
        <v>158</v>
      </c>
      <c r="S90" s="8" t="s">
        <v>158</v>
      </c>
      <c r="T90" s="8" t="s">
        <v>158</v>
      </c>
      <c r="U90" s="8" t="s">
        <v>158</v>
      </c>
      <c r="V90" s="8" t="s">
        <v>158</v>
      </c>
      <c r="W90" s="7" t="s">
        <v>158</v>
      </c>
      <c r="X90" s="8" t="s">
        <v>75</v>
      </c>
      <c r="Y90" s="8" t="s">
        <v>158</v>
      </c>
      <c r="Z90" s="8" t="s">
        <v>158</v>
      </c>
      <c r="AA90" s="8" t="s">
        <v>158</v>
      </c>
      <c r="AB90" s="8" t="s">
        <v>158</v>
      </c>
      <c r="AC90" s="8" t="s">
        <v>158</v>
      </c>
      <c r="AE90" s="8" t="s">
        <v>75</v>
      </c>
      <c r="AF90" s="8" t="s">
        <v>158</v>
      </c>
      <c r="AG90" s="8" t="s">
        <v>158</v>
      </c>
      <c r="AH90" s="8" t="s">
        <v>158</v>
      </c>
      <c r="AI90" s="8" t="s">
        <v>158</v>
      </c>
      <c r="AJ90" s="8" t="s">
        <v>158</v>
      </c>
      <c r="AL90" s="8" t="s">
        <v>75</v>
      </c>
      <c r="AM90" s="8" t="s">
        <v>158</v>
      </c>
      <c r="AN90" s="8" t="s">
        <v>158</v>
      </c>
      <c r="AO90" s="8" t="s">
        <v>158</v>
      </c>
      <c r="AP90" s="8" t="s">
        <v>158</v>
      </c>
      <c r="AQ90" s="8" t="s">
        <v>158</v>
      </c>
      <c r="AR90" s="153"/>
      <c r="AS90" s="171" t="s">
        <v>370</v>
      </c>
      <c r="AT90" s="171" t="s">
        <v>370</v>
      </c>
      <c r="AU90" s="171" t="s">
        <v>445</v>
      </c>
      <c r="AV90" s="171" t="s">
        <v>445</v>
      </c>
      <c r="AW90" s="172" t="s">
        <v>1382</v>
      </c>
      <c r="AX90" s="172" t="s">
        <v>1382</v>
      </c>
    </row>
    <row r="91" spans="1:50" x14ac:dyDescent="0.3">
      <c r="A91" s="20" t="s">
        <v>1227</v>
      </c>
      <c r="B91" s="20"/>
      <c r="C91" s="8" t="s">
        <v>75</v>
      </c>
      <c r="D91" s="8" t="s">
        <v>158</v>
      </c>
      <c r="E91" s="8" t="s">
        <v>158</v>
      </c>
      <c r="F91" s="8" t="s">
        <v>158</v>
      </c>
      <c r="G91" s="8" t="s">
        <v>158</v>
      </c>
      <c r="H91" s="8" t="s">
        <v>158</v>
      </c>
      <c r="J91" s="8" t="s">
        <v>75</v>
      </c>
      <c r="K91" s="8" t="s">
        <v>158</v>
      </c>
      <c r="L91" s="8" t="s">
        <v>158</v>
      </c>
      <c r="M91" s="8" t="s">
        <v>158</v>
      </c>
      <c r="N91" s="8" t="s">
        <v>158</v>
      </c>
      <c r="O91" s="8" t="s">
        <v>158</v>
      </c>
      <c r="Q91" s="8" t="s">
        <v>75</v>
      </c>
      <c r="R91" s="8" t="s">
        <v>158</v>
      </c>
      <c r="S91" s="8" t="s">
        <v>158</v>
      </c>
      <c r="T91" s="8" t="s">
        <v>158</v>
      </c>
      <c r="U91" s="8" t="s">
        <v>158</v>
      </c>
      <c r="V91" s="8" t="s">
        <v>158</v>
      </c>
      <c r="W91" s="7" t="s">
        <v>158</v>
      </c>
      <c r="X91" s="8" t="s">
        <v>75</v>
      </c>
      <c r="Y91" s="8" t="s">
        <v>158</v>
      </c>
      <c r="Z91" s="8" t="s">
        <v>158</v>
      </c>
      <c r="AA91" s="8" t="s">
        <v>158</v>
      </c>
      <c r="AB91" s="8" t="s">
        <v>158</v>
      </c>
      <c r="AC91" s="8" t="s">
        <v>158</v>
      </c>
      <c r="AE91" s="8" t="s">
        <v>75</v>
      </c>
      <c r="AF91" s="8" t="s">
        <v>158</v>
      </c>
      <c r="AG91" s="8" t="s">
        <v>158</v>
      </c>
      <c r="AH91" s="8" t="s">
        <v>158</v>
      </c>
      <c r="AI91" s="8" t="s">
        <v>158</v>
      </c>
      <c r="AJ91" s="8" t="s">
        <v>158</v>
      </c>
      <c r="AL91" s="8" t="s">
        <v>75</v>
      </c>
      <c r="AM91" s="8" t="s">
        <v>158</v>
      </c>
      <c r="AN91" s="8" t="s">
        <v>158</v>
      </c>
      <c r="AO91" s="8" t="s">
        <v>158</v>
      </c>
      <c r="AP91" s="8" t="s">
        <v>158</v>
      </c>
      <c r="AQ91" s="8" t="s">
        <v>158</v>
      </c>
      <c r="AS91" s="8" t="s">
        <v>370</v>
      </c>
      <c r="AT91" s="8" t="s">
        <v>370</v>
      </c>
      <c r="AU91" s="8" t="s">
        <v>445</v>
      </c>
      <c r="AV91" s="8" t="s">
        <v>445</v>
      </c>
      <c r="AW91" s="8" t="s">
        <v>1382</v>
      </c>
      <c r="AX91" s="8" t="s">
        <v>1382</v>
      </c>
    </row>
    <row r="92" spans="1:50" x14ac:dyDescent="0.3">
      <c r="A92" s="26"/>
      <c r="B92" s="184"/>
      <c r="C92" s="10"/>
      <c r="D92" s="10"/>
      <c r="E92" s="10"/>
      <c r="F92" s="10"/>
      <c r="G92" s="10"/>
      <c r="H92" s="10"/>
      <c r="J92" s="10"/>
      <c r="K92" s="10"/>
      <c r="L92" s="10"/>
      <c r="M92" s="10"/>
      <c r="N92" s="10"/>
      <c r="O92" s="10"/>
      <c r="Q92" s="10"/>
      <c r="R92" s="10"/>
      <c r="S92" s="10"/>
      <c r="T92" s="10"/>
      <c r="U92" s="10"/>
      <c r="V92" s="10"/>
      <c r="X92" s="10"/>
      <c r="Y92" s="10"/>
      <c r="Z92" s="10"/>
      <c r="AA92" s="10"/>
      <c r="AB92" s="10"/>
      <c r="AC92" s="10"/>
      <c r="AE92" s="10"/>
      <c r="AF92" s="10"/>
      <c r="AG92" s="10"/>
      <c r="AH92" s="10"/>
      <c r="AI92" s="10"/>
      <c r="AJ92" s="10"/>
    </row>
    <row r="93" spans="1:50" s="17" customFormat="1" x14ac:dyDescent="0.3">
      <c r="A93" s="22" t="s">
        <v>1228</v>
      </c>
      <c r="B93" s="181"/>
    </row>
    <row r="94" spans="1:50" x14ac:dyDescent="0.3">
      <c r="A94" s="19" t="s">
        <v>983</v>
      </c>
      <c r="B94" s="19"/>
      <c r="C94" s="18" t="s">
        <v>985</v>
      </c>
      <c r="D94" s="18" t="s">
        <v>986</v>
      </c>
      <c r="E94" s="18" t="s">
        <v>987</v>
      </c>
      <c r="F94" s="18" t="s">
        <v>988</v>
      </c>
      <c r="G94" s="18" t="s">
        <v>989</v>
      </c>
      <c r="H94" s="18" t="s">
        <v>990</v>
      </c>
      <c r="I94" s="15"/>
      <c r="J94" s="18" t="s">
        <v>985</v>
      </c>
      <c r="K94" s="18" t="s">
        <v>986</v>
      </c>
      <c r="L94" s="18" t="s">
        <v>987</v>
      </c>
      <c r="M94" s="18" t="s">
        <v>988</v>
      </c>
      <c r="N94" s="18" t="s">
        <v>989</v>
      </c>
      <c r="O94" s="18" t="s">
        <v>990</v>
      </c>
      <c r="P94" s="15"/>
      <c r="Q94" s="18" t="s">
        <v>985</v>
      </c>
      <c r="R94" s="18" t="s">
        <v>986</v>
      </c>
      <c r="S94" s="18" t="s">
        <v>987</v>
      </c>
      <c r="T94" s="18" t="s">
        <v>988</v>
      </c>
      <c r="U94" s="18" t="s">
        <v>989</v>
      </c>
      <c r="V94" s="18" t="s">
        <v>990</v>
      </c>
      <c r="W94" s="15"/>
      <c r="X94" s="18" t="s">
        <v>985</v>
      </c>
      <c r="Y94" s="18" t="s">
        <v>986</v>
      </c>
      <c r="Z94" s="18" t="s">
        <v>987</v>
      </c>
      <c r="AA94" s="18" t="s">
        <v>988</v>
      </c>
      <c r="AB94" s="18" t="s">
        <v>989</v>
      </c>
      <c r="AC94" s="18" t="s">
        <v>990</v>
      </c>
      <c r="AD94" s="15"/>
      <c r="AE94" s="18" t="s">
        <v>985</v>
      </c>
      <c r="AF94" s="18" t="s">
        <v>986</v>
      </c>
      <c r="AG94" s="18" t="s">
        <v>987</v>
      </c>
      <c r="AH94" s="18" t="s">
        <v>988</v>
      </c>
      <c r="AI94" s="18" t="s">
        <v>989</v>
      </c>
      <c r="AJ94" s="18" t="s">
        <v>990</v>
      </c>
      <c r="AL94" s="156" t="s">
        <v>985</v>
      </c>
      <c r="AM94" s="156" t="s">
        <v>986</v>
      </c>
      <c r="AN94" s="156" t="s">
        <v>987</v>
      </c>
      <c r="AO94" s="156" t="s">
        <v>988</v>
      </c>
      <c r="AP94" s="156" t="s">
        <v>989</v>
      </c>
      <c r="AQ94" s="156" t="s">
        <v>990</v>
      </c>
      <c r="AS94" s="209" t="s">
        <v>985</v>
      </c>
      <c r="AT94" s="209" t="s">
        <v>986</v>
      </c>
      <c r="AU94" s="209" t="s">
        <v>987</v>
      </c>
      <c r="AV94" s="209" t="s">
        <v>988</v>
      </c>
      <c r="AW94" s="209" t="s">
        <v>989</v>
      </c>
      <c r="AX94" s="209" t="s">
        <v>990</v>
      </c>
    </row>
    <row r="95" spans="1:50" ht="12" x14ac:dyDescent="0.3">
      <c r="A95" s="20" t="s">
        <v>1229</v>
      </c>
      <c r="B95" s="20"/>
      <c r="C95" s="8" t="s">
        <v>445</v>
      </c>
      <c r="D95" s="8" t="s">
        <v>445</v>
      </c>
      <c r="E95" s="8" t="s">
        <v>445</v>
      </c>
      <c r="F95" s="8" t="s">
        <v>997</v>
      </c>
      <c r="G95" s="27" t="s">
        <v>158</v>
      </c>
      <c r="H95" s="27" t="s">
        <v>158</v>
      </c>
      <c r="I95" s="15"/>
      <c r="J95" s="8" t="s">
        <v>445</v>
      </c>
      <c r="K95" s="8" t="s">
        <v>445</v>
      </c>
      <c r="L95" s="8" t="s">
        <v>445</v>
      </c>
      <c r="M95" s="8" t="s">
        <v>997</v>
      </c>
      <c r="N95" s="27" t="s">
        <v>158</v>
      </c>
      <c r="O95" s="27" t="s">
        <v>158</v>
      </c>
      <c r="P95" s="15"/>
      <c r="Q95" s="8" t="s">
        <v>445</v>
      </c>
      <c r="R95" s="8" t="s">
        <v>445</v>
      </c>
      <c r="S95" s="8" t="s">
        <v>445</v>
      </c>
      <c r="T95" s="27" t="s">
        <v>158</v>
      </c>
      <c r="U95" s="27" t="s">
        <v>158</v>
      </c>
      <c r="V95" s="8" t="s">
        <v>997</v>
      </c>
      <c r="W95" s="15"/>
      <c r="X95" s="8" t="s">
        <v>445</v>
      </c>
      <c r="Y95" s="8" t="s">
        <v>445</v>
      </c>
      <c r="Z95" s="8" t="s">
        <v>445</v>
      </c>
      <c r="AA95" s="27" t="s">
        <v>158</v>
      </c>
      <c r="AB95" s="27" t="s">
        <v>158</v>
      </c>
      <c r="AC95" s="8" t="s">
        <v>997</v>
      </c>
      <c r="AD95" s="15"/>
      <c r="AE95" s="8" t="s">
        <v>445</v>
      </c>
      <c r="AF95" s="8" t="s">
        <v>445</v>
      </c>
      <c r="AG95" s="8" t="s">
        <v>445</v>
      </c>
      <c r="AH95" s="27" t="s">
        <v>158</v>
      </c>
      <c r="AI95" s="27" t="s">
        <v>158</v>
      </c>
      <c r="AJ95" s="8" t="s">
        <v>997</v>
      </c>
      <c r="AL95" s="171" t="s">
        <v>445</v>
      </c>
      <c r="AM95" s="171" t="s">
        <v>445</v>
      </c>
      <c r="AN95" s="171" t="s">
        <v>445</v>
      </c>
      <c r="AO95" s="171" t="s">
        <v>997</v>
      </c>
      <c r="AP95" s="171">
        <v>0</v>
      </c>
      <c r="AQ95" s="171" t="s">
        <v>158</v>
      </c>
      <c r="AS95" s="171" t="s">
        <v>445</v>
      </c>
      <c r="AT95" s="171" t="s">
        <v>445</v>
      </c>
      <c r="AU95" s="171" t="s">
        <v>445</v>
      </c>
      <c r="AV95" s="171" t="s">
        <v>370</v>
      </c>
      <c r="AW95" s="171" t="s">
        <v>158</v>
      </c>
      <c r="AX95" s="171" t="s">
        <v>158</v>
      </c>
    </row>
    <row r="96" spans="1:50" ht="12" x14ac:dyDescent="0.3">
      <c r="A96" s="20" t="s">
        <v>1232</v>
      </c>
      <c r="B96" s="20"/>
      <c r="C96" s="8" t="s">
        <v>445</v>
      </c>
      <c r="D96" s="8" t="s">
        <v>445</v>
      </c>
      <c r="E96" s="8" t="s">
        <v>445</v>
      </c>
      <c r="F96" s="8" t="s">
        <v>997</v>
      </c>
      <c r="G96" s="27" t="s">
        <v>158</v>
      </c>
      <c r="H96" s="27" t="s">
        <v>158</v>
      </c>
      <c r="I96" s="15"/>
      <c r="J96" s="8" t="s">
        <v>445</v>
      </c>
      <c r="K96" s="8" t="s">
        <v>445</v>
      </c>
      <c r="L96" s="8" t="s">
        <v>445</v>
      </c>
      <c r="M96" s="8" t="s">
        <v>997</v>
      </c>
      <c r="N96" s="27" t="s">
        <v>158</v>
      </c>
      <c r="O96" s="27" t="s">
        <v>158</v>
      </c>
      <c r="P96" s="15"/>
      <c r="Q96" s="8" t="s">
        <v>445</v>
      </c>
      <c r="R96" s="8" t="s">
        <v>445</v>
      </c>
      <c r="S96" s="8" t="s">
        <v>445</v>
      </c>
      <c r="T96" s="27" t="s">
        <v>158</v>
      </c>
      <c r="U96" s="27" t="s">
        <v>158</v>
      </c>
      <c r="V96" s="8" t="s">
        <v>997</v>
      </c>
      <c r="W96" s="15"/>
      <c r="X96" s="8" t="s">
        <v>445</v>
      </c>
      <c r="Y96" s="8" t="s">
        <v>445</v>
      </c>
      <c r="Z96" s="8" t="s">
        <v>445</v>
      </c>
      <c r="AA96" s="27" t="s">
        <v>158</v>
      </c>
      <c r="AB96" s="27" t="s">
        <v>158</v>
      </c>
      <c r="AC96" s="8" t="s">
        <v>997</v>
      </c>
      <c r="AD96" s="15"/>
      <c r="AE96" s="8" t="s">
        <v>445</v>
      </c>
      <c r="AF96" s="8" t="s">
        <v>445</v>
      </c>
      <c r="AG96" s="8" t="s">
        <v>445</v>
      </c>
      <c r="AH96" s="27" t="s">
        <v>158</v>
      </c>
      <c r="AI96" s="27" t="s">
        <v>158</v>
      </c>
      <c r="AJ96" s="8" t="s">
        <v>997</v>
      </c>
      <c r="AL96" s="171" t="s">
        <v>445</v>
      </c>
      <c r="AM96" s="171" t="s">
        <v>445</v>
      </c>
      <c r="AN96" s="171" t="s">
        <v>445</v>
      </c>
      <c r="AO96" s="171" t="s">
        <v>997</v>
      </c>
      <c r="AP96" s="171">
        <v>0</v>
      </c>
      <c r="AQ96" s="171">
        <v>0</v>
      </c>
      <c r="AS96" s="171" t="s">
        <v>445</v>
      </c>
      <c r="AT96" s="171" t="s">
        <v>445</v>
      </c>
      <c r="AU96" s="171" t="s">
        <v>158</v>
      </c>
      <c r="AV96" s="171" t="s">
        <v>370</v>
      </c>
      <c r="AW96" s="171" t="s">
        <v>158</v>
      </c>
      <c r="AX96" s="171" t="s">
        <v>158</v>
      </c>
    </row>
    <row r="97" spans="1:50" ht="12" x14ac:dyDescent="0.3">
      <c r="A97" s="20" t="s">
        <v>1234</v>
      </c>
      <c r="B97" s="20"/>
      <c r="C97" s="8" t="s">
        <v>445</v>
      </c>
      <c r="D97" s="8" t="s">
        <v>445</v>
      </c>
      <c r="E97" s="8" t="s">
        <v>445</v>
      </c>
      <c r="F97" s="8" t="s">
        <v>997</v>
      </c>
      <c r="G97" s="27" t="s">
        <v>158</v>
      </c>
      <c r="H97" s="27" t="s">
        <v>158</v>
      </c>
      <c r="I97" s="15"/>
      <c r="J97" s="8" t="s">
        <v>445</v>
      </c>
      <c r="K97" s="8" t="s">
        <v>445</v>
      </c>
      <c r="L97" s="8" t="s">
        <v>445</v>
      </c>
      <c r="M97" s="8" t="s">
        <v>997</v>
      </c>
      <c r="N97" s="27" t="s">
        <v>158</v>
      </c>
      <c r="O97" s="27" t="s">
        <v>158</v>
      </c>
      <c r="P97" s="15"/>
      <c r="Q97" s="8" t="s">
        <v>445</v>
      </c>
      <c r="R97" s="8" t="s">
        <v>445</v>
      </c>
      <c r="S97" s="8" t="s">
        <v>445</v>
      </c>
      <c r="T97" s="27" t="s">
        <v>158</v>
      </c>
      <c r="U97" s="27" t="s">
        <v>158</v>
      </c>
      <c r="V97" s="8" t="s">
        <v>997</v>
      </c>
      <c r="W97" s="15"/>
      <c r="X97" s="8" t="s">
        <v>445</v>
      </c>
      <c r="Y97" s="8" t="s">
        <v>445</v>
      </c>
      <c r="Z97" s="8" t="s">
        <v>445</v>
      </c>
      <c r="AA97" s="27" t="s">
        <v>158</v>
      </c>
      <c r="AB97" s="27" t="s">
        <v>158</v>
      </c>
      <c r="AC97" s="8" t="s">
        <v>997</v>
      </c>
      <c r="AD97" s="15"/>
      <c r="AE97" s="8" t="s">
        <v>445</v>
      </c>
      <c r="AF97" s="8" t="s">
        <v>445</v>
      </c>
      <c r="AG97" s="8" t="s">
        <v>445</v>
      </c>
      <c r="AH97" s="27" t="s">
        <v>158</v>
      </c>
      <c r="AI97" s="27" t="s">
        <v>158</v>
      </c>
      <c r="AJ97" s="8" t="s">
        <v>997</v>
      </c>
      <c r="AL97" s="171" t="s">
        <v>445</v>
      </c>
      <c r="AM97" s="171" t="s">
        <v>445</v>
      </c>
      <c r="AN97" s="171" t="s">
        <v>445</v>
      </c>
      <c r="AO97" s="171" t="s">
        <v>997</v>
      </c>
      <c r="AP97" s="171">
        <v>0</v>
      </c>
      <c r="AQ97" s="171">
        <v>0</v>
      </c>
      <c r="AS97" s="171" t="s">
        <v>445</v>
      </c>
      <c r="AT97" s="171" t="s">
        <v>445</v>
      </c>
      <c r="AU97" s="171" t="s">
        <v>445</v>
      </c>
      <c r="AV97" s="171" t="s">
        <v>370</v>
      </c>
      <c r="AW97" s="171" t="s">
        <v>158</v>
      </c>
      <c r="AX97" s="171" t="s">
        <v>158</v>
      </c>
    </row>
    <row r="98" spans="1:50" ht="12" x14ac:dyDescent="0.3">
      <c r="A98" s="20" t="s">
        <v>1236</v>
      </c>
      <c r="B98" s="20"/>
      <c r="C98" s="8" t="s">
        <v>445</v>
      </c>
      <c r="D98" s="8" t="s">
        <v>445</v>
      </c>
      <c r="E98" s="8" t="s">
        <v>445</v>
      </c>
      <c r="F98" s="8" t="s">
        <v>997</v>
      </c>
      <c r="G98" s="27" t="s">
        <v>158</v>
      </c>
      <c r="H98" s="27" t="s">
        <v>158</v>
      </c>
      <c r="I98" s="15"/>
      <c r="J98" s="8" t="s">
        <v>445</v>
      </c>
      <c r="K98" s="8" t="s">
        <v>445</v>
      </c>
      <c r="L98" s="8" t="s">
        <v>445</v>
      </c>
      <c r="M98" s="8" t="s">
        <v>997</v>
      </c>
      <c r="N98" s="27" t="s">
        <v>158</v>
      </c>
      <c r="O98" s="27" t="s">
        <v>158</v>
      </c>
      <c r="P98" s="15"/>
      <c r="Q98" s="8" t="s">
        <v>445</v>
      </c>
      <c r="R98" s="8" t="s">
        <v>445</v>
      </c>
      <c r="S98" s="8" t="s">
        <v>445</v>
      </c>
      <c r="T98" s="27" t="s">
        <v>158</v>
      </c>
      <c r="U98" s="27" t="s">
        <v>158</v>
      </c>
      <c r="V98" s="8" t="s">
        <v>997</v>
      </c>
      <c r="W98" s="15"/>
      <c r="X98" s="8" t="s">
        <v>445</v>
      </c>
      <c r="Y98" s="8" t="s">
        <v>445</v>
      </c>
      <c r="Z98" s="8" t="s">
        <v>445</v>
      </c>
      <c r="AA98" s="27" t="s">
        <v>158</v>
      </c>
      <c r="AB98" s="27" t="s">
        <v>158</v>
      </c>
      <c r="AC98" s="8" t="s">
        <v>997</v>
      </c>
      <c r="AD98" s="15"/>
      <c r="AE98" s="8" t="s">
        <v>445</v>
      </c>
      <c r="AF98" s="8" t="s">
        <v>445</v>
      </c>
      <c r="AG98" s="8" t="s">
        <v>445</v>
      </c>
      <c r="AH98" s="27" t="s">
        <v>158</v>
      </c>
      <c r="AI98" s="27" t="s">
        <v>158</v>
      </c>
      <c r="AJ98" s="8" t="s">
        <v>997</v>
      </c>
      <c r="AL98" s="171" t="s">
        <v>445</v>
      </c>
      <c r="AM98" s="171" t="s">
        <v>445</v>
      </c>
      <c r="AN98" s="171" t="s">
        <v>445</v>
      </c>
      <c r="AO98" s="171" t="s">
        <v>997</v>
      </c>
      <c r="AP98" s="171">
        <v>0</v>
      </c>
      <c r="AQ98" s="171">
        <v>0</v>
      </c>
      <c r="AS98" s="171" t="s">
        <v>445</v>
      </c>
      <c r="AT98" s="171" t="s">
        <v>445</v>
      </c>
      <c r="AU98" s="171" t="s">
        <v>445</v>
      </c>
      <c r="AV98" s="171" t="s">
        <v>370</v>
      </c>
      <c r="AW98" s="171" t="s">
        <v>158</v>
      </c>
      <c r="AX98" s="171" t="s">
        <v>158</v>
      </c>
    </row>
    <row r="99" spans="1:50" ht="12" x14ac:dyDescent="0.3">
      <c r="A99" s="20" t="s">
        <v>1238</v>
      </c>
      <c r="B99" s="20"/>
      <c r="C99" s="8" t="s">
        <v>997</v>
      </c>
      <c r="D99" s="8" t="s">
        <v>997</v>
      </c>
      <c r="E99" s="8" t="s">
        <v>445</v>
      </c>
      <c r="F99" s="27" t="s">
        <v>158</v>
      </c>
      <c r="G99" s="27" t="s">
        <v>158</v>
      </c>
      <c r="H99" s="27" t="s">
        <v>158</v>
      </c>
      <c r="I99" s="15"/>
      <c r="J99" s="8" t="s">
        <v>997</v>
      </c>
      <c r="K99" s="8" t="s">
        <v>997</v>
      </c>
      <c r="L99" s="8" t="s">
        <v>445</v>
      </c>
      <c r="M99" s="27" t="s">
        <v>158</v>
      </c>
      <c r="N99" s="27" t="s">
        <v>158</v>
      </c>
      <c r="O99" s="27" t="s">
        <v>158</v>
      </c>
      <c r="P99" s="15"/>
      <c r="Q99" s="8" t="s">
        <v>997</v>
      </c>
      <c r="R99" s="8" t="s">
        <v>997</v>
      </c>
      <c r="S99" s="8" t="s">
        <v>445</v>
      </c>
      <c r="T99" s="27" t="s">
        <v>158</v>
      </c>
      <c r="U99" s="27" t="s">
        <v>158</v>
      </c>
      <c r="V99" s="8" t="s">
        <v>445</v>
      </c>
      <c r="W99" s="15"/>
      <c r="X99" s="8" t="s">
        <v>997</v>
      </c>
      <c r="Y99" s="8" t="s">
        <v>997</v>
      </c>
      <c r="Z99" s="8" t="s">
        <v>445</v>
      </c>
      <c r="AA99" s="27" t="s">
        <v>158</v>
      </c>
      <c r="AB99" s="27" t="s">
        <v>158</v>
      </c>
      <c r="AC99" s="8" t="s">
        <v>445</v>
      </c>
      <c r="AD99" s="15"/>
      <c r="AE99" s="8" t="s">
        <v>997</v>
      </c>
      <c r="AF99" s="8" t="s">
        <v>997</v>
      </c>
      <c r="AG99" s="8" t="s">
        <v>445</v>
      </c>
      <c r="AH99" s="27" t="s">
        <v>158</v>
      </c>
      <c r="AI99" s="27" t="s">
        <v>158</v>
      </c>
      <c r="AJ99" s="8" t="s">
        <v>445</v>
      </c>
      <c r="AL99" s="171" t="s">
        <v>997</v>
      </c>
      <c r="AM99" s="171" t="s">
        <v>997</v>
      </c>
      <c r="AN99" s="171" t="s">
        <v>445</v>
      </c>
      <c r="AO99" s="171">
        <v>0</v>
      </c>
      <c r="AP99" s="171">
        <v>0</v>
      </c>
      <c r="AQ99" s="171">
        <v>0</v>
      </c>
      <c r="AS99" s="171" t="s">
        <v>370</v>
      </c>
      <c r="AT99" s="171" t="s">
        <v>370</v>
      </c>
      <c r="AU99" s="171" t="s">
        <v>158</v>
      </c>
      <c r="AV99" s="171" t="s">
        <v>445</v>
      </c>
      <c r="AW99" s="171" t="s">
        <v>158</v>
      </c>
      <c r="AX99" s="171" t="s">
        <v>158</v>
      </c>
    </row>
    <row r="100" spans="1:50" ht="12" x14ac:dyDescent="0.3">
      <c r="A100" s="20" t="s">
        <v>1241</v>
      </c>
      <c r="B100" s="20"/>
      <c r="C100" s="8" t="s">
        <v>997</v>
      </c>
      <c r="D100" s="8" t="s">
        <v>997</v>
      </c>
      <c r="E100" s="8" t="s">
        <v>445</v>
      </c>
      <c r="F100" s="8" t="s">
        <v>445</v>
      </c>
      <c r="G100" s="8" t="s">
        <v>445</v>
      </c>
      <c r="H100" s="8" t="s">
        <v>445</v>
      </c>
      <c r="I100" s="15"/>
      <c r="J100" s="8" t="s">
        <v>997</v>
      </c>
      <c r="K100" s="8" t="s">
        <v>997</v>
      </c>
      <c r="L100" s="8" t="s">
        <v>445</v>
      </c>
      <c r="M100" s="8" t="s">
        <v>445</v>
      </c>
      <c r="N100" s="8" t="s">
        <v>445</v>
      </c>
      <c r="O100" s="8" t="s">
        <v>445</v>
      </c>
      <c r="P100" s="15"/>
      <c r="Q100" s="8" t="s">
        <v>997</v>
      </c>
      <c r="R100" s="8" t="s">
        <v>997</v>
      </c>
      <c r="S100" s="8" t="s">
        <v>445</v>
      </c>
      <c r="T100" s="8" t="s">
        <v>445</v>
      </c>
      <c r="U100" s="8" t="s">
        <v>445</v>
      </c>
      <c r="V100" s="8" t="s">
        <v>445</v>
      </c>
      <c r="W100" s="15"/>
      <c r="X100" s="8" t="s">
        <v>997</v>
      </c>
      <c r="Y100" s="8" t="s">
        <v>997</v>
      </c>
      <c r="Z100" s="8" t="s">
        <v>445</v>
      </c>
      <c r="AA100" s="8" t="s">
        <v>445</v>
      </c>
      <c r="AB100" s="8" t="s">
        <v>445</v>
      </c>
      <c r="AC100" s="8" t="s">
        <v>445</v>
      </c>
      <c r="AD100" s="15"/>
      <c r="AE100" s="8" t="s">
        <v>997</v>
      </c>
      <c r="AF100" s="8" t="s">
        <v>997</v>
      </c>
      <c r="AG100" s="8" t="s">
        <v>445</v>
      </c>
      <c r="AH100" s="8" t="s">
        <v>445</v>
      </c>
      <c r="AI100" s="8" t="s">
        <v>445</v>
      </c>
      <c r="AJ100" s="8" t="s">
        <v>445</v>
      </c>
      <c r="AL100" s="171" t="s">
        <v>997</v>
      </c>
      <c r="AM100" s="171" t="s">
        <v>997</v>
      </c>
      <c r="AN100" s="171" t="s">
        <v>445</v>
      </c>
      <c r="AO100" s="171" t="s">
        <v>445</v>
      </c>
      <c r="AP100" s="171">
        <v>0</v>
      </c>
      <c r="AQ100" s="171">
        <v>0</v>
      </c>
      <c r="AS100" s="171" t="s">
        <v>370</v>
      </c>
      <c r="AT100" s="171" t="s">
        <v>370</v>
      </c>
      <c r="AU100" s="171" t="s">
        <v>445</v>
      </c>
      <c r="AV100" s="171" t="s">
        <v>445</v>
      </c>
      <c r="AW100" s="171" t="s">
        <v>158</v>
      </c>
      <c r="AX100" s="171" t="s">
        <v>158</v>
      </c>
    </row>
    <row r="101" spans="1:50" ht="12" x14ac:dyDescent="0.3">
      <c r="A101" s="20" t="s">
        <v>1244</v>
      </c>
      <c r="B101" s="20"/>
      <c r="C101" s="8" t="s">
        <v>445</v>
      </c>
      <c r="D101" s="8" t="s">
        <v>445</v>
      </c>
      <c r="E101" s="8" t="s">
        <v>445</v>
      </c>
      <c r="F101" s="8" t="s">
        <v>997</v>
      </c>
      <c r="G101" s="27" t="s">
        <v>158</v>
      </c>
      <c r="H101" s="27" t="s">
        <v>158</v>
      </c>
      <c r="I101" s="15"/>
      <c r="J101" s="8" t="s">
        <v>997</v>
      </c>
      <c r="K101" s="8" t="s">
        <v>997</v>
      </c>
      <c r="L101" s="8" t="s">
        <v>445</v>
      </c>
      <c r="M101" s="8" t="s">
        <v>997</v>
      </c>
      <c r="N101" s="27" t="s">
        <v>158</v>
      </c>
      <c r="O101" s="27" t="s">
        <v>158</v>
      </c>
      <c r="P101" s="15"/>
      <c r="Q101" s="8" t="s">
        <v>445</v>
      </c>
      <c r="R101" s="8" t="s">
        <v>445</v>
      </c>
      <c r="S101" s="8" t="s">
        <v>445</v>
      </c>
      <c r="T101" s="8" t="s">
        <v>997</v>
      </c>
      <c r="U101" s="8" t="s">
        <v>997</v>
      </c>
      <c r="V101" s="8" t="s">
        <v>997</v>
      </c>
      <c r="W101" s="15"/>
      <c r="X101" s="8" t="s">
        <v>445</v>
      </c>
      <c r="Y101" s="8" t="s">
        <v>445</v>
      </c>
      <c r="Z101" s="8" t="s">
        <v>445</v>
      </c>
      <c r="AA101" s="8" t="s">
        <v>997</v>
      </c>
      <c r="AB101" s="8" t="s">
        <v>997</v>
      </c>
      <c r="AC101" s="8" t="s">
        <v>997</v>
      </c>
      <c r="AD101" s="15"/>
      <c r="AE101" s="8" t="s">
        <v>445</v>
      </c>
      <c r="AF101" s="8" t="s">
        <v>445</v>
      </c>
      <c r="AG101" s="8" t="s">
        <v>445</v>
      </c>
      <c r="AH101" s="8" t="s">
        <v>997</v>
      </c>
      <c r="AI101" s="8" t="s">
        <v>997</v>
      </c>
      <c r="AJ101" s="8" t="s">
        <v>997</v>
      </c>
      <c r="AL101" s="171" t="s">
        <v>997</v>
      </c>
      <c r="AM101" s="171" t="s">
        <v>997</v>
      </c>
      <c r="AN101" s="171" t="s">
        <v>445</v>
      </c>
      <c r="AO101" s="171" t="s">
        <v>997</v>
      </c>
      <c r="AP101" s="171">
        <v>0</v>
      </c>
      <c r="AQ101" s="171">
        <v>0</v>
      </c>
      <c r="AS101" s="171" t="s">
        <v>370</v>
      </c>
      <c r="AT101" s="171" t="s">
        <v>370</v>
      </c>
      <c r="AU101" s="171" t="s">
        <v>445</v>
      </c>
      <c r="AV101" s="171" t="s">
        <v>445</v>
      </c>
      <c r="AW101" s="171" t="s">
        <v>158</v>
      </c>
      <c r="AX101" s="171" t="s">
        <v>158</v>
      </c>
    </row>
    <row r="102" spans="1:50" ht="12" x14ac:dyDescent="0.3">
      <c r="A102" s="20" t="s">
        <v>1246</v>
      </c>
      <c r="B102" s="20"/>
      <c r="C102" s="8" t="s">
        <v>997</v>
      </c>
      <c r="D102" s="8" t="s">
        <v>997</v>
      </c>
      <c r="E102" s="8" t="s">
        <v>445</v>
      </c>
      <c r="F102" s="8" t="s">
        <v>445</v>
      </c>
      <c r="G102" s="27" t="s">
        <v>158</v>
      </c>
      <c r="H102" s="27" t="s">
        <v>158</v>
      </c>
      <c r="I102" s="15"/>
      <c r="J102" s="8" t="s">
        <v>997</v>
      </c>
      <c r="K102" s="8" t="s">
        <v>997</v>
      </c>
      <c r="L102" s="8" t="s">
        <v>445</v>
      </c>
      <c r="M102" s="8" t="s">
        <v>445</v>
      </c>
      <c r="N102" s="27" t="s">
        <v>158</v>
      </c>
      <c r="O102" s="27" t="s">
        <v>158</v>
      </c>
      <c r="P102" s="15"/>
      <c r="Q102" s="8" t="s">
        <v>997</v>
      </c>
      <c r="R102" s="8" t="s">
        <v>997</v>
      </c>
      <c r="S102" s="8" t="s">
        <v>445</v>
      </c>
      <c r="T102" s="8" t="s">
        <v>445</v>
      </c>
      <c r="U102" s="8" t="s">
        <v>445</v>
      </c>
      <c r="V102" s="8" t="s">
        <v>445</v>
      </c>
      <c r="W102" s="15"/>
      <c r="X102" s="8" t="s">
        <v>997</v>
      </c>
      <c r="Y102" s="8" t="s">
        <v>997</v>
      </c>
      <c r="Z102" s="8" t="s">
        <v>445</v>
      </c>
      <c r="AA102" s="8" t="s">
        <v>445</v>
      </c>
      <c r="AB102" s="8" t="s">
        <v>445</v>
      </c>
      <c r="AC102" s="8" t="s">
        <v>445</v>
      </c>
      <c r="AD102" s="15"/>
      <c r="AE102" s="8" t="s">
        <v>997</v>
      </c>
      <c r="AF102" s="8" t="s">
        <v>997</v>
      </c>
      <c r="AG102" s="8" t="s">
        <v>445</v>
      </c>
      <c r="AH102" s="8" t="s">
        <v>445</v>
      </c>
      <c r="AI102" s="8" t="s">
        <v>445</v>
      </c>
      <c r="AJ102" s="8" t="s">
        <v>445</v>
      </c>
      <c r="AL102" s="171" t="s">
        <v>997</v>
      </c>
      <c r="AM102" s="171" t="s">
        <v>997</v>
      </c>
      <c r="AN102" s="171" t="s">
        <v>445</v>
      </c>
      <c r="AO102" s="171" t="s">
        <v>445</v>
      </c>
      <c r="AP102" s="171">
        <v>0</v>
      </c>
      <c r="AQ102" s="171">
        <v>0</v>
      </c>
      <c r="AS102" s="171" t="s">
        <v>370</v>
      </c>
      <c r="AT102" s="171" t="s">
        <v>370</v>
      </c>
      <c r="AU102" s="171" t="s">
        <v>445</v>
      </c>
      <c r="AV102" s="171" t="s">
        <v>445</v>
      </c>
      <c r="AW102" s="171" t="s">
        <v>158</v>
      </c>
      <c r="AX102" s="171" t="s">
        <v>158</v>
      </c>
    </row>
    <row r="103" spans="1:50" ht="12" x14ac:dyDescent="0.3">
      <c r="A103" s="20" t="s">
        <v>1249</v>
      </c>
      <c r="B103" s="20"/>
      <c r="C103" s="8" t="s">
        <v>997</v>
      </c>
      <c r="D103" s="8" t="s">
        <v>997</v>
      </c>
      <c r="E103" s="8" t="s">
        <v>445</v>
      </c>
      <c r="F103" s="8" t="s">
        <v>445</v>
      </c>
      <c r="G103" s="27" t="s">
        <v>158</v>
      </c>
      <c r="H103" s="27" t="s">
        <v>158</v>
      </c>
      <c r="I103" s="15"/>
      <c r="J103" s="8" t="s">
        <v>997</v>
      </c>
      <c r="K103" s="8" t="s">
        <v>997</v>
      </c>
      <c r="L103" s="8" t="s">
        <v>445</v>
      </c>
      <c r="M103" s="8" t="s">
        <v>445</v>
      </c>
      <c r="N103" s="27" t="s">
        <v>158</v>
      </c>
      <c r="O103" s="27" t="s">
        <v>158</v>
      </c>
      <c r="P103" s="15"/>
      <c r="Q103" s="8" t="s">
        <v>445</v>
      </c>
      <c r="R103" s="8" t="s">
        <v>445</v>
      </c>
      <c r="S103" s="8" t="s">
        <v>445</v>
      </c>
      <c r="T103" s="139" t="s">
        <v>997</v>
      </c>
      <c r="U103" s="27" t="s">
        <v>158</v>
      </c>
      <c r="V103" s="27" t="s">
        <v>158</v>
      </c>
      <c r="W103" s="15"/>
      <c r="X103" s="8" t="s">
        <v>445</v>
      </c>
      <c r="Y103" s="8" t="s">
        <v>445</v>
      </c>
      <c r="Z103" s="8" t="s">
        <v>445</v>
      </c>
      <c r="AA103" s="27" t="s">
        <v>158</v>
      </c>
      <c r="AB103" s="27" t="s">
        <v>158</v>
      </c>
      <c r="AC103" s="27" t="s">
        <v>158</v>
      </c>
      <c r="AD103" s="15"/>
      <c r="AE103" s="8" t="s">
        <v>445</v>
      </c>
      <c r="AF103" s="8" t="s">
        <v>445</v>
      </c>
      <c r="AG103" s="8" t="s">
        <v>445</v>
      </c>
      <c r="AH103" s="27" t="s">
        <v>158</v>
      </c>
      <c r="AI103" s="27" t="s">
        <v>158</v>
      </c>
      <c r="AJ103" s="27" t="s">
        <v>158</v>
      </c>
      <c r="AK103" s="153"/>
      <c r="AL103" s="171" t="s">
        <v>997</v>
      </c>
      <c r="AM103" s="171" t="s">
        <v>997</v>
      </c>
      <c r="AN103" s="171" t="s">
        <v>445</v>
      </c>
      <c r="AO103" s="171" t="s">
        <v>445</v>
      </c>
      <c r="AP103" s="171">
        <v>0</v>
      </c>
      <c r="AQ103" s="171">
        <v>0</v>
      </c>
      <c r="AR103" s="153"/>
      <c r="AS103" s="171" t="s">
        <v>370</v>
      </c>
      <c r="AT103" s="171" t="s">
        <v>370</v>
      </c>
      <c r="AU103" s="171" t="s">
        <v>445</v>
      </c>
      <c r="AV103" s="171" t="s">
        <v>445</v>
      </c>
      <c r="AW103" s="171" t="s">
        <v>158</v>
      </c>
      <c r="AX103" s="171" t="s">
        <v>158</v>
      </c>
    </row>
    <row r="104" spans="1:50" ht="12" x14ac:dyDescent="0.3">
      <c r="A104" s="20" t="s">
        <v>1253</v>
      </c>
      <c r="B104" s="20"/>
      <c r="C104" s="8" t="s">
        <v>997</v>
      </c>
      <c r="D104" s="8" t="s">
        <v>997</v>
      </c>
      <c r="E104" s="8" t="s">
        <v>445</v>
      </c>
      <c r="F104" s="8" t="s">
        <v>445</v>
      </c>
      <c r="G104" s="27" t="s">
        <v>158</v>
      </c>
      <c r="H104" s="27" t="s">
        <v>158</v>
      </c>
      <c r="I104" s="15"/>
      <c r="J104" s="8" t="s">
        <v>997</v>
      </c>
      <c r="K104" s="8" t="s">
        <v>997</v>
      </c>
      <c r="L104" s="8" t="s">
        <v>445</v>
      </c>
      <c r="M104" s="8" t="s">
        <v>445</v>
      </c>
      <c r="N104" s="27" t="s">
        <v>158</v>
      </c>
      <c r="O104" s="27" t="s">
        <v>158</v>
      </c>
      <c r="P104" s="15"/>
      <c r="Q104" s="8" t="s">
        <v>997</v>
      </c>
      <c r="R104" s="8" t="s">
        <v>997</v>
      </c>
      <c r="S104" s="8" t="s">
        <v>445</v>
      </c>
      <c r="T104" s="8" t="s">
        <v>997</v>
      </c>
      <c r="U104" s="8" t="s">
        <v>997</v>
      </c>
      <c r="V104" s="8" t="s">
        <v>445</v>
      </c>
      <c r="W104" s="15"/>
      <c r="X104" s="8" t="s">
        <v>997</v>
      </c>
      <c r="Y104" s="8" t="s">
        <v>997</v>
      </c>
      <c r="Z104" s="8" t="s">
        <v>445</v>
      </c>
      <c r="AA104" s="8" t="s">
        <v>997</v>
      </c>
      <c r="AB104" s="8" t="s">
        <v>997</v>
      </c>
      <c r="AC104" s="8" t="s">
        <v>445</v>
      </c>
      <c r="AD104" s="15"/>
      <c r="AE104" s="8" t="s">
        <v>997</v>
      </c>
      <c r="AF104" s="8" t="s">
        <v>997</v>
      </c>
      <c r="AG104" s="8" t="s">
        <v>445</v>
      </c>
      <c r="AH104" s="8" t="s">
        <v>997</v>
      </c>
      <c r="AI104" s="8" t="s">
        <v>997</v>
      </c>
      <c r="AJ104" s="8" t="s">
        <v>445</v>
      </c>
      <c r="AL104" s="171" t="s">
        <v>997</v>
      </c>
      <c r="AM104" s="171" t="s">
        <v>997</v>
      </c>
      <c r="AN104" s="171" t="s">
        <v>445</v>
      </c>
      <c r="AO104" s="171" t="s">
        <v>445</v>
      </c>
      <c r="AP104" s="171">
        <v>0</v>
      </c>
      <c r="AQ104" s="171">
        <v>0</v>
      </c>
      <c r="AS104" s="171" t="s">
        <v>75</v>
      </c>
      <c r="AT104" s="171" t="s">
        <v>158</v>
      </c>
      <c r="AU104" s="171" t="s">
        <v>158</v>
      </c>
      <c r="AV104" s="171" t="s">
        <v>158</v>
      </c>
      <c r="AW104" s="171" t="s">
        <v>158</v>
      </c>
      <c r="AX104" s="171" t="s">
        <v>158</v>
      </c>
    </row>
    <row r="105" spans="1:50" ht="12" x14ac:dyDescent="0.3">
      <c r="A105" s="20" t="s">
        <v>1255</v>
      </c>
      <c r="B105" s="20"/>
      <c r="C105" s="8" t="s">
        <v>997</v>
      </c>
      <c r="D105" s="8" t="s">
        <v>997</v>
      </c>
      <c r="E105" s="8" t="s">
        <v>445</v>
      </c>
      <c r="F105" s="27" t="s">
        <v>158</v>
      </c>
      <c r="G105" s="27" t="s">
        <v>158</v>
      </c>
      <c r="H105" s="27" t="s">
        <v>158</v>
      </c>
      <c r="I105" s="15"/>
      <c r="J105" s="8" t="s">
        <v>997</v>
      </c>
      <c r="K105" s="8" t="s">
        <v>997</v>
      </c>
      <c r="L105" s="8" t="s">
        <v>445</v>
      </c>
      <c r="M105" s="27" t="s">
        <v>158</v>
      </c>
      <c r="N105" s="27" t="s">
        <v>158</v>
      </c>
      <c r="O105" s="27" t="s">
        <v>158</v>
      </c>
      <c r="P105" s="15"/>
      <c r="Q105" s="8" t="s">
        <v>997</v>
      </c>
      <c r="R105" s="8" t="s">
        <v>997</v>
      </c>
      <c r="S105" s="8" t="s">
        <v>997</v>
      </c>
      <c r="T105" s="8" t="s">
        <v>997</v>
      </c>
      <c r="U105" s="8" t="s">
        <v>445</v>
      </c>
      <c r="V105" s="8" t="s">
        <v>445</v>
      </c>
      <c r="W105" s="15"/>
      <c r="X105" s="8" t="s">
        <v>997</v>
      </c>
      <c r="Y105" s="8" t="s">
        <v>997</v>
      </c>
      <c r="Z105" s="8" t="s">
        <v>997</v>
      </c>
      <c r="AA105" s="8" t="s">
        <v>997</v>
      </c>
      <c r="AB105" s="8" t="s">
        <v>445</v>
      </c>
      <c r="AC105" s="8" t="s">
        <v>445</v>
      </c>
      <c r="AD105" s="15"/>
      <c r="AE105" s="8" t="s">
        <v>997</v>
      </c>
      <c r="AF105" s="8" t="s">
        <v>997</v>
      </c>
      <c r="AG105" s="8" t="s">
        <v>997</v>
      </c>
      <c r="AH105" s="8" t="s">
        <v>997</v>
      </c>
      <c r="AI105" s="8" t="s">
        <v>445</v>
      </c>
      <c r="AJ105" s="8" t="s">
        <v>445</v>
      </c>
      <c r="AL105" s="171" t="s">
        <v>997</v>
      </c>
      <c r="AM105" s="171" t="s">
        <v>997</v>
      </c>
      <c r="AN105" s="171" t="s">
        <v>445</v>
      </c>
      <c r="AO105" s="171">
        <v>0</v>
      </c>
      <c r="AP105" s="171">
        <v>0</v>
      </c>
      <c r="AQ105" s="171">
        <v>0</v>
      </c>
      <c r="AS105" s="171" t="s">
        <v>75</v>
      </c>
      <c r="AT105" s="171" t="s">
        <v>158</v>
      </c>
      <c r="AU105" s="171" t="s">
        <v>158</v>
      </c>
      <c r="AV105" s="171" t="s">
        <v>158</v>
      </c>
      <c r="AW105" s="171" t="s">
        <v>158</v>
      </c>
      <c r="AX105" s="171" t="s">
        <v>158</v>
      </c>
    </row>
    <row r="106" spans="1:50" ht="12" x14ac:dyDescent="0.3">
      <c r="A106" s="20" t="s">
        <v>1257</v>
      </c>
      <c r="B106" s="20"/>
      <c r="C106" s="8" t="s">
        <v>445</v>
      </c>
      <c r="D106" s="8" t="s">
        <v>997</v>
      </c>
      <c r="E106" s="8" t="s">
        <v>445</v>
      </c>
      <c r="F106" s="27" t="s">
        <v>158</v>
      </c>
      <c r="G106" s="27" t="s">
        <v>158</v>
      </c>
      <c r="H106" s="27" t="s">
        <v>158</v>
      </c>
      <c r="I106" s="15"/>
      <c r="J106" s="8" t="s">
        <v>445</v>
      </c>
      <c r="K106" s="8" t="s">
        <v>997</v>
      </c>
      <c r="L106" s="8" t="s">
        <v>445</v>
      </c>
      <c r="M106" s="27" t="s">
        <v>158</v>
      </c>
      <c r="N106" s="27" t="s">
        <v>158</v>
      </c>
      <c r="O106" s="27" t="s">
        <v>158</v>
      </c>
      <c r="P106" s="15"/>
      <c r="Q106" s="8" t="s">
        <v>997</v>
      </c>
      <c r="R106" s="8" t="s">
        <v>997</v>
      </c>
      <c r="S106" s="8" t="s">
        <v>997</v>
      </c>
      <c r="T106" s="8" t="s">
        <v>997</v>
      </c>
      <c r="U106" s="8" t="s">
        <v>445</v>
      </c>
      <c r="V106" s="8" t="s">
        <v>445</v>
      </c>
      <c r="W106" s="15"/>
      <c r="X106" s="8" t="s">
        <v>997</v>
      </c>
      <c r="Y106" s="8" t="s">
        <v>997</v>
      </c>
      <c r="Z106" s="8" t="s">
        <v>997</v>
      </c>
      <c r="AA106" s="8" t="s">
        <v>997</v>
      </c>
      <c r="AB106" s="8" t="s">
        <v>445</v>
      </c>
      <c r="AC106" s="8" t="s">
        <v>445</v>
      </c>
      <c r="AD106" s="15"/>
      <c r="AE106" s="8" t="s">
        <v>997</v>
      </c>
      <c r="AF106" s="8" t="s">
        <v>997</v>
      </c>
      <c r="AG106" s="8" t="s">
        <v>997</v>
      </c>
      <c r="AH106" s="8" t="s">
        <v>997</v>
      </c>
      <c r="AI106" s="8" t="s">
        <v>445</v>
      </c>
      <c r="AJ106" s="8" t="s">
        <v>445</v>
      </c>
      <c r="AL106" s="169" t="s">
        <v>1388</v>
      </c>
      <c r="AM106" s="169" t="s">
        <v>1388</v>
      </c>
      <c r="AN106" s="169" t="s">
        <v>1388</v>
      </c>
      <c r="AO106" s="169" t="s">
        <v>1388</v>
      </c>
      <c r="AP106" s="175">
        <v>0</v>
      </c>
      <c r="AQ106" s="169">
        <v>0</v>
      </c>
      <c r="AS106" s="171" t="s">
        <v>75</v>
      </c>
      <c r="AT106" s="169" t="s">
        <v>158</v>
      </c>
      <c r="AU106" s="169" t="s">
        <v>158</v>
      </c>
      <c r="AV106" s="169" t="s">
        <v>158</v>
      </c>
      <c r="AW106" s="175" t="s">
        <v>158</v>
      </c>
      <c r="AX106" s="169" t="s">
        <v>158</v>
      </c>
    </row>
    <row r="107" spans="1:50" ht="12" x14ac:dyDescent="0.3">
      <c r="A107" s="20" t="s">
        <v>1259</v>
      </c>
      <c r="B107" s="182"/>
      <c r="C107" s="16" t="s">
        <v>997</v>
      </c>
      <c r="D107" s="16" t="s">
        <v>997</v>
      </c>
      <c r="E107" s="16" t="s">
        <v>445</v>
      </c>
      <c r="F107" s="16" t="s">
        <v>445</v>
      </c>
      <c r="G107" s="27" t="s">
        <v>158</v>
      </c>
      <c r="H107" s="27" t="s">
        <v>158</v>
      </c>
      <c r="I107" s="15"/>
      <c r="J107" s="16" t="s">
        <v>997</v>
      </c>
      <c r="K107" s="16" t="s">
        <v>997</v>
      </c>
      <c r="L107" s="16" t="s">
        <v>445</v>
      </c>
      <c r="M107" s="16" t="s">
        <v>445</v>
      </c>
      <c r="N107" s="27" t="s">
        <v>158</v>
      </c>
      <c r="O107" s="27" t="s">
        <v>158</v>
      </c>
      <c r="P107" s="15"/>
      <c r="Q107" s="16" t="s">
        <v>997</v>
      </c>
      <c r="R107" s="16" t="s">
        <v>997</v>
      </c>
      <c r="S107" s="16" t="s">
        <v>997</v>
      </c>
      <c r="T107" s="16" t="s">
        <v>997</v>
      </c>
      <c r="U107" s="16" t="s">
        <v>445</v>
      </c>
      <c r="V107" s="16" t="s">
        <v>445</v>
      </c>
      <c r="W107" s="15"/>
      <c r="X107" s="16" t="s">
        <v>997</v>
      </c>
      <c r="Y107" s="16" t="s">
        <v>997</v>
      </c>
      <c r="Z107" s="16" t="s">
        <v>997</v>
      </c>
      <c r="AA107" s="16" t="s">
        <v>997</v>
      </c>
      <c r="AB107" s="16" t="s">
        <v>445</v>
      </c>
      <c r="AC107" s="16" t="s">
        <v>445</v>
      </c>
      <c r="AD107" s="15"/>
      <c r="AE107" s="16" t="s">
        <v>997</v>
      </c>
      <c r="AF107" s="16" t="s">
        <v>997</v>
      </c>
      <c r="AG107" s="16" t="s">
        <v>997</v>
      </c>
      <c r="AH107" s="16" t="s">
        <v>997</v>
      </c>
      <c r="AI107" s="16" t="s">
        <v>445</v>
      </c>
      <c r="AJ107" s="16" t="s">
        <v>445</v>
      </c>
      <c r="AL107" s="171" t="s">
        <v>997</v>
      </c>
      <c r="AM107" s="171" t="s">
        <v>997</v>
      </c>
      <c r="AN107" s="171" t="s">
        <v>445</v>
      </c>
      <c r="AO107" s="171" t="s">
        <v>445</v>
      </c>
      <c r="AP107" s="171" t="s">
        <v>158</v>
      </c>
      <c r="AQ107" s="171" t="s">
        <v>158</v>
      </c>
      <c r="AS107" s="171" t="s">
        <v>75</v>
      </c>
      <c r="AT107" s="171" t="s">
        <v>158</v>
      </c>
      <c r="AU107" s="171" t="s">
        <v>158</v>
      </c>
      <c r="AV107" s="171" t="s">
        <v>158</v>
      </c>
      <c r="AW107" s="171" t="s">
        <v>158</v>
      </c>
      <c r="AX107" s="171" t="s">
        <v>158</v>
      </c>
    </row>
    <row r="108" spans="1:50" x14ac:dyDescent="0.3">
      <c r="A108" s="25"/>
      <c r="B108" s="183"/>
      <c r="C108" s="24"/>
      <c r="D108" s="24"/>
      <c r="E108" s="24"/>
      <c r="F108" s="24"/>
      <c r="G108" s="24"/>
      <c r="H108" s="24"/>
      <c r="J108" s="24"/>
      <c r="K108" s="24"/>
      <c r="L108" s="24"/>
      <c r="M108" s="24"/>
      <c r="N108" s="24"/>
      <c r="O108" s="24"/>
      <c r="Q108" s="24"/>
      <c r="R108" s="24"/>
      <c r="S108" s="24"/>
      <c r="T108" s="24"/>
      <c r="U108" s="24"/>
      <c r="V108" s="24"/>
      <c r="X108" s="24"/>
      <c r="Y108" s="24"/>
      <c r="Z108" s="24"/>
      <c r="AA108" s="24"/>
      <c r="AB108" s="24"/>
      <c r="AC108" s="24"/>
      <c r="AE108" s="24"/>
      <c r="AF108" s="24"/>
      <c r="AG108" s="24"/>
      <c r="AH108" s="24"/>
      <c r="AI108" s="24"/>
      <c r="AJ108" s="24"/>
    </row>
    <row r="109" spans="1:50" s="17" customFormat="1" x14ac:dyDescent="0.3">
      <c r="A109" s="22" t="s">
        <v>1261</v>
      </c>
      <c r="B109" s="181"/>
    </row>
    <row r="110" spans="1:50" s="35" customFormat="1" x14ac:dyDescent="0.3">
      <c r="A110" s="19" t="s">
        <v>983</v>
      </c>
      <c r="B110" s="19"/>
      <c r="C110" s="34" t="s">
        <v>985</v>
      </c>
      <c r="D110" s="34" t="s">
        <v>986</v>
      </c>
      <c r="E110" s="34" t="s">
        <v>987</v>
      </c>
      <c r="F110" s="34" t="s">
        <v>988</v>
      </c>
      <c r="G110" s="34" t="s">
        <v>989</v>
      </c>
      <c r="H110" s="34" t="s">
        <v>990</v>
      </c>
      <c r="I110" s="14"/>
      <c r="J110" s="34" t="s">
        <v>985</v>
      </c>
      <c r="K110" s="34" t="s">
        <v>986</v>
      </c>
      <c r="L110" s="34" t="s">
        <v>987</v>
      </c>
      <c r="M110" s="34" t="s">
        <v>988</v>
      </c>
      <c r="N110" s="34" t="s">
        <v>989</v>
      </c>
      <c r="O110" s="34" t="s">
        <v>990</v>
      </c>
      <c r="P110" s="14"/>
      <c r="Q110" s="34" t="s">
        <v>985</v>
      </c>
      <c r="R110" s="34" t="s">
        <v>986</v>
      </c>
      <c r="S110" s="34" t="s">
        <v>987</v>
      </c>
      <c r="T110" s="34" t="s">
        <v>988</v>
      </c>
      <c r="U110" s="34" t="s">
        <v>989</v>
      </c>
      <c r="V110" s="34" t="s">
        <v>990</v>
      </c>
      <c r="W110" s="14"/>
      <c r="X110" s="34" t="s">
        <v>985</v>
      </c>
      <c r="Y110" s="34" t="s">
        <v>986</v>
      </c>
      <c r="Z110" s="34" t="s">
        <v>987</v>
      </c>
      <c r="AA110" s="34" t="s">
        <v>988</v>
      </c>
      <c r="AB110" s="34" t="s">
        <v>989</v>
      </c>
      <c r="AC110" s="34" t="s">
        <v>990</v>
      </c>
      <c r="AD110" s="14"/>
      <c r="AE110" s="34" t="s">
        <v>985</v>
      </c>
      <c r="AF110" s="34" t="s">
        <v>986</v>
      </c>
      <c r="AG110" s="34" t="s">
        <v>987</v>
      </c>
      <c r="AH110" s="34" t="s">
        <v>988</v>
      </c>
      <c r="AI110" s="34" t="s">
        <v>989</v>
      </c>
      <c r="AJ110" s="34" t="s">
        <v>990</v>
      </c>
      <c r="AL110" s="156" t="s">
        <v>985</v>
      </c>
      <c r="AM110" s="156" t="s">
        <v>986</v>
      </c>
      <c r="AN110" s="156" t="s">
        <v>987</v>
      </c>
      <c r="AO110" s="156" t="s">
        <v>988</v>
      </c>
      <c r="AP110" s="156" t="s">
        <v>989</v>
      </c>
      <c r="AQ110" s="156" t="s">
        <v>990</v>
      </c>
      <c r="AS110" s="209" t="s">
        <v>985</v>
      </c>
      <c r="AT110" s="209" t="s">
        <v>986</v>
      </c>
      <c r="AU110" s="209" t="s">
        <v>987</v>
      </c>
      <c r="AV110" s="209" t="s">
        <v>988</v>
      </c>
      <c r="AW110" s="209" t="s">
        <v>989</v>
      </c>
      <c r="AX110" s="209" t="s">
        <v>990</v>
      </c>
    </row>
    <row r="111" spans="1:50" ht="12" x14ac:dyDescent="0.3">
      <c r="A111" s="20" t="s">
        <v>1262</v>
      </c>
      <c r="B111" s="20"/>
      <c r="C111" s="8" t="s">
        <v>445</v>
      </c>
      <c r="D111" s="8" t="s">
        <v>445</v>
      </c>
      <c r="E111" s="8" t="s">
        <v>445</v>
      </c>
      <c r="F111" s="8" t="s">
        <v>997</v>
      </c>
      <c r="G111" s="27" t="s">
        <v>158</v>
      </c>
      <c r="H111" s="27" t="s">
        <v>158</v>
      </c>
      <c r="I111" s="15"/>
      <c r="J111" s="8" t="s">
        <v>445</v>
      </c>
      <c r="K111" s="8" t="s">
        <v>445</v>
      </c>
      <c r="L111" s="8" t="s">
        <v>445</v>
      </c>
      <c r="M111" s="8" t="s">
        <v>997</v>
      </c>
      <c r="N111" s="8" t="s">
        <v>997</v>
      </c>
      <c r="O111" s="8" t="s">
        <v>997</v>
      </c>
      <c r="P111" s="15"/>
      <c r="Q111" s="8" t="s">
        <v>445</v>
      </c>
      <c r="R111" s="8" t="s">
        <v>445</v>
      </c>
      <c r="S111" s="8" t="s">
        <v>445</v>
      </c>
      <c r="T111" s="8" t="s">
        <v>997</v>
      </c>
      <c r="U111" s="27" t="s">
        <v>158</v>
      </c>
      <c r="V111" s="27" t="s">
        <v>158</v>
      </c>
      <c r="W111" s="15"/>
      <c r="X111" s="8" t="s">
        <v>445</v>
      </c>
      <c r="Y111" s="8" t="s">
        <v>445</v>
      </c>
      <c r="Z111" s="8" t="s">
        <v>445</v>
      </c>
      <c r="AA111" s="8" t="s">
        <v>997</v>
      </c>
      <c r="AB111" s="27" t="s">
        <v>158</v>
      </c>
      <c r="AC111" s="27" t="s">
        <v>158</v>
      </c>
      <c r="AD111" s="15"/>
      <c r="AE111" s="8" t="s">
        <v>445</v>
      </c>
      <c r="AF111" s="8" t="s">
        <v>445</v>
      </c>
      <c r="AG111" s="8" t="s">
        <v>445</v>
      </c>
      <c r="AH111" s="8" t="s">
        <v>997</v>
      </c>
      <c r="AI111" s="27" t="s">
        <v>158</v>
      </c>
      <c r="AJ111" s="27" t="s">
        <v>158</v>
      </c>
      <c r="AK111" s="153"/>
      <c r="AL111" s="171" t="s">
        <v>445</v>
      </c>
      <c r="AM111" s="171" t="s">
        <v>445</v>
      </c>
      <c r="AN111" s="171" t="s">
        <v>445</v>
      </c>
      <c r="AO111" s="171" t="s">
        <v>997</v>
      </c>
      <c r="AP111" s="171" t="s">
        <v>997</v>
      </c>
      <c r="AQ111" s="171" t="s">
        <v>997</v>
      </c>
      <c r="AR111" s="153"/>
      <c r="AS111" s="171" t="s">
        <v>370</v>
      </c>
      <c r="AT111" s="171" t="s">
        <v>370</v>
      </c>
      <c r="AU111" s="171" t="s">
        <v>445</v>
      </c>
      <c r="AV111" s="171" t="s">
        <v>445</v>
      </c>
      <c r="AW111" s="171" t="s">
        <v>158</v>
      </c>
      <c r="AX111" s="171" t="s">
        <v>158</v>
      </c>
    </row>
    <row r="112" spans="1:50" ht="12" x14ac:dyDescent="0.3">
      <c r="A112" s="20" t="s">
        <v>1265</v>
      </c>
      <c r="B112" s="20"/>
      <c r="C112" s="8" t="s">
        <v>445</v>
      </c>
      <c r="D112" s="8" t="s">
        <v>445</v>
      </c>
      <c r="E112" s="8" t="s">
        <v>445</v>
      </c>
      <c r="F112" s="8" t="s">
        <v>997</v>
      </c>
      <c r="G112" s="27" t="s">
        <v>158</v>
      </c>
      <c r="H112" s="27" t="s">
        <v>158</v>
      </c>
      <c r="I112" s="15"/>
      <c r="J112" s="8" t="s">
        <v>445</v>
      </c>
      <c r="K112" s="8" t="s">
        <v>445</v>
      </c>
      <c r="L112" s="8" t="s">
        <v>445</v>
      </c>
      <c r="M112" s="8" t="s">
        <v>997</v>
      </c>
      <c r="N112" s="8" t="s">
        <v>997</v>
      </c>
      <c r="O112" s="8" t="s">
        <v>997</v>
      </c>
      <c r="P112" s="15"/>
      <c r="Q112" s="8" t="s">
        <v>445</v>
      </c>
      <c r="R112" s="8" t="s">
        <v>445</v>
      </c>
      <c r="S112" s="8" t="s">
        <v>445</v>
      </c>
      <c r="T112" s="8" t="s">
        <v>997</v>
      </c>
      <c r="U112" s="27" t="s">
        <v>158</v>
      </c>
      <c r="V112" s="27" t="s">
        <v>158</v>
      </c>
      <c r="W112" s="15"/>
      <c r="X112" s="8" t="s">
        <v>445</v>
      </c>
      <c r="Y112" s="8" t="s">
        <v>445</v>
      </c>
      <c r="Z112" s="8" t="s">
        <v>445</v>
      </c>
      <c r="AA112" s="8" t="s">
        <v>997</v>
      </c>
      <c r="AB112" s="27" t="s">
        <v>158</v>
      </c>
      <c r="AC112" s="27" t="s">
        <v>158</v>
      </c>
      <c r="AD112" s="15"/>
      <c r="AE112" s="8" t="s">
        <v>445</v>
      </c>
      <c r="AF112" s="8" t="s">
        <v>445</v>
      </c>
      <c r="AG112" s="8" t="s">
        <v>445</v>
      </c>
      <c r="AH112" s="8" t="s">
        <v>997</v>
      </c>
      <c r="AI112" s="27" t="s">
        <v>158</v>
      </c>
      <c r="AJ112" s="27" t="s">
        <v>158</v>
      </c>
      <c r="AK112" s="153"/>
      <c r="AL112" s="171" t="s">
        <v>445</v>
      </c>
      <c r="AM112" s="171" t="s">
        <v>445</v>
      </c>
      <c r="AN112" s="171" t="s">
        <v>445</v>
      </c>
      <c r="AO112" s="171" t="s">
        <v>997</v>
      </c>
      <c r="AP112" s="171" t="s">
        <v>997</v>
      </c>
      <c r="AQ112" s="171" t="s">
        <v>997</v>
      </c>
      <c r="AR112" s="153"/>
      <c r="AS112" s="171" t="s">
        <v>370</v>
      </c>
      <c r="AT112" s="171" t="s">
        <v>370</v>
      </c>
      <c r="AU112" s="171" t="s">
        <v>445</v>
      </c>
      <c r="AV112" s="171" t="s">
        <v>445</v>
      </c>
      <c r="AW112" s="171" t="s">
        <v>158</v>
      </c>
      <c r="AX112" s="171" t="s">
        <v>158</v>
      </c>
    </row>
    <row r="113" spans="1:50" ht="12" x14ac:dyDescent="0.3">
      <c r="A113" s="20" t="s">
        <v>1267</v>
      </c>
      <c r="B113" s="20"/>
      <c r="C113" s="8" t="s">
        <v>445</v>
      </c>
      <c r="D113" s="8" t="s">
        <v>445</v>
      </c>
      <c r="E113" s="8" t="s">
        <v>445</v>
      </c>
      <c r="F113" s="8" t="s">
        <v>997</v>
      </c>
      <c r="G113" s="27" t="s">
        <v>158</v>
      </c>
      <c r="H113" s="27" t="s">
        <v>158</v>
      </c>
      <c r="I113" s="15"/>
      <c r="J113" s="8" t="s">
        <v>445</v>
      </c>
      <c r="K113" s="8" t="s">
        <v>445</v>
      </c>
      <c r="L113" s="8" t="s">
        <v>445</v>
      </c>
      <c r="M113" s="8" t="s">
        <v>997</v>
      </c>
      <c r="N113" s="8" t="s">
        <v>997</v>
      </c>
      <c r="O113" s="8" t="s">
        <v>997</v>
      </c>
      <c r="P113" s="15"/>
      <c r="Q113" s="8" t="s">
        <v>445</v>
      </c>
      <c r="R113" s="8" t="s">
        <v>445</v>
      </c>
      <c r="S113" s="8" t="s">
        <v>445</v>
      </c>
      <c r="T113" s="8" t="s">
        <v>997</v>
      </c>
      <c r="U113" s="27" t="s">
        <v>158</v>
      </c>
      <c r="V113" s="27" t="s">
        <v>158</v>
      </c>
      <c r="W113" s="15"/>
      <c r="X113" s="8" t="s">
        <v>445</v>
      </c>
      <c r="Y113" s="8" t="s">
        <v>445</v>
      </c>
      <c r="Z113" s="8" t="s">
        <v>445</v>
      </c>
      <c r="AA113" s="8" t="s">
        <v>997</v>
      </c>
      <c r="AB113" s="27" t="s">
        <v>158</v>
      </c>
      <c r="AC113" s="27" t="s">
        <v>158</v>
      </c>
      <c r="AD113" s="15"/>
      <c r="AE113" s="8" t="s">
        <v>445</v>
      </c>
      <c r="AF113" s="8" t="s">
        <v>445</v>
      </c>
      <c r="AG113" s="8" t="s">
        <v>445</v>
      </c>
      <c r="AH113" s="8" t="s">
        <v>997</v>
      </c>
      <c r="AI113" s="27" t="s">
        <v>158</v>
      </c>
      <c r="AJ113" s="27" t="s">
        <v>158</v>
      </c>
      <c r="AK113" s="153"/>
      <c r="AL113" s="171" t="s">
        <v>445</v>
      </c>
      <c r="AM113" s="171" t="s">
        <v>445</v>
      </c>
      <c r="AN113" s="171" t="s">
        <v>445</v>
      </c>
      <c r="AO113" s="171" t="s">
        <v>997</v>
      </c>
      <c r="AP113" s="171" t="s">
        <v>997</v>
      </c>
      <c r="AQ113" s="171" t="s">
        <v>997</v>
      </c>
      <c r="AR113" s="153"/>
      <c r="AS113" s="171" t="s">
        <v>445</v>
      </c>
      <c r="AT113" s="171" t="s">
        <v>445</v>
      </c>
      <c r="AU113" s="171" t="s">
        <v>370</v>
      </c>
      <c r="AV113" s="171" t="s">
        <v>370</v>
      </c>
      <c r="AW113" s="171" t="s">
        <v>158</v>
      </c>
      <c r="AX113" s="171" t="s">
        <v>158</v>
      </c>
    </row>
    <row r="114" spans="1:50" ht="12" x14ac:dyDescent="0.3">
      <c r="A114" s="20" t="s">
        <v>1269</v>
      </c>
      <c r="B114" s="20"/>
      <c r="C114" s="8" t="s">
        <v>445</v>
      </c>
      <c r="D114" s="8" t="s">
        <v>445</v>
      </c>
      <c r="E114" s="8" t="s">
        <v>445</v>
      </c>
      <c r="F114" s="8" t="s">
        <v>997</v>
      </c>
      <c r="G114" s="27" t="s">
        <v>158</v>
      </c>
      <c r="H114" s="27" t="s">
        <v>158</v>
      </c>
      <c r="I114" s="15"/>
      <c r="J114" s="8" t="s">
        <v>445</v>
      </c>
      <c r="K114" s="8" t="s">
        <v>445</v>
      </c>
      <c r="L114" s="8" t="s">
        <v>445</v>
      </c>
      <c r="M114" s="8" t="s">
        <v>997</v>
      </c>
      <c r="N114" s="8" t="s">
        <v>997</v>
      </c>
      <c r="O114" s="8" t="s">
        <v>997</v>
      </c>
      <c r="P114" s="15"/>
      <c r="Q114" s="8" t="s">
        <v>445</v>
      </c>
      <c r="R114" s="8" t="s">
        <v>445</v>
      </c>
      <c r="S114" s="8" t="s">
        <v>445</v>
      </c>
      <c r="T114" s="8" t="s">
        <v>997</v>
      </c>
      <c r="U114" s="27" t="s">
        <v>158</v>
      </c>
      <c r="V114" s="27" t="s">
        <v>158</v>
      </c>
      <c r="W114" s="15"/>
      <c r="X114" s="8" t="s">
        <v>445</v>
      </c>
      <c r="Y114" s="8" t="s">
        <v>445</v>
      </c>
      <c r="Z114" s="8" t="s">
        <v>445</v>
      </c>
      <c r="AA114" s="8" t="s">
        <v>997</v>
      </c>
      <c r="AB114" s="27" t="s">
        <v>158</v>
      </c>
      <c r="AC114" s="27" t="s">
        <v>158</v>
      </c>
      <c r="AD114" s="15"/>
      <c r="AE114" s="8" t="s">
        <v>445</v>
      </c>
      <c r="AF114" s="8" t="s">
        <v>445</v>
      </c>
      <c r="AG114" s="8" t="s">
        <v>445</v>
      </c>
      <c r="AH114" s="8" t="s">
        <v>997</v>
      </c>
      <c r="AI114" s="27" t="s">
        <v>158</v>
      </c>
      <c r="AJ114" s="27" t="s">
        <v>158</v>
      </c>
      <c r="AK114" s="153"/>
      <c r="AL114" s="171" t="s">
        <v>445</v>
      </c>
      <c r="AM114" s="171" t="s">
        <v>445</v>
      </c>
      <c r="AN114" s="171" t="s">
        <v>445</v>
      </c>
      <c r="AO114" s="171" t="s">
        <v>997</v>
      </c>
      <c r="AP114" s="171" t="s">
        <v>997</v>
      </c>
      <c r="AQ114" s="171" t="s">
        <v>997</v>
      </c>
      <c r="AR114" s="153"/>
      <c r="AS114" s="171" t="s">
        <v>75</v>
      </c>
      <c r="AT114" s="171" t="s">
        <v>158</v>
      </c>
      <c r="AU114" s="171" t="s">
        <v>158</v>
      </c>
      <c r="AV114" s="171" t="s">
        <v>158</v>
      </c>
      <c r="AW114" s="171" t="s">
        <v>158</v>
      </c>
      <c r="AX114" s="171" t="s">
        <v>158</v>
      </c>
    </row>
    <row r="115" spans="1:50" ht="12" x14ac:dyDescent="0.3">
      <c r="A115" s="20" t="s">
        <v>1272</v>
      </c>
      <c r="B115" s="20"/>
      <c r="C115" s="8" t="s">
        <v>445</v>
      </c>
      <c r="D115" s="8" t="s">
        <v>445</v>
      </c>
      <c r="E115" s="8" t="s">
        <v>445</v>
      </c>
      <c r="F115" s="8" t="s">
        <v>997</v>
      </c>
      <c r="G115" s="27" t="s">
        <v>158</v>
      </c>
      <c r="H115" s="27" t="s">
        <v>158</v>
      </c>
      <c r="I115" s="15"/>
      <c r="J115" s="8" t="s">
        <v>445</v>
      </c>
      <c r="K115" s="8" t="s">
        <v>445</v>
      </c>
      <c r="L115" s="8" t="s">
        <v>445</v>
      </c>
      <c r="M115" s="8" t="s">
        <v>997</v>
      </c>
      <c r="N115" s="8" t="s">
        <v>997</v>
      </c>
      <c r="O115" s="8" t="s">
        <v>997</v>
      </c>
      <c r="P115" s="15"/>
      <c r="Q115" s="8" t="s">
        <v>445</v>
      </c>
      <c r="R115" s="8" t="s">
        <v>445</v>
      </c>
      <c r="S115" s="8" t="s">
        <v>445</v>
      </c>
      <c r="T115" s="8" t="s">
        <v>997</v>
      </c>
      <c r="U115" s="27" t="s">
        <v>158</v>
      </c>
      <c r="V115" s="27" t="s">
        <v>158</v>
      </c>
      <c r="W115" s="15"/>
      <c r="X115" s="8" t="s">
        <v>445</v>
      </c>
      <c r="Y115" s="8" t="s">
        <v>445</v>
      </c>
      <c r="Z115" s="8" t="s">
        <v>445</v>
      </c>
      <c r="AA115" s="8" t="s">
        <v>997</v>
      </c>
      <c r="AB115" s="27" t="s">
        <v>158</v>
      </c>
      <c r="AC115" s="27" t="s">
        <v>158</v>
      </c>
      <c r="AD115" s="15"/>
      <c r="AE115" s="8" t="s">
        <v>445</v>
      </c>
      <c r="AF115" s="8" t="s">
        <v>445</v>
      </c>
      <c r="AG115" s="8" t="s">
        <v>445</v>
      </c>
      <c r="AH115" s="8" t="s">
        <v>997</v>
      </c>
      <c r="AI115" s="27" t="s">
        <v>158</v>
      </c>
      <c r="AJ115" s="27" t="s">
        <v>158</v>
      </c>
      <c r="AK115" s="153"/>
      <c r="AL115" s="171" t="s">
        <v>445</v>
      </c>
      <c r="AM115" s="171" t="s">
        <v>445</v>
      </c>
      <c r="AN115" s="171" t="s">
        <v>445</v>
      </c>
      <c r="AO115" s="171" t="s">
        <v>997</v>
      </c>
      <c r="AP115" s="171" t="s">
        <v>997</v>
      </c>
      <c r="AQ115" s="171" t="s">
        <v>997</v>
      </c>
      <c r="AR115" s="153"/>
      <c r="AS115" s="171" t="s">
        <v>445</v>
      </c>
      <c r="AT115" s="171" t="s">
        <v>445</v>
      </c>
      <c r="AU115" s="171" t="s">
        <v>445</v>
      </c>
      <c r="AV115" s="171" t="s">
        <v>370</v>
      </c>
      <c r="AW115" s="171" t="s">
        <v>158</v>
      </c>
      <c r="AX115" s="171" t="s">
        <v>158</v>
      </c>
    </row>
    <row r="116" spans="1:50" ht="12" x14ac:dyDescent="0.3">
      <c r="A116" s="20" t="s">
        <v>1276</v>
      </c>
      <c r="B116" s="20"/>
      <c r="C116" s="8" t="s">
        <v>445</v>
      </c>
      <c r="D116" s="8" t="s">
        <v>445</v>
      </c>
      <c r="E116" s="8" t="s">
        <v>445</v>
      </c>
      <c r="F116" s="8" t="s">
        <v>997</v>
      </c>
      <c r="G116" s="27" t="s">
        <v>158</v>
      </c>
      <c r="H116" s="27" t="s">
        <v>158</v>
      </c>
      <c r="I116" s="15"/>
      <c r="J116" s="8" t="s">
        <v>445</v>
      </c>
      <c r="K116" s="8" t="s">
        <v>445</v>
      </c>
      <c r="L116" s="8" t="s">
        <v>445</v>
      </c>
      <c r="M116" s="8" t="s">
        <v>997</v>
      </c>
      <c r="N116" s="8" t="s">
        <v>997</v>
      </c>
      <c r="O116" s="8" t="s">
        <v>997</v>
      </c>
      <c r="P116" s="15"/>
      <c r="Q116" s="8" t="s">
        <v>445</v>
      </c>
      <c r="R116" s="8" t="s">
        <v>445</v>
      </c>
      <c r="S116" s="8" t="s">
        <v>445</v>
      </c>
      <c r="T116" s="8" t="s">
        <v>997</v>
      </c>
      <c r="U116" s="27" t="s">
        <v>158</v>
      </c>
      <c r="V116" s="27" t="s">
        <v>158</v>
      </c>
      <c r="W116" s="15"/>
      <c r="X116" s="8" t="s">
        <v>445</v>
      </c>
      <c r="Y116" s="8" t="s">
        <v>445</v>
      </c>
      <c r="Z116" s="8" t="s">
        <v>445</v>
      </c>
      <c r="AA116" s="8" t="s">
        <v>997</v>
      </c>
      <c r="AB116" s="27" t="s">
        <v>158</v>
      </c>
      <c r="AC116" s="27" t="s">
        <v>158</v>
      </c>
      <c r="AD116" s="15"/>
      <c r="AE116" s="8" t="s">
        <v>445</v>
      </c>
      <c r="AF116" s="8" t="s">
        <v>445</v>
      </c>
      <c r="AG116" s="8" t="s">
        <v>445</v>
      </c>
      <c r="AH116" s="8" t="s">
        <v>997</v>
      </c>
      <c r="AI116" s="27" t="s">
        <v>158</v>
      </c>
      <c r="AJ116" s="27" t="s">
        <v>158</v>
      </c>
      <c r="AK116" s="153"/>
      <c r="AL116" s="171" t="s">
        <v>445</v>
      </c>
      <c r="AM116" s="171" t="s">
        <v>445</v>
      </c>
      <c r="AN116" s="171" t="s">
        <v>445</v>
      </c>
      <c r="AO116" s="171" t="s">
        <v>997</v>
      </c>
      <c r="AP116" s="171" t="s">
        <v>997</v>
      </c>
      <c r="AQ116" s="171" t="s">
        <v>997</v>
      </c>
      <c r="AR116" s="153"/>
      <c r="AS116" s="171" t="s">
        <v>445</v>
      </c>
      <c r="AT116" s="171" t="s">
        <v>445</v>
      </c>
      <c r="AU116" s="171" t="s">
        <v>445</v>
      </c>
      <c r="AV116" s="171" t="s">
        <v>370</v>
      </c>
      <c r="AW116" s="171" t="s">
        <v>158</v>
      </c>
      <c r="AX116" s="171" t="s">
        <v>158</v>
      </c>
    </row>
    <row r="117" spans="1:50" ht="12" x14ac:dyDescent="0.3">
      <c r="A117" s="20" t="s">
        <v>1280</v>
      </c>
      <c r="B117" s="20"/>
      <c r="C117" s="8" t="s">
        <v>1383</v>
      </c>
      <c r="D117" s="8" t="s">
        <v>1383</v>
      </c>
      <c r="E117" s="8" t="s">
        <v>445</v>
      </c>
      <c r="F117" s="27" t="s">
        <v>158</v>
      </c>
      <c r="G117" s="27" t="s">
        <v>158</v>
      </c>
      <c r="H117" s="27" t="s">
        <v>158</v>
      </c>
      <c r="I117" s="15"/>
      <c r="J117" s="8" t="s">
        <v>997</v>
      </c>
      <c r="K117" s="8" t="s">
        <v>997</v>
      </c>
      <c r="L117" s="8" t="s">
        <v>997</v>
      </c>
      <c r="M117" s="8" t="s">
        <v>997</v>
      </c>
      <c r="N117" s="8" t="s">
        <v>997</v>
      </c>
      <c r="O117" s="8" t="s">
        <v>997</v>
      </c>
      <c r="P117" s="15"/>
      <c r="Q117" s="8" t="s">
        <v>1383</v>
      </c>
      <c r="R117" s="8" t="s">
        <v>1383</v>
      </c>
      <c r="S117" s="8" t="s">
        <v>1383</v>
      </c>
      <c r="T117" s="8" t="s">
        <v>1383</v>
      </c>
      <c r="U117" s="27" t="s">
        <v>158</v>
      </c>
      <c r="V117" s="27" t="s">
        <v>158</v>
      </c>
      <c r="W117" s="15"/>
      <c r="X117" s="8" t="s">
        <v>1383</v>
      </c>
      <c r="Y117" s="8" t="s">
        <v>1383</v>
      </c>
      <c r="Z117" s="8" t="s">
        <v>1383</v>
      </c>
      <c r="AA117" s="8" t="s">
        <v>1383</v>
      </c>
      <c r="AB117" s="27" t="s">
        <v>158</v>
      </c>
      <c r="AC117" s="27" t="s">
        <v>158</v>
      </c>
      <c r="AD117" s="15"/>
      <c r="AE117" s="8" t="s">
        <v>1383</v>
      </c>
      <c r="AF117" s="8" t="s">
        <v>1383</v>
      </c>
      <c r="AG117" s="8" t="s">
        <v>1383</v>
      </c>
      <c r="AH117" s="8" t="s">
        <v>1383</v>
      </c>
      <c r="AI117" s="27" t="s">
        <v>158</v>
      </c>
      <c r="AJ117" s="27" t="s">
        <v>158</v>
      </c>
      <c r="AK117" s="153"/>
      <c r="AL117" s="171" t="s">
        <v>997</v>
      </c>
      <c r="AM117" s="171" t="s">
        <v>997</v>
      </c>
      <c r="AN117" s="171" t="s">
        <v>997</v>
      </c>
      <c r="AO117" s="171" t="s">
        <v>997</v>
      </c>
      <c r="AP117" s="171" t="s">
        <v>997</v>
      </c>
      <c r="AQ117" s="171" t="s">
        <v>997</v>
      </c>
      <c r="AR117" s="153"/>
      <c r="AS117" s="171" t="s">
        <v>445</v>
      </c>
      <c r="AT117" s="171" t="s">
        <v>445</v>
      </c>
      <c r="AU117" s="171" t="s">
        <v>445</v>
      </c>
      <c r="AV117" s="171" t="s">
        <v>370</v>
      </c>
      <c r="AW117" s="171" t="s">
        <v>158</v>
      </c>
      <c r="AX117" s="171" t="s">
        <v>158</v>
      </c>
    </row>
    <row r="118" spans="1:50" ht="12" x14ac:dyDescent="0.3">
      <c r="A118" s="20" t="s">
        <v>1284</v>
      </c>
      <c r="B118" s="20"/>
      <c r="C118" s="8" t="s">
        <v>997</v>
      </c>
      <c r="D118" s="8" t="s">
        <v>997</v>
      </c>
      <c r="E118" s="8" t="s">
        <v>445</v>
      </c>
      <c r="F118" s="8" t="s">
        <v>445</v>
      </c>
      <c r="G118" s="27" t="s">
        <v>158</v>
      </c>
      <c r="H118" s="27" t="s">
        <v>158</v>
      </c>
      <c r="I118" s="15"/>
      <c r="J118" s="8" t="s">
        <v>997</v>
      </c>
      <c r="K118" s="8" t="s">
        <v>997</v>
      </c>
      <c r="L118" s="8" t="s">
        <v>445</v>
      </c>
      <c r="M118" s="8" t="s">
        <v>445</v>
      </c>
      <c r="N118" s="8" t="s">
        <v>997</v>
      </c>
      <c r="O118" s="8" t="s">
        <v>997</v>
      </c>
      <c r="P118" s="15"/>
      <c r="Q118" s="8" t="s">
        <v>997</v>
      </c>
      <c r="R118" s="8" t="s">
        <v>997</v>
      </c>
      <c r="S118" s="8" t="s">
        <v>445</v>
      </c>
      <c r="T118" s="8" t="s">
        <v>445</v>
      </c>
      <c r="U118" s="27" t="s">
        <v>158</v>
      </c>
      <c r="V118" s="27" t="s">
        <v>158</v>
      </c>
      <c r="W118" s="15"/>
      <c r="X118" s="8" t="s">
        <v>997</v>
      </c>
      <c r="Y118" s="8" t="s">
        <v>997</v>
      </c>
      <c r="Z118" s="8" t="s">
        <v>445</v>
      </c>
      <c r="AA118" s="8" t="s">
        <v>445</v>
      </c>
      <c r="AB118" s="27" t="s">
        <v>158</v>
      </c>
      <c r="AC118" s="27" t="s">
        <v>158</v>
      </c>
      <c r="AD118" s="15"/>
      <c r="AE118" s="8" t="s">
        <v>997</v>
      </c>
      <c r="AF118" s="8" t="s">
        <v>997</v>
      </c>
      <c r="AG118" s="8" t="s">
        <v>445</v>
      </c>
      <c r="AH118" s="8" t="s">
        <v>445</v>
      </c>
      <c r="AI118" s="27" t="s">
        <v>158</v>
      </c>
      <c r="AJ118" s="27" t="s">
        <v>158</v>
      </c>
      <c r="AK118" s="153"/>
      <c r="AL118" s="171" t="s">
        <v>997</v>
      </c>
      <c r="AM118" s="171" t="s">
        <v>997</v>
      </c>
      <c r="AN118" s="171" t="s">
        <v>445</v>
      </c>
      <c r="AO118" s="171" t="s">
        <v>445</v>
      </c>
      <c r="AP118" s="171" t="s">
        <v>997</v>
      </c>
      <c r="AQ118" s="171" t="s">
        <v>997</v>
      </c>
      <c r="AR118" s="153"/>
      <c r="AS118" s="171" t="s">
        <v>445</v>
      </c>
      <c r="AT118" s="171" t="s">
        <v>445</v>
      </c>
      <c r="AU118" s="171" t="s">
        <v>445</v>
      </c>
      <c r="AV118" s="171" t="s">
        <v>370</v>
      </c>
      <c r="AW118" s="171" t="s">
        <v>158</v>
      </c>
      <c r="AX118" s="171" t="s">
        <v>158</v>
      </c>
    </row>
    <row r="119" spans="1:50" ht="12" x14ac:dyDescent="0.3">
      <c r="A119" s="20" t="s">
        <v>1288</v>
      </c>
      <c r="B119" s="20"/>
      <c r="C119" s="8" t="s">
        <v>997</v>
      </c>
      <c r="D119" s="8" t="s">
        <v>997</v>
      </c>
      <c r="E119" s="8" t="s">
        <v>445</v>
      </c>
      <c r="F119" s="8" t="s">
        <v>445</v>
      </c>
      <c r="G119" s="27" t="s">
        <v>158</v>
      </c>
      <c r="H119" s="27" t="s">
        <v>158</v>
      </c>
      <c r="I119" s="15"/>
      <c r="J119" s="8" t="s">
        <v>997</v>
      </c>
      <c r="K119" s="8" t="s">
        <v>997</v>
      </c>
      <c r="L119" s="8" t="s">
        <v>445</v>
      </c>
      <c r="M119" s="8" t="s">
        <v>445</v>
      </c>
      <c r="N119" s="8" t="s">
        <v>997</v>
      </c>
      <c r="O119" s="8" t="s">
        <v>997</v>
      </c>
      <c r="P119" s="15"/>
      <c r="Q119" s="8" t="s">
        <v>997</v>
      </c>
      <c r="R119" s="8" t="s">
        <v>997</v>
      </c>
      <c r="S119" s="8" t="s">
        <v>445</v>
      </c>
      <c r="T119" s="8" t="s">
        <v>445</v>
      </c>
      <c r="U119" s="27" t="s">
        <v>158</v>
      </c>
      <c r="V119" s="27" t="s">
        <v>158</v>
      </c>
      <c r="W119" s="15"/>
      <c r="X119" s="8" t="s">
        <v>997</v>
      </c>
      <c r="Y119" s="8" t="s">
        <v>997</v>
      </c>
      <c r="Z119" s="8" t="s">
        <v>445</v>
      </c>
      <c r="AA119" s="8" t="s">
        <v>445</v>
      </c>
      <c r="AB119" s="27" t="s">
        <v>158</v>
      </c>
      <c r="AC119" s="27" t="s">
        <v>158</v>
      </c>
      <c r="AD119" s="15"/>
      <c r="AE119" s="8" t="s">
        <v>997</v>
      </c>
      <c r="AF119" s="8" t="s">
        <v>997</v>
      </c>
      <c r="AG119" s="8" t="s">
        <v>445</v>
      </c>
      <c r="AH119" s="8" t="s">
        <v>445</v>
      </c>
      <c r="AI119" s="27" t="s">
        <v>158</v>
      </c>
      <c r="AJ119" s="27" t="s">
        <v>158</v>
      </c>
      <c r="AK119" s="153"/>
      <c r="AL119" s="171" t="s">
        <v>997</v>
      </c>
      <c r="AM119" s="171" t="s">
        <v>997</v>
      </c>
      <c r="AN119" s="171" t="s">
        <v>445</v>
      </c>
      <c r="AO119" s="171" t="s">
        <v>445</v>
      </c>
      <c r="AP119" s="171" t="s">
        <v>997</v>
      </c>
      <c r="AQ119" s="171" t="s">
        <v>997</v>
      </c>
      <c r="AR119" s="153"/>
      <c r="AS119" s="171" t="s">
        <v>445</v>
      </c>
      <c r="AT119" s="171" t="s">
        <v>445</v>
      </c>
      <c r="AU119" s="171" t="s">
        <v>445</v>
      </c>
      <c r="AV119" s="171" t="s">
        <v>370</v>
      </c>
      <c r="AW119" s="171" t="s">
        <v>158</v>
      </c>
      <c r="AX119" s="171" t="s">
        <v>158</v>
      </c>
    </row>
    <row r="120" spans="1:50" ht="12" x14ac:dyDescent="0.3">
      <c r="A120" s="20" t="s">
        <v>1292</v>
      </c>
      <c r="B120" s="20"/>
      <c r="C120" s="8" t="s">
        <v>997</v>
      </c>
      <c r="D120" s="8" t="s">
        <v>997</v>
      </c>
      <c r="E120" s="8" t="s">
        <v>445</v>
      </c>
      <c r="F120" s="8" t="s">
        <v>445</v>
      </c>
      <c r="G120" s="27" t="s">
        <v>158</v>
      </c>
      <c r="H120" s="27" t="s">
        <v>158</v>
      </c>
      <c r="I120" s="15"/>
      <c r="J120" s="8" t="s">
        <v>997</v>
      </c>
      <c r="K120" s="8" t="s">
        <v>997</v>
      </c>
      <c r="L120" s="8" t="s">
        <v>445</v>
      </c>
      <c r="M120" s="8" t="s">
        <v>445</v>
      </c>
      <c r="N120" s="8" t="s">
        <v>997</v>
      </c>
      <c r="O120" s="8" t="s">
        <v>997</v>
      </c>
      <c r="P120" s="15"/>
      <c r="Q120" s="8" t="s">
        <v>997</v>
      </c>
      <c r="R120" s="8" t="s">
        <v>997</v>
      </c>
      <c r="S120" s="8" t="s">
        <v>445</v>
      </c>
      <c r="T120" s="8" t="s">
        <v>445</v>
      </c>
      <c r="U120" s="27" t="s">
        <v>158</v>
      </c>
      <c r="V120" s="27" t="s">
        <v>158</v>
      </c>
      <c r="W120" s="15"/>
      <c r="X120" s="8" t="s">
        <v>997</v>
      </c>
      <c r="Y120" s="8" t="s">
        <v>997</v>
      </c>
      <c r="Z120" s="8" t="s">
        <v>445</v>
      </c>
      <c r="AA120" s="8" t="s">
        <v>445</v>
      </c>
      <c r="AB120" s="27" t="s">
        <v>158</v>
      </c>
      <c r="AC120" s="27" t="s">
        <v>158</v>
      </c>
      <c r="AD120" s="15"/>
      <c r="AE120" s="8" t="s">
        <v>997</v>
      </c>
      <c r="AF120" s="8" t="s">
        <v>997</v>
      </c>
      <c r="AG120" s="8" t="s">
        <v>445</v>
      </c>
      <c r="AH120" s="8" t="s">
        <v>445</v>
      </c>
      <c r="AI120" s="27" t="s">
        <v>158</v>
      </c>
      <c r="AJ120" s="27" t="s">
        <v>158</v>
      </c>
      <c r="AK120" s="153"/>
      <c r="AL120" s="171" t="s">
        <v>997</v>
      </c>
      <c r="AM120" s="171" t="s">
        <v>997</v>
      </c>
      <c r="AN120" s="171" t="s">
        <v>445</v>
      </c>
      <c r="AO120" s="171" t="s">
        <v>445</v>
      </c>
      <c r="AP120" s="171" t="s">
        <v>997</v>
      </c>
      <c r="AQ120" s="171" t="s">
        <v>997</v>
      </c>
      <c r="AR120" s="153"/>
      <c r="AS120" s="171" t="s">
        <v>445</v>
      </c>
      <c r="AT120" s="171" t="s">
        <v>445</v>
      </c>
      <c r="AU120" s="171" t="s">
        <v>445</v>
      </c>
      <c r="AV120" s="171" t="s">
        <v>370</v>
      </c>
      <c r="AW120" s="171" t="s">
        <v>158</v>
      </c>
      <c r="AX120" s="171" t="s">
        <v>158</v>
      </c>
    </row>
    <row r="121" spans="1:50" ht="12" x14ac:dyDescent="0.3">
      <c r="A121" s="20" t="s">
        <v>1296</v>
      </c>
      <c r="B121" s="20"/>
      <c r="C121" s="8" t="s">
        <v>997</v>
      </c>
      <c r="D121" s="8" t="s">
        <v>997</v>
      </c>
      <c r="E121" s="8" t="s">
        <v>445</v>
      </c>
      <c r="F121" s="8" t="s">
        <v>445</v>
      </c>
      <c r="G121" s="27" t="s">
        <v>158</v>
      </c>
      <c r="H121" s="27" t="s">
        <v>158</v>
      </c>
      <c r="I121" s="15"/>
      <c r="J121" s="8" t="s">
        <v>997</v>
      </c>
      <c r="K121" s="8" t="s">
        <v>997</v>
      </c>
      <c r="L121" s="8" t="s">
        <v>445</v>
      </c>
      <c r="M121" s="8" t="s">
        <v>445</v>
      </c>
      <c r="N121" s="8" t="s">
        <v>997</v>
      </c>
      <c r="O121" s="8" t="s">
        <v>997</v>
      </c>
      <c r="P121" s="15"/>
      <c r="Q121" s="8" t="s">
        <v>997</v>
      </c>
      <c r="R121" s="8" t="s">
        <v>997</v>
      </c>
      <c r="S121" s="8" t="s">
        <v>445</v>
      </c>
      <c r="T121" s="8" t="s">
        <v>445</v>
      </c>
      <c r="U121" s="27" t="s">
        <v>158</v>
      </c>
      <c r="V121" s="27" t="s">
        <v>158</v>
      </c>
      <c r="W121" s="15"/>
      <c r="X121" s="8" t="s">
        <v>997</v>
      </c>
      <c r="Y121" s="8" t="s">
        <v>997</v>
      </c>
      <c r="Z121" s="8" t="s">
        <v>445</v>
      </c>
      <c r="AA121" s="8" t="s">
        <v>445</v>
      </c>
      <c r="AB121" s="27" t="s">
        <v>158</v>
      </c>
      <c r="AC121" s="27" t="s">
        <v>158</v>
      </c>
      <c r="AD121" s="15"/>
      <c r="AE121" s="8" t="s">
        <v>997</v>
      </c>
      <c r="AF121" s="8" t="s">
        <v>997</v>
      </c>
      <c r="AG121" s="8" t="s">
        <v>445</v>
      </c>
      <c r="AH121" s="8" t="s">
        <v>445</v>
      </c>
      <c r="AI121" s="27" t="s">
        <v>158</v>
      </c>
      <c r="AJ121" s="27" t="s">
        <v>158</v>
      </c>
      <c r="AK121" s="153"/>
      <c r="AL121" s="171" t="s">
        <v>997</v>
      </c>
      <c r="AM121" s="171" t="s">
        <v>997</v>
      </c>
      <c r="AN121" s="171" t="s">
        <v>445</v>
      </c>
      <c r="AO121" s="171" t="s">
        <v>445</v>
      </c>
      <c r="AP121" s="171" t="s">
        <v>997</v>
      </c>
      <c r="AQ121" s="171" t="s">
        <v>997</v>
      </c>
      <c r="AR121" s="153"/>
      <c r="AS121" s="171" t="s">
        <v>445</v>
      </c>
      <c r="AT121" s="171" t="s">
        <v>445</v>
      </c>
      <c r="AU121" s="171" t="s">
        <v>445</v>
      </c>
      <c r="AV121" s="171" t="s">
        <v>370</v>
      </c>
      <c r="AW121" s="171" t="s">
        <v>158</v>
      </c>
      <c r="AX121" s="171" t="s">
        <v>158</v>
      </c>
    </row>
    <row r="122" spans="1:50" ht="12" x14ac:dyDescent="0.3">
      <c r="A122" s="20" t="s">
        <v>1300</v>
      </c>
      <c r="B122" s="20"/>
      <c r="C122" s="8" t="s">
        <v>997</v>
      </c>
      <c r="D122" s="8" t="s">
        <v>997</v>
      </c>
      <c r="E122" s="8" t="s">
        <v>445</v>
      </c>
      <c r="F122" s="8" t="s">
        <v>445</v>
      </c>
      <c r="G122" s="27" t="s">
        <v>158</v>
      </c>
      <c r="H122" s="27" t="s">
        <v>158</v>
      </c>
      <c r="I122" s="15"/>
      <c r="J122" s="8" t="s">
        <v>1383</v>
      </c>
      <c r="K122" s="8" t="s">
        <v>1383</v>
      </c>
      <c r="L122" s="8" t="s">
        <v>1383</v>
      </c>
      <c r="M122" s="8" t="s">
        <v>1383</v>
      </c>
      <c r="N122" s="8" t="s">
        <v>1383</v>
      </c>
      <c r="O122" s="8" t="s">
        <v>1383</v>
      </c>
      <c r="P122" s="15"/>
      <c r="Q122" s="8" t="s">
        <v>1383</v>
      </c>
      <c r="R122" s="8" t="s">
        <v>1383</v>
      </c>
      <c r="S122" s="8" t="s">
        <v>1383</v>
      </c>
      <c r="T122" s="8" t="s">
        <v>1383</v>
      </c>
      <c r="U122" s="27" t="s">
        <v>158</v>
      </c>
      <c r="V122" s="27" t="s">
        <v>158</v>
      </c>
      <c r="W122" s="15"/>
      <c r="X122" s="8" t="s">
        <v>1383</v>
      </c>
      <c r="Y122" s="8" t="s">
        <v>1383</v>
      </c>
      <c r="Z122" s="8" t="s">
        <v>1383</v>
      </c>
      <c r="AA122" s="8" t="s">
        <v>1383</v>
      </c>
      <c r="AB122" s="27" t="s">
        <v>158</v>
      </c>
      <c r="AC122" s="27" t="s">
        <v>158</v>
      </c>
      <c r="AD122" s="15"/>
      <c r="AE122" s="8" t="s">
        <v>1383</v>
      </c>
      <c r="AF122" s="8" t="s">
        <v>1383</v>
      </c>
      <c r="AG122" s="8" t="s">
        <v>1383</v>
      </c>
      <c r="AH122" s="8" t="s">
        <v>1383</v>
      </c>
      <c r="AI122" s="27" t="s">
        <v>158</v>
      </c>
      <c r="AJ122" s="27" t="s">
        <v>158</v>
      </c>
      <c r="AK122" s="153"/>
      <c r="AL122" s="171" t="s">
        <v>997</v>
      </c>
      <c r="AM122" s="171" t="s">
        <v>997</v>
      </c>
      <c r="AN122" s="171" t="s">
        <v>445</v>
      </c>
      <c r="AO122" s="171" t="s">
        <v>158</v>
      </c>
      <c r="AP122" s="171" t="s">
        <v>158</v>
      </c>
      <c r="AQ122" s="171" t="s">
        <v>158</v>
      </c>
      <c r="AR122" s="153"/>
      <c r="AS122" s="171" t="s">
        <v>75</v>
      </c>
      <c r="AT122" s="171" t="s">
        <v>158</v>
      </c>
      <c r="AU122" s="171" t="s">
        <v>158</v>
      </c>
      <c r="AV122" s="171" t="s">
        <v>158</v>
      </c>
      <c r="AW122" s="171" t="s">
        <v>158</v>
      </c>
      <c r="AX122" s="171" t="s">
        <v>158</v>
      </c>
    </row>
    <row r="123" spans="1:50" ht="12" x14ac:dyDescent="0.3">
      <c r="A123" s="20" t="s">
        <v>1302</v>
      </c>
      <c r="B123" s="20"/>
      <c r="C123" s="8" t="s">
        <v>997</v>
      </c>
      <c r="D123" s="8" t="s">
        <v>997</v>
      </c>
      <c r="E123" s="8" t="s">
        <v>445</v>
      </c>
      <c r="F123" s="8" t="s">
        <v>445</v>
      </c>
      <c r="G123" s="27" t="s">
        <v>158</v>
      </c>
      <c r="H123" s="27" t="s">
        <v>158</v>
      </c>
      <c r="I123" s="15"/>
      <c r="J123" s="8" t="s">
        <v>997</v>
      </c>
      <c r="K123" s="8" t="s">
        <v>997</v>
      </c>
      <c r="L123" s="8" t="s">
        <v>445</v>
      </c>
      <c r="M123" s="8" t="s">
        <v>445</v>
      </c>
      <c r="N123" s="8" t="s">
        <v>997</v>
      </c>
      <c r="O123" s="8" t="s">
        <v>997</v>
      </c>
      <c r="P123" s="15"/>
      <c r="Q123" s="8" t="s">
        <v>997</v>
      </c>
      <c r="R123" s="8" t="s">
        <v>997</v>
      </c>
      <c r="S123" s="8" t="s">
        <v>445</v>
      </c>
      <c r="T123" s="8" t="s">
        <v>445</v>
      </c>
      <c r="U123" s="27" t="s">
        <v>158</v>
      </c>
      <c r="V123" s="27" t="s">
        <v>158</v>
      </c>
      <c r="W123" s="15"/>
      <c r="X123" s="8" t="s">
        <v>997</v>
      </c>
      <c r="Y123" s="8" t="s">
        <v>997</v>
      </c>
      <c r="Z123" s="8" t="s">
        <v>445</v>
      </c>
      <c r="AA123" s="8" t="s">
        <v>445</v>
      </c>
      <c r="AB123" s="27" t="s">
        <v>158</v>
      </c>
      <c r="AC123" s="27" t="s">
        <v>158</v>
      </c>
      <c r="AD123" s="15"/>
      <c r="AE123" s="8" t="s">
        <v>997</v>
      </c>
      <c r="AF123" s="8" t="s">
        <v>997</v>
      </c>
      <c r="AG123" s="8" t="s">
        <v>445</v>
      </c>
      <c r="AH123" s="8" t="s">
        <v>445</v>
      </c>
      <c r="AI123" s="27" t="s">
        <v>158</v>
      </c>
      <c r="AJ123" s="27" t="s">
        <v>158</v>
      </c>
      <c r="AK123" s="153"/>
      <c r="AL123" s="171" t="s">
        <v>997</v>
      </c>
      <c r="AM123" s="171" t="s">
        <v>997</v>
      </c>
      <c r="AN123" s="171" t="s">
        <v>445</v>
      </c>
      <c r="AO123" s="171" t="s">
        <v>445</v>
      </c>
      <c r="AP123" s="171" t="s">
        <v>997</v>
      </c>
      <c r="AQ123" s="171" t="s">
        <v>997</v>
      </c>
      <c r="AR123" s="153"/>
      <c r="AS123" s="171" t="s">
        <v>75</v>
      </c>
      <c r="AT123" s="171" t="s">
        <v>158</v>
      </c>
      <c r="AU123" s="171" t="s">
        <v>158</v>
      </c>
      <c r="AV123" s="171" t="s">
        <v>158</v>
      </c>
      <c r="AW123" s="171" t="s">
        <v>158</v>
      </c>
      <c r="AX123" s="171" t="s">
        <v>158</v>
      </c>
    </row>
    <row r="124" spans="1:50" ht="12" x14ac:dyDescent="0.3">
      <c r="A124" s="20" t="s">
        <v>1304</v>
      </c>
      <c r="B124" s="20"/>
      <c r="C124" s="8" t="s">
        <v>997</v>
      </c>
      <c r="D124" s="8" t="s">
        <v>997</v>
      </c>
      <c r="E124" s="8" t="s">
        <v>445</v>
      </c>
      <c r="F124" s="8" t="s">
        <v>445</v>
      </c>
      <c r="G124" s="27" t="s">
        <v>158</v>
      </c>
      <c r="H124" s="27" t="s">
        <v>158</v>
      </c>
      <c r="I124" s="15"/>
      <c r="J124" s="8" t="s">
        <v>997</v>
      </c>
      <c r="K124" s="8" t="s">
        <v>997</v>
      </c>
      <c r="L124" s="8" t="s">
        <v>445</v>
      </c>
      <c r="M124" s="8" t="s">
        <v>445</v>
      </c>
      <c r="N124" s="8" t="s">
        <v>997</v>
      </c>
      <c r="O124" s="8" t="s">
        <v>997</v>
      </c>
      <c r="P124" s="15"/>
      <c r="Q124" s="8" t="s">
        <v>997</v>
      </c>
      <c r="R124" s="8" t="s">
        <v>997</v>
      </c>
      <c r="S124" s="8" t="s">
        <v>445</v>
      </c>
      <c r="T124" s="8" t="s">
        <v>445</v>
      </c>
      <c r="U124" s="27" t="s">
        <v>158</v>
      </c>
      <c r="V124" s="27" t="s">
        <v>158</v>
      </c>
      <c r="W124" s="15"/>
      <c r="X124" s="8" t="s">
        <v>997</v>
      </c>
      <c r="Y124" s="8" t="s">
        <v>997</v>
      </c>
      <c r="Z124" s="8" t="s">
        <v>445</v>
      </c>
      <c r="AA124" s="8" t="s">
        <v>445</v>
      </c>
      <c r="AB124" s="27" t="s">
        <v>158</v>
      </c>
      <c r="AC124" s="27" t="s">
        <v>158</v>
      </c>
      <c r="AD124" s="15"/>
      <c r="AE124" s="8" t="s">
        <v>997</v>
      </c>
      <c r="AF124" s="8" t="s">
        <v>997</v>
      </c>
      <c r="AG124" s="8" t="s">
        <v>445</v>
      </c>
      <c r="AH124" s="8" t="s">
        <v>445</v>
      </c>
      <c r="AI124" s="27" t="s">
        <v>158</v>
      </c>
      <c r="AJ124" s="27" t="s">
        <v>158</v>
      </c>
      <c r="AK124" s="153"/>
      <c r="AL124" s="171" t="s">
        <v>997</v>
      </c>
      <c r="AM124" s="171" t="s">
        <v>997</v>
      </c>
      <c r="AN124" s="171" t="s">
        <v>445</v>
      </c>
      <c r="AO124" s="171" t="s">
        <v>445</v>
      </c>
      <c r="AP124" s="171" t="s">
        <v>997</v>
      </c>
      <c r="AQ124" s="171" t="s">
        <v>997</v>
      </c>
      <c r="AR124" s="153"/>
      <c r="AS124" s="171" t="s">
        <v>75</v>
      </c>
      <c r="AT124" s="171" t="s">
        <v>158</v>
      </c>
      <c r="AU124" s="171" t="s">
        <v>158</v>
      </c>
      <c r="AV124" s="171" t="s">
        <v>158</v>
      </c>
      <c r="AW124" s="171" t="s">
        <v>158</v>
      </c>
      <c r="AX124" s="171" t="s">
        <v>158</v>
      </c>
    </row>
    <row r="125" spans="1:50" ht="12" x14ac:dyDescent="0.3">
      <c r="A125" s="20" t="s">
        <v>1306</v>
      </c>
      <c r="B125" s="20"/>
      <c r="C125" s="8" t="s">
        <v>997</v>
      </c>
      <c r="D125" s="8" t="s">
        <v>997</v>
      </c>
      <c r="E125" s="8" t="s">
        <v>445</v>
      </c>
      <c r="F125" s="8" t="s">
        <v>445</v>
      </c>
      <c r="G125" s="27" t="s">
        <v>158</v>
      </c>
      <c r="H125" s="27" t="s">
        <v>158</v>
      </c>
      <c r="I125" s="15"/>
      <c r="J125" s="8" t="s">
        <v>1383</v>
      </c>
      <c r="K125" s="8" t="s">
        <v>1383</v>
      </c>
      <c r="L125" s="8" t="s">
        <v>1383</v>
      </c>
      <c r="M125" s="8" t="s">
        <v>1383</v>
      </c>
      <c r="N125" s="8" t="s">
        <v>1383</v>
      </c>
      <c r="O125" s="8" t="s">
        <v>1383</v>
      </c>
      <c r="P125" s="15"/>
      <c r="Q125" s="8" t="s">
        <v>997</v>
      </c>
      <c r="R125" s="8" t="s">
        <v>997</v>
      </c>
      <c r="S125" s="8" t="s">
        <v>445</v>
      </c>
      <c r="T125" s="8" t="s">
        <v>445</v>
      </c>
      <c r="U125" s="27" t="s">
        <v>158</v>
      </c>
      <c r="V125" s="27" t="s">
        <v>158</v>
      </c>
      <c r="W125" s="15"/>
      <c r="X125" s="8" t="s">
        <v>997</v>
      </c>
      <c r="Y125" s="8" t="s">
        <v>997</v>
      </c>
      <c r="Z125" s="8" t="s">
        <v>445</v>
      </c>
      <c r="AA125" s="8" t="s">
        <v>445</v>
      </c>
      <c r="AB125" s="27" t="s">
        <v>158</v>
      </c>
      <c r="AC125" s="27" t="s">
        <v>158</v>
      </c>
      <c r="AD125" s="15"/>
      <c r="AE125" s="8" t="s">
        <v>997</v>
      </c>
      <c r="AF125" s="8" t="s">
        <v>997</v>
      </c>
      <c r="AG125" s="8" t="s">
        <v>445</v>
      </c>
      <c r="AH125" s="8" t="s">
        <v>445</v>
      </c>
      <c r="AI125" s="27" t="s">
        <v>158</v>
      </c>
      <c r="AJ125" s="27" t="s">
        <v>158</v>
      </c>
      <c r="AK125" s="153"/>
      <c r="AL125" s="171" t="s">
        <v>997</v>
      </c>
      <c r="AM125" s="171" t="s">
        <v>997</v>
      </c>
      <c r="AN125" s="171" t="s">
        <v>997</v>
      </c>
      <c r="AO125" s="172" t="s">
        <v>158</v>
      </c>
      <c r="AP125" s="171" t="s">
        <v>445</v>
      </c>
      <c r="AQ125" s="171" t="s">
        <v>445</v>
      </c>
      <c r="AR125" s="153"/>
      <c r="AS125" s="171" t="s">
        <v>75</v>
      </c>
      <c r="AT125" s="171" t="s">
        <v>158</v>
      </c>
      <c r="AU125" s="171" t="s">
        <v>158</v>
      </c>
      <c r="AV125" s="172" t="s">
        <v>158</v>
      </c>
      <c r="AW125" s="171" t="s">
        <v>158</v>
      </c>
      <c r="AX125" s="171" t="s">
        <v>158</v>
      </c>
    </row>
    <row r="126" spans="1:50" ht="12" x14ac:dyDescent="0.3">
      <c r="A126" s="20" t="s">
        <v>1308</v>
      </c>
      <c r="B126" s="20"/>
      <c r="C126" s="8" t="s">
        <v>997</v>
      </c>
      <c r="D126" s="8" t="s">
        <v>997</v>
      </c>
      <c r="E126" s="8" t="s">
        <v>445</v>
      </c>
      <c r="F126" s="8" t="s">
        <v>445</v>
      </c>
      <c r="G126" s="27" t="s">
        <v>158</v>
      </c>
      <c r="H126" s="27" t="s">
        <v>158</v>
      </c>
      <c r="I126" s="15"/>
      <c r="J126" s="8" t="s">
        <v>997</v>
      </c>
      <c r="K126" s="8" t="s">
        <v>997</v>
      </c>
      <c r="L126" s="8" t="s">
        <v>997</v>
      </c>
      <c r="M126" s="8" t="s">
        <v>997</v>
      </c>
      <c r="N126" s="8" t="s">
        <v>997</v>
      </c>
      <c r="O126" s="8" t="s">
        <v>997</v>
      </c>
      <c r="P126" s="15"/>
      <c r="Q126" s="8" t="s">
        <v>1383</v>
      </c>
      <c r="R126" s="8" t="s">
        <v>1383</v>
      </c>
      <c r="S126" s="8" t="s">
        <v>1383</v>
      </c>
      <c r="T126" s="8" t="s">
        <v>1383</v>
      </c>
      <c r="U126" s="27" t="s">
        <v>158</v>
      </c>
      <c r="V126" s="27" t="s">
        <v>158</v>
      </c>
      <c r="W126" s="15"/>
      <c r="X126" s="8" t="s">
        <v>1383</v>
      </c>
      <c r="Y126" s="8" t="s">
        <v>1383</v>
      </c>
      <c r="Z126" s="8" t="s">
        <v>1383</v>
      </c>
      <c r="AA126" s="8" t="s">
        <v>1383</v>
      </c>
      <c r="AB126" s="27" t="s">
        <v>158</v>
      </c>
      <c r="AC126" s="27" t="s">
        <v>158</v>
      </c>
      <c r="AD126" s="15"/>
      <c r="AE126" s="8" t="s">
        <v>1383</v>
      </c>
      <c r="AF126" s="8" t="s">
        <v>1383</v>
      </c>
      <c r="AG126" s="8" t="s">
        <v>1383</v>
      </c>
      <c r="AH126" s="8" t="s">
        <v>1383</v>
      </c>
      <c r="AI126" s="27" t="s">
        <v>158</v>
      </c>
      <c r="AJ126" s="27" t="s">
        <v>158</v>
      </c>
      <c r="AK126" s="153"/>
      <c r="AL126" s="171" t="s">
        <v>997</v>
      </c>
      <c r="AM126" s="171" t="s">
        <v>997</v>
      </c>
      <c r="AN126" s="171" t="s">
        <v>997</v>
      </c>
      <c r="AO126" s="171" t="s">
        <v>997</v>
      </c>
      <c r="AP126" s="171" t="s">
        <v>997</v>
      </c>
      <c r="AQ126" s="171" t="s">
        <v>997</v>
      </c>
      <c r="AR126" s="153"/>
      <c r="AS126" s="171" t="s">
        <v>75</v>
      </c>
      <c r="AT126" s="171" t="s">
        <v>158</v>
      </c>
      <c r="AU126" s="171" t="s">
        <v>158</v>
      </c>
      <c r="AV126" s="171" t="s">
        <v>158</v>
      </c>
      <c r="AW126" s="171" t="s">
        <v>158</v>
      </c>
      <c r="AX126" s="171" t="s">
        <v>158</v>
      </c>
    </row>
    <row r="127" spans="1:50" x14ac:dyDescent="0.3">
      <c r="A127" s="26"/>
      <c r="B127" s="184"/>
      <c r="C127" s="10"/>
      <c r="D127" s="10"/>
      <c r="E127" s="10"/>
      <c r="F127" s="10"/>
      <c r="G127" s="10"/>
      <c r="H127" s="10"/>
      <c r="J127" s="10"/>
      <c r="K127" s="10"/>
      <c r="L127" s="10"/>
      <c r="M127" s="10"/>
      <c r="N127" s="10"/>
      <c r="O127" s="10"/>
      <c r="Q127" s="10"/>
      <c r="R127" s="10"/>
      <c r="S127" s="10"/>
      <c r="T127" s="10"/>
      <c r="U127" s="10"/>
      <c r="V127" s="10"/>
      <c r="X127" s="10"/>
      <c r="Y127" s="10"/>
      <c r="Z127" s="10"/>
      <c r="AA127" s="10"/>
      <c r="AB127" s="10"/>
      <c r="AC127" s="10"/>
      <c r="AE127" s="10"/>
      <c r="AF127" s="10"/>
      <c r="AG127" s="10"/>
      <c r="AH127" s="10"/>
      <c r="AI127" s="10"/>
      <c r="AJ127" s="10"/>
    </row>
    <row r="128" spans="1:50" s="17" customFormat="1" x14ac:dyDescent="0.3">
      <c r="A128" s="22" t="s">
        <v>1311</v>
      </c>
      <c r="B128" s="181"/>
    </row>
    <row r="129" spans="1:50" x14ac:dyDescent="0.3">
      <c r="A129" s="19" t="s">
        <v>983</v>
      </c>
      <c r="B129" s="19"/>
      <c r="C129" s="18" t="s">
        <v>985</v>
      </c>
      <c r="D129" s="18" t="s">
        <v>986</v>
      </c>
      <c r="E129" s="18" t="s">
        <v>987</v>
      </c>
      <c r="F129" s="18" t="s">
        <v>988</v>
      </c>
      <c r="G129" s="18" t="s">
        <v>989</v>
      </c>
      <c r="H129" s="18" t="s">
        <v>990</v>
      </c>
      <c r="I129" s="15"/>
      <c r="J129" s="18" t="s">
        <v>985</v>
      </c>
      <c r="K129" s="18" t="s">
        <v>986</v>
      </c>
      <c r="L129" s="18" t="s">
        <v>987</v>
      </c>
      <c r="M129" s="18" t="s">
        <v>988</v>
      </c>
      <c r="N129" s="18" t="s">
        <v>989</v>
      </c>
      <c r="O129" s="18" t="s">
        <v>990</v>
      </c>
      <c r="P129" s="15"/>
      <c r="Q129" s="18" t="s">
        <v>985</v>
      </c>
      <c r="R129" s="18" t="s">
        <v>986</v>
      </c>
      <c r="S129" s="18" t="s">
        <v>987</v>
      </c>
      <c r="T129" s="18" t="s">
        <v>988</v>
      </c>
      <c r="U129" s="18" t="s">
        <v>989</v>
      </c>
      <c r="V129" s="18" t="s">
        <v>990</v>
      </c>
      <c r="W129" s="15"/>
      <c r="X129" s="18" t="s">
        <v>985</v>
      </c>
      <c r="Y129" s="18" t="s">
        <v>986</v>
      </c>
      <c r="Z129" s="18" t="s">
        <v>987</v>
      </c>
      <c r="AA129" s="18" t="s">
        <v>988</v>
      </c>
      <c r="AB129" s="18" t="s">
        <v>989</v>
      </c>
      <c r="AC129" s="18" t="s">
        <v>990</v>
      </c>
      <c r="AD129" s="15"/>
      <c r="AE129" s="18" t="s">
        <v>985</v>
      </c>
      <c r="AF129" s="18" t="s">
        <v>986</v>
      </c>
      <c r="AG129" s="18" t="s">
        <v>987</v>
      </c>
      <c r="AH129" s="18" t="s">
        <v>988</v>
      </c>
      <c r="AI129" s="18" t="s">
        <v>989</v>
      </c>
      <c r="AJ129" s="18" t="s">
        <v>990</v>
      </c>
      <c r="AL129" s="156" t="s">
        <v>985</v>
      </c>
      <c r="AM129" s="156" t="s">
        <v>986</v>
      </c>
      <c r="AN129" s="156" t="s">
        <v>987</v>
      </c>
      <c r="AO129" s="156" t="s">
        <v>988</v>
      </c>
      <c r="AP129" s="156" t="s">
        <v>989</v>
      </c>
      <c r="AQ129" s="156" t="s">
        <v>990</v>
      </c>
      <c r="AS129" s="209" t="s">
        <v>985</v>
      </c>
      <c r="AT129" s="209" t="s">
        <v>986</v>
      </c>
      <c r="AU129" s="209" t="s">
        <v>987</v>
      </c>
      <c r="AV129" s="209" t="s">
        <v>988</v>
      </c>
      <c r="AW129" s="209" t="s">
        <v>989</v>
      </c>
      <c r="AX129" s="209" t="s">
        <v>990</v>
      </c>
    </row>
    <row r="130" spans="1:50" ht="12" x14ac:dyDescent="0.3">
      <c r="A130" s="20" t="s">
        <v>1312</v>
      </c>
      <c r="B130" s="20"/>
      <c r="C130" s="8" t="s">
        <v>445</v>
      </c>
      <c r="D130" s="8" t="s">
        <v>445</v>
      </c>
      <c r="E130" s="8" t="s">
        <v>445</v>
      </c>
      <c r="F130" s="8" t="s">
        <v>997</v>
      </c>
      <c r="G130" s="27" t="s">
        <v>158</v>
      </c>
      <c r="H130" s="27" t="s">
        <v>158</v>
      </c>
      <c r="I130" s="15"/>
      <c r="J130" s="8" t="s">
        <v>997</v>
      </c>
      <c r="K130" s="8" t="s">
        <v>997</v>
      </c>
      <c r="L130" s="8" t="s">
        <v>997</v>
      </c>
      <c r="M130" s="8" t="s">
        <v>445</v>
      </c>
      <c r="N130" s="27" t="s">
        <v>158</v>
      </c>
      <c r="O130" s="8" t="s">
        <v>445</v>
      </c>
      <c r="P130" s="15"/>
      <c r="Q130" s="8" t="s">
        <v>445</v>
      </c>
      <c r="R130" s="8" t="s">
        <v>445</v>
      </c>
      <c r="S130" s="8" t="s">
        <v>445</v>
      </c>
      <c r="T130" s="8" t="s">
        <v>997</v>
      </c>
      <c r="U130" s="8" t="s">
        <v>997</v>
      </c>
      <c r="V130" s="8" t="s">
        <v>997</v>
      </c>
      <c r="W130" s="15"/>
      <c r="X130" s="8" t="s">
        <v>445</v>
      </c>
      <c r="Y130" s="8" t="s">
        <v>445</v>
      </c>
      <c r="Z130" s="8" t="s">
        <v>445</v>
      </c>
      <c r="AA130" s="8" t="s">
        <v>997</v>
      </c>
      <c r="AB130" s="8" t="s">
        <v>997</v>
      </c>
      <c r="AC130" s="8" t="s">
        <v>997</v>
      </c>
      <c r="AD130" s="15"/>
      <c r="AE130" s="8" t="s">
        <v>445</v>
      </c>
      <c r="AF130" s="8" t="s">
        <v>445</v>
      </c>
      <c r="AG130" s="8" t="s">
        <v>445</v>
      </c>
      <c r="AH130" s="8" t="s">
        <v>997</v>
      </c>
      <c r="AI130" s="8" t="s">
        <v>997</v>
      </c>
      <c r="AJ130" s="8" t="s">
        <v>997</v>
      </c>
      <c r="AL130" s="171" t="s">
        <v>1383</v>
      </c>
      <c r="AM130" s="171" t="s">
        <v>1383</v>
      </c>
      <c r="AN130" s="171" t="s">
        <v>1383</v>
      </c>
      <c r="AO130" s="171" t="s">
        <v>1383</v>
      </c>
      <c r="AP130" s="171" t="s">
        <v>1383</v>
      </c>
      <c r="AQ130" s="171" t="s">
        <v>1383</v>
      </c>
      <c r="AS130" s="171" t="s">
        <v>445</v>
      </c>
      <c r="AT130" s="171" t="s">
        <v>445</v>
      </c>
      <c r="AU130" s="171" t="s">
        <v>445</v>
      </c>
      <c r="AV130" s="171" t="s">
        <v>370</v>
      </c>
      <c r="AW130" s="171" t="s">
        <v>1382</v>
      </c>
      <c r="AX130" s="171" t="s">
        <v>158</v>
      </c>
    </row>
    <row r="131" spans="1:50" ht="12" x14ac:dyDescent="0.3">
      <c r="A131" s="20" t="s">
        <v>1316</v>
      </c>
      <c r="B131" s="20"/>
      <c r="C131" s="8" t="s">
        <v>997</v>
      </c>
      <c r="D131" s="8" t="s">
        <v>997</v>
      </c>
      <c r="E131" s="8" t="s">
        <v>445</v>
      </c>
      <c r="F131" s="8" t="s">
        <v>445</v>
      </c>
      <c r="G131" s="27" t="s">
        <v>158</v>
      </c>
      <c r="H131" s="27" t="s">
        <v>158</v>
      </c>
      <c r="I131" s="15"/>
      <c r="J131" s="8" t="s">
        <v>997</v>
      </c>
      <c r="K131" s="8" t="s">
        <v>997</v>
      </c>
      <c r="L131" s="8" t="s">
        <v>997</v>
      </c>
      <c r="M131" s="8" t="s">
        <v>445</v>
      </c>
      <c r="N131" s="27" t="s">
        <v>158</v>
      </c>
      <c r="O131" s="8" t="s">
        <v>445</v>
      </c>
      <c r="P131" s="15"/>
      <c r="Q131" s="8" t="s">
        <v>997</v>
      </c>
      <c r="R131" s="8" t="s">
        <v>997</v>
      </c>
      <c r="S131" s="8" t="s">
        <v>445</v>
      </c>
      <c r="T131" s="8" t="s">
        <v>445</v>
      </c>
      <c r="U131" s="8" t="s">
        <v>445</v>
      </c>
      <c r="V131" s="8" t="s">
        <v>445</v>
      </c>
      <c r="W131" s="15"/>
      <c r="X131" s="8" t="s">
        <v>997</v>
      </c>
      <c r="Y131" s="8" t="s">
        <v>997</v>
      </c>
      <c r="Z131" s="8" t="s">
        <v>445</v>
      </c>
      <c r="AA131" s="8" t="s">
        <v>445</v>
      </c>
      <c r="AB131" s="8" t="s">
        <v>445</v>
      </c>
      <c r="AC131" s="8" t="s">
        <v>445</v>
      </c>
      <c r="AD131" s="15"/>
      <c r="AE131" s="8" t="s">
        <v>997</v>
      </c>
      <c r="AF131" s="8" t="s">
        <v>997</v>
      </c>
      <c r="AG131" s="8" t="s">
        <v>445</v>
      </c>
      <c r="AH131" s="8" t="s">
        <v>445</v>
      </c>
      <c r="AI131" s="8" t="s">
        <v>445</v>
      </c>
      <c r="AJ131" s="8" t="s">
        <v>445</v>
      </c>
      <c r="AL131" s="171" t="s">
        <v>997</v>
      </c>
      <c r="AM131" s="171" t="s">
        <v>997</v>
      </c>
      <c r="AN131" s="171" t="s">
        <v>997</v>
      </c>
      <c r="AO131" s="171" t="s">
        <v>445</v>
      </c>
      <c r="AP131" s="171">
        <v>0</v>
      </c>
      <c r="AQ131" s="171" t="s">
        <v>445</v>
      </c>
      <c r="AS131" s="171" t="s">
        <v>370</v>
      </c>
      <c r="AT131" s="171" t="s">
        <v>370</v>
      </c>
      <c r="AU131" s="171" t="s">
        <v>445</v>
      </c>
      <c r="AV131" s="171" t="s">
        <v>445</v>
      </c>
      <c r="AW131" s="171" t="s">
        <v>1382</v>
      </c>
      <c r="AX131" s="171" t="s">
        <v>158</v>
      </c>
    </row>
    <row r="132" spans="1:50" ht="12" x14ac:dyDescent="0.3">
      <c r="A132" s="20" t="s">
        <v>1319</v>
      </c>
      <c r="B132" s="20"/>
      <c r="C132" s="8" t="s">
        <v>997</v>
      </c>
      <c r="D132" s="8" t="s">
        <v>997</v>
      </c>
      <c r="E132" s="8" t="s">
        <v>445</v>
      </c>
      <c r="F132" s="8" t="s">
        <v>445</v>
      </c>
      <c r="G132" s="27" t="s">
        <v>158</v>
      </c>
      <c r="H132" s="27" t="s">
        <v>158</v>
      </c>
      <c r="I132" s="15"/>
      <c r="J132" s="8" t="s">
        <v>997</v>
      </c>
      <c r="K132" s="8" t="s">
        <v>997</v>
      </c>
      <c r="L132" s="8" t="s">
        <v>997</v>
      </c>
      <c r="M132" s="8" t="s">
        <v>445</v>
      </c>
      <c r="N132" s="27" t="s">
        <v>158</v>
      </c>
      <c r="O132" s="8" t="s">
        <v>445</v>
      </c>
      <c r="P132" s="15"/>
      <c r="Q132" s="8" t="s">
        <v>997</v>
      </c>
      <c r="R132" s="8" t="s">
        <v>997</v>
      </c>
      <c r="S132" s="8" t="s">
        <v>445</v>
      </c>
      <c r="T132" s="8" t="s">
        <v>445</v>
      </c>
      <c r="U132" s="8" t="s">
        <v>445</v>
      </c>
      <c r="V132" s="8" t="s">
        <v>445</v>
      </c>
      <c r="W132" s="15"/>
      <c r="X132" s="8" t="s">
        <v>997</v>
      </c>
      <c r="Y132" s="8" t="s">
        <v>997</v>
      </c>
      <c r="Z132" s="8" t="s">
        <v>445</v>
      </c>
      <c r="AA132" s="8" t="s">
        <v>445</v>
      </c>
      <c r="AB132" s="8" t="s">
        <v>445</v>
      </c>
      <c r="AC132" s="8" t="s">
        <v>445</v>
      </c>
      <c r="AD132" s="15"/>
      <c r="AE132" s="8" t="s">
        <v>997</v>
      </c>
      <c r="AF132" s="8" t="s">
        <v>997</v>
      </c>
      <c r="AG132" s="8" t="s">
        <v>445</v>
      </c>
      <c r="AH132" s="8" t="s">
        <v>445</v>
      </c>
      <c r="AI132" s="8" t="s">
        <v>445</v>
      </c>
      <c r="AJ132" s="8" t="s">
        <v>445</v>
      </c>
      <c r="AL132" s="171" t="s">
        <v>997</v>
      </c>
      <c r="AM132" s="171" t="s">
        <v>997</v>
      </c>
      <c r="AN132" s="171" t="s">
        <v>997</v>
      </c>
      <c r="AO132" s="171" t="s">
        <v>445</v>
      </c>
      <c r="AP132" s="171">
        <v>0</v>
      </c>
      <c r="AQ132" s="171" t="s">
        <v>445</v>
      </c>
      <c r="AS132" s="171" t="s">
        <v>370</v>
      </c>
      <c r="AT132" s="171" t="s">
        <v>370</v>
      </c>
      <c r="AU132" s="171" t="s">
        <v>158</v>
      </c>
      <c r="AV132" s="171" t="s">
        <v>158</v>
      </c>
      <c r="AW132" s="171" t="s">
        <v>445</v>
      </c>
      <c r="AX132" s="171" t="s">
        <v>158</v>
      </c>
    </row>
    <row r="133" spans="1:50" ht="12" x14ac:dyDescent="0.3">
      <c r="A133" s="20" t="s">
        <v>1322</v>
      </c>
      <c r="B133" s="20"/>
      <c r="C133" s="8" t="s">
        <v>997</v>
      </c>
      <c r="D133" s="8" t="s">
        <v>997</v>
      </c>
      <c r="E133" s="8" t="s">
        <v>445</v>
      </c>
      <c r="F133" s="8" t="s">
        <v>445</v>
      </c>
      <c r="G133" s="27" t="s">
        <v>158</v>
      </c>
      <c r="H133" s="27" t="s">
        <v>158</v>
      </c>
      <c r="I133" s="15"/>
      <c r="J133" s="8" t="s">
        <v>997</v>
      </c>
      <c r="K133" s="8" t="s">
        <v>997</v>
      </c>
      <c r="L133" s="8" t="s">
        <v>997</v>
      </c>
      <c r="M133" s="8" t="s">
        <v>445</v>
      </c>
      <c r="N133" s="27" t="s">
        <v>158</v>
      </c>
      <c r="O133" s="8" t="s">
        <v>445</v>
      </c>
      <c r="P133" s="15"/>
      <c r="Q133" s="8" t="s">
        <v>997</v>
      </c>
      <c r="R133" s="8" t="s">
        <v>997</v>
      </c>
      <c r="S133" s="8" t="s">
        <v>445</v>
      </c>
      <c r="T133" s="8" t="s">
        <v>445</v>
      </c>
      <c r="U133" s="8" t="s">
        <v>445</v>
      </c>
      <c r="V133" s="8" t="s">
        <v>445</v>
      </c>
      <c r="W133" s="15"/>
      <c r="X133" s="8" t="s">
        <v>997</v>
      </c>
      <c r="Y133" s="8" t="s">
        <v>997</v>
      </c>
      <c r="Z133" s="8" t="s">
        <v>445</v>
      </c>
      <c r="AA133" s="8" t="s">
        <v>445</v>
      </c>
      <c r="AB133" s="8" t="s">
        <v>445</v>
      </c>
      <c r="AC133" s="8" t="s">
        <v>445</v>
      </c>
      <c r="AD133" s="15"/>
      <c r="AE133" s="8" t="s">
        <v>997</v>
      </c>
      <c r="AF133" s="8" t="s">
        <v>997</v>
      </c>
      <c r="AG133" s="8" t="s">
        <v>445</v>
      </c>
      <c r="AH133" s="8" t="s">
        <v>445</v>
      </c>
      <c r="AI133" s="8" t="s">
        <v>445</v>
      </c>
      <c r="AJ133" s="8" t="s">
        <v>445</v>
      </c>
      <c r="AL133" s="171" t="s">
        <v>997</v>
      </c>
      <c r="AM133" s="171" t="s">
        <v>997</v>
      </c>
      <c r="AN133" s="171" t="s">
        <v>997</v>
      </c>
      <c r="AO133" s="171" t="s">
        <v>445</v>
      </c>
      <c r="AP133" s="171">
        <v>0</v>
      </c>
      <c r="AQ133" s="171" t="s">
        <v>445</v>
      </c>
      <c r="AS133" s="171" t="s">
        <v>370</v>
      </c>
      <c r="AT133" s="171" t="s">
        <v>370</v>
      </c>
      <c r="AU133" s="171" t="s">
        <v>158</v>
      </c>
      <c r="AV133" s="171" t="s">
        <v>158</v>
      </c>
      <c r="AW133" s="171" t="s">
        <v>445</v>
      </c>
      <c r="AX133" s="171" t="s">
        <v>158</v>
      </c>
    </row>
    <row r="134" spans="1:50" ht="12" x14ac:dyDescent="0.3">
      <c r="A134" s="20" t="s">
        <v>1325</v>
      </c>
      <c r="B134" s="20"/>
      <c r="C134" s="8" t="s">
        <v>997</v>
      </c>
      <c r="D134" s="8" t="s">
        <v>997</v>
      </c>
      <c r="E134" s="8" t="s">
        <v>445</v>
      </c>
      <c r="F134" s="8" t="s">
        <v>445</v>
      </c>
      <c r="G134" s="27" t="s">
        <v>158</v>
      </c>
      <c r="H134" s="27" t="s">
        <v>158</v>
      </c>
      <c r="I134" s="15"/>
      <c r="J134" s="8" t="s">
        <v>997</v>
      </c>
      <c r="K134" s="8" t="s">
        <v>997</v>
      </c>
      <c r="L134" s="8" t="s">
        <v>997</v>
      </c>
      <c r="M134" s="8" t="s">
        <v>445</v>
      </c>
      <c r="N134" s="27" t="s">
        <v>158</v>
      </c>
      <c r="O134" s="8" t="s">
        <v>445</v>
      </c>
      <c r="P134" s="15"/>
      <c r="Q134" s="8" t="s">
        <v>997</v>
      </c>
      <c r="R134" s="8" t="s">
        <v>997</v>
      </c>
      <c r="S134" s="8" t="s">
        <v>445</v>
      </c>
      <c r="T134" s="8" t="s">
        <v>445</v>
      </c>
      <c r="U134" s="8" t="s">
        <v>445</v>
      </c>
      <c r="V134" s="8" t="s">
        <v>445</v>
      </c>
      <c r="W134" s="15"/>
      <c r="X134" s="8" t="s">
        <v>997</v>
      </c>
      <c r="Y134" s="8" t="s">
        <v>997</v>
      </c>
      <c r="Z134" s="8" t="s">
        <v>445</v>
      </c>
      <c r="AA134" s="8" t="s">
        <v>445</v>
      </c>
      <c r="AB134" s="8" t="s">
        <v>445</v>
      </c>
      <c r="AC134" s="8" t="s">
        <v>445</v>
      </c>
      <c r="AD134" s="15"/>
      <c r="AE134" s="8" t="s">
        <v>997</v>
      </c>
      <c r="AF134" s="8" t="s">
        <v>997</v>
      </c>
      <c r="AG134" s="8" t="s">
        <v>445</v>
      </c>
      <c r="AH134" s="8" t="s">
        <v>445</v>
      </c>
      <c r="AI134" s="8" t="s">
        <v>445</v>
      </c>
      <c r="AJ134" s="8" t="s">
        <v>445</v>
      </c>
      <c r="AL134" s="171" t="s">
        <v>997</v>
      </c>
      <c r="AM134" s="171" t="s">
        <v>997</v>
      </c>
      <c r="AN134" s="171" t="s">
        <v>997</v>
      </c>
      <c r="AO134" s="171" t="s">
        <v>445</v>
      </c>
      <c r="AP134" s="171">
        <v>0</v>
      </c>
      <c r="AQ134" s="171" t="s">
        <v>445</v>
      </c>
      <c r="AS134" s="171" t="s">
        <v>370</v>
      </c>
      <c r="AT134" s="171" t="s">
        <v>370</v>
      </c>
      <c r="AU134" s="171" t="s">
        <v>158</v>
      </c>
      <c r="AV134" s="171" t="s">
        <v>445</v>
      </c>
      <c r="AW134" s="171" t="s">
        <v>1382</v>
      </c>
      <c r="AX134" s="171" t="s">
        <v>158</v>
      </c>
    </row>
    <row r="135" spans="1:50" ht="12" x14ac:dyDescent="0.3">
      <c r="A135" s="20" t="s">
        <v>1328</v>
      </c>
      <c r="B135" s="20"/>
      <c r="C135" s="8" t="s">
        <v>997</v>
      </c>
      <c r="D135" s="8" t="s">
        <v>997</v>
      </c>
      <c r="E135" s="8" t="s">
        <v>445</v>
      </c>
      <c r="F135" s="8" t="s">
        <v>445</v>
      </c>
      <c r="G135" s="27" t="s">
        <v>158</v>
      </c>
      <c r="H135" s="27" t="s">
        <v>158</v>
      </c>
      <c r="I135" s="15"/>
      <c r="J135" s="8" t="s">
        <v>997</v>
      </c>
      <c r="K135" s="8" t="s">
        <v>997</v>
      </c>
      <c r="L135" s="8" t="s">
        <v>997</v>
      </c>
      <c r="M135" s="8" t="s">
        <v>445</v>
      </c>
      <c r="N135" s="27" t="s">
        <v>158</v>
      </c>
      <c r="O135" s="8" t="s">
        <v>445</v>
      </c>
      <c r="P135" s="15"/>
      <c r="Q135" s="8" t="s">
        <v>997</v>
      </c>
      <c r="R135" s="8" t="s">
        <v>997</v>
      </c>
      <c r="S135" s="8" t="s">
        <v>445</v>
      </c>
      <c r="T135" s="8" t="s">
        <v>445</v>
      </c>
      <c r="U135" s="8" t="s">
        <v>445</v>
      </c>
      <c r="V135" s="8" t="s">
        <v>445</v>
      </c>
      <c r="W135" s="15"/>
      <c r="X135" s="8" t="s">
        <v>997</v>
      </c>
      <c r="Y135" s="8" t="s">
        <v>997</v>
      </c>
      <c r="Z135" s="8" t="s">
        <v>445</v>
      </c>
      <c r="AA135" s="8" t="s">
        <v>445</v>
      </c>
      <c r="AB135" s="8" t="s">
        <v>445</v>
      </c>
      <c r="AC135" s="8" t="s">
        <v>445</v>
      </c>
      <c r="AD135" s="15"/>
      <c r="AE135" s="8" t="s">
        <v>997</v>
      </c>
      <c r="AF135" s="8" t="s">
        <v>997</v>
      </c>
      <c r="AG135" s="8" t="s">
        <v>445</v>
      </c>
      <c r="AH135" s="8" t="s">
        <v>445</v>
      </c>
      <c r="AI135" s="8" t="s">
        <v>445</v>
      </c>
      <c r="AJ135" s="8" t="s">
        <v>445</v>
      </c>
      <c r="AL135" s="171" t="s">
        <v>997</v>
      </c>
      <c r="AM135" s="171" t="s">
        <v>997</v>
      </c>
      <c r="AN135" s="171" t="s">
        <v>997</v>
      </c>
      <c r="AO135" s="171" t="s">
        <v>445</v>
      </c>
      <c r="AP135" s="171">
        <v>0</v>
      </c>
      <c r="AQ135" s="171" t="s">
        <v>445</v>
      </c>
      <c r="AS135" s="171" t="s">
        <v>370</v>
      </c>
      <c r="AT135" s="171" t="s">
        <v>370</v>
      </c>
      <c r="AU135" s="171" t="s">
        <v>158</v>
      </c>
      <c r="AV135" s="171" t="s">
        <v>445</v>
      </c>
      <c r="AW135" s="171" t="s">
        <v>1382</v>
      </c>
      <c r="AX135" s="171" t="s">
        <v>158</v>
      </c>
    </row>
    <row r="136" spans="1:50" ht="12" x14ac:dyDescent="0.3">
      <c r="A136" s="20" t="s">
        <v>1330</v>
      </c>
      <c r="B136" s="20"/>
      <c r="C136" s="8" t="s">
        <v>997</v>
      </c>
      <c r="D136" s="8" t="s">
        <v>997</v>
      </c>
      <c r="E136" s="8" t="s">
        <v>445</v>
      </c>
      <c r="F136" s="8" t="s">
        <v>445</v>
      </c>
      <c r="G136" s="27" t="s">
        <v>158</v>
      </c>
      <c r="H136" s="27" t="s">
        <v>158</v>
      </c>
      <c r="I136" s="15"/>
      <c r="J136" s="8" t="s">
        <v>997</v>
      </c>
      <c r="K136" s="8" t="s">
        <v>997</v>
      </c>
      <c r="L136" s="8" t="s">
        <v>997</v>
      </c>
      <c r="M136" s="8" t="s">
        <v>445</v>
      </c>
      <c r="N136" s="27" t="s">
        <v>158</v>
      </c>
      <c r="O136" s="8" t="s">
        <v>445</v>
      </c>
      <c r="P136" s="15"/>
      <c r="Q136" s="8" t="s">
        <v>997</v>
      </c>
      <c r="R136" s="8" t="s">
        <v>997</v>
      </c>
      <c r="S136" s="8" t="s">
        <v>445</v>
      </c>
      <c r="T136" s="8" t="s">
        <v>445</v>
      </c>
      <c r="U136" s="8" t="s">
        <v>445</v>
      </c>
      <c r="V136" s="8" t="s">
        <v>445</v>
      </c>
      <c r="W136" s="15"/>
      <c r="X136" s="8" t="s">
        <v>997</v>
      </c>
      <c r="Y136" s="8" t="s">
        <v>997</v>
      </c>
      <c r="Z136" s="8" t="s">
        <v>445</v>
      </c>
      <c r="AA136" s="8" t="s">
        <v>445</v>
      </c>
      <c r="AB136" s="8" t="s">
        <v>445</v>
      </c>
      <c r="AC136" s="8" t="s">
        <v>445</v>
      </c>
      <c r="AD136" s="15"/>
      <c r="AE136" s="8" t="s">
        <v>997</v>
      </c>
      <c r="AF136" s="8" t="s">
        <v>997</v>
      </c>
      <c r="AG136" s="8" t="s">
        <v>445</v>
      </c>
      <c r="AH136" s="8" t="s">
        <v>445</v>
      </c>
      <c r="AI136" s="8" t="s">
        <v>445</v>
      </c>
      <c r="AJ136" s="8" t="s">
        <v>445</v>
      </c>
      <c r="AL136" s="171" t="s">
        <v>997</v>
      </c>
      <c r="AM136" s="171" t="s">
        <v>997</v>
      </c>
      <c r="AN136" s="171" t="s">
        <v>997</v>
      </c>
      <c r="AO136" s="171" t="s">
        <v>445</v>
      </c>
      <c r="AP136" s="171">
        <v>0</v>
      </c>
      <c r="AQ136" s="171" t="s">
        <v>445</v>
      </c>
      <c r="AS136" s="171" t="s">
        <v>370</v>
      </c>
      <c r="AT136" s="171" t="s">
        <v>370</v>
      </c>
      <c r="AU136" s="171" t="s">
        <v>158</v>
      </c>
      <c r="AV136" s="171" t="s">
        <v>445</v>
      </c>
      <c r="AW136" s="171" t="s">
        <v>1382</v>
      </c>
      <c r="AX136" s="171" t="s">
        <v>158</v>
      </c>
    </row>
    <row r="137" spans="1:50" ht="12" x14ac:dyDescent="0.3">
      <c r="A137" s="20" t="s">
        <v>1333</v>
      </c>
      <c r="B137" s="182"/>
      <c r="C137" s="16" t="s">
        <v>997</v>
      </c>
      <c r="D137" s="16" t="s">
        <v>997</v>
      </c>
      <c r="E137" s="16" t="s">
        <v>445</v>
      </c>
      <c r="F137" s="16" t="s">
        <v>445</v>
      </c>
      <c r="G137" s="27" t="s">
        <v>158</v>
      </c>
      <c r="H137" s="27" t="s">
        <v>158</v>
      </c>
      <c r="I137" s="15"/>
      <c r="J137" s="16" t="s">
        <v>997</v>
      </c>
      <c r="K137" s="16" t="s">
        <v>997</v>
      </c>
      <c r="L137" s="16" t="s">
        <v>997</v>
      </c>
      <c r="M137" s="16" t="s">
        <v>445</v>
      </c>
      <c r="N137" s="27" t="s">
        <v>158</v>
      </c>
      <c r="O137" s="16" t="s">
        <v>445</v>
      </c>
      <c r="P137" s="15"/>
      <c r="Q137" s="16" t="s">
        <v>997</v>
      </c>
      <c r="R137" s="16" t="s">
        <v>997</v>
      </c>
      <c r="S137" s="16" t="s">
        <v>445</v>
      </c>
      <c r="T137" s="16" t="s">
        <v>445</v>
      </c>
      <c r="U137" s="16" t="s">
        <v>445</v>
      </c>
      <c r="V137" s="16" t="s">
        <v>445</v>
      </c>
      <c r="W137" s="15"/>
      <c r="X137" s="16" t="s">
        <v>997</v>
      </c>
      <c r="Y137" s="16" t="s">
        <v>997</v>
      </c>
      <c r="Z137" s="16" t="s">
        <v>445</v>
      </c>
      <c r="AA137" s="16" t="s">
        <v>445</v>
      </c>
      <c r="AB137" s="16" t="s">
        <v>445</v>
      </c>
      <c r="AC137" s="16" t="s">
        <v>445</v>
      </c>
      <c r="AD137" s="15"/>
      <c r="AE137" s="16" t="s">
        <v>997</v>
      </c>
      <c r="AF137" s="16" t="s">
        <v>997</v>
      </c>
      <c r="AG137" s="16" t="s">
        <v>445</v>
      </c>
      <c r="AH137" s="16" t="s">
        <v>445</v>
      </c>
      <c r="AI137" s="16" t="s">
        <v>445</v>
      </c>
      <c r="AJ137" s="16" t="s">
        <v>445</v>
      </c>
      <c r="AL137" s="171" t="s">
        <v>997</v>
      </c>
      <c r="AM137" s="171" t="s">
        <v>997</v>
      </c>
      <c r="AN137" s="171" t="s">
        <v>997</v>
      </c>
      <c r="AO137" s="171" t="s">
        <v>445</v>
      </c>
      <c r="AP137" s="171">
        <v>0</v>
      </c>
      <c r="AQ137" s="171" t="s">
        <v>445</v>
      </c>
      <c r="AS137" s="171" t="s">
        <v>370</v>
      </c>
      <c r="AT137" s="171" t="s">
        <v>370</v>
      </c>
      <c r="AU137" s="171" t="s">
        <v>445</v>
      </c>
      <c r="AV137" s="171" t="s">
        <v>158</v>
      </c>
      <c r="AW137" s="171" t="s">
        <v>1382</v>
      </c>
      <c r="AX137" s="171" t="s">
        <v>158</v>
      </c>
    </row>
    <row r="138" spans="1:50" ht="12" x14ac:dyDescent="0.3">
      <c r="A138" s="20" t="s">
        <v>1336</v>
      </c>
      <c r="B138" s="20"/>
      <c r="C138" s="8" t="s">
        <v>75</v>
      </c>
      <c r="D138" s="8" t="s">
        <v>158</v>
      </c>
      <c r="E138" s="8" t="s">
        <v>158</v>
      </c>
      <c r="F138" s="8" t="s">
        <v>158</v>
      </c>
      <c r="G138" s="27" t="s">
        <v>158</v>
      </c>
      <c r="H138" s="27" t="s">
        <v>158</v>
      </c>
      <c r="J138" s="8" t="s">
        <v>75</v>
      </c>
      <c r="K138" s="8" t="s">
        <v>158</v>
      </c>
      <c r="L138" s="8" t="s">
        <v>158</v>
      </c>
      <c r="M138" s="8" t="s">
        <v>158</v>
      </c>
      <c r="N138" s="8" t="s">
        <v>158</v>
      </c>
      <c r="O138" s="27" t="s">
        <v>158</v>
      </c>
      <c r="P138" s="27"/>
      <c r="Q138" s="8" t="s">
        <v>75</v>
      </c>
      <c r="R138" s="8" t="s">
        <v>158</v>
      </c>
      <c r="S138" s="8" t="s">
        <v>158</v>
      </c>
      <c r="T138" s="8" t="s">
        <v>158</v>
      </c>
      <c r="U138" s="8" t="s">
        <v>158</v>
      </c>
      <c r="V138" s="27" t="s">
        <v>158</v>
      </c>
      <c r="W138" s="27"/>
      <c r="X138" s="8" t="s">
        <v>75</v>
      </c>
      <c r="Y138" s="8" t="s">
        <v>158</v>
      </c>
      <c r="Z138" s="8" t="s">
        <v>158</v>
      </c>
      <c r="AA138" s="8" t="s">
        <v>158</v>
      </c>
      <c r="AB138" s="8" t="s">
        <v>158</v>
      </c>
      <c r="AC138" s="27" t="s">
        <v>158</v>
      </c>
      <c r="AD138" s="27"/>
      <c r="AE138" s="8" t="s">
        <v>75</v>
      </c>
      <c r="AF138" s="8" t="s">
        <v>158</v>
      </c>
      <c r="AG138" s="8" t="s">
        <v>158</v>
      </c>
      <c r="AH138" s="8" t="s">
        <v>158</v>
      </c>
      <c r="AI138" s="8" t="s">
        <v>158</v>
      </c>
      <c r="AJ138" s="27" t="s">
        <v>158</v>
      </c>
      <c r="AK138" s="27"/>
      <c r="AL138" s="8" t="s">
        <v>75</v>
      </c>
      <c r="AM138" s="8" t="s">
        <v>158</v>
      </c>
      <c r="AN138" s="8" t="s">
        <v>158</v>
      </c>
      <c r="AO138" s="8" t="s">
        <v>158</v>
      </c>
      <c r="AP138" s="8" t="s">
        <v>158</v>
      </c>
      <c r="AQ138" s="27" t="s">
        <v>158</v>
      </c>
      <c r="AR138" s="27"/>
      <c r="AS138" s="171" t="s">
        <v>370</v>
      </c>
      <c r="AT138" s="171" t="s">
        <v>370</v>
      </c>
      <c r="AU138" s="171" t="s">
        <v>158</v>
      </c>
      <c r="AV138" s="171" t="s">
        <v>158</v>
      </c>
      <c r="AW138" s="171" t="s">
        <v>1382</v>
      </c>
      <c r="AX138" s="171" t="s">
        <v>158</v>
      </c>
    </row>
    <row r="139" spans="1:50" ht="12" x14ac:dyDescent="0.3">
      <c r="A139" s="20" t="s">
        <v>1338</v>
      </c>
      <c r="B139" s="20"/>
      <c r="C139" s="8" t="s">
        <v>75</v>
      </c>
      <c r="D139" s="8" t="s">
        <v>158</v>
      </c>
      <c r="E139" s="8" t="s">
        <v>158</v>
      </c>
      <c r="F139" s="8" t="s">
        <v>158</v>
      </c>
      <c r="G139" s="27" t="s">
        <v>158</v>
      </c>
      <c r="H139" s="27" t="s">
        <v>158</v>
      </c>
      <c r="J139" s="8" t="s">
        <v>75</v>
      </c>
      <c r="K139" s="8" t="s">
        <v>158</v>
      </c>
      <c r="L139" s="8" t="s">
        <v>158</v>
      </c>
      <c r="M139" s="8" t="s">
        <v>158</v>
      </c>
      <c r="N139" s="8" t="s">
        <v>158</v>
      </c>
      <c r="O139" s="27" t="s">
        <v>158</v>
      </c>
      <c r="P139" s="27"/>
      <c r="Q139" s="8" t="s">
        <v>75</v>
      </c>
      <c r="R139" s="8" t="s">
        <v>158</v>
      </c>
      <c r="S139" s="8" t="s">
        <v>158</v>
      </c>
      <c r="T139" s="8" t="s">
        <v>158</v>
      </c>
      <c r="U139" s="8" t="s">
        <v>158</v>
      </c>
      <c r="V139" s="27" t="s">
        <v>158</v>
      </c>
      <c r="W139" s="27"/>
      <c r="X139" s="8" t="s">
        <v>75</v>
      </c>
      <c r="Y139" s="8" t="s">
        <v>158</v>
      </c>
      <c r="Z139" s="8" t="s">
        <v>158</v>
      </c>
      <c r="AA139" s="8" t="s">
        <v>158</v>
      </c>
      <c r="AB139" s="8" t="s">
        <v>158</v>
      </c>
      <c r="AC139" s="27" t="s">
        <v>158</v>
      </c>
      <c r="AD139" s="27"/>
      <c r="AE139" s="8" t="s">
        <v>75</v>
      </c>
      <c r="AF139" s="8" t="s">
        <v>158</v>
      </c>
      <c r="AG139" s="8" t="s">
        <v>158</v>
      </c>
      <c r="AH139" s="8" t="s">
        <v>158</v>
      </c>
      <c r="AI139" s="8" t="s">
        <v>158</v>
      </c>
      <c r="AJ139" s="27" t="s">
        <v>158</v>
      </c>
      <c r="AK139" s="27"/>
      <c r="AL139" s="8" t="s">
        <v>75</v>
      </c>
      <c r="AM139" s="8" t="s">
        <v>158</v>
      </c>
      <c r="AN139" s="8" t="s">
        <v>158</v>
      </c>
      <c r="AO139" s="8" t="s">
        <v>158</v>
      </c>
      <c r="AP139" s="8" t="s">
        <v>158</v>
      </c>
      <c r="AQ139" s="27" t="s">
        <v>158</v>
      </c>
      <c r="AR139" s="27"/>
      <c r="AS139" s="171" t="s">
        <v>370</v>
      </c>
      <c r="AT139" s="171" t="s">
        <v>370</v>
      </c>
      <c r="AU139" s="171" t="s">
        <v>158</v>
      </c>
      <c r="AV139" s="171" t="s">
        <v>158</v>
      </c>
      <c r="AW139" s="171" t="s">
        <v>1382</v>
      </c>
      <c r="AX139" s="171" t="s">
        <v>158</v>
      </c>
    </row>
    <row r="140" spans="1:50" x14ac:dyDescent="0.3">
      <c r="A140" s="25"/>
      <c r="B140" s="183"/>
      <c r="C140" s="24"/>
      <c r="D140" s="24"/>
      <c r="E140" s="24"/>
      <c r="F140" s="24"/>
      <c r="G140" s="24"/>
      <c r="H140" s="24"/>
      <c r="J140" s="24"/>
      <c r="K140" s="24"/>
      <c r="L140" s="24"/>
      <c r="M140" s="24"/>
      <c r="N140" s="24"/>
      <c r="O140" s="24"/>
      <c r="Q140" s="24"/>
      <c r="R140" s="24"/>
      <c r="S140" s="24"/>
      <c r="T140" s="24"/>
      <c r="U140" s="24"/>
      <c r="V140" s="24"/>
      <c r="X140" s="24"/>
      <c r="Y140" s="24"/>
      <c r="Z140" s="24"/>
      <c r="AA140" s="24"/>
      <c r="AB140" s="24"/>
      <c r="AC140" s="24"/>
      <c r="AE140" s="24"/>
      <c r="AF140" s="24"/>
      <c r="AG140" s="24"/>
      <c r="AH140" s="24"/>
      <c r="AI140" s="24"/>
      <c r="AJ140" s="24"/>
    </row>
    <row r="141" spans="1:50" s="17" customFormat="1" x14ac:dyDescent="0.3">
      <c r="A141" s="22" t="s">
        <v>1340</v>
      </c>
      <c r="B141" s="181"/>
    </row>
    <row r="142" spans="1:50" x14ac:dyDescent="0.3">
      <c r="A142" s="19" t="s">
        <v>983</v>
      </c>
      <c r="B142" s="19"/>
      <c r="C142" s="18" t="s">
        <v>985</v>
      </c>
      <c r="D142" s="18" t="s">
        <v>986</v>
      </c>
      <c r="E142" s="18" t="s">
        <v>987</v>
      </c>
      <c r="F142" s="18" t="s">
        <v>988</v>
      </c>
      <c r="G142" s="18" t="s">
        <v>989</v>
      </c>
      <c r="H142" s="18" t="s">
        <v>990</v>
      </c>
      <c r="I142" s="15"/>
      <c r="J142" s="18" t="s">
        <v>985</v>
      </c>
      <c r="K142" s="18" t="s">
        <v>986</v>
      </c>
      <c r="L142" s="18" t="s">
        <v>987</v>
      </c>
      <c r="M142" s="18" t="s">
        <v>988</v>
      </c>
      <c r="N142" s="18" t="s">
        <v>989</v>
      </c>
      <c r="O142" s="18" t="s">
        <v>990</v>
      </c>
      <c r="P142" s="15"/>
      <c r="Q142" s="18" t="s">
        <v>985</v>
      </c>
      <c r="R142" s="18" t="s">
        <v>986</v>
      </c>
      <c r="S142" s="18" t="s">
        <v>987</v>
      </c>
      <c r="T142" s="18" t="s">
        <v>988</v>
      </c>
      <c r="U142" s="18" t="s">
        <v>989</v>
      </c>
      <c r="V142" s="18" t="s">
        <v>990</v>
      </c>
      <c r="W142" s="15"/>
      <c r="X142" s="18" t="s">
        <v>985</v>
      </c>
      <c r="Y142" s="18" t="s">
        <v>986</v>
      </c>
      <c r="Z142" s="18" t="s">
        <v>987</v>
      </c>
      <c r="AA142" s="18" t="s">
        <v>988</v>
      </c>
      <c r="AB142" s="18" t="s">
        <v>989</v>
      </c>
      <c r="AC142" s="18" t="s">
        <v>990</v>
      </c>
      <c r="AD142" s="15"/>
      <c r="AE142" s="18" t="s">
        <v>985</v>
      </c>
      <c r="AF142" s="18" t="s">
        <v>986</v>
      </c>
      <c r="AG142" s="18" t="s">
        <v>987</v>
      </c>
      <c r="AH142" s="18" t="s">
        <v>988</v>
      </c>
      <c r="AI142" s="18" t="s">
        <v>989</v>
      </c>
      <c r="AJ142" s="18" t="s">
        <v>990</v>
      </c>
      <c r="AL142" s="156" t="s">
        <v>985</v>
      </c>
      <c r="AM142" s="156" t="s">
        <v>986</v>
      </c>
      <c r="AN142" s="156" t="s">
        <v>987</v>
      </c>
      <c r="AO142" s="156" t="s">
        <v>988</v>
      </c>
      <c r="AP142" s="156" t="s">
        <v>989</v>
      </c>
      <c r="AQ142" s="156" t="s">
        <v>990</v>
      </c>
      <c r="AS142" s="209" t="s">
        <v>985</v>
      </c>
      <c r="AT142" s="209" t="s">
        <v>986</v>
      </c>
      <c r="AU142" s="209" t="s">
        <v>987</v>
      </c>
      <c r="AV142" s="209" t="s">
        <v>988</v>
      </c>
      <c r="AW142" s="209" t="s">
        <v>989</v>
      </c>
      <c r="AX142" s="209" t="s">
        <v>990</v>
      </c>
    </row>
    <row r="143" spans="1:50" ht="12" x14ac:dyDescent="0.3">
      <c r="A143" s="20" t="s">
        <v>1341</v>
      </c>
      <c r="B143" s="20"/>
      <c r="C143" s="8" t="s">
        <v>1383</v>
      </c>
      <c r="D143" s="8" t="s">
        <v>1383</v>
      </c>
      <c r="E143" s="8" t="s">
        <v>1383</v>
      </c>
      <c r="F143" s="8" t="s">
        <v>997</v>
      </c>
      <c r="G143" s="27" t="s">
        <v>158</v>
      </c>
      <c r="H143" s="27" t="s">
        <v>158</v>
      </c>
      <c r="I143" s="15"/>
      <c r="J143" s="8" t="s">
        <v>445</v>
      </c>
      <c r="K143" s="8" t="s">
        <v>445</v>
      </c>
      <c r="L143" s="8" t="s">
        <v>445</v>
      </c>
      <c r="M143" s="8" t="s">
        <v>997</v>
      </c>
      <c r="N143" s="8" t="s">
        <v>997</v>
      </c>
      <c r="O143" s="27" t="s">
        <v>158</v>
      </c>
      <c r="P143" s="15"/>
      <c r="Q143" s="8" t="s">
        <v>1383</v>
      </c>
      <c r="R143" s="8" t="s">
        <v>1383</v>
      </c>
      <c r="S143" s="8" t="s">
        <v>1383</v>
      </c>
      <c r="T143" s="8" t="s">
        <v>1383</v>
      </c>
      <c r="U143" s="8" t="s">
        <v>1383</v>
      </c>
      <c r="V143" s="8" t="s">
        <v>1383</v>
      </c>
      <c r="W143" s="15"/>
      <c r="X143" s="8" t="s">
        <v>1383</v>
      </c>
      <c r="Y143" s="8" t="s">
        <v>1383</v>
      </c>
      <c r="Z143" s="8" t="s">
        <v>1383</v>
      </c>
      <c r="AA143" s="8" t="s">
        <v>1383</v>
      </c>
      <c r="AB143" s="8" t="s">
        <v>1383</v>
      </c>
      <c r="AC143" s="8" t="s">
        <v>1383</v>
      </c>
      <c r="AD143" s="15"/>
      <c r="AE143" s="8" t="s">
        <v>1383</v>
      </c>
      <c r="AF143" s="8" t="s">
        <v>1383</v>
      </c>
      <c r="AG143" s="8" t="s">
        <v>1383</v>
      </c>
      <c r="AH143" s="8" t="s">
        <v>1383</v>
      </c>
      <c r="AI143" s="8" t="s">
        <v>1383</v>
      </c>
      <c r="AJ143" s="8" t="s">
        <v>1383</v>
      </c>
      <c r="AL143" s="171" t="s">
        <v>445</v>
      </c>
      <c r="AM143" s="171" t="s">
        <v>445</v>
      </c>
      <c r="AN143" s="171" t="s">
        <v>445</v>
      </c>
      <c r="AO143" s="171" t="s">
        <v>997</v>
      </c>
      <c r="AP143" s="171" t="s">
        <v>997</v>
      </c>
      <c r="AQ143" s="171" t="s">
        <v>158</v>
      </c>
      <c r="AS143" s="169" t="s">
        <v>1389</v>
      </c>
      <c r="AT143" s="169" t="s">
        <v>1390</v>
      </c>
      <c r="AU143" s="169" t="s">
        <v>1391</v>
      </c>
      <c r="AV143" s="169" t="s">
        <v>1392</v>
      </c>
      <c r="AW143" s="169" t="s">
        <v>1393</v>
      </c>
      <c r="AX143" s="169" t="s">
        <v>1394</v>
      </c>
    </row>
    <row r="144" spans="1:50" ht="12" x14ac:dyDescent="0.3">
      <c r="A144" s="20" t="s">
        <v>1344</v>
      </c>
      <c r="B144" s="20"/>
      <c r="C144" s="8" t="s">
        <v>1383</v>
      </c>
      <c r="D144" s="8" t="s">
        <v>1383</v>
      </c>
      <c r="E144" s="8" t="s">
        <v>1383</v>
      </c>
      <c r="F144" s="8" t="s">
        <v>997</v>
      </c>
      <c r="G144" s="27" t="s">
        <v>158</v>
      </c>
      <c r="H144" s="27" t="s">
        <v>158</v>
      </c>
      <c r="I144" s="15"/>
      <c r="J144" s="8" t="s">
        <v>445</v>
      </c>
      <c r="K144" s="8" t="s">
        <v>445</v>
      </c>
      <c r="L144" s="8" t="s">
        <v>445</v>
      </c>
      <c r="M144" s="8" t="s">
        <v>997</v>
      </c>
      <c r="N144" s="8" t="s">
        <v>997</v>
      </c>
      <c r="O144" s="27" t="s">
        <v>158</v>
      </c>
      <c r="P144" s="15"/>
      <c r="Q144" s="8" t="s">
        <v>1383</v>
      </c>
      <c r="R144" s="8" t="s">
        <v>1383</v>
      </c>
      <c r="S144" s="8" t="s">
        <v>1383</v>
      </c>
      <c r="T144" s="8" t="s">
        <v>1383</v>
      </c>
      <c r="U144" s="8" t="s">
        <v>1383</v>
      </c>
      <c r="V144" s="8" t="s">
        <v>1383</v>
      </c>
      <c r="W144" s="15"/>
      <c r="X144" s="8" t="s">
        <v>1383</v>
      </c>
      <c r="Y144" s="8" t="s">
        <v>1383</v>
      </c>
      <c r="Z144" s="8" t="s">
        <v>1383</v>
      </c>
      <c r="AA144" s="8" t="s">
        <v>1383</v>
      </c>
      <c r="AB144" s="8" t="s">
        <v>1383</v>
      </c>
      <c r="AC144" s="8" t="s">
        <v>1383</v>
      </c>
      <c r="AD144" s="15"/>
      <c r="AE144" s="8" t="s">
        <v>1383</v>
      </c>
      <c r="AF144" s="8" t="s">
        <v>1383</v>
      </c>
      <c r="AG144" s="8" t="s">
        <v>1383</v>
      </c>
      <c r="AH144" s="8" t="s">
        <v>1383</v>
      </c>
      <c r="AI144" s="8" t="s">
        <v>1383</v>
      </c>
      <c r="AJ144" s="8" t="s">
        <v>1383</v>
      </c>
      <c r="AL144" s="171" t="s">
        <v>445</v>
      </c>
      <c r="AM144" s="171" t="s">
        <v>445</v>
      </c>
      <c r="AN144" s="171" t="s">
        <v>445</v>
      </c>
      <c r="AO144" s="171" t="s">
        <v>997</v>
      </c>
      <c r="AP144" s="171" t="s">
        <v>997</v>
      </c>
      <c r="AQ144" s="171">
        <v>0</v>
      </c>
      <c r="AS144" s="171" t="s">
        <v>75</v>
      </c>
      <c r="AT144" s="171" t="s">
        <v>158</v>
      </c>
      <c r="AU144" s="171" t="s">
        <v>158</v>
      </c>
      <c r="AV144" s="171" t="s">
        <v>158</v>
      </c>
      <c r="AW144" s="171" t="s">
        <v>158</v>
      </c>
      <c r="AX144" s="171" t="s">
        <v>158</v>
      </c>
    </row>
    <row r="145" spans="1:50" ht="12" x14ac:dyDescent="0.3">
      <c r="A145" s="20" t="s">
        <v>1346</v>
      </c>
      <c r="B145" s="20"/>
      <c r="C145" s="8" t="s">
        <v>445</v>
      </c>
      <c r="D145" s="8" t="s">
        <v>445</v>
      </c>
      <c r="E145" s="8" t="s">
        <v>445</v>
      </c>
      <c r="F145" s="8" t="s">
        <v>997</v>
      </c>
      <c r="G145" s="27" t="s">
        <v>158</v>
      </c>
      <c r="H145" s="27" t="s">
        <v>158</v>
      </c>
      <c r="I145" s="15"/>
      <c r="J145" s="8" t="s">
        <v>445</v>
      </c>
      <c r="K145" s="8" t="s">
        <v>445</v>
      </c>
      <c r="L145" s="8" t="s">
        <v>445</v>
      </c>
      <c r="M145" s="8" t="s">
        <v>997</v>
      </c>
      <c r="N145" s="8" t="s">
        <v>997</v>
      </c>
      <c r="O145" s="27" t="s">
        <v>158</v>
      </c>
      <c r="P145" s="15"/>
      <c r="Q145" s="8" t="s">
        <v>445</v>
      </c>
      <c r="R145" s="8" t="s">
        <v>445</v>
      </c>
      <c r="S145" s="8" t="s">
        <v>445</v>
      </c>
      <c r="T145" s="8" t="s">
        <v>997</v>
      </c>
      <c r="U145" s="8" t="s">
        <v>997</v>
      </c>
      <c r="V145" s="8" t="s">
        <v>997</v>
      </c>
      <c r="W145" s="15"/>
      <c r="X145" s="8" t="s">
        <v>445</v>
      </c>
      <c r="Y145" s="8" t="s">
        <v>445</v>
      </c>
      <c r="Z145" s="8" t="s">
        <v>445</v>
      </c>
      <c r="AA145" s="8" t="s">
        <v>997</v>
      </c>
      <c r="AB145" s="8" t="s">
        <v>997</v>
      </c>
      <c r="AC145" s="8" t="s">
        <v>997</v>
      </c>
      <c r="AD145" s="15"/>
      <c r="AE145" s="8" t="s">
        <v>445</v>
      </c>
      <c r="AF145" s="8" t="s">
        <v>445</v>
      </c>
      <c r="AG145" s="8" t="s">
        <v>445</v>
      </c>
      <c r="AH145" s="8" t="s">
        <v>997</v>
      </c>
      <c r="AI145" s="8" t="s">
        <v>997</v>
      </c>
      <c r="AJ145" s="8" t="s">
        <v>997</v>
      </c>
      <c r="AL145" s="171" t="s">
        <v>445</v>
      </c>
      <c r="AM145" s="171" t="s">
        <v>445</v>
      </c>
      <c r="AN145" s="171" t="s">
        <v>445</v>
      </c>
      <c r="AO145" s="171" t="s">
        <v>997</v>
      </c>
      <c r="AP145" s="171" t="s">
        <v>997</v>
      </c>
      <c r="AQ145" s="171">
        <v>0</v>
      </c>
      <c r="AS145" s="171" t="s">
        <v>75</v>
      </c>
      <c r="AT145" s="171" t="s">
        <v>158</v>
      </c>
      <c r="AU145" s="171" t="s">
        <v>158</v>
      </c>
      <c r="AV145" s="171" t="s">
        <v>158</v>
      </c>
      <c r="AW145" s="171" t="s">
        <v>158</v>
      </c>
      <c r="AX145" s="171" t="s">
        <v>158</v>
      </c>
    </row>
    <row r="146" spans="1:50" ht="12" x14ac:dyDescent="0.3">
      <c r="A146" s="20" t="s">
        <v>1348</v>
      </c>
      <c r="B146" s="20"/>
      <c r="C146" s="8" t="s">
        <v>997</v>
      </c>
      <c r="D146" s="8" t="s">
        <v>997</v>
      </c>
      <c r="E146" s="8" t="s">
        <v>445</v>
      </c>
      <c r="F146" s="8" t="s">
        <v>445</v>
      </c>
      <c r="G146" s="27" t="s">
        <v>158</v>
      </c>
      <c r="H146" s="27" t="s">
        <v>158</v>
      </c>
      <c r="I146" s="15"/>
      <c r="J146" s="8" t="s">
        <v>445</v>
      </c>
      <c r="K146" s="8" t="s">
        <v>997</v>
      </c>
      <c r="L146" s="8" t="s">
        <v>445</v>
      </c>
      <c r="M146" s="8" t="s">
        <v>997</v>
      </c>
      <c r="N146" s="8" t="s">
        <v>1383</v>
      </c>
      <c r="O146" s="8" t="s">
        <v>1383</v>
      </c>
      <c r="P146" s="15"/>
      <c r="Q146" s="8" t="s">
        <v>445</v>
      </c>
      <c r="R146" s="8" t="s">
        <v>997</v>
      </c>
      <c r="S146" s="8" t="s">
        <v>445</v>
      </c>
      <c r="T146" s="8" t="s">
        <v>997</v>
      </c>
      <c r="U146" s="8" t="s">
        <v>997</v>
      </c>
      <c r="V146" s="8" t="s">
        <v>997</v>
      </c>
      <c r="W146" s="15"/>
      <c r="X146" s="8" t="s">
        <v>445</v>
      </c>
      <c r="Y146" s="8" t="s">
        <v>445</v>
      </c>
      <c r="Z146" s="8" t="s">
        <v>445</v>
      </c>
      <c r="AA146" s="8" t="s">
        <v>997</v>
      </c>
      <c r="AB146" s="8" t="s">
        <v>997</v>
      </c>
      <c r="AC146" s="8" t="s">
        <v>997</v>
      </c>
      <c r="AD146" s="15"/>
      <c r="AE146" s="8" t="s">
        <v>445</v>
      </c>
      <c r="AF146" s="8" t="s">
        <v>445</v>
      </c>
      <c r="AG146" s="8" t="s">
        <v>445</v>
      </c>
      <c r="AH146" s="8" t="s">
        <v>997</v>
      </c>
      <c r="AI146" s="8" t="s">
        <v>997</v>
      </c>
      <c r="AJ146" s="8" t="s">
        <v>997</v>
      </c>
      <c r="AL146" s="169" t="s">
        <v>997</v>
      </c>
      <c r="AM146" s="169" t="s">
        <v>997</v>
      </c>
      <c r="AN146" s="169" t="s">
        <v>997</v>
      </c>
      <c r="AO146" s="169" t="s">
        <v>445</v>
      </c>
      <c r="AP146" s="176" t="s">
        <v>158</v>
      </c>
      <c r="AQ146" s="176" t="s">
        <v>158</v>
      </c>
      <c r="AS146" s="171" t="s">
        <v>75</v>
      </c>
      <c r="AT146" s="169" t="s">
        <v>158</v>
      </c>
      <c r="AU146" s="169" t="s">
        <v>158</v>
      </c>
      <c r="AV146" s="169" t="s">
        <v>158</v>
      </c>
      <c r="AW146" s="169" t="s">
        <v>158</v>
      </c>
      <c r="AX146" s="169" t="s">
        <v>158</v>
      </c>
    </row>
    <row r="147" spans="1:50" ht="12" x14ac:dyDescent="0.3">
      <c r="A147" s="20" t="s">
        <v>1351</v>
      </c>
      <c r="B147" s="20"/>
      <c r="C147" s="8" t="s">
        <v>997</v>
      </c>
      <c r="D147" s="8" t="s">
        <v>997</v>
      </c>
      <c r="E147" s="8" t="s">
        <v>445</v>
      </c>
      <c r="F147" s="27" t="s">
        <v>158</v>
      </c>
      <c r="G147" s="27" t="s">
        <v>158</v>
      </c>
      <c r="H147" s="27" t="s">
        <v>158</v>
      </c>
      <c r="I147" s="15"/>
      <c r="J147" s="8" t="s">
        <v>997</v>
      </c>
      <c r="K147" s="8" t="s">
        <v>997</v>
      </c>
      <c r="L147" s="8" t="s">
        <v>997</v>
      </c>
      <c r="M147" s="8" t="s">
        <v>445</v>
      </c>
      <c r="N147" s="8" t="s">
        <v>445</v>
      </c>
      <c r="O147" s="8" t="s">
        <v>445</v>
      </c>
      <c r="P147" s="15"/>
      <c r="Q147" s="8" t="s">
        <v>997</v>
      </c>
      <c r="R147" s="8" t="s">
        <v>997</v>
      </c>
      <c r="S147" s="8" t="s">
        <v>445</v>
      </c>
      <c r="T147" s="8" t="s">
        <v>445</v>
      </c>
      <c r="U147" s="8" t="s">
        <v>445</v>
      </c>
      <c r="V147" s="8" t="s">
        <v>445</v>
      </c>
      <c r="W147" s="15"/>
      <c r="X147" s="8" t="s">
        <v>997</v>
      </c>
      <c r="Y147" s="8" t="s">
        <v>997</v>
      </c>
      <c r="Z147" s="8" t="s">
        <v>445</v>
      </c>
      <c r="AA147" s="8" t="s">
        <v>445</v>
      </c>
      <c r="AB147" s="8" t="s">
        <v>445</v>
      </c>
      <c r="AC147" s="8" t="s">
        <v>445</v>
      </c>
      <c r="AD147" s="15"/>
      <c r="AE147" s="8" t="s">
        <v>997</v>
      </c>
      <c r="AF147" s="8" t="s">
        <v>997</v>
      </c>
      <c r="AG147" s="8" t="s">
        <v>445</v>
      </c>
      <c r="AH147" s="8" t="s">
        <v>445</v>
      </c>
      <c r="AI147" s="8" t="s">
        <v>445</v>
      </c>
      <c r="AJ147" s="8" t="s">
        <v>445</v>
      </c>
      <c r="AL147" s="169" t="s">
        <v>1383</v>
      </c>
      <c r="AM147" s="169" t="s">
        <v>1383</v>
      </c>
      <c r="AN147" s="169" t="s">
        <v>1383</v>
      </c>
      <c r="AO147" s="169" t="s">
        <v>1383</v>
      </c>
      <c r="AP147" s="169" t="s">
        <v>1383</v>
      </c>
      <c r="AQ147" s="169" t="s">
        <v>1383</v>
      </c>
      <c r="AS147" s="171" t="s">
        <v>75</v>
      </c>
      <c r="AT147" s="169" t="s">
        <v>158</v>
      </c>
      <c r="AU147" s="169" t="s">
        <v>158</v>
      </c>
      <c r="AV147" s="169" t="s">
        <v>158</v>
      </c>
      <c r="AW147" s="169" t="s">
        <v>158</v>
      </c>
      <c r="AX147" s="169" t="s">
        <v>158</v>
      </c>
    </row>
    <row r="148" spans="1:50" ht="12" x14ac:dyDescent="0.3">
      <c r="A148" s="20" t="s">
        <v>1354</v>
      </c>
      <c r="B148" s="20"/>
      <c r="C148" s="8" t="s">
        <v>445</v>
      </c>
      <c r="D148" s="8" t="s">
        <v>997</v>
      </c>
      <c r="E148" s="8" t="s">
        <v>445</v>
      </c>
      <c r="F148" s="27" t="s">
        <v>158</v>
      </c>
      <c r="G148" s="27" t="s">
        <v>158</v>
      </c>
      <c r="H148" s="27" t="s">
        <v>158</v>
      </c>
      <c r="I148" s="15"/>
      <c r="J148" s="8" t="s">
        <v>445</v>
      </c>
      <c r="K148" s="8" t="s">
        <v>445</v>
      </c>
      <c r="L148" s="8" t="s">
        <v>445</v>
      </c>
      <c r="M148" s="8" t="s">
        <v>997</v>
      </c>
      <c r="N148" s="8" t="s">
        <v>997</v>
      </c>
      <c r="O148" s="8" t="s">
        <v>997</v>
      </c>
      <c r="P148" s="15"/>
      <c r="Q148" s="8" t="s">
        <v>445</v>
      </c>
      <c r="R148" s="8" t="s">
        <v>445</v>
      </c>
      <c r="S148" s="8" t="s">
        <v>445</v>
      </c>
      <c r="T148" s="8" t="s">
        <v>997</v>
      </c>
      <c r="U148" s="8" t="s">
        <v>997</v>
      </c>
      <c r="V148" s="8" t="s">
        <v>997</v>
      </c>
      <c r="W148" s="15"/>
      <c r="X148" s="8" t="s">
        <v>445</v>
      </c>
      <c r="Y148" s="8" t="s">
        <v>445</v>
      </c>
      <c r="Z148" s="8" t="s">
        <v>445</v>
      </c>
      <c r="AA148" s="8" t="s">
        <v>997</v>
      </c>
      <c r="AB148" s="8" t="s">
        <v>997</v>
      </c>
      <c r="AC148" s="8" t="s">
        <v>997</v>
      </c>
      <c r="AD148" s="15"/>
      <c r="AE148" s="8" t="s">
        <v>445</v>
      </c>
      <c r="AF148" s="8" t="s">
        <v>445</v>
      </c>
      <c r="AG148" s="8" t="s">
        <v>445</v>
      </c>
      <c r="AH148" s="8" t="s">
        <v>997</v>
      </c>
      <c r="AI148" s="8" t="s">
        <v>997</v>
      </c>
      <c r="AJ148" s="8" t="s">
        <v>997</v>
      </c>
      <c r="AL148" s="169" t="s">
        <v>445</v>
      </c>
      <c r="AM148" s="169" t="s">
        <v>445</v>
      </c>
      <c r="AN148" s="169" t="s">
        <v>445</v>
      </c>
      <c r="AO148" s="169" t="s">
        <v>997</v>
      </c>
      <c r="AP148" s="169" t="s">
        <v>997</v>
      </c>
      <c r="AQ148" s="169" t="s">
        <v>997</v>
      </c>
      <c r="AS148" s="171" t="s">
        <v>75</v>
      </c>
      <c r="AT148" s="169" t="s">
        <v>158</v>
      </c>
      <c r="AU148" s="169" t="s">
        <v>158</v>
      </c>
      <c r="AV148" s="169" t="s">
        <v>158</v>
      </c>
      <c r="AW148" s="169" t="s">
        <v>158</v>
      </c>
      <c r="AX148" s="169" t="s">
        <v>158</v>
      </c>
    </row>
    <row r="149" spans="1:50" ht="12" x14ac:dyDescent="0.3">
      <c r="A149" s="20" t="s">
        <v>1356</v>
      </c>
      <c r="B149" s="20"/>
      <c r="C149" s="8" t="s">
        <v>997</v>
      </c>
      <c r="D149" s="8" t="s">
        <v>997</v>
      </c>
      <c r="E149" s="8" t="s">
        <v>445</v>
      </c>
      <c r="F149" s="27" t="s">
        <v>158</v>
      </c>
      <c r="G149" s="27" t="s">
        <v>158</v>
      </c>
      <c r="H149" s="27" t="s">
        <v>158</v>
      </c>
      <c r="I149" s="15"/>
      <c r="J149" s="8" t="s">
        <v>997</v>
      </c>
      <c r="K149" s="8" t="s">
        <v>997</v>
      </c>
      <c r="L149" s="8" t="s">
        <v>997</v>
      </c>
      <c r="M149" s="8" t="s">
        <v>445</v>
      </c>
      <c r="N149" s="8" t="s">
        <v>445</v>
      </c>
      <c r="O149" s="8" t="s">
        <v>445</v>
      </c>
      <c r="P149" s="15"/>
      <c r="Q149" s="8" t="s">
        <v>445</v>
      </c>
      <c r="R149" s="8" t="s">
        <v>445</v>
      </c>
      <c r="S149" s="8" t="s">
        <v>445</v>
      </c>
      <c r="T149" s="8" t="s">
        <v>997</v>
      </c>
      <c r="U149" s="8" t="s">
        <v>997</v>
      </c>
      <c r="V149" s="8" t="s">
        <v>997</v>
      </c>
      <c r="W149" s="15"/>
      <c r="X149" s="8" t="s">
        <v>445</v>
      </c>
      <c r="Y149" s="8" t="s">
        <v>445</v>
      </c>
      <c r="Z149" s="8" t="s">
        <v>445</v>
      </c>
      <c r="AA149" s="8" t="s">
        <v>997</v>
      </c>
      <c r="AB149" s="8" t="s">
        <v>997</v>
      </c>
      <c r="AC149" s="8" t="s">
        <v>997</v>
      </c>
      <c r="AD149" s="15"/>
      <c r="AE149" s="8" t="s">
        <v>445</v>
      </c>
      <c r="AF149" s="8" t="s">
        <v>445</v>
      </c>
      <c r="AG149" s="8" t="s">
        <v>445</v>
      </c>
      <c r="AH149" s="8" t="s">
        <v>997</v>
      </c>
      <c r="AI149" s="8" t="s">
        <v>997</v>
      </c>
      <c r="AJ149" s="8" t="s">
        <v>997</v>
      </c>
      <c r="AL149" s="169" t="s">
        <v>997</v>
      </c>
      <c r="AM149" s="169" t="s">
        <v>997</v>
      </c>
      <c r="AN149" s="169" t="s">
        <v>997</v>
      </c>
      <c r="AO149" s="169" t="s">
        <v>445</v>
      </c>
      <c r="AP149" s="169" t="s">
        <v>445</v>
      </c>
      <c r="AQ149" s="169" t="s">
        <v>445</v>
      </c>
      <c r="AS149" s="171" t="s">
        <v>75</v>
      </c>
      <c r="AT149" s="169" t="s">
        <v>158</v>
      </c>
      <c r="AU149" s="169" t="s">
        <v>158</v>
      </c>
      <c r="AV149" s="169" t="s">
        <v>158</v>
      </c>
      <c r="AW149" s="169" t="s">
        <v>158</v>
      </c>
      <c r="AX149" s="169" t="s">
        <v>158</v>
      </c>
    </row>
    <row r="150" spans="1:50" ht="12" x14ac:dyDescent="0.3">
      <c r="A150" s="20" t="s">
        <v>1358</v>
      </c>
      <c r="B150" s="20"/>
      <c r="C150" s="8" t="s">
        <v>445</v>
      </c>
      <c r="D150" s="8" t="s">
        <v>445</v>
      </c>
      <c r="E150" s="8" t="s">
        <v>445</v>
      </c>
      <c r="F150" s="27" t="s">
        <v>158</v>
      </c>
      <c r="G150" s="27" t="s">
        <v>158</v>
      </c>
      <c r="H150" s="27" t="s">
        <v>158</v>
      </c>
      <c r="I150" s="15"/>
      <c r="J150" s="8" t="s">
        <v>997</v>
      </c>
      <c r="K150" s="8" t="s">
        <v>997</v>
      </c>
      <c r="L150" s="8" t="s">
        <v>997</v>
      </c>
      <c r="M150" s="8" t="s">
        <v>445</v>
      </c>
      <c r="N150" s="8" t="s">
        <v>445</v>
      </c>
      <c r="O150" s="8" t="s">
        <v>445</v>
      </c>
      <c r="P150" s="15"/>
      <c r="Q150" s="8" t="s">
        <v>997</v>
      </c>
      <c r="R150" s="8" t="s">
        <v>997</v>
      </c>
      <c r="S150" s="8" t="s">
        <v>445</v>
      </c>
      <c r="T150" s="8" t="s">
        <v>445</v>
      </c>
      <c r="U150" s="8" t="s">
        <v>445</v>
      </c>
      <c r="V150" s="8" t="s">
        <v>445</v>
      </c>
      <c r="W150" s="15"/>
      <c r="X150" s="8" t="s">
        <v>997</v>
      </c>
      <c r="Y150" s="8" t="s">
        <v>997</v>
      </c>
      <c r="Z150" s="8" t="s">
        <v>445</v>
      </c>
      <c r="AA150" s="8" t="s">
        <v>445</v>
      </c>
      <c r="AB150" s="8" t="s">
        <v>445</v>
      </c>
      <c r="AC150" s="8" t="s">
        <v>445</v>
      </c>
      <c r="AD150" s="15"/>
      <c r="AE150" s="8" t="s">
        <v>997</v>
      </c>
      <c r="AF150" s="8" t="s">
        <v>997</v>
      </c>
      <c r="AG150" s="8" t="s">
        <v>445</v>
      </c>
      <c r="AH150" s="8" t="s">
        <v>445</v>
      </c>
      <c r="AI150" s="8" t="s">
        <v>445</v>
      </c>
      <c r="AJ150" s="8" t="s">
        <v>445</v>
      </c>
      <c r="AL150" s="169" t="s">
        <v>1383</v>
      </c>
      <c r="AM150" s="169" t="s">
        <v>1383</v>
      </c>
      <c r="AN150" s="169" t="s">
        <v>1383</v>
      </c>
      <c r="AO150" s="169" t="s">
        <v>1383</v>
      </c>
      <c r="AP150" s="169" t="s">
        <v>1383</v>
      </c>
      <c r="AQ150" s="169" t="s">
        <v>1383</v>
      </c>
      <c r="AS150" s="171" t="s">
        <v>75</v>
      </c>
      <c r="AT150" s="169" t="s">
        <v>158</v>
      </c>
      <c r="AU150" s="169" t="s">
        <v>158</v>
      </c>
      <c r="AV150" s="169" t="s">
        <v>158</v>
      </c>
      <c r="AW150" s="169" t="s">
        <v>158</v>
      </c>
      <c r="AX150" s="169" t="s">
        <v>158</v>
      </c>
    </row>
    <row r="151" spans="1:50" ht="12" x14ac:dyDescent="0.3">
      <c r="A151" s="20" t="s">
        <v>1360</v>
      </c>
      <c r="B151" s="20"/>
      <c r="C151" s="8" t="s">
        <v>445</v>
      </c>
      <c r="D151" s="8" t="s">
        <v>445</v>
      </c>
      <c r="E151" s="8" t="s">
        <v>445</v>
      </c>
      <c r="F151" s="27" t="s">
        <v>158</v>
      </c>
      <c r="G151" s="27" t="s">
        <v>158</v>
      </c>
      <c r="H151" s="27" t="s">
        <v>158</v>
      </c>
      <c r="I151" s="15"/>
      <c r="J151" s="8" t="s">
        <v>997</v>
      </c>
      <c r="K151" s="8" t="s">
        <v>997</v>
      </c>
      <c r="L151" s="8" t="s">
        <v>997</v>
      </c>
      <c r="M151" s="8" t="s">
        <v>445</v>
      </c>
      <c r="N151" s="8" t="s">
        <v>445</v>
      </c>
      <c r="O151" s="8" t="s">
        <v>445</v>
      </c>
      <c r="P151" s="15"/>
      <c r="Q151" s="8" t="s">
        <v>445</v>
      </c>
      <c r="R151" s="8" t="s">
        <v>445</v>
      </c>
      <c r="S151" s="8" t="s">
        <v>445</v>
      </c>
      <c r="T151" s="8" t="s">
        <v>997</v>
      </c>
      <c r="U151" s="8" t="s">
        <v>997</v>
      </c>
      <c r="V151" s="8" t="s">
        <v>997</v>
      </c>
      <c r="W151" s="15"/>
      <c r="X151" s="8" t="s">
        <v>445</v>
      </c>
      <c r="Y151" s="8" t="s">
        <v>445</v>
      </c>
      <c r="Z151" s="8" t="s">
        <v>445</v>
      </c>
      <c r="AA151" s="8" t="s">
        <v>997</v>
      </c>
      <c r="AB151" s="8" t="s">
        <v>997</v>
      </c>
      <c r="AC151" s="8" t="s">
        <v>997</v>
      </c>
      <c r="AD151" s="15"/>
      <c r="AE151" s="8" t="s">
        <v>445</v>
      </c>
      <c r="AF151" s="8" t="s">
        <v>445</v>
      </c>
      <c r="AG151" s="8" t="s">
        <v>445</v>
      </c>
      <c r="AH151" s="8" t="s">
        <v>997</v>
      </c>
      <c r="AI151" s="8" t="s">
        <v>997</v>
      </c>
      <c r="AJ151" s="8" t="s">
        <v>997</v>
      </c>
      <c r="AL151" s="169" t="s">
        <v>997</v>
      </c>
      <c r="AM151" s="169" t="s">
        <v>997</v>
      </c>
      <c r="AN151" s="169" t="s">
        <v>997</v>
      </c>
      <c r="AO151" s="169" t="s">
        <v>445</v>
      </c>
      <c r="AP151" s="169" t="s">
        <v>445</v>
      </c>
      <c r="AQ151" s="169" t="s">
        <v>445</v>
      </c>
      <c r="AS151" s="171" t="s">
        <v>75</v>
      </c>
      <c r="AT151" s="169" t="s">
        <v>158</v>
      </c>
      <c r="AU151" s="169" t="s">
        <v>158</v>
      </c>
      <c r="AV151" s="169" t="s">
        <v>158</v>
      </c>
      <c r="AW151" s="169" t="s">
        <v>158</v>
      </c>
      <c r="AX151" s="169" t="s">
        <v>158</v>
      </c>
    </row>
    <row r="152" spans="1:50" ht="12" x14ac:dyDescent="0.3">
      <c r="A152" s="20" t="s">
        <v>1362</v>
      </c>
      <c r="B152" s="20"/>
      <c r="C152" s="8" t="s">
        <v>445</v>
      </c>
      <c r="D152" s="8" t="s">
        <v>445</v>
      </c>
      <c r="E152" s="8" t="s">
        <v>445</v>
      </c>
      <c r="F152" s="27" t="s">
        <v>158</v>
      </c>
      <c r="G152" s="27" t="s">
        <v>158</v>
      </c>
      <c r="H152" s="27" t="s">
        <v>158</v>
      </c>
      <c r="I152" s="15"/>
      <c r="J152" s="8" t="s">
        <v>997</v>
      </c>
      <c r="K152" s="8" t="s">
        <v>997</v>
      </c>
      <c r="L152" s="8" t="s">
        <v>997</v>
      </c>
      <c r="M152" s="8" t="s">
        <v>445</v>
      </c>
      <c r="N152" s="8" t="s">
        <v>445</v>
      </c>
      <c r="O152" s="8" t="s">
        <v>445</v>
      </c>
      <c r="P152" s="15"/>
      <c r="Q152" s="8" t="s">
        <v>997</v>
      </c>
      <c r="R152" s="8" t="s">
        <v>997</v>
      </c>
      <c r="S152" s="8" t="s">
        <v>445</v>
      </c>
      <c r="T152" s="8" t="s">
        <v>445</v>
      </c>
      <c r="U152" s="8" t="s">
        <v>445</v>
      </c>
      <c r="V152" s="8" t="s">
        <v>445</v>
      </c>
      <c r="W152" s="15"/>
      <c r="X152" s="8" t="s">
        <v>997</v>
      </c>
      <c r="Y152" s="8" t="s">
        <v>997</v>
      </c>
      <c r="Z152" s="8" t="s">
        <v>445</v>
      </c>
      <c r="AA152" s="8" t="s">
        <v>445</v>
      </c>
      <c r="AB152" s="8" t="s">
        <v>445</v>
      </c>
      <c r="AC152" s="8" t="s">
        <v>445</v>
      </c>
      <c r="AD152" s="15"/>
      <c r="AE152" s="8" t="s">
        <v>997</v>
      </c>
      <c r="AF152" s="8" t="s">
        <v>997</v>
      </c>
      <c r="AG152" s="8" t="s">
        <v>445</v>
      </c>
      <c r="AH152" s="8" t="s">
        <v>445</v>
      </c>
      <c r="AI152" s="8" t="s">
        <v>445</v>
      </c>
      <c r="AJ152" s="8" t="s">
        <v>445</v>
      </c>
      <c r="AL152" s="169" t="s">
        <v>997</v>
      </c>
      <c r="AM152" s="169" t="s">
        <v>997</v>
      </c>
      <c r="AN152" s="169" t="s">
        <v>997</v>
      </c>
      <c r="AO152" s="169" t="s">
        <v>445</v>
      </c>
      <c r="AP152" s="169" t="s">
        <v>445</v>
      </c>
      <c r="AQ152" s="169" t="s">
        <v>445</v>
      </c>
      <c r="AS152" s="171" t="s">
        <v>75</v>
      </c>
      <c r="AT152" s="169" t="s">
        <v>158</v>
      </c>
      <c r="AU152" s="169" t="s">
        <v>158</v>
      </c>
      <c r="AV152" s="169" t="s">
        <v>158</v>
      </c>
      <c r="AW152" s="169" t="s">
        <v>158</v>
      </c>
      <c r="AX152" s="169" t="s">
        <v>158</v>
      </c>
    </row>
    <row r="153" spans="1:50" ht="12" x14ac:dyDescent="0.3">
      <c r="A153" s="20" t="s">
        <v>1365</v>
      </c>
      <c r="B153" s="20"/>
      <c r="C153" s="8" t="s">
        <v>445</v>
      </c>
      <c r="D153" s="8" t="s">
        <v>445</v>
      </c>
      <c r="E153" s="8" t="s">
        <v>445</v>
      </c>
      <c r="F153" s="27" t="s">
        <v>158</v>
      </c>
      <c r="G153" s="27" t="s">
        <v>158</v>
      </c>
      <c r="H153" s="27" t="s">
        <v>158</v>
      </c>
      <c r="I153" s="15"/>
      <c r="J153" s="8" t="s">
        <v>997</v>
      </c>
      <c r="K153" s="8" t="s">
        <v>997</v>
      </c>
      <c r="L153" s="8" t="s">
        <v>997</v>
      </c>
      <c r="M153" s="8" t="s">
        <v>445</v>
      </c>
      <c r="N153" s="8" t="s">
        <v>445</v>
      </c>
      <c r="O153" s="8" t="s">
        <v>445</v>
      </c>
      <c r="P153" s="15"/>
      <c r="Q153" s="8" t="s">
        <v>445</v>
      </c>
      <c r="R153" s="8" t="s">
        <v>445</v>
      </c>
      <c r="S153" s="8" t="s">
        <v>445</v>
      </c>
      <c r="T153" s="8" t="s">
        <v>997</v>
      </c>
      <c r="U153" s="8" t="s">
        <v>997</v>
      </c>
      <c r="V153" s="8" t="s">
        <v>997</v>
      </c>
      <c r="W153" s="15"/>
      <c r="X153" s="8" t="s">
        <v>445</v>
      </c>
      <c r="Y153" s="8" t="s">
        <v>445</v>
      </c>
      <c r="Z153" s="8" t="s">
        <v>445</v>
      </c>
      <c r="AA153" s="8" t="s">
        <v>997</v>
      </c>
      <c r="AB153" s="8" t="s">
        <v>997</v>
      </c>
      <c r="AC153" s="8" t="s">
        <v>997</v>
      </c>
      <c r="AD153" s="15"/>
      <c r="AE153" s="8" t="s">
        <v>445</v>
      </c>
      <c r="AF153" s="8" t="s">
        <v>445</v>
      </c>
      <c r="AG153" s="8" t="s">
        <v>445</v>
      </c>
      <c r="AH153" s="8" t="s">
        <v>997</v>
      </c>
      <c r="AI153" s="8" t="s">
        <v>997</v>
      </c>
      <c r="AJ153" s="8" t="s">
        <v>997</v>
      </c>
      <c r="AL153" s="169" t="s">
        <v>997</v>
      </c>
      <c r="AM153" s="169" t="s">
        <v>997</v>
      </c>
      <c r="AN153" s="169" t="s">
        <v>997</v>
      </c>
      <c r="AO153" s="169" t="s">
        <v>445</v>
      </c>
      <c r="AP153" s="169" t="s">
        <v>445</v>
      </c>
      <c r="AQ153" s="169" t="s">
        <v>445</v>
      </c>
      <c r="AS153" s="171" t="s">
        <v>75</v>
      </c>
      <c r="AT153" s="169" t="s">
        <v>158</v>
      </c>
      <c r="AU153" s="169" t="s">
        <v>158</v>
      </c>
      <c r="AV153" s="169" t="s">
        <v>158</v>
      </c>
      <c r="AW153" s="169" t="s">
        <v>158</v>
      </c>
      <c r="AX153" s="169" t="s">
        <v>158</v>
      </c>
    </row>
    <row r="154" spans="1:50" ht="12" x14ac:dyDescent="0.3">
      <c r="A154" s="20" t="s">
        <v>1367</v>
      </c>
      <c r="B154" s="20"/>
      <c r="C154" s="8" t="s">
        <v>997</v>
      </c>
      <c r="D154" s="8" t="s">
        <v>997</v>
      </c>
      <c r="E154" s="8" t="s">
        <v>445</v>
      </c>
      <c r="F154" s="27" t="s">
        <v>158</v>
      </c>
      <c r="G154" s="27" t="s">
        <v>158</v>
      </c>
      <c r="H154" s="27" t="s">
        <v>158</v>
      </c>
      <c r="I154" s="15"/>
      <c r="J154" s="8" t="s">
        <v>997</v>
      </c>
      <c r="K154" s="8" t="s">
        <v>997</v>
      </c>
      <c r="L154" s="8" t="s">
        <v>997</v>
      </c>
      <c r="M154" s="8" t="s">
        <v>445</v>
      </c>
      <c r="N154" s="8" t="s">
        <v>445</v>
      </c>
      <c r="O154" s="8" t="s">
        <v>445</v>
      </c>
      <c r="P154" s="15"/>
      <c r="Q154" s="8" t="s">
        <v>997</v>
      </c>
      <c r="R154" s="8" t="s">
        <v>997</v>
      </c>
      <c r="S154" s="8" t="s">
        <v>445</v>
      </c>
      <c r="T154" s="8" t="s">
        <v>445</v>
      </c>
      <c r="U154" s="8" t="s">
        <v>445</v>
      </c>
      <c r="V154" s="8" t="s">
        <v>445</v>
      </c>
      <c r="W154" s="15"/>
      <c r="X154" s="8" t="s">
        <v>997</v>
      </c>
      <c r="Y154" s="8" t="s">
        <v>997</v>
      </c>
      <c r="Z154" s="8" t="s">
        <v>445</v>
      </c>
      <c r="AA154" s="8" t="s">
        <v>445</v>
      </c>
      <c r="AB154" s="8" t="s">
        <v>445</v>
      </c>
      <c r="AC154" s="8" t="s">
        <v>445</v>
      </c>
      <c r="AD154" s="15"/>
      <c r="AE154" s="8" t="s">
        <v>997</v>
      </c>
      <c r="AF154" s="8" t="s">
        <v>997</v>
      </c>
      <c r="AG154" s="8" t="s">
        <v>445</v>
      </c>
      <c r="AH154" s="8" t="s">
        <v>445</v>
      </c>
      <c r="AI154" s="8" t="s">
        <v>445</v>
      </c>
      <c r="AJ154" s="8" t="s">
        <v>445</v>
      </c>
      <c r="AL154" s="169" t="s">
        <v>997</v>
      </c>
      <c r="AM154" s="169" t="s">
        <v>997</v>
      </c>
      <c r="AN154" s="169" t="s">
        <v>997</v>
      </c>
      <c r="AO154" s="169" t="s">
        <v>445</v>
      </c>
      <c r="AP154" s="169" t="s">
        <v>445</v>
      </c>
      <c r="AQ154" s="169" t="s">
        <v>445</v>
      </c>
      <c r="AS154" s="171" t="s">
        <v>75</v>
      </c>
      <c r="AT154" s="169" t="s">
        <v>158</v>
      </c>
      <c r="AU154" s="169" t="s">
        <v>158</v>
      </c>
      <c r="AV154" s="169" t="s">
        <v>158</v>
      </c>
      <c r="AW154" s="169" t="s">
        <v>158</v>
      </c>
      <c r="AX154" s="169" t="s">
        <v>158</v>
      </c>
    </row>
    <row r="155" spans="1:50" ht="12" x14ac:dyDescent="0.3">
      <c r="A155" s="20" t="s">
        <v>1369</v>
      </c>
      <c r="B155" s="20"/>
      <c r="C155" s="8" t="s">
        <v>997</v>
      </c>
      <c r="D155" s="8" t="s">
        <v>997</v>
      </c>
      <c r="E155" s="8" t="s">
        <v>445</v>
      </c>
      <c r="F155" s="27" t="s">
        <v>158</v>
      </c>
      <c r="G155" s="27" t="s">
        <v>158</v>
      </c>
      <c r="H155" s="27" t="s">
        <v>158</v>
      </c>
      <c r="I155" s="15"/>
      <c r="J155" s="8" t="s">
        <v>997</v>
      </c>
      <c r="K155" s="8" t="s">
        <v>997</v>
      </c>
      <c r="L155" s="8" t="s">
        <v>997</v>
      </c>
      <c r="M155" s="8" t="s">
        <v>445</v>
      </c>
      <c r="N155" s="8" t="s">
        <v>445</v>
      </c>
      <c r="O155" s="8" t="s">
        <v>445</v>
      </c>
      <c r="P155" s="15"/>
      <c r="Q155" s="8" t="s">
        <v>997</v>
      </c>
      <c r="R155" s="8" t="s">
        <v>997</v>
      </c>
      <c r="S155" s="8" t="s">
        <v>445</v>
      </c>
      <c r="T155" s="8" t="s">
        <v>445</v>
      </c>
      <c r="U155" s="8" t="s">
        <v>445</v>
      </c>
      <c r="V155" s="8" t="s">
        <v>445</v>
      </c>
      <c r="W155" s="15"/>
      <c r="X155" s="8" t="s">
        <v>997</v>
      </c>
      <c r="Y155" s="8" t="s">
        <v>997</v>
      </c>
      <c r="Z155" s="8" t="s">
        <v>445</v>
      </c>
      <c r="AA155" s="8" t="s">
        <v>445</v>
      </c>
      <c r="AB155" s="8" t="s">
        <v>445</v>
      </c>
      <c r="AC155" s="8" t="s">
        <v>445</v>
      </c>
      <c r="AD155" s="15"/>
      <c r="AE155" s="8" t="s">
        <v>997</v>
      </c>
      <c r="AF155" s="8" t="s">
        <v>997</v>
      </c>
      <c r="AG155" s="8" t="s">
        <v>445</v>
      </c>
      <c r="AH155" s="8" t="s">
        <v>445</v>
      </c>
      <c r="AI155" s="8" t="s">
        <v>445</v>
      </c>
      <c r="AJ155" s="8" t="s">
        <v>445</v>
      </c>
      <c r="AL155" s="169" t="s">
        <v>997</v>
      </c>
      <c r="AM155" s="169" t="s">
        <v>997</v>
      </c>
      <c r="AN155" s="169" t="s">
        <v>997</v>
      </c>
      <c r="AO155" s="169" t="s">
        <v>445</v>
      </c>
      <c r="AP155" s="169" t="s">
        <v>445</v>
      </c>
      <c r="AQ155" s="169" t="s">
        <v>445</v>
      </c>
      <c r="AS155" s="171" t="s">
        <v>75</v>
      </c>
      <c r="AT155" s="169" t="s">
        <v>158</v>
      </c>
      <c r="AU155" s="169" t="s">
        <v>158</v>
      </c>
      <c r="AV155" s="169" t="s">
        <v>158</v>
      </c>
      <c r="AW155" s="169" t="s">
        <v>158</v>
      </c>
      <c r="AX155" s="169" t="s">
        <v>158</v>
      </c>
    </row>
    <row r="156" spans="1:50" ht="12" x14ac:dyDescent="0.3">
      <c r="A156" s="20" t="s">
        <v>1371</v>
      </c>
      <c r="B156" s="20"/>
      <c r="C156" s="8" t="s">
        <v>445</v>
      </c>
      <c r="D156" s="8" t="s">
        <v>997</v>
      </c>
      <c r="E156" s="8" t="s">
        <v>445</v>
      </c>
      <c r="F156" s="27" t="s">
        <v>158</v>
      </c>
      <c r="G156" s="27" t="s">
        <v>158</v>
      </c>
      <c r="H156" s="27" t="s">
        <v>158</v>
      </c>
      <c r="I156" s="15"/>
      <c r="J156" s="8" t="s">
        <v>997</v>
      </c>
      <c r="K156" s="8" t="s">
        <v>997</v>
      </c>
      <c r="L156" s="8" t="s">
        <v>997</v>
      </c>
      <c r="M156" s="8" t="s">
        <v>445</v>
      </c>
      <c r="N156" s="8" t="s">
        <v>445</v>
      </c>
      <c r="O156" s="8" t="s">
        <v>445</v>
      </c>
      <c r="P156" s="15"/>
      <c r="Q156" s="8" t="s">
        <v>997</v>
      </c>
      <c r="R156" s="8" t="s">
        <v>997</v>
      </c>
      <c r="S156" s="8" t="s">
        <v>445</v>
      </c>
      <c r="T156" s="8" t="s">
        <v>445</v>
      </c>
      <c r="U156" s="8" t="s">
        <v>445</v>
      </c>
      <c r="V156" s="8" t="s">
        <v>445</v>
      </c>
      <c r="W156" s="15"/>
      <c r="X156" s="8" t="s">
        <v>997</v>
      </c>
      <c r="Y156" s="8" t="s">
        <v>997</v>
      </c>
      <c r="Z156" s="8" t="s">
        <v>445</v>
      </c>
      <c r="AA156" s="8" t="s">
        <v>445</v>
      </c>
      <c r="AB156" s="8" t="s">
        <v>445</v>
      </c>
      <c r="AC156" s="8" t="s">
        <v>445</v>
      </c>
      <c r="AD156" s="15"/>
      <c r="AE156" s="8" t="s">
        <v>997</v>
      </c>
      <c r="AF156" s="8" t="s">
        <v>997</v>
      </c>
      <c r="AG156" s="8" t="s">
        <v>445</v>
      </c>
      <c r="AH156" s="8" t="s">
        <v>445</v>
      </c>
      <c r="AI156" s="8" t="s">
        <v>445</v>
      </c>
      <c r="AJ156" s="8" t="s">
        <v>445</v>
      </c>
      <c r="AL156" s="169" t="s">
        <v>997</v>
      </c>
      <c r="AM156" s="169" t="s">
        <v>997</v>
      </c>
      <c r="AN156" s="169" t="s">
        <v>997</v>
      </c>
      <c r="AO156" s="169" t="s">
        <v>445</v>
      </c>
      <c r="AP156" s="169" t="s">
        <v>445</v>
      </c>
      <c r="AQ156" s="169" t="s">
        <v>445</v>
      </c>
      <c r="AS156" s="171" t="s">
        <v>75</v>
      </c>
      <c r="AT156" s="169" t="s">
        <v>158</v>
      </c>
      <c r="AU156" s="169" t="s">
        <v>158</v>
      </c>
      <c r="AV156" s="169" t="s">
        <v>158</v>
      </c>
      <c r="AW156" s="169" t="s">
        <v>158</v>
      </c>
      <c r="AX156" s="169" t="s">
        <v>158</v>
      </c>
    </row>
    <row r="157" spans="1:50" ht="12" x14ac:dyDescent="0.3">
      <c r="A157" s="20" t="s">
        <v>1373</v>
      </c>
      <c r="B157" s="20"/>
      <c r="C157" s="8" t="s">
        <v>997</v>
      </c>
      <c r="D157" s="8" t="s">
        <v>997</v>
      </c>
      <c r="E157" s="8" t="s">
        <v>445</v>
      </c>
      <c r="F157" s="27" t="s">
        <v>158</v>
      </c>
      <c r="G157" s="27" t="s">
        <v>158</v>
      </c>
      <c r="H157" s="27" t="s">
        <v>158</v>
      </c>
      <c r="I157" s="15"/>
      <c r="J157" s="8" t="s">
        <v>997</v>
      </c>
      <c r="K157" s="8" t="s">
        <v>997</v>
      </c>
      <c r="L157" s="8" t="s">
        <v>997</v>
      </c>
      <c r="M157" s="8" t="s">
        <v>445</v>
      </c>
      <c r="N157" s="8" t="s">
        <v>445</v>
      </c>
      <c r="O157" s="8" t="s">
        <v>445</v>
      </c>
      <c r="P157" s="15"/>
      <c r="Q157" s="8" t="s">
        <v>997</v>
      </c>
      <c r="R157" s="8" t="s">
        <v>997</v>
      </c>
      <c r="S157" s="8" t="s">
        <v>445</v>
      </c>
      <c r="T157" s="8" t="s">
        <v>445</v>
      </c>
      <c r="U157" s="8" t="s">
        <v>445</v>
      </c>
      <c r="V157" s="8" t="s">
        <v>445</v>
      </c>
      <c r="W157" s="15"/>
      <c r="X157" s="8" t="s">
        <v>997</v>
      </c>
      <c r="Y157" s="8" t="s">
        <v>997</v>
      </c>
      <c r="Z157" s="8" t="s">
        <v>445</v>
      </c>
      <c r="AA157" s="8" t="s">
        <v>445</v>
      </c>
      <c r="AB157" s="8" t="s">
        <v>445</v>
      </c>
      <c r="AC157" s="8" t="s">
        <v>445</v>
      </c>
      <c r="AD157" s="15"/>
      <c r="AE157" s="8" t="s">
        <v>997</v>
      </c>
      <c r="AF157" s="8" t="s">
        <v>997</v>
      </c>
      <c r="AG157" s="8" t="s">
        <v>445</v>
      </c>
      <c r="AH157" s="8" t="s">
        <v>445</v>
      </c>
      <c r="AI157" s="8" t="s">
        <v>445</v>
      </c>
      <c r="AJ157" s="8" t="s">
        <v>445</v>
      </c>
      <c r="AL157" s="169" t="s">
        <v>997</v>
      </c>
      <c r="AM157" s="169" t="s">
        <v>997</v>
      </c>
      <c r="AN157" s="169" t="s">
        <v>997</v>
      </c>
      <c r="AO157" s="169" t="s">
        <v>445</v>
      </c>
      <c r="AP157" s="169" t="s">
        <v>445</v>
      </c>
      <c r="AQ157" s="169" t="s">
        <v>445</v>
      </c>
      <c r="AS157" s="171" t="s">
        <v>75</v>
      </c>
      <c r="AT157" s="169" t="s">
        <v>158</v>
      </c>
      <c r="AU157" s="169" t="s">
        <v>158</v>
      </c>
      <c r="AV157" s="169" t="s">
        <v>158</v>
      </c>
      <c r="AW157" s="169" t="s">
        <v>158</v>
      </c>
      <c r="AX157" s="169" t="s">
        <v>158</v>
      </c>
    </row>
    <row r="158" spans="1:50" ht="12" x14ac:dyDescent="0.3">
      <c r="A158" s="20" t="s">
        <v>1375</v>
      </c>
      <c r="B158" s="20"/>
      <c r="C158" s="8" t="s">
        <v>997</v>
      </c>
      <c r="D158" s="8" t="s">
        <v>997</v>
      </c>
      <c r="E158" s="8" t="s">
        <v>445</v>
      </c>
      <c r="F158" s="8" t="s">
        <v>445</v>
      </c>
      <c r="G158" s="27" t="s">
        <v>158</v>
      </c>
      <c r="H158" s="27" t="s">
        <v>158</v>
      </c>
      <c r="I158" s="15"/>
      <c r="J158" s="8" t="s">
        <v>997</v>
      </c>
      <c r="K158" s="8" t="s">
        <v>997</v>
      </c>
      <c r="L158" s="8" t="s">
        <v>997</v>
      </c>
      <c r="M158" s="8" t="s">
        <v>445</v>
      </c>
      <c r="N158" s="8" t="s">
        <v>445</v>
      </c>
      <c r="O158" s="8" t="s">
        <v>445</v>
      </c>
      <c r="P158" s="15"/>
      <c r="Q158" s="8" t="s">
        <v>997</v>
      </c>
      <c r="R158" s="8" t="s">
        <v>997</v>
      </c>
      <c r="S158" s="8" t="s">
        <v>445</v>
      </c>
      <c r="T158" s="8" t="s">
        <v>445</v>
      </c>
      <c r="U158" s="8" t="s">
        <v>445</v>
      </c>
      <c r="V158" s="8" t="s">
        <v>445</v>
      </c>
      <c r="W158" s="15"/>
      <c r="X158" s="8" t="s">
        <v>997</v>
      </c>
      <c r="Y158" s="8" t="s">
        <v>997</v>
      </c>
      <c r="Z158" s="8" t="s">
        <v>445</v>
      </c>
      <c r="AA158" s="8" t="s">
        <v>445</v>
      </c>
      <c r="AB158" s="8" t="s">
        <v>445</v>
      </c>
      <c r="AC158" s="8" t="s">
        <v>445</v>
      </c>
      <c r="AD158" s="15"/>
      <c r="AE158" s="8" t="s">
        <v>997</v>
      </c>
      <c r="AF158" s="8" t="s">
        <v>997</v>
      </c>
      <c r="AG158" s="8" t="s">
        <v>445</v>
      </c>
      <c r="AH158" s="8" t="s">
        <v>445</v>
      </c>
      <c r="AI158" s="8" t="s">
        <v>445</v>
      </c>
      <c r="AJ158" s="8" t="s">
        <v>445</v>
      </c>
      <c r="AL158" s="171" t="s">
        <v>997</v>
      </c>
      <c r="AM158" s="171" t="s">
        <v>997</v>
      </c>
      <c r="AN158" s="171" t="s">
        <v>997</v>
      </c>
      <c r="AO158" s="171" t="s">
        <v>445</v>
      </c>
      <c r="AP158" s="171" t="s">
        <v>445</v>
      </c>
      <c r="AQ158" s="171" t="s">
        <v>445</v>
      </c>
      <c r="AS158" s="171" t="s">
        <v>75</v>
      </c>
      <c r="AT158" s="171" t="s">
        <v>158</v>
      </c>
      <c r="AU158" s="171" t="s">
        <v>158</v>
      </c>
      <c r="AV158" s="171" t="s">
        <v>158</v>
      </c>
      <c r="AW158" s="171" t="s">
        <v>158</v>
      </c>
      <c r="AX158" s="171" t="s">
        <v>158</v>
      </c>
    </row>
    <row r="159" spans="1:50" ht="12" x14ac:dyDescent="0.3">
      <c r="A159" s="20" t="s">
        <v>1378</v>
      </c>
      <c r="B159" s="20"/>
      <c r="C159" s="8" t="s">
        <v>445</v>
      </c>
      <c r="D159" s="8" t="s">
        <v>445</v>
      </c>
      <c r="E159" s="8" t="s">
        <v>445</v>
      </c>
      <c r="F159" s="8" t="s">
        <v>997</v>
      </c>
      <c r="G159" s="27" t="s">
        <v>158</v>
      </c>
      <c r="H159" s="27" t="s">
        <v>158</v>
      </c>
      <c r="I159" s="15"/>
      <c r="J159" s="8" t="s">
        <v>997</v>
      </c>
      <c r="K159" s="8" t="s">
        <v>997</v>
      </c>
      <c r="L159" s="8" t="s">
        <v>997</v>
      </c>
      <c r="M159" s="8" t="s">
        <v>445</v>
      </c>
      <c r="N159" s="8" t="s">
        <v>445</v>
      </c>
      <c r="O159" s="8" t="s">
        <v>445</v>
      </c>
      <c r="P159" s="15"/>
      <c r="Q159" s="8" t="s">
        <v>1383</v>
      </c>
      <c r="R159" s="8" t="s">
        <v>1383</v>
      </c>
      <c r="S159" s="8" t="s">
        <v>1383</v>
      </c>
      <c r="T159" s="8" t="s">
        <v>1383</v>
      </c>
      <c r="U159" s="8" t="s">
        <v>1383</v>
      </c>
      <c r="V159" s="8" t="s">
        <v>1383</v>
      </c>
      <c r="W159" s="15"/>
      <c r="X159" s="8" t="s">
        <v>1383</v>
      </c>
      <c r="Y159" s="8" t="s">
        <v>1383</v>
      </c>
      <c r="Z159" s="8" t="s">
        <v>1383</v>
      </c>
      <c r="AA159" s="8" t="s">
        <v>1383</v>
      </c>
      <c r="AB159" s="8" t="s">
        <v>1383</v>
      </c>
      <c r="AC159" s="8" t="s">
        <v>1383</v>
      </c>
      <c r="AD159" s="15"/>
      <c r="AE159" s="8" t="s">
        <v>1383</v>
      </c>
      <c r="AF159" s="8" t="s">
        <v>1383</v>
      </c>
      <c r="AG159" s="8" t="s">
        <v>1383</v>
      </c>
      <c r="AH159" s="8" t="s">
        <v>1383</v>
      </c>
      <c r="AI159" s="8" t="s">
        <v>1383</v>
      </c>
      <c r="AJ159" s="8" t="s">
        <v>1383</v>
      </c>
      <c r="AL159" s="171" t="s">
        <v>997</v>
      </c>
      <c r="AM159" s="171" t="s">
        <v>997</v>
      </c>
      <c r="AN159" s="171" t="s">
        <v>997</v>
      </c>
      <c r="AO159" s="171" t="s">
        <v>445</v>
      </c>
      <c r="AP159" s="171" t="s">
        <v>445</v>
      </c>
      <c r="AQ159" s="171" t="s">
        <v>445</v>
      </c>
      <c r="AS159" s="171" t="s">
        <v>75</v>
      </c>
      <c r="AT159" s="171" t="s">
        <v>158</v>
      </c>
      <c r="AU159" s="171" t="s">
        <v>158</v>
      </c>
      <c r="AV159" s="171" t="s">
        <v>158</v>
      </c>
      <c r="AW159" s="171" t="s">
        <v>158</v>
      </c>
      <c r="AX159" s="171" t="s">
        <v>158</v>
      </c>
    </row>
  </sheetData>
  <protectedRanges>
    <protectedRange algorithmName="SHA-512" hashValue="TSxOzMpOVxFMS6xWZYL0AGDSPbfCgoYdKMKR9+8iIbSwo+jjXQk9IiqDgSAlCZMmgsmvOll3e5AHwICd4/z0Xw==" saltValue="B02j2lzV8CCWjDUslandDA==" spinCount="100000" sqref="AL95:AQ107 AS95:AX107 AS114 AS122:AS126 AS144:AS159" name="Range1_7"/>
    <protectedRange algorithmName="SHA-512" hashValue="TSxOzMpOVxFMS6xWZYL0AGDSPbfCgoYdKMKR9+8iIbSwo+jjXQk9IiqDgSAlCZMmgsmvOll3e5AHwICd4/z0Xw==" saltValue="B02j2lzV8CCWjDUslandDA==" spinCount="100000" sqref="AL111:AQ126 AS111:AX113 AS115:AX121 AT114:AX114 AT122:AX126" name="Range1_9"/>
    <protectedRange algorithmName="SHA-512" hashValue="TSxOzMpOVxFMS6xWZYL0AGDSPbfCgoYdKMKR9+8iIbSwo+jjXQk9IiqDgSAlCZMmgsmvOll3e5AHwICd4/z0Xw==" saltValue="B02j2lzV8CCWjDUslandDA==" spinCount="100000" sqref="AL130:AQ137 AS130:AX139" name="Range1_1"/>
    <protectedRange algorithmName="SHA-512" hashValue="TSxOzMpOVxFMS6xWZYL0AGDSPbfCgoYdKMKR9+8iIbSwo+jjXQk9IiqDgSAlCZMmgsmvOll3e5AHwICd4/z0Xw==" saltValue="B02j2lzV8CCWjDUslandDA==" spinCount="100000" sqref="AL143:AQ159 AS143:AX143 AT144:AX159" name="Range1_4"/>
  </protectedRanges>
  <phoneticPr fontId="11" type="noConversion"/>
  <conditionalFormatting sqref="AL3:AQ27">
    <cfRule type="expression" dxfId="46" priority="31">
      <formula>$P$8="NOT APPLICABLE"</formula>
    </cfRule>
    <cfRule type="cellIs" dxfId="45" priority="32" operator="equal">
      <formula>0</formula>
    </cfRule>
  </conditionalFormatting>
  <conditionalFormatting sqref="AL53:AQ80">
    <cfRule type="expression" dxfId="44" priority="29">
      <formula>$P$56="NOT APPLICABLE"</formula>
    </cfRule>
    <cfRule type="cellIs" dxfId="43" priority="30" operator="equal">
      <formula>0</formula>
    </cfRule>
  </conditionalFormatting>
  <conditionalFormatting sqref="AL95:AQ107">
    <cfRule type="expression" dxfId="42" priority="27">
      <formula>$P$97="NOT APPLICABLE"</formula>
    </cfRule>
    <cfRule type="cellIs" dxfId="41" priority="28" operator="equal">
      <formula>0</formula>
    </cfRule>
  </conditionalFormatting>
  <conditionalFormatting sqref="AL111:AQ126">
    <cfRule type="expression" dxfId="40" priority="25">
      <formula>$P$113="NOT APPLICABLE"</formula>
    </cfRule>
    <cfRule type="cellIs" dxfId="39" priority="26" operator="equal">
      <formula>0</formula>
    </cfRule>
  </conditionalFormatting>
  <conditionalFormatting sqref="AL130:AQ137">
    <cfRule type="expression" dxfId="38" priority="23">
      <formula>$P$160="NOT APPLICABLE"</formula>
    </cfRule>
    <cfRule type="cellIs" dxfId="37" priority="24" operator="equal">
      <formula>0</formula>
    </cfRule>
  </conditionalFormatting>
  <conditionalFormatting sqref="AL143:AQ159">
    <cfRule type="expression" dxfId="36" priority="21">
      <formula>$P$171="NOT APPLICABLE"</formula>
    </cfRule>
    <cfRule type="cellIs" dxfId="35" priority="22" operator="equal">
      <formula>0</formula>
    </cfRule>
  </conditionalFormatting>
  <conditionalFormatting sqref="AS114">
    <cfRule type="expression" dxfId="34" priority="7">
      <formula>$P$97="NOT APPLICABLE"</formula>
    </cfRule>
  </conditionalFormatting>
  <conditionalFormatting sqref="AS122:AS126">
    <cfRule type="expression" dxfId="33" priority="5">
      <formula>$P$97="NOT APPLICABLE"</formula>
    </cfRule>
  </conditionalFormatting>
  <conditionalFormatting sqref="AS144:AS159">
    <cfRule type="expression" dxfId="32" priority="1">
      <formula>$P$97="NOT APPLICABLE"</formula>
    </cfRule>
  </conditionalFormatting>
  <conditionalFormatting sqref="AS3:AX28">
    <cfRule type="expression" dxfId="31" priority="19">
      <formula>$P$8="NOT APPLICABLE"</formula>
    </cfRule>
    <cfRule type="cellIs" dxfId="30" priority="20" operator="equal">
      <formula>0</formula>
    </cfRule>
  </conditionalFormatting>
  <conditionalFormatting sqref="AS53:AX90">
    <cfRule type="expression" dxfId="29" priority="17">
      <formula>$P$56="NOT APPLICABLE"</formula>
    </cfRule>
    <cfRule type="cellIs" dxfId="28" priority="18" operator="equal">
      <formula>0</formula>
    </cfRule>
  </conditionalFormatting>
  <conditionalFormatting sqref="AS95:AX107">
    <cfRule type="expression" dxfId="27" priority="15">
      <formula>$P$97="NOT APPLICABLE"</formula>
    </cfRule>
    <cfRule type="cellIs" dxfId="26" priority="16" operator="equal">
      <formula>0</formula>
    </cfRule>
  </conditionalFormatting>
  <conditionalFormatting sqref="AS111:AX113 AT114:AX114 AS115:AX121 AT122:AX126">
    <cfRule type="expression" dxfId="25" priority="13">
      <formula>$P$113="NOT APPLICABLE"</formula>
    </cfRule>
  </conditionalFormatting>
  <conditionalFormatting sqref="AS111:AX126">
    <cfRule type="cellIs" dxfId="24" priority="6" operator="equal">
      <formula>0</formula>
    </cfRule>
  </conditionalFormatting>
  <conditionalFormatting sqref="AS130:AX139">
    <cfRule type="expression" dxfId="23" priority="11">
      <formula>$P$160="NOT APPLICABLE"</formula>
    </cfRule>
    <cfRule type="cellIs" dxfId="22" priority="12" operator="equal">
      <formula>0</formula>
    </cfRule>
  </conditionalFormatting>
  <conditionalFormatting sqref="AS143:AX143 AT144:AX159">
    <cfRule type="expression" dxfId="21" priority="9">
      <formula>$P$171="NOT APPLICABLE"</formula>
    </cfRule>
  </conditionalFormatting>
  <conditionalFormatting sqref="AS143:AX159">
    <cfRule type="cellIs" dxfId="20" priority="2" operator="equal">
      <formula>0</formula>
    </cfRule>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24766-3086-4848-8381-7DA713270AB7}">
  <sheetPr codeName="Sheet18">
    <tabColor rgb="FFFF0000"/>
  </sheetPr>
  <dimension ref="A1:K150"/>
  <sheetViews>
    <sheetView view="pageLayout" zoomScaleNormal="100" zoomScaleSheetLayoutView="100" workbookViewId="0">
      <selection activeCell="A14" sqref="A14:B14"/>
    </sheetView>
  </sheetViews>
  <sheetFormatPr defaultColWidth="8.88671875" defaultRowHeight="14.4" outlineLevelRow="1" x14ac:dyDescent="0.3"/>
  <cols>
    <col min="1" max="1" width="8.88671875" customWidth="1"/>
  </cols>
  <sheetData>
    <row r="1" spans="1:11" ht="27.6" customHeight="1" x14ac:dyDescent="0.3">
      <c r="A1" s="407" t="s">
        <v>1395</v>
      </c>
      <c r="B1" s="407"/>
      <c r="C1" s="407"/>
      <c r="D1" s="407"/>
      <c r="E1" s="407"/>
      <c r="F1" s="407"/>
      <c r="G1" s="407"/>
      <c r="H1" s="407"/>
      <c r="I1" s="407"/>
      <c r="J1" s="407"/>
      <c r="K1" s="407"/>
    </row>
    <row r="2" spans="1:11" ht="58.95" customHeight="1" x14ac:dyDescent="0.3">
      <c r="A2" s="257" t="s">
        <v>1396</v>
      </c>
      <c r="B2" s="351"/>
      <c r="C2" s="351"/>
      <c r="D2" s="351"/>
      <c r="E2" s="351"/>
      <c r="F2" s="351"/>
      <c r="G2" s="351"/>
      <c r="H2" s="351"/>
      <c r="I2" s="351"/>
      <c r="J2" s="351"/>
      <c r="K2" s="351"/>
    </row>
    <row r="3" spans="1:11" ht="15.6" x14ac:dyDescent="0.3">
      <c r="A3" s="306" t="s">
        <v>1397</v>
      </c>
      <c r="B3" s="306"/>
      <c r="C3" s="306"/>
      <c r="D3" s="306"/>
      <c r="E3" s="306"/>
      <c r="F3" s="306"/>
      <c r="G3" s="306"/>
      <c r="H3" s="306"/>
      <c r="I3" s="306"/>
      <c r="J3" s="306"/>
      <c r="K3" s="306"/>
    </row>
    <row r="4" spans="1:11" ht="85.95" customHeight="1" x14ac:dyDescent="0.3">
      <c r="A4" s="345" t="s">
        <v>1398</v>
      </c>
      <c r="B4" s="345"/>
      <c r="C4" s="345"/>
      <c r="D4" s="345"/>
      <c r="E4" s="345"/>
      <c r="F4" s="345"/>
      <c r="G4" s="345"/>
      <c r="H4" s="345"/>
      <c r="I4" s="345"/>
      <c r="J4" s="345"/>
      <c r="K4" s="345"/>
    </row>
    <row r="5" spans="1:11" ht="22.95" customHeight="1" x14ac:dyDescent="0.3">
      <c r="A5" s="345" t="s">
        <v>1399</v>
      </c>
      <c r="B5" s="345"/>
      <c r="C5" s="345"/>
      <c r="D5" s="345"/>
      <c r="E5" s="345"/>
      <c r="F5" s="345"/>
      <c r="G5" s="345"/>
      <c r="H5" s="345"/>
      <c r="I5" s="345"/>
      <c r="J5" s="345"/>
      <c r="K5" s="345"/>
    </row>
    <row r="6" spans="1:11" x14ac:dyDescent="0.3">
      <c r="A6" s="458" t="s">
        <v>1400</v>
      </c>
      <c r="B6" s="456"/>
      <c r="C6" s="458" t="s">
        <v>1401</v>
      </c>
      <c r="D6" s="456"/>
      <c r="E6" s="456"/>
      <c r="F6" s="456"/>
      <c r="G6" s="456"/>
      <c r="H6" s="456"/>
      <c r="I6" s="142" t="s">
        <v>1402</v>
      </c>
      <c r="J6" s="414" t="s">
        <v>276</v>
      </c>
      <c r="K6" s="457"/>
    </row>
    <row r="7" spans="1:11" ht="22.95" customHeight="1" x14ac:dyDescent="0.3">
      <c r="A7" s="246" t="s">
        <v>1403</v>
      </c>
      <c r="B7" s="246"/>
      <c r="C7" s="246" t="s">
        <v>1404</v>
      </c>
      <c r="D7" s="246"/>
      <c r="E7" s="246"/>
      <c r="F7" s="579"/>
      <c r="G7" s="579"/>
      <c r="H7" s="579"/>
      <c r="I7" s="33">
        <v>8.3000000000000007</v>
      </c>
      <c r="J7" s="577" t="s">
        <v>408</v>
      </c>
      <c r="K7" s="579"/>
    </row>
    <row r="8" spans="1:11" ht="22.95" customHeight="1" x14ac:dyDescent="0.3">
      <c r="A8" s="246" t="s">
        <v>1405</v>
      </c>
      <c r="B8" s="246"/>
      <c r="C8" s="246" t="s">
        <v>1406</v>
      </c>
      <c r="D8" s="246"/>
      <c r="E8" s="246"/>
      <c r="F8" s="579"/>
      <c r="G8" s="579"/>
      <c r="H8" s="579"/>
      <c r="I8" s="33">
        <v>2</v>
      </c>
      <c r="J8" s="577" t="s">
        <v>408</v>
      </c>
      <c r="K8" s="579"/>
    </row>
    <row r="9" spans="1:11" ht="22.95" customHeight="1" x14ac:dyDescent="0.3">
      <c r="A9" s="246" t="s">
        <v>1407</v>
      </c>
      <c r="B9" s="246"/>
      <c r="C9" s="246" t="s">
        <v>1408</v>
      </c>
      <c r="D9" s="246"/>
      <c r="E9" s="246"/>
      <c r="F9" s="579"/>
      <c r="G9" s="579"/>
      <c r="H9" s="579"/>
      <c r="I9" s="33">
        <v>1</v>
      </c>
      <c r="J9" s="577" t="s">
        <v>408</v>
      </c>
      <c r="K9" s="579"/>
    </row>
    <row r="11" spans="1:11" ht="15.6" x14ac:dyDescent="0.3">
      <c r="A11" s="306" t="s">
        <v>1409</v>
      </c>
      <c r="B11" s="306"/>
      <c r="C11" s="306"/>
      <c r="D11" s="306"/>
      <c r="E11" s="306"/>
      <c r="F11" s="306"/>
      <c r="G11" s="306"/>
      <c r="H11" s="306"/>
      <c r="I11" s="306"/>
      <c r="J11" s="306"/>
      <c r="K11" s="306"/>
    </row>
    <row r="12" spans="1:11" ht="60.75" customHeight="1" x14ac:dyDescent="0.3">
      <c r="A12" s="257" t="s">
        <v>1410</v>
      </c>
      <c r="B12" s="618"/>
      <c r="C12" s="618"/>
      <c r="D12" s="618"/>
      <c r="E12" s="618"/>
      <c r="F12" s="618"/>
      <c r="G12" s="618"/>
      <c r="H12" s="618"/>
      <c r="I12" s="618"/>
      <c r="J12" s="618"/>
      <c r="K12" s="618"/>
    </row>
    <row r="13" spans="1:11" x14ac:dyDescent="0.3">
      <c r="A13" s="458" t="s">
        <v>1411</v>
      </c>
      <c r="B13" s="456"/>
      <c r="C13" s="458" t="s">
        <v>1401</v>
      </c>
      <c r="D13" s="456"/>
      <c r="E13" s="456"/>
      <c r="F13" s="456"/>
      <c r="G13" s="456"/>
      <c r="H13" s="456"/>
      <c r="I13" s="142" t="s">
        <v>1402</v>
      </c>
      <c r="J13" s="414" t="s">
        <v>276</v>
      </c>
      <c r="K13" s="457"/>
    </row>
    <row r="14" spans="1:11" ht="15" customHeight="1" x14ac:dyDescent="0.3">
      <c r="A14" s="616" t="s">
        <v>1711</v>
      </c>
      <c r="B14" s="617"/>
      <c r="C14" s="613" t="s">
        <v>1712</v>
      </c>
      <c r="D14" s="614"/>
      <c r="E14" s="614"/>
      <c r="F14" s="614"/>
      <c r="G14" s="614"/>
      <c r="H14" s="615"/>
      <c r="I14" s="40">
        <v>1</v>
      </c>
      <c r="J14" s="613" t="s">
        <v>378</v>
      </c>
      <c r="K14" s="615"/>
    </row>
    <row r="15" spans="1:11" ht="15" customHeight="1" x14ac:dyDescent="0.3">
      <c r="A15" s="616" t="s">
        <v>1710</v>
      </c>
      <c r="B15" s="617"/>
      <c r="C15" s="613" t="s">
        <v>1709</v>
      </c>
      <c r="D15" s="614"/>
      <c r="E15" s="614"/>
      <c r="F15" s="614"/>
      <c r="G15" s="614"/>
      <c r="H15" s="615"/>
      <c r="I15" s="40">
        <v>1</v>
      </c>
      <c r="J15" s="613" t="s">
        <v>378</v>
      </c>
      <c r="K15" s="615"/>
    </row>
    <row r="16" spans="1:11" ht="21" customHeight="1" x14ac:dyDescent="0.3">
      <c r="A16" s="616" t="s">
        <v>1412</v>
      </c>
      <c r="B16" s="617"/>
      <c r="C16" s="613" t="s">
        <v>1413</v>
      </c>
      <c r="D16" s="614"/>
      <c r="E16" s="614"/>
      <c r="F16" s="614"/>
      <c r="G16" s="614"/>
      <c r="H16" s="615"/>
      <c r="I16" s="40">
        <v>6</v>
      </c>
      <c r="J16" s="613" t="s">
        <v>378</v>
      </c>
      <c r="K16" s="615"/>
    </row>
    <row r="17" spans="1:11" ht="21" customHeight="1" x14ac:dyDescent="0.3">
      <c r="A17" s="616" t="s">
        <v>1414</v>
      </c>
      <c r="B17" s="617"/>
      <c r="C17" s="613" t="s">
        <v>1415</v>
      </c>
      <c r="D17" s="614"/>
      <c r="E17" s="614"/>
      <c r="F17" s="614"/>
      <c r="G17" s="614"/>
      <c r="H17" s="615"/>
      <c r="I17" s="40">
        <v>3</v>
      </c>
      <c r="J17" s="613" t="s">
        <v>378</v>
      </c>
      <c r="K17" s="615"/>
    </row>
    <row r="18" spans="1:11" ht="21" customHeight="1" x14ac:dyDescent="0.3">
      <c r="A18" s="616" t="s">
        <v>1416</v>
      </c>
      <c r="B18" s="617"/>
      <c r="C18" s="613" t="s">
        <v>1417</v>
      </c>
      <c r="D18" s="614"/>
      <c r="E18" s="614"/>
      <c r="F18" s="614"/>
      <c r="G18" s="614"/>
      <c r="H18" s="615"/>
      <c r="I18" s="40">
        <v>4</v>
      </c>
      <c r="J18" s="613" t="s">
        <v>378</v>
      </c>
      <c r="K18" s="615"/>
    </row>
    <row r="19" spans="1:11" ht="21" customHeight="1" x14ac:dyDescent="0.3">
      <c r="A19" s="616" t="s">
        <v>1716</v>
      </c>
      <c r="B19" s="617"/>
      <c r="C19" s="613" t="s">
        <v>1418</v>
      </c>
      <c r="D19" s="614"/>
      <c r="E19" s="614"/>
      <c r="F19" s="614"/>
      <c r="G19" s="614"/>
      <c r="H19" s="615"/>
      <c r="I19" s="40">
        <v>7</v>
      </c>
      <c r="J19" s="613" t="s">
        <v>378</v>
      </c>
      <c r="K19" s="615"/>
    </row>
    <row r="20" spans="1:11" ht="21" customHeight="1" x14ac:dyDescent="0.3">
      <c r="A20" s="616" t="s">
        <v>1419</v>
      </c>
      <c r="B20" s="617"/>
      <c r="C20" s="613" t="s">
        <v>1420</v>
      </c>
      <c r="D20" s="614"/>
      <c r="E20" s="614"/>
      <c r="F20" s="614"/>
      <c r="G20" s="614"/>
      <c r="H20" s="615"/>
      <c r="I20" s="40">
        <v>2</v>
      </c>
      <c r="J20" s="613" t="s">
        <v>378</v>
      </c>
      <c r="K20" s="615"/>
    </row>
    <row r="21" spans="1:11" ht="21" customHeight="1" x14ac:dyDescent="0.3">
      <c r="A21" s="616" t="s">
        <v>1421</v>
      </c>
      <c r="B21" s="617"/>
      <c r="C21" s="613" t="s">
        <v>1422</v>
      </c>
      <c r="D21" s="614"/>
      <c r="E21" s="614"/>
      <c r="F21" s="614"/>
      <c r="G21" s="614"/>
      <c r="H21" s="615"/>
      <c r="I21" s="40">
        <v>1</v>
      </c>
      <c r="J21" s="613" t="s">
        <v>378</v>
      </c>
      <c r="K21" s="615"/>
    </row>
    <row r="22" spans="1:11" ht="21" customHeight="1" x14ac:dyDescent="0.3">
      <c r="A22" s="616" t="s">
        <v>1423</v>
      </c>
      <c r="B22" s="617"/>
      <c r="C22" s="613" t="s">
        <v>1424</v>
      </c>
      <c r="D22" s="614"/>
      <c r="E22" s="614"/>
      <c r="F22" s="614"/>
      <c r="G22" s="614"/>
      <c r="H22" s="615"/>
      <c r="I22" s="40">
        <v>1</v>
      </c>
      <c r="J22" s="613" t="s">
        <v>378</v>
      </c>
      <c r="K22" s="615"/>
    </row>
    <row r="23" spans="1:11" ht="21" customHeight="1" x14ac:dyDescent="0.3">
      <c r="A23" s="616" t="s">
        <v>1425</v>
      </c>
      <c r="B23" s="617"/>
      <c r="C23" s="613" t="s">
        <v>1426</v>
      </c>
      <c r="D23" s="614"/>
      <c r="E23" s="614"/>
      <c r="F23" s="614"/>
      <c r="G23" s="614"/>
      <c r="H23" s="615"/>
      <c r="I23" s="40">
        <v>2</v>
      </c>
      <c r="J23" s="613" t="s">
        <v>378</v>
      </c>
      <c r="K23" s="615"/>
    </row>
    <row r="24" spans="1:11" ht="21" customHeight="1" x14ac:dyDescent="0.3">
      <c r="A24" s="616" t="s">
        <v>1427</v>
      </c>
      <c r="B24" s="617"/>
      <c r="C24" s="613" t="s">
        <v>1428</v>
      </c>
      <c r="D24" s="614"/>
      <c r="E24" s="614"/>
      <c r="F24" s="614"/>
      <c r="G24" s="614"/>
      <c r="H24" s="615"/>
      <c r="I24" s="40">
        <v>2</v>
      </c>
      <c r="J24" s="613" t="s">
        <v>378</v>
      </c>
      <c r="K24" s="615"/>
    </row>
    <row r="25" spans="1:11" ht="21" customHeight="1" x14ac:dyDescent="0.3">
      <c r="A25" s="616" t="s">
        <v>1429</v>
      </c>
      <c r="B25" s="617"/>
      <c r="C25" s="613" t="s">
        <v>1430</v>
      </c>
      <c r="D25" s="614"/>
      <c r="E25" s="614"/>
      <c r="F25" s="614"/>
      <c r="G25" s="614"/>
      <c r="H25" s="615"/>
      <c r="I25" s="40">
        <v>7</v>
      </c>
      <c r="J25" s="613" t="s">
        <v>378</v>
      </c>
      <c r="K25" s="615"/>
    </row>
    <row r="26" spans="1:11" ht="21" customHeight="1" x14ac:dyDescent="0.3">
      <c r="A26" s="616" t="s">
        <v>1431</v>
      </c>
      <c r="B26" s="617"/>
      <c r="C26" s="613" t="s">
        <v>1432</v>
      </c>
      <c r="D26" s="614"/>
      <c r="E26" s="614"/>
      <c r="F26" s="614"/>
      <c r="G26" s="614"/>
      <c r="H26" s="615"/>
      <c r="I26" s="40">
        <v>6</v>
      </c>
      <c r="J26" s="613" t="s">
        <v>378</v>
      </c>
      <c r="K26" s="615"/>
    </row>
    <row r="27" spans="1:11" ht="21" customHeight="1" x14ac:dyDescent="0.3">
      <c r="A27" s="616" t="s">
        <v>1433</v>
      </c>
      <c r="B27" s="617"/>
      <c r="C27" s="613" t="s">
        <v>1434</v>
      </c>
      <c r="D27" s="614"/>
      <c r="E27" s="614"/>
      <c r="F27" s="614"/>
      <c r="G27" s="614"/>
      <c r="H27" s="615"/>
      <c r="I27" s="40">
        <v>3</v>
      </c>
      <c r="J27" s="613" t="s">
        <v>378</v>
      </c>
      <c r="K27" s="615"/>
    </row>
    <row r="28" spans="1:11" ht="21" customHeight="1" x14ac:dyDescent="0.3">
      <c r="A28" s="616" t="s">
        <v>1439</v>
      </c>
      <c r="B28" s="617"/>
      <c r="C28" s="613" t="s">
        <v>1440</v>
      </c>
      <c r="D28" s="614"/>
      <c r="E28" s="614"/>
      <c r="F28" s="614"/>
      <c r="G28" s="614"/>
      <c r="H28" s="615"/>
      <c r="I28" s="40">
        <v>3</v>
      </c>
      <c r="J28" s="619" t="s">
        <v>378</v>
      </c>
      <c r="K28" s="619"/>
    </row>
    <row r="29" spans="1:11" ht="21" customHeight="1" x14ac:dyDescent="0.3">
      <c r="A29" s="620" t="s">
        <v>1435</v>
      </c>
      <c r="B29" s="621"/>
      <c r="C29" s="622" t="s">
        <v>1436</v>
      </c>
      <c r="D29" s="623"/>
      <c r="E29" s="623"/>
      <c r="F29" s="623"/>
      <c r="G29" s="623"/>
      <c r="H29" s="624"/>
      <c r="I29" s="40">
        <v>1</v>
      </c>
      <c r="J29" s="613" t="s">
        <v>378</v>
      </c>
      <c r="K29" s="615"/>
    </row>
    <row r="30" spans="1:11" ht="21" customHeight="1" x14ac:dyDescent="0.3">
      <c r="A30" s="620" t="s">
        <v>1437</v>
      </c>
      <c r="B30" s="621"/>
      <c r="C30" s="622" t="s">
        <v>1438</v>
      </c>
      <c r="D30" s="623"/>
      <c r="E30" s="623"/>
      <c r="F30" s="623"/>
      <c r="G30" s="623"/>
      <c r="H30" s="624"/>
      <c r="I30" s="40">
        <v>5</v>
      </c>
      <c r="J30" s="613" t="s">
        <v>378</v>
      </c>
      <c r="K30" s="615"/>
    </row>
    <row r="31" spans="1:11" ht="21" customHeight="1" x14ac:dyDescent="0.3">
      <c r="A31" s="620" t="s">
        <v>1715</v>
      </c>
      <c r="B31" s="621"/>
      <c r="C31" s="622" t="s">
        <v>1714</v>
      </c>
      <c r="D31" s="623"/>
      <c r="E31" s="623"/>
      <c r="F31" s="623"/>
      <c r="G31" s="623"/>
      <c r="H31" s="624"/>
      <c r="I31" s="40">
        <v>5</v>
      </c>
      <c r="J31" s="613" t="s">
        <v>378</v>
      </c>
      <c r="K31" s="615"/>
    </row>
    <row r="32" spans="1:11" ht="21" customHeight="1" x14ac:dyDescent="0.3"/>
    <row r="34" spans="1:11" ht="15.6" x14ac:dyDescent="0.3">
      <c r="A34" s="306" t="s">
        <v>1441</v>
      </c>
      <c r="B34" s="306"/>
      <c r="C34" s="306"/>
      <c r="D34" s="306"/>
      <c r="E34" s="306"/>
      <c r="F34" s="306"/>
      <c r="G34" s="306"/>
      <c r="H34" s="306"/>
      <c r="I34" s="306"/>
      <c r="J34" s="306"/>
      <c r="K34" s="306"/>
    </row>
    <row r="35" spans="1:11" ht="64.95" customHeight="1" x14ac:dyDescent="0.3">
      <c r="A35" s="257" t="s">
        <v>1442</v>
      </c>
      <c r="B35" s="257"/>
      <c r="C35" s="257"/>
      <c r="D35" s="257"/>
      <c r="E35" s="257"/>
      <c r="F35" s="257"/>
      <c r="G35" s="257"/>
      <c r="H35" s="257"/>
      <c r="I35" s="257"/>
      <c r="J35" s="257"/>
      <c r="K35" s="257"/>
    </row>
    <row r="36" spans="1:11" ht="73.2" customHeight="1" x14ac:dyDescent="0.3">
      <c r="A36" s="257" t="s">
        <v>1443</v>
      </c>
      <c r="B36" s="257"/>
      <c r="C36" s="257"/>
      <c r="D36" s="257"/>
      <c r="E36" s="257"/>
      <c r="F36" s="257"/>
      <c r="G36" s="257"/>
      <c r="H36" s="257"/>
      <c r="I36" s="257"/>
      <c r="J36" s="257"/>
      <c r="K36" s="257"/>
    </row>
    <row r="37" spans="1:11" x14ac:dyDescent="0.3">
      <c r="A37" s="454" t="s">
        <v>1444</v>
      </c>
      <c r="B37" s="454"/>
      <c r="C37" s="454"/>
      <c r="D37" s="454"/>
      <c r="E37" s="454"/>
      <c r="F37" s="454"/>
      <c r="G37" s="454"/>
      <c r="H37" s="454"/>
      <c r="I37" s="454"/>
      <c r="J37" s="454"/>
      <c r="K37" s="454"/>
    </row>
    <row r="38" spans="1:11" x14ac:dyDescent="0.3">
      <c r="A38" s="414" t="s">
        <v>1445</v>
      </c>
      <c r="B38" s="574"/>
      <c r="C38" s="36" t="s">
        <v>275</v>
      </c>
      <c r="D38" s="414" t="s">
        <v>1446</v>
      </c>
      <c r="E38" s="574"/>
      <c r="F38" s="574"/>
      <c r="G38" s="574"/>
      <c r="H38" s="574"/>
      <c r="I38" s="574"/>
      <c r="J38" s="414" t="s">
        <v>276</v>
      </c>
      <c r="K38" s="574"/>
    </row>
    <row r="39" spans="1:11" ht="25.2" customHeight="1" x14ac:dyDescent="0.3">
      <c r="A39" s="625" t="s">
        <v>1447</v>
      </c>
      <c r="B39" s="625"/>
      <c r="C39" s="147" t="s">
        <v>441</v>
      </c>
      <c r="D39" s="630" t="s">
        <v>1448</v>
      </c>
      <c r="E39" s="630"/>
      <c r="F39" s="630"/>
      <c r="G39" s="630"/>
      <c r="H39" s="630"/>
      <c r="I39" s="627"/>
      <c r="J39" s="628" t="s">
        <v>378</v>
      </c>
      <c r="K39" s="629"/>
    </row>
    <row r="40" spans="1:11" ht="25.2" customHeight="1" x14ac:dyDescent="0.3">
      <c r="A40" s="625" t="s">
        <v>1449</v>
      </c>
      <c r="B40" s="625"/>
      <c r="C40" s="147" t="s">
        <v>441</v>
      </c>
      <c r="D40" s="630" t="s">
        <v>1450</v>
      </c>
      <c r="E40" s="630"/>
      <c r="F40" s="630"/>
      <c r="G40" s="630"/>
      <c r="H40" s="630"/>
      <c r="I40" s="627"/>
      <c r="J40" s="628" t="s">
        <v>378</v>
      </c>
      <c r="K40" s="629"/>
    </row>
    <row r="41" spans="1:11" ht="25.2" customHeight="1" x14ac:dyDescent="0.3">
      <c r="A41" s="625" t="s">
        <v>1451</v>
      </c>
      <c r="B41" s="625"/>
      <c r="C41" s="147" t="s">
        <v>441</v>
      </c>
      <c r="D41" s="630" t="s">
        <v>1452</v>
      </c>
      <c r="E41" s="630"/>
      <c r="F41" s="630"/>
      <c r="G41" s="630"/>
      <c r="H41" s="630"/>
      <c r="I41" s="627"/>
      <c r="J41" s="628" t="s">
        <v>342</v>
      </c>
      <c r="K41" s="629"/>
    </row>
    <row r="42" spans="1:11" ht="25.2" customHeight="1" x14ac:dyDescent="0.3">
      <c r="A42" s="625" t="s">
        <v>1453</v>
      </c>
      <c r="B42" s="625"/>
      <c r="C42" s="147" t="s">
        <v>441</v>
      </c>
      <c r="D42" s="626" t="s">
        <v>1454</v>
      </c>
      <c r="E42" s="627"/>
      <c r="F42" s="627"/>
      <c r="G42" s="627"/>
      <c r="H42" s="627"/>
      <c r="I42" s="627"/>
      <c r="J42" s="628" t="s">
        <v>342</v>
      </c>
      <c r="K42" s="629"/>
    </row>
    <row r="43" spans="1:11" ht="25.2" customHeight="1" x14ac:dyDescent="0.3">
      <c r="A43" s="625" t="s">
        <v>1455</v>
      </c>
      <c r="B43" s="625"/>
      <c r="C43" s="147" t="s">
        <v>441</v>
      </c>
      <c r="D43" s="626" t="s">
        <v>1456</v>
      </c>
      <c r="E43" s="627"/>
      <c r="F43" s="627"/>
      <c r="G43" s="627"/>
      <c r="H43" s="627"/>
      <c r="I43" s="627"/>
      <c r="J43" s="628" t="s">
        <v>378</v>
      </c>
      <c r="K43" s="629"/>
    </row>
    <row r="44" spans="1:11" ht="25.2" customHeight="1" x14ac:dyDescent="0.3">
      <c r="A44" s="625" t="s">
        <v>1457</v>
      </c>
      <c r="B44" s="625"/>
      <c r="C44" s="147" t="s">
        <v>441</v>
      </c>
      <c r="D44" s="626" t="s">
        <v>1458</v>
      </c>
      <c r="E44" s="627"/>
      <c r="F44" s="627"/>
      <c r="G44" s="627"/>
      <c r="H44" s="627"/>
      <c r="I44" s="627"/>
      <c r="J44" s="628" t="s">
        <v>378</v>
      </c>
      <c r="K44" s="629"/>
    </row>
    <row r="45" spans="1:11" ht="25.2" customHeight="1" x14ac:dyDescent="0.3">
      <c r="A45" s="625" t="s">
        <v>1459</v>
      </c>
      <c r="B45" s="625"/>
      <c r="C45" s="147" t="s">
        <v>441</v>
      </c>
      <c r="D45" s="626" t="s">
        <v>1460</v>
      </c>
      <c r="E45" s="626"/>
      <c r="F45" s="626"/>
      <c r="G45" s="626"/>
      <c r="H45" s="626"/>
      <c r="I45" s="626"/>
      <c r="J45" s="628" t="s">
        <v>342</v>
      </c>
      <c r="K45" s="629"/>
    </row>
    <row r="46" spans="1:11" ht="25.2" customHeight="1" x14ac:dyDescent="0.3">
      <c r="A46" s="625" t="s">
        <v>1461</v>
      </c>
      <c r="B46" s="625"/>
      <c r="C46" s="147" t="s">
        <v>441</v>
      </c>
      <c r="D46" s="626" t="s">
        <v>1462</v>
      </c>
      <c r="E46" s="627"/>
      <c r="F46" s="627"/>
      <c r="G46" s="627"/>
      <c r="H46" s="627"/>
      <c r="I46" s="627"/>
      <c r="J46" s="628" t="s">
        <v>342</v>
      </c>
      <c r="K46" s="629"/>
    </row>
    <row r="47" spans="1:11" ht="25.2" customHeight="1" x14ac:dyDescent="0.3">
      <c r="A47" s="625" t="s">
        <v>1463</v>
      </c>
      <c r="B47" s="625"/>
      <c r="C47" s="147" t="s">
        <v>441</v>
      </c>
      <c r="D47" s="626" t="s">
        <v>1464</v>
      </c>
      <c r="E47" s="627"/>
      <c r="F47" s="627"/>
      <c r="G47" s="627"/>
      <c r="H47" s="627"/>
      <c r="I47" s="627"/>
      <c r="J47" s="628" t="s">
        <v>342</v>
      </c>
      <c r="K47" s="629"/>
    </row>
    <row r="48" spans="1:11" ht="25.2" customHeight="1" x14ac:dyDescent="0.3">
      <c r="A48" s="619" t="s">
        <v>1465</v>
      </c>
      <c r="B48" s="619"/>
      <c r="C48" s="33" t="s">
        <v>445</v>
      </c>
      <c r="D48" s="631" t="s">
        <v>1466</v>
      </c>
      <c r="E48" s="632"/>
      <c r="F48" s="632"/>
      <c r="G48" s="632"/>
      <c r="H48" s="632"/>
      <c r="I48" s="632"/>
      <c r="J48" s="628" t="s">
        <v>378</v>
      </c>
      <c r="K48" s="629"/>
    </row>
    <row r="49" spans="1:11" ht="25.2" customHeight="1" x14ac:dyDescent="0.3">
      <c r="A49" s="619" t="s">
        <v>1467</v>
      </c>
      <c r="B49" s="619"/>
      <c r="C49" s="33" t="s">
        <v>445</v>
      </c>
      <c r="D49" s="631" t="s">
        <v>1468</v>
      </c>
      <c r="E49" s="632"/>
      <c r="F49" s="632"/>
      <c r="G49" s="632"/>
      <c r="H49" s="632"/>
      <c r="I49" s="632"/>
      <c r="J49" s="628" t="s">
        <v>378</v>
      </c>
      <c r="K49" s="629"/>
    </row>
    <row r="50" spans="1:11" ht="25.2" customHeight="1" x14ac:dyDescent="0.3">
      <c r="A50" s="619" t="s">
        <v>1469</v>
      </c>
      <c r="B50" s="619"/>
      <c r="C50" s="33" t="s">
        <v>445</v>
      </c>
      <c r="D50" s="631" t="s">
        <v>1470</v>
      </c>
      <c r="E50" s="632"/>
      <c r="F50" s="632"/>
      <c r="G50" s="632"/>
      <c r="H50" s="632"/>
      <c r="I50" s="632"/>
      <c r="J50" s="628" t="s">
        <v>378</v>
      </c>
      <c r="K50" s="629"/>
    </row>
    <row r="51" spans="1:11" ht="25.2" customHeight="1" x14ac:dyDescent="0.3">
      <c r="A51" s="619" t="s">
        <v>1471</v>
      </c>
      <c r="B51" s="619"/>
      <c r="C51" s="33" t="s">
        <v>445</v>
      </c>
      <c r="D51" s="631" t="s">
        <v>1472</v>
      </c>
      <c r="E51" s="632"/>
      <c r="F51" s="632"/>
      <c r="G51" s="632"/>
      <c r="H51" s="632"/>
      <c r="I51" s="632"/>
      <c r="J51" s="628" t="s">
        <v>378</v>
      </c>
      <c r="K51" s="629"/>
    </row>
    <row r="52" spans="1:11" ht="25.2" customHeight="1" x14ac:dyDescent="0.3">
      <c r="A52" s="619" t="s">
        <v>1473</v>
      </c>
      <c r="B52" s="619"/>
      <c r="C52" s="33" t="s">
        <v>445</v>
      </c>
      <c r="D52" s="631" t="s">
        <v>1474</v>
      </c>
      <c r="E52" s="632"/>
      <c r="F52" s="632"/>
      <c r="G52" s="632"/>
      <c r="H52" s="632"/>
      <c r="I52" s="632"/>
      <c r="J52" s="628" t="s">
        <v>378</v>
      </c>
      <c r="K52" s="629"/>
    </row>
    <row r="53" spans="1:11" ht="25.2" customHeight="1" x14ac:dyDescent="0.3">
      <c r="A53" s="619" t="s">
        <v>1475</v>
      </c>
      <c r="B53" s="619"/>
      <c r="C53" s="33" t="s">
        <v>445</v>
      </c>
      <c r="D53" s="631" t="s">
        <v>1476</v>
      </c>
      <c r="E53" s="632"/>
      <c r="F53" s="632"/>
      <c r="G53" s="632"/>
      <c r="H53" s="632"/>
      <c r="I53" s="632"/>
      <c r="J53" s="628" t="s">
        <v>378</v>
      </c>
      <c r="K53" s="629"/>
    </row>
    <row r="54" spans="1:11" ht="25.2" customHeight="1" x14ac:dyDescent="0.3">
      <c r="A54" s="619" t="s">
        <v>1477</v>
      </c>
      <c r="B54" s="619"/>
      <c r="C54" s="33" t="s">
        <v>445</v>
      </c>
      <c r="D54" s="631" t="s">
        <v>1478</v>
      </c>
      <c r="E54" s="632"/>
      <c r="F54" s="632"/>
      <c r="G54" s="632"/>
      <c r="H54" s="632"/>
      <c r="I54" s="632"/>
      <c r="J54" s="628" t="s">
        <v>378</v>
      </c>
      <c r="K54" s="629"/>
    </row>
    <row r="55" spans="1:11" ht="25.2" customHeight="1" x14ac:dyDescent="0.3">
      <c r="A55" s="619" t="s">
        <v>1479</v>
      </c>
      <c r="B55" s="619"/>
      <c r="C55" s="33" t="s">
        <v>445</v>
      </c>
      <c r="D55" s="631" t="s">
        <v>1480</v>
      </c>
      <c r="E55" s="632"/>
      <c r="F55" s="632"/>
      <c r="G55" s="632"/>
      <c r="H55" s="632"/>
      <c r="I55" s="632"/>
      <c r="J55" s="628" t="s">
        <v>378</v>
      </c>
      <c r="K55" s="629"/>
    </row>
    <row r="56" spans="1:11" ht="25.2" customHeight="1" x14ac:dyDescent="0.3">
      <c r="A56" s="619" t="s">
        <v>1477</v>
      </c>
      <c r="B56" s="619"/>
      <c r="C56" s="33" t="s">
        <v>445</v>
      </c>
      <c r="D56" s="631" t="s">
        <v>1478</v>
      </c>
      <c r="E56" s="632"/>
      <c r="F56" s="632"/>
      <c r="G56" s="632"/>
      <c r="H56" s="632"/>
      <c r="I56" s="632"/>
      <c r="J56" s="628" t="s">
        <v>378</v>
      </c>
      <c r="K56" s="629"/>
    </row>
    <row r="57" spans="1:11" ht="25.2" customHeight="1" x14ac:dyDescent="0.3">
      <c r="A57" s="619" t="s">
        <v>1481</v>
      </c>
      <c r="B57" s="619"/>
      <c r="C57" s="33" t="s">
        <v>445</v>
      </c>
      <c r="D57" s="631" t="s">
        <v>1482</v>
      </c>
      <c r="E57" s="632"/>
      <c r="F57" s="632"/>
      <c r="G57" s="632"/>
      <c r="H57" s="632"/>
      <c r="I57" s="632"/>
      <c r="J57" s="628" t="s">
        <v>378</v>
      </c>
      <c r="K57" s="629"/>
    </row>
    <row r="58" spans="1:11" ht="15.6" x14ac:dyDescent="0.3">
      <c r="A58" s="306" t="s">
        <v>1483</v>
      </c>
      <c r="B58" s="306"/>
      <c r="C58" s="306"/>
      <c r="D58" s="306"/>
      <c r="E58" s="306"/>
      <c r="F58" s="306"/>
      <c r="G58" s="306"/>
      <c r="H58" s="306"/>
      <c r="I58" s="306"/>
      <c r="J58" s="306"/>
      <c r="K58" s="306"/>
    </row>
    <row r="59" spans="1:11" ht="189" customHeight="1" x14ac:dyDescent="0.3">
      <c r="A59" s="257" t="s">
        <v>1484</v>
      </c>
      <c r="B59" s="257"/>
      <c r="C59" s="257"/>
      <c r="D59" s="257"/>
      <c r="E59" s="257"/>
      <c r="F59" s="257"/>
      <c r="G59" s="257"/>
      <c r="H59" s="257"/>
      <c r="I59" s="257"/>
      <c r="J59" s="257"/>
      <c r="K59" s="257"/>
    </row>
    <row r="60" spans="1:11" x14ac:dyDescent="0.3">
      <c r="A60" s="454" t="s">
        <v>1485</v>
      </c>
      <c r="B60" s="454"/>
      <c r="C60" s="454"/>
      <c r="D60" s="454"/>
      <c r="E60" s="454"/>
      <c r="F60" s="454"/>
      <c r="G60" s="454"/>
      <c r="H60" s="454"/>
      <c r="I60" s="454"/>
      <c r="J60" s="454"/>
      <c r="K60" s="454"/>
    </row>
    <row r="61" spans="1:11" x14ac:dyDescent="0.3">
      <c r="A61" s="414" t="s">
        <v>1445</v>
      </c>
      <c r="B61" s="574"/>
      <c r="C61" s="36" t="s">
        <v>275</v>
      </c>
      <c r="D61" s="414" t="s">
        <v>1446</v>
      </c>
      <c r="E61" s="457"/>
      <c r="F61" s="457"/>
      <c r="G61" s="457"/>
      <c r="H61" s="457"/>
      <c r="I61" s="457"/>
      <c r="J61" s="457"/>
      <c r="K61" s="143" t="s">
        <v>1486</v>
      </c>
    </row>
    <row r="62" spans="1:11" ht="25.2" customHeight="1" x14ac:dyDescent="0.3">
      <c r="A62" s="619"/>
      <c r="B62" s="619"/>
      <c r="C62" s="144"/>
      <c r="D62" s="633"/>
      <c r="E62" s="633"/>
      <c r="F62" s="633"/>
      <c r="G62" s="633"/>
      <c r="H62" s="633"/>
      <c r="I62" s="633"/>
      <c r="J62" s="633"/>
      <c r="K62" s="145"/>
    </row>
    <row r="63" spans="1:11" ht="25.2" customHeight="1" x14ac:dyDescent="0.3">
      <c r="A63" s="619"/>
      <c r="B63" s="619"/>
      <c r="C63" s="144"/>
      <c r="D63" s="633"/>
      <c r="E63" s="633"/>
      <c r="F63" s="633"/>
      <c r="G63" s="633"/>
      <c r="H63" s="633"/>
      <c r="I63" s="633"/>
      <c r="J63" s="633"/>
      <c r="K63" s="145"/>
    </row>
    <row r="64" spans="1:11" ht="25.2" customHeight="1" x14ac:dyDescent="0.3">
      <c r="A64" s="619"/>
      <c r="B64" s="619"/>
      <c r="C64" s="144"/>
      <c r="D64" s="633"/>
      <c r="E64" s="633"/>
      <c r="F64" s="633"/>
      <c r="G64" s="633"/>
      <c r="H64" s="633"/>
      <c r="I64" s="633"/>
      <c r="J64" s="633"/>
      <c r="K64" s="145"/>
    </row>
    <row r="65" spans="1:11" ht="25.2" customHeight="1" x14ac:dyDescent="0.3">
      <c r="A65" s="619"/>
      <c r="B65" s="619"/>
      <c r="C65" s="144"/>
      <c r="D65" s="633"/>
      <c r="E65" s="633"/>
      <c r="F65" s="633"/>
      <c r="G65" s="633"/>
      <c r="H65" s="633"/>
      <c r="I65" s="633"/>
      <c r="J65" s="633"/>
      <c r="K65" s="145"/>
    </row>
    <row r="66" spans="1:11" ht="25.2" customHeight="1" x14ac:dyDescent="0.3">
      <c r="A66" s="619"/>
      <c r="B66" s="619"/>
      <c r="C66" s="144"/>
      <c r="D66" s="633"/>
      <c r="E66" s="633"/>
      <c r="F66" s="633"/>
      <c r="G66" s="633"/>
      <c r="H66" s="633"/>
      <c r="I66" s="633"/>
      <c r="J66" s="633"/>
      <c r="K66" s="145"/>
    </row>
    <row r="67" spans="1:11" ht="25.2" customHeight="1" x14ac:dyDescent="0.3">
      <c r="A67" s="619"/>
      <c r="B67" s="619"/>
      <c r="C67" s="144"/>
      <c r="D67" s="633"/>
      <c r="E67" s="633"/>
      <c r="F67" s="633"/>
      <c r="G67" s="633"/>
      <c r="H67" s="633"/>
      <c r="I67" s="633"/>
      <c r="J67" s="633"/>
      <c r="K67" s="145"/>
    </row>
    <row r="68" spans="1:11" ht="25.2" customHeight="1" x14ac:dyDescent="0.3">
      <c r="A68" s="619"/>
      <c r="B68" s="619"/>
      <c r="C68" s="144"/>
      <c r="D68" s="633"/>
      <c r="E68" s="633"/>
      <c r="F68" s="633"/>
      <c r="G68" s="633"/>
      <c r="H68" s="633"/>
      <c r="I68" s="633"/>
      <c r="J68" s="633"/>
      <c r="K68" s="145"/>
    </row>
    <row r="69" spans="1:11" ht="25.2" customHeight="1" x14ac:dyDescent="0.3">
      <c r="A69" s="619"/>
      <c r="B69" s="619"/>
      <c r="C69" s="144"/>
      <c r="D69" s="633"/>
      <c r="E69" s="633"/>
      <c r="F69" s="633"/>
      <c r="G69" s="633"/>
      <c r="H69" s="633"/>
      <c r="I69" s="633"/>
      <c r="J69" s="633"/>
      <c r="K69" s="145"/>
    </row>
    <row r="70" spans="1:11" ht="25.2" customHeight="1" x14ac:dyDescent="0.3">
      <c r="A70" s="619"/>
      <c r="B70" s="619"/>
      <c r="C70" s="144"/>
      <c r="D70" s="633"/>
      <c r="E70" s="633"/>
      <c r="F70" s="633"/>
      <c r="G70" s="633"/>
      <c r="H70" s="633"/>
      <c r="I70" s="633"/>
      <c r="J70" s="633"/>
      <c r="K70" s="145"/>
    </row>
    <row r="71" spans="1:11" ht="25.2" customHeight="1" x14ac:dyDescent="0.3">
      <c r="A71" s="619"/>
      <c r="B71" s="619"/>
      <c r="C71" s="144"/>
      <c r="D71" s="633"/>
      <c r="E71" s="633"/>
      <c r="F71" s="633"/>
      <c r="G71" s="633"/>
      <c r="H71" s="633"/>
      <c r="I71" s="633"/>
      <c r="J71" s="633"/>
      <c r="K71" s="145"/>
    </row>
    <row r="72" spans="1:11" ht="25.2" customHeight="1" x14ac:dyDescent="0.3">
      <c r="A72" s="619"/>
      <c r="B72" s="619"/>
      <c r="C72" s="144"/>
      <c r="D72" s="633"/>
      <c r="E72" s="633"/>
      <c r="F72" s="633"/>
      <c r="G72" s="633"/>
      <c r="H72" s="633"/>
      <c r="I72" s="633"/>
      <c r="J72" s="633"/>
      <c r="K72" s="145"/>
    </row>
    <row r="73" spans="1:11" ht="25.2" customHeight="1" x14ac:dyDescent="0.3">
      <c r="A73" s="619"/>
      <c r="B73" s="619"/>
      <c r="C73" s="144"/>
      <c r="D73" s="633"/>
      <c r="E73" s="633"/>
      <c r="F73" s="633"/>
      <c r="G73" s="633"/>
      <c r="H73" s="633"/>
      <c r="I73" s="633"/>
      <c r="J73" s="633"/>
      <c r="K73" s="145"/>
    </row>
    <row r="74" spans="1:11" ht="25.2" customHeight="1" x14ac:dyDescent="0.3">
      <c r="A74" s="619"/>
      <c r="B74" s="619"/>
      <c r="C74" s="144"/>
      <c r="D74" s="633"/>
      <c r="E74" s="633"/>
      <c r="F74" s="633"/>
      <c r="G74" s="633"/>
      <c r="H74" s="633"/>
      <c r="I74" s="633"/>
      <c r="J74" s="633"/>
      <c r="K74" s="145"/>
    </row>
    <row r="75" spans="1:11" ht="25.2" customHeight="1" x14ac:dyDescent="0.3">
      <c r="A75" s="619"/>
      <c r="B75" s="619"/>
      <c r="C75" s="144"/>
      <c r="D75" s="633"/>
      <c r="E75" s="633"/>
      <c r="F75" s="633"/>
      <c r="G75" s="633"/>
      <c r="H75" s="633"/>
      <c r="I75" s="633"/>
      <c r="J75" s="633"/>
      <c r="K75" s="145"/>
    </row>
    <row r="76" spans="1:11" ht="25.2" customHeight="1" x14ac:dyDescent="0.3">
      <c r="A76" s="619"/>
      <c r="B76" s="619"/>
      <c r="C76" s="144"/>
      <c r="D76" s="633"/>
      <c r="E76" s="633"/>
      <c r="F76" s="633"/>
      <c r="G76" s="633"/>
      <c r="H76" s="633"/>
      <c r="I76" s="633"/>
      <c r="J76" s="633"/>
      <c r="K76" s="145"/>
    </row>
    <row r="77" spans="1:11" ht="25.2" customHeight="1" x14ac:dyDescent="0.3">
      <c r="A77" s="619"/>
      <c r="B77" s="619"/>
      <c r="C77" s="144"/>
      <c r="D77" s="633"/>
      <c r="E77" s="633"/>
      <c r="F77" s="633"/>
      <c r="G77" s="633"/>
      <c r="H77" s="633"/>
      <c r="I77" s="633"/>
      <c r="J77" s="633"/>
      <c r="K77" s="145"/>
    </row>
    <row r="78" spans="1:11" ht="25.2" customHeight="1" x14ac:dyDescent="0.3">
      <c r="A78" s="619"/>
      <c r="B78" s="619"/>
      <c r="C78" s="144"/>
      <c r="D78" s="633"/>
      <c r="E78" s="633"/>
      <c r="F78" s="633"/>
      <c r="G78" s="633"/>
      <c r="H78" s="633"/>
      <c r="I78" s="633"/>
      <c r="J78" s="633"/>
      <c r="K78" s="145"/>
    </row>
    <row r="79" spans="1:11" ht="25.2" customHeight="1" x14ac:dyDescent="0.3">
      <c r="A79" s="619"/>
      <c r="B79" s="619"/>
      <c r="C79" s="144"/>
      <c r="D79" s="633"/>
      <c r="E79" s="633"/>
      <c r="F79" s="633"/>
      <c r="G79" s="633"/>
      <c r="H79" s="633"/>
      <c r="I79" s="633"/>
      <c r="J79" s="633"/>
      <c r="K79" s="145"/>
    </row>
    <row r="80" spans="1:11" ht="25.2" customHeight="1" x14ac:dyDescent="0.3">
      <c r="A80" s="619"/>
      <c r="B80" s="619"/>
      <c r="C80" s="144"/>
      <c r="D80" s="633"/>
      <c r="E80" s="633"/>
      <c r="F80" s="633"/>
      <c r="G80" s="633"/>
      <c r="H80" s="633"/>
      <c r="I80" s="633"/>
      <c r="J80" s="633"/>
      <c r="K80" s="141"/>
    </row>
    <row r="81" spans="1:11" x14ac:dyDescent="0.3">
      <c r="A81" s="454" t="s">
        <v>1485</v>
      </c>
      <c r="B81" s="454"/>
      <c r="C81" s="454"/>
      <c r="D81" s="454"/>
      <c r="E81" s="454"/>
      <c r="F81" s="454"/>
      <c r="G81" s="454"/>
      <c r="H81" s="454"/>
      <c r="I81" s="454"/>
      <c r="J81" s="454"/>
      <c r="K81" s="454"/>
    </row>
    <row r="82" spans="1:11" x14ac:dyDescent="0.3">
      <c r="A82" s="414" t="s">
        <v>1445</v>
      </c>
      <c r="B82" s="574"/>
      <c r="C82" s="36" t="s">
        <v>275</v>
      </c>
      <c r="D82" s="414" t="s">
        <v>1446</v>
      </c>
      <c r="E82" s="457"/>
      <c r="F82" s="457"/>
      <c r="G82" s="457"/>
      <c r="H82" s="457"/>
      <c r="I82" s="457"/>
      <c r="J82" s="457"/>
      <c r="K82" s="143" t="s">
        <v>1486</v>
      </c>
    </row>
    <row r="83" spans="1:11" ht="25.2" customHeight="1" x14ac:dyDescent="0.3">
      <c r="A83" s="619"/>
      <c r="B83" s="619"/>
      <c r="C83" s="144"/>
      <c r="D83" s="633"/>
      <c r="E83" s="633"/>
      <c r="F83" s="633"/>
      <c r="G83" s="633"/>
      <c r="H83" s="633"/>
      <c r="I83" s="633"/>
      <c r="J83" s="633"/>
      <c r="K83" s="145"/>
    </row>
    <row r="84" spans="1:11" ht="25.2" customHeight="1" x14ac:dyDescent="0.3">
      <c r="A84" s="619"/>
      <c r="B84" s="619"/>
      <c r="C84" s="144"/>
      <c r="D84" s="633"/>
      <c r="E84" s="633"/>
      <c r="F84" s="633"/>
      <c r="G84" s="633"/>
      <c r="H84" s="633"/>
      <c r="I84" s="633"/>
      <c r="J84" s="633"/>
      <c r="K84" s="145"/>
    </row>
    <row r="85" spans="1:11" ht="25.2" customHeight="1" x14ac:dyDescent="0.3">
      <c r="A85" s="619"/>
      <c r="B85" s="619"/>
      <c r="C85" s="144"/>
      <c r="D85" s="633"/>
      <c r="E85" s="633"/>
      <c r="F85" s="633"/>
      <c r="G85" s="633"/>
      <c r="H85" s="633"/>
      <c r="I85" s="633"/>
      <c r="J85" s="633"/>
      <c r="K85" s="145"/>
    </row>
    <row r="86" spans="1:11" ht="25.2" customHeight="1" x14ac:dyDescent="0.3">
      <c r="A86" s="619"/>
      <c r="B86" s="619"/>
      <c r="C86" s="144"/>
      <c r="D86" s="633"/>
      <c r="E86" s="633"/>
      <c r="F86" s="633"/>
      <c r="G86" s="633"/>
      <c r="H86" s="633"/>
      <c r="I86" s="633"/>
      <c r="J86" s="633"/>
      <c r="K86" s="145"/>
    </row>
    <row r="87" spans="1:11" ht="25.2" customHeight="1" x14ac:dyDescent="0.3">
      <c r="A87" s="619"/>
      <c r="B87" s="619"/>
      <c r="C87" s="144"/>
      <c r="D87" s="633"/>
      <c r="E87" s="633"/>
      <c r="F87" s="633"/>
      <c r="G87" s="633"/>
      <c r="H87" s="633"/>
      <c r="I87" s="633"/>
      <c r="J87" s="633"/>
      <c r="K87" s="145"/>
    </row>
    <row r="88" spans="1:11" ht="25.2" customHeight="1" x14ac:dyDescent="0.3">
      <c r="A88" s="619"/>
      <c r="B88" s="619"/>
      <c r="C88" s="144"/>
      <c r="D88" s="633"/>
      <c r="E88" s="633"/>
      <c r="F88" s="633"/>
      <c r="G88" s="633"/>
      <c r="H88" s="633"/>
      <c r="I88" s="633"/>
      <c r="J88" s="633"/>
      <c r="K88" s="145"/>
    </row>
    <row r="89" spans="1:11" ht="25.2" customHeight="1" x14ac:dyDescent="0.3">
      <c r="A89" s="619"/>
      <c r="B89" s="619"/>
      <c r="C89" s="144"/>
      <c r="D89" s="633"/>
      <c r="E89" s="633"/>
      <c r="F89" s="633"/>
      <c r="G89" s="633"/>
      <c r="H89" s="633"/>
      <c r="I89" s="633"/>
      <c r="J89" s="633"/>
      <c r="K89" s="145"/>
    </row>
    <row r="90" spans="1:11" ht="25.2" customHeight="1" x14ac:dyDescent="0.3">
      <c r="A90" s="619"/>
      <c r="B90" s="619"/>
      <c r="C90" s="144"/>
      <c r="D90" s="633"/>
      <c r="E90" s="633"/>
      <c r="F90" s="633"/>
      <c r="G90" s="633"/>
      <c r="H90" s="633"/>
      <c r="I90" s="633"/>
      <c r="J90" s="633"/>
      <c r="K90" s="145"/>
    </row>
    <row r="91" spans="1:11" ht="25.2" customHeight="1" x14ac:dyDescent="0.3">
      <c r="A91" s="619"/>
      <c r="B91" s="619"/>
      <c r="C91" s="144"/>
      <c r="D91" s="633"/>
      <c r="E91" s="633"/>
      <c r="F91" s="633"/>
      <c r="G91" s="633"/>
      <c r="H91" s="633"/>
      <c r="I91" s="633"/>
      <c r="J91" s="633"/>
      <c r="K91" s="145"/>
    </row>
    <row r="92" spans="1:11" ht="25.2" customHeight="1" x14ac:dyDescent="0.3">
      <c r="A92" s="619"/>
      <c r="B92" s="619"/>
      <c r="C92" s="144"/>
      <c r="D92" s="633"/>
      <c r="E92" s="633"/>
      <c r="F92" s="633"/>
      <c r="G92" s="633"/>
      <c r="H92" s="633"/>
      <c r="I92" s="633"/>
      <c r="J92" s="633"/>
      <c r="K92" s="145"/>
    </row>
    <row r="93" spans="1:11" ht="25.2" customHeight="1" x14ac:dyDescent="0.3">
      <c r="A93" s="619"/>
      <c r="B93" s="619"/>
      <c r="C93" s="144"/>
      <c r="D93" s="633"/>
      <c r="E93" s="633"/>
      <c r="F93" s="633"/>
      <c r="G93" s="633"/>
      <c r="H93" s="633"/>
      <c r="I93" s="633"/>
      <c r="J93" s="633"/>
      <c r="K93" s="145"/>
    </row>
    <row r="94" spans="1:11" ht="25.2" customHeight="1" x14ac:dyDescent="0.3">
      <c r="A94" s="619"/>
      <c r="B94" s="619"/>
      <c r="C94" s="144"/>
      <c r="D94" s="633"/>
      <c r="E94" s="633"/>
      <c r="F94" s="633"/>
      <c r="G94" s="633"/>
      <c r="H94" s="633"/>
      <c r="I94" s="633"/>
      <c r="J94" s="633"/>
      <c r="K94" s="145"/>
    </row>
    <row r="95" spans="1:11" ht="25.2" customHeight="1" x14ac:dyDescent="0.3">
      <c r="A95" s="619"/>
      <c r="B95" s="619"/>
      <c r="C95" s="144"/>
      <c r="D95" s="633"/>
      <c r="E95" s="633"/>
      <c r="F95" s="633"/>
      <c r="G95" s="633"/>
      <c r="H95" s="633"/>
      <c r="I95" s="633"/>
      <c r="J95" s="633"/>
      <c r="K95" s="145"/>
    </row>
    <row r="96" spans="1:11" ht="25.2" customHeight="1" x14ac:dyDescent="0.3">
      <c r="A96" s="619"/>
      <c r="B96" s="619"/>
      <c r="C96" s="144"/>
      <c r="D96" s="633"/>
      <c r="E96" s="633"/>
      <c r="F96" s="633"/>
      <c r="G96" s="633"/>
      <c r="H96" s="633"/>
      <c r="I96" s="633"/>
      <c r="J96" s="633"/>
      <c r="K96" s="145"/>
    </row>
    <row r="97" spans="1:11" ht="25.2" customHeight="1" x14ac:dyDescent="0.3">
      <c r="A97" s="619"/>
      <c r="B97" s="619"/>
      <c r="C97" s="144"/>
      <c r="D97" s="633"/>
      <c r="E97" s="633"/>
      <c r="F97" s="633"/>
      <c r="G97" s="633"/>
      <c r="H97" s="633"/>
      <c r="I97" s="633"/>
      <c r="J97" s="633"/>
      <c r="K97" s="145"/>
    </row>
    <row r="98" spans="1:11" ht="25.2" customHeight="1" x14ac:dyDescent="0.3">
      <c r="A98" s="619"/>
      <c r="B98" s="619"/>
      <c r="C98" s="144"/>
      <c r="D98" s="633"/>
      <c r="E98" s="633"/>
      <c r="F98" s="633"/>
      <c r="G98" s="633"/>
      <c r="H98" s="633"/>
      <c r="I98" s="633"/>
      <c r="J98" s="633"/>
      <c r="K98" s="145"/>
    </row>
    <row r="99" spans="1:11" ht="25.2" customHeight="1" x14ac:dyDescent="0.3">
      <c r="A99" s="619"/>
      <c r="B99" s="619"/>
      <c r="C99" s="144"/>
      <c r="D99" s="633"/>
      <c r="E99" s="633"/>
      <c r="F99" s="633"/>
      <c r="G99" s="633"/>
      <c r="H99" s="633"/>
      <c r="I99" s="633"/>
      <c r="J99" s="633"/>
      <c r="K99" s="145"/>
    </row>
    <row r="100" spans="1:11" ht="25.2" customHeight="1" x14ac:dyDescent="0.3">
      <c r="A100" s="619"/>
      <c r="B100" s="619"/>
      <c r="C100" s="144"/>
      <c r="D100" s="633"/>
      <c r="E100" s="633"/>
      <c r="F100" s="633"/>
      <c r="G100" s="633"/>
      <c r="H100" s="633"/>
      <c r="I100" s="633"/>
      <c r="J100" s="633"/>
      <c r="K100" s="145"/>
    </row>
    <row r="101" spans="1:11" ht="25.2" customHeight="1" x14ac:dyDescent="0.3">
      <c r="A101" s="619"/>
      <c r="B101" s="619"/>
      <c r="C101" s="144"/>
      <c r="D101" s="633"/>
      <c r="E101" s="633"/>
      <c r="F101" s="633"/>
      <c r="G101" s="633"/>
      <c r="H101" s="633"/>
      <c r="I101" s="633"/>
      <c r="J101" s="633"/>
      <c r="K101" s="145"/>
    </row>
    <row r="102" spans="1:11" ht="25.2" customHeight="1" x14ac:dyDescent="0.3">
      <c r="A102" s="619"/>
      <c r="B102" s="619"/>
      <c r="C102" s="144"/>
      <c r="D102" s="633"/>
      <c r="E102" s="633"/>
      <c r="F102" s="633"/>
      <c r="G102" s="633"/>
      <c r="H102" s="633"/>
      <c r="I102" s="633"/>
      <c r="J102" s="633"/>
      <c r="K102" s="145"/>
    </row>
    <row r="103" spans="1:11" ht="25.2" customHeight="1" x14ac:dyDescent="0.3">
      <c r="A103" s="619"/>
      <c r="B103" s="619"/>
      <c r="C103" s="144"/>
      <c r="D103" s="633"/>
      <c r="E103" s="633"/>
      <c r="F103" s="633"/>
      <c r="G103" s="633"/>
      <c r="H103" s="633"/>
      <c r="I103" s="633"/>
      <c r="J103" s="633"/>
      <c r="K103" s="145"/>
    </row>
    <row r="104" spans="1:11" ht="25.2" customHeight="1" x14ac:dyDescent="0.3">
      <c r="A104" s="619"/>
      <c r="B104" s="619"/>
      <c r="C104" s="144"/>
      <c r="D104" s="633"/>
      <c r="E104" s="633"/>
      <c r="F104" s="633"/>
      <c r="G104" s="633"/>
      <c r="H104" s="633"/>
      <c r="I104" s="633"/>
      <c r="J104" s="633"/>
      <c r="K104" s="145"/>
    </row>
    <row r="105" spans="1:11" ht="25.2" customHeight="1" x14ac:dyDescent="0.3">
      <c r="A105" s="619"/>
      <c r="B105" s="619"/>
      <c r="C105" s="144"/>
      <c r="D105" s="633"/>
      <c r="E105" s="633"/>
      <c r="F105" s="633"/>
      <c r="G105" s="633"/>
      <c r="H105" s="633"/>
      <c r="I105" s="633"/>
      <c r="J105" s="633"/>
      <c r="K105" s="145"/>
    </row>
    <row r="106" spans="1:11" ht="25.2" customHeight="1" x14ac:dyDescent="0.3">
      <c r="A106" s="619"/>
      <c r="B106" s="619"/>
      <c r="C106" s="144"/>
      <c r="D106" s="633"/>
      <c r="E106" s="633"/>
      <c r="F106" s="633"/>
      <c r="G106" s="633"/>
      <c r="H106" s="633"/>
      <c r="I106" s="633"/>
      <c r="J106" s="633"/>
      <c r="K106" s="145"/>
    </row>
    <row r="107" spans="1:11" ht="25.2" customHeight="1" x14ac:dyDescent="0.3">
      <c r="A107" s="619"/>
      <c r="B107" s="619"/>
      <c r="C107" s="144"/>
      <c r="D107" s="633"/>
      <c r="E107" s="633"/>
      <c r="F107" s="633"/>
      <c r="G107" s="633"/>
      <c r="H107" s="633"/>
      <c r="I107" s="633"/>
      <c r="J107" s="633"/>
      <c r="K107" s="145"/>
    </row>
    <row r="108" spans="1:11" ht="25.2" customHeight="1" x14ac:dyDescent="0.3">
      <c r="A108" s="619"/>
      <c r="B108" s="619"/>
      <c r="C108" s="144"/>
      <c r="D108" s="633"/>
      <c r="E108" s="633"/>
      <c r="F108" s="633"/>
      <c r="G108" s="633"/>
      <c r="H108" s="633"/>
      <c r="I108" s="633"/>
      <c r="J108" s="633"/>
      <c r="K108" s="145"/>
    </row>
    <row r="109" spans="1:11" ht="25.2" customHeight="1" x14ac:dyDescent="0.3">
      <c r="A109" s="619"/>
      <c r="B109" s="619"/>
      <c r="C109" s="144"/>
      <c r="D109" s="633"/>
      <c r="E109" s="633"/>
      <c r="F109" s="633"/>
      <c r="G109" s="633"/>
      <c r="H109" s="633"/>
      <c r="I109" s="633"/>
      <c r="J109" s="633"/>
      <c r="K109" s="145"/>
    </row>
    <row r="110" spans="1:11" x14ac:dyDescent="0.3">
      <c r="A110" s="454" t="s">
        <v>1485</v>
      </c>
      <c r="B110" s="454"/>
      <c r="C110" s="454"/>
      <c r="D110" s="454"/>
      <c r="E110" s="454"/>
      <c r="F110" s="454"/>
      <c r="G110" s="454"/>
      <c r="H110" s="454"/>
      <c r="I110" s="454"/>
      <c r="J110" s="454"/>
      <c r="K110" s="454"/>
    </row>
    <row r="111" spans="1:11" x14ac:dyDescent="0.3">
      <c r="A111" s="414" t="s">
        <v>1445</v>
      </c>
      <c r="B111" s="574"/>
      <c r="C111" s="36" t="s">
        <v>275</v>
      </c>
      <c r="D111" s="414" t="s">
        <v>1446</v>
      </c>
      <c r="E111" s="457"/>
      <c r="F111" s="457"/>
      <c r="G111" s="457"/>
      <c r="H111" s="457"/>
      <c r="I111" s="457"/>
      <c r="J111" s="457"/>
      <c r="K111" s="143" t="s">
        <v>1486</v>
      </c>
    </row>
    <row r="112" spans="1:11" ht="25.2" hidden="1" customHeight="1" outlineLevel="1" x14ac:dyDescent="0.3">
      <c r="A112" s="40"/>
      <c r="B112" s="40"/>
      <c r="C112" s="144"/>
      <c r="D112" s="148"/>
      <c r="E112" s="148"/>
      <c r="F112" s="148"/>
      <c r="G112" s="148"/>
      <c r="H112" s="148"/>
      <c r="I112" s="148"/>
      <c r="J112" s="148"/>
      <c r="K112" s="145"/>
    </row>
    <row r="113" spans="1:11" ht="25.2" hidden="1" customHeight="1" outlineLevel="1" x14ac:dyDescent="0.3">
      <c r="A113" s="40"/>
      <c r="B113" s="40"/>
      <c r="C113" s="144"/>
      <c r="D113" s="148"/>
      <c r="E113" s="148"/>
      <c r="F113" s="148"/>
      <c r="G113" s="148"/>
      <c r="H113" s="148"/>
      <c r="I113" s="148"/>
      <c r="J113" s="148"/>
      <c r="K113" s="145"/>
    </row>
    <row r="114" spans="1:11" ht="25.2" hidden="1" customHeight="1" outlineLevel="1" x14ac:dyDescent="0.3">
      <c r="A114" s="40"/>
      <c r="B114" s="40"/>
      <c r="C114" s="144"/>
      <c r="D114" s="148"/>
      <c r="E114" s="148"/>
      <c r="F114" s="148"/>
      <c r="G114" s="148"/>
      <c r="H114" s="148"/>
      <c r="I114" s="148"/>
      <c r="J114" s="148"/>
      <c r="K114" s="145"/>
    </row>
    <row r="115" spans="1:11" ht="25.2" hidden="1" customHeight="1" outlineLevel="1" x14ac:dyDescent="0.3">
      <c r="A115" s="40"/>
      <c r="B115" s="40"/>
      <c r="C115" s="144"/>
      <c r="D115" s="148"/>
      <c r="E115" s="148"/>
      <c r="F115" s="148"/>
      <c r="G115" s="148"/>
      <c r="H115" s="148"/>
      <c r="I115" s="148"/>
      <c r="J115" s="148"/>
      <c r="K115" s="145"/>
    </row>
    <row r="116" spans="1:11" ht="25.2" hidden="1" customHeight="1" outlineLevel="1" x14ac:dyDescent="0.3">
      <c r="A116" s="40"/>
      <c r="B116" s="40"/>
      <c r="C116" s="144"/>
      <c r="D116" s="148"/>
      <c r="E116" s="148"/>
      <c r="F116" s="148"/>
      <c r="G116" s="148"/>
      <c r="H116" s="148"/>
      <c r="I116" s="148"/>
      <c r="J116" s="148"/>
      <c r="K116" s="145"/>
    </row>
    <row r="117" spans="1:11" ht="25.2" hidden="1" customHeight="1" outlineLevel="1" x14ac:dyDescent="0.3">
      <c r="A117" s="40"/>
      <c r="B117" s="40"/>
      <c r="C117" s="144"/>
      <c r="D117" s="148"/>
      <c r="E117" s="148"/>
      <c r="F117" s="148"/>
      <c r="G117" s="148"/>
      <c r="H117" s="148"/>
      <c r="I117" s="148"/>
      <c r="J117" s="148"/>
      <c r="K117" s="145"/>
    </row>
    <row r="118" spans="1:11" ht="25.2" hidden="1" customHeight="1" outlineLevel="1" x14ac:dyDescent="0.3">
      <c r="A118" s="40"/>
      <c r="B118" s="40"/>
      <c r="C118" s="144"/>
      <c r="D118" s="148"/>
      <c r="E118" s="148"/>
      <c r="F118" s="148"/>
      <c r="G118" s="148"/>
      <c r="H118" s="148"/>
      <c r="I118" s="148"/>
      <c r="J118" s="148"/>
      <c r="K118" s="145"/>
    </row>
    <row r="119" spans="1:11" ht="25.2" hidden="1" customHeight="1" outlineLevel="1" x14ac:dyDescent="0.3">
      <c r="A119" s="40"/>
      <c r="B119" s="40"/>
      <c r="C119" s="144"/>
      <c r="D119" s="148"/>
      <c r="E119" s="148"/>
      <c r="F119" s="148"/>
      <c r="G119" s="148"/>
      <c r="H119" s="148"/>
      <c r="I119" s="148"/>
      <c r="J119" s="148"/>
      <c r="K119" s="145"/>
    </row>
    <row r="120" spans="1:11" ht="25.2" customHeight="1" collapsed="1" x14ac:dyDescent="0.3">
      <c r="A120" s="619"/>
      <c r="B120" s="619"/>
      <c r="C120" s="144"/>
      <c r="D120" s="633"/>
      <c r="E120" s="633"/>
      <c r="F120" s="633"/>
      <c r="G120" s="633"/>
      <c r="H120" s="633"/>
      <c r="I120" s="633"/>
      <c r="J120" s="633"/>
      <c r="K120" s="145"/>
    </row>
    <row r="121" spans="1:11" ht="25.2" customHeight="1" x14ac:dyDescent="0.3">
      <c r="A121" s="619"/>
      <c r="B121" s="619"/>
      <c r="C121" s="144"/>
      <c r="D121" s="633"/>
      <c r="E121" s="633"/>
      <c r="F121" s="633"/>
      <c r="G121" s="633"/>
      <c r="H121" s="633"/>
      <c r="I121" s="633"/>
      <c r="J121" s="633"/>
      <c r="K121" s="145"/>
    </row>
    <row r="122" spans="1:11" ht="25.2" customHeight="1" x14ac:dyDescent="0.3">
      <c r="A122" s="619"/>
      <c r="B122" s="619"/>
      <c r="C122" s="144"/>
      <c r="D122" s="633"/>
      <c r="E122" s="633"/>
      <c r="F122" s="633"/>
      <c r="G122" s="633"/>
      <c r="H122" s="633"/>
      <c r="I122" s="633"/>
      <c r="J122" s="633"/>
      <c r="K122" s="145"/>
    </row>
    <row r="123" spans="1:11" ht="25.2" customHeight="1" x14ac:dyDescent="0.3">
      <c r="A123" s="619"/>
      <c r="B123" s="619"/>
      <c r="C123" s="144"/>
      <c r="D123" s="633"/>
      <c r="E123" s="633"/>
      <c r="F123" s="633"/>
      <c r="G123" s="633"/>
      <c r="H123" s="633"/>
      <c r="I123" s="633"/>
      <c r="J123" s="633"/>
      <c r="K123" s="145"/>
    </row>
    <row r="124" spans="1:11" ht="25.2" customHeight="1" x14ac:dyDescent="0.3">
      <c r="A124" s="619"/>
      <c r="B124" s="619"/>
      <c r="C124" s="144"/>
      <c r="D124" s="633"/>
      <c r="E124" s="633"/>
      <c r="F124" s="633"/>
      <c r="G124" s="633"/>
      <c r="H124" s="633"/>
      <c r="I124" s="633"/>
      <c r="J124" s="633"/>
      <c r="K124" s="145"/>
    </row>
    <row r="125" spans="1:11" ht="25.2" customHeight="1" x14ac:dyDescent="0.3">
      <c r="A125" s="619"/>
      <c r="B125" s="619"/>
      <c r="C125" s="144"/>
      <c r="D125" s="633"/>
      <c r="E125" s="633"/>
      <c r="F125" s="633"/>
      <c r="G125" s="633"/>
      <c r="H125" s="633"/>
      <c r="I125" s="633"/>
      <c r="J125" s="633"/>
      <c r="K125" s="145"/>
    </row>
    <row r="126" spans="1:11" ht="25.2" customHeight="1" x14ac:dyDescent="0.3">
      <c r="A126" s="619"/>
      <c r="B126" s="619"/>
      <c r="C126" s="144"/>
      <c r="D126" s="633"/>
      <c r="E126" s="633"/>
      <c r="F126" s="633"/>
      <c r="G126" s="633"/>
      <c r="H126" s="633"/>
      <c r="I126" s="633"/>
      <c r="J126" s="633"/>
      <c r="K126" s="145"/>
    </row>
    <row r="127" spans="1:11" ht="25.2" customHeight="1" x14ac:dyDescent="0.3">
      <c r="A127" s="619"/>
      <c r="B127" s="619"/>
      <c r="C127" s="144"/>
      <c r="D127" s="633"/>
      <c r="E127" s="633"/>
      <c r="F127" s="633"/>
      <c r="G127" s="633"/>
      <c r="H127" s="633"/>
      <c r="I127" s="633"/>
      <c r="J127" s="633"/>
      <c r="K127" s="145"/>
    </row>
    <row r="128" spans="1:11" ht="25.2" customHeight="1" x14ac:dyDescent="0.3">
      <c r="A128" s="619"/>
      <c r="B128" s="619"/>
      <c r="C128" s="144"/>
      <c r="D128" s="633"/>
      <c r="E128" s="633"/>
      <c r="F128" s="633"/>
      <c r="G128" s="633"/>
      <c r="H128" s="633"/>
      <c r="I128" s="633"/>
      <c r="J128" s="633"/>
      <c r="K128" s="145"/>
    </row>
    <row r="129" spans="1:11" ht="25.2" customHeight="1" x14ac:dyDescent="0.3">
      <c r="A129" s="619"/>
      <c r="B129" s="619"/>
      <c r="C129" s="144"/>
      <c r="D129" s="633"/>
      <c r="E129" s="633"/>
      <c r="F129" s="633"/>
      <c r="G129" s="633"/>
      <c r="H129" s="633"/>
      <c r="I129" s="633"/>
      <c r="J129" s="633"/>
      <c r="K129" s="145"/>
    </row>
    <row r="130" spans="1:11" ht="25.2" customHeight="1" x14ac:dyDescent="0.3">
      <c r="A130" s="619"/>
      <c r="B130" s="619"/>
      <c r="C130" s="144"/>
      <c r="D130" s="633"/>
      <c r="E130" s="633"/>
      <c r="F130" s="633"/>
      <c r="G130" s="633"/>
      <c r="H130" s="633"/>
      <c r="I130" s="633"/>
      <c r="J130" s="633"/>
      <c r="K130" s="145"/>
    </row>
    <row r="131" spans="1:11" ht="25.2" customHeight="1" x14ac:dyDescent="0.3">
      <c r="A131" s="619"/>
      <c r="B131" s="619"/>
      <c r="C131" s="144"/>
      <c r="D131" s="633"/>
      <c r="E131" s="633"/>
      <c r="F131" s="633"/>
      <c r="G131" s="633"/>
      <c r="H131" s="633"/>
      <c r="I131" s="633"/>
      <c r="J131" s="633"/>
      <c r="K131" s="145"/>
    </row>
    <row r="132" spans="1:11" ht="25.2" customHeight="1" x14ac:dyDescent="0.3">
      <c r="A132" s="619"/>
      <c r="B132" s="619"/>
      <c r="C132" s="144"/>
      <c r="D132" s="633"/>
      <c r="E132" s="633"/>
      <c r="F132" s="633"/>
      <c r="G132" s="633"/>
      <c r="H132" s="633"/>
      <c r="I132" s="633"/>
      <c r="J132" s="633"/>
      <c r="K132" s="145"/>
    </row>
    <row r="133" spans="1:11" ht="25.2" customHeight="1" x14ac:dyDescent="0.3">
      <c r="A133" s="619"/>
      <c r="B133" s="619"/>
      <c r="C133" s="144"/>
      <c r="D133" s="633"/>
      <c r="E133" s="633"/>
      <c r="F133" s="633"/>
      <c r="G133" s="633"/>
      <c r="H133" s="633"/>
      <c r="I133" s="633"/>
      <c r="J133" s="633"/>
      <c r="K133" s="145"/>
    </row>
    <row r="134" spans="1:11" ht="25.2" customHeight="1" x14ac:dyDescent="0.3">
      <c r="A134" s="619"/>
      <c r="B134" s="619"/>
      <c r="C134" s="144"/>
      <c r="D134" s="633"/>
      <c r="E134" s="633"/>
      <c r="F134" s="633"/>
      <c r="G134" s="633"/>
      <c r="H134" s="633"/>
      <c r="I134" s="633"/>
      <c r="J134" s="633"/>
      <c r="K134" s="145"/>
    </row>
    <row r="135" spans="1:11" ht="25.2" customHeight="1" x14ac:dyDescent="0.3">
      <c r="A135" s="619"/>
      <c r="B135" s="619"/>
      <c r="C135" s="144"/>
      <c r="D135" s="633"/>
      <c r="E135" s="633"/>
      <c r="F135" s="633"/>
      <c r="G135" s="633"/>
      <c r="H135" s="633"/>
      <c r="I135" s="633"/>
      <c r="J135" s="633"/>
      <c r="K135" s="145"/>
    </row>
    <row r="136" spans="1:11" ht="25.2" customHeight="1" x14ac:dyDescent="0.3">
      <c r="A136" s="619"/>
      <c r="B136" s="619"/>
      <c r="C136" s="144"/>
      <c r="D136" s="633"/>
      <c r="E136" s="633"/>
      <c r="F136" s="633"/>
      <c r="G136" s="633"/>
      <c r="H136" s="633"/>
      <c r="I136" s="633"/>
      <c r="J136" s="633"/>
      <c r="K136" s="145"/>
    </row>
    <row r="137" spans="1:11" ht="25.2" customHeight="1" x14ac:dyDescent="0.3">
      <c r="A137" s="619"/>
      <c r="B137" s="619"/>
      <c r="C137" s="144"/>
      <c r="D137" s="633"/>
      <c r="E137" s="633"/>
      <c r="F137" s="633"/>
      <c r="G137" s="633"/>
      <c r="H137" s="633"/>
      <c r="I137" s="633"/>
      <c r="J137" s="633"/>
      <c r="K137" s="145"/>
    </row>
    <row r="150" spans="5:7" x14ac:dyDescent="0.3">
      <c r="E150" s="386" t="s">
        <v>338</v>
      </c>
      <c r="F150" s="386"/>
      <c r="G150" s="386"/>
    </row>
  </sheetData>
  <mergeCells count="280">
    <mergeCell ref="E150:G150"/>
    <mergeCell ref="A127:B127"/>
    <mergeCell ref="D127:J127"/>
    <mergeCell ref="A128:B128"/>
    <mergeCell ref="D128:J128"/>
    <mergeCell ref="A129:B129"/>
    <mergeCell ref="D129:J129"/>
    <mergeCell ref="A130:B130"/>
    <mergeCell ref="D130:J130"/>
    <mergeCell ref="A131:B131"/>
    <mergeCell ref="D131:J131"/>
    <mergeCell ref="A137:B137"/>
    <mergeCell ref="D137:J137"/>
    <mergeCell ref="A132:B132"/>
    <mergeCell ref="D132:J132"/>
    <mergeCell ref="A133:B133"/>
    <mergeCell ref="D133:J133"/>
    <mergeCell ref="A134:B134"/>
    <mergeCell ref="D134:J134"/>
    <mergeCell ref="A135:B135"/>
    <mergeCell ref="D135:J135"/>
    <mergeCell ref="A136:B136"/>
    <mergeCell ref="D136:J136"/>
    <mergeCell ref="A122:B122"/>
    <mergeCell ref="D122:J122"/>
    <mergeCell ref="A123:B123"/>
    <mergeCell ref="D123:J123"/>
    <mergeCell ref="A124:B124"/>
    <mergeCell ref="D124:J124"/>
    <mergeCell ref="A125:B125"/>
    <mergeCell ref="D125:J125"/>
    <mergeCell ref="A126:B126"/>
    <mergeCell ref="D126:J126"/>
    <mergeCell ref="A120:B120"/>
    <mergeCell ref="D120:J120"/>
    <mergeCell ref="A121:B121"/>
    <mergeCell ref="D121:J121"/>
    <mergeCell ref="A110:K110"/>
    <mergeCell ref="A111:B111"/>
    <mergeCell ref="D111:J111"/>
    <mergeCell ref="A103:B103"/>
    <mergeCell ref="D103:J103"/>
    <mergeCell ref="A104:B104"/>
    <mergeCell ref="D104:J104"/>
    <mergeCell ref="A105:B105"/>
    <mergeCell ref="D105:J105"/>
    <mergeCell ref="A106:B106"/>
    <mergeCell ref="D106:J106"/>
    <mergeCell ref="A107:B107"/>
    <mergeCell ref="D107:J107"/>
    <mergeCell ref="A100:B100"/>
    <mergeCell ref="D100:J100"/>
    <mergeCell ref="A101:B101"/>
    <mergeCell ref="D101:J101"/>
    <mergeCell ref="A102:B102"/>
    <mergeCell ref="D102:J102"/>
    <mergeCell ref="A108:B108"/>
    <mergeCell ref="D108:J108"/>
    <mergeCell ref="A109:B109"/>
    <mergeCell ref="D109:J109"/>
    <mergeCell ref="A95:B95"/>
    <mergeCell ref="D95:J95"/>
    <mergeCell ref="A96:B96"/>
    <mergeCell ref="D96:J96"/>
    <mergeCell ref="A97:B97"/>
    <mergeCell ref="D97:J97"/>
    <mergeCell ref="A98:B98"/>
    <mergeCell ref="D98:J98"/>
    <mergeCell ref="A99:B99"/>
    <mergeCell ref="D99:J99"/>
    <mergeCell ref="A90:B90"/>
    <mergeCell ref="D90:J90"/>
    <mergeCell ref="A91:B91"/>
    <mergeCell ref="D91:J91"/>
    <mergeCell ref="A92:B92"/>
    <mergeCell ref="D92:J92"/>
    <mergeCell ref="A93:B93"/>
    <mergeCell ref="D93:J93"/>
    <mergeCell ref="A94:B94"/>
    <mergeCell ref="D94:J94"/>
    <mergeCell ref="A89:B89"/>
    <mergeCell ref="D89:J89"/>
    <mergeCell ref="A83:B83"/>
    <mergeCell ref="D83:J83"/>
    <mergeCell ref="A84:B84"/>
    <mergeCell ref="D84:J84"/>
    <mergeCell ref="A85:B85"/>
    <mergeCell ref="D85:J85"/>
    <mergeCell ref="A86:B86"/>
    <mergeCell ref="D86:J86"/>
    <mergeCell ref="A87:B87"/>
    <mergeCell ref="D87:J87"/>
    <mergeCell ref="D80:J80"/>
    <mergeCell ref="D69:J69"/>
    <mergeCell ref="D70:J70"/>
    <mergeCell ref="D71:J71"/>
    <mergeCell ref="A82:B82"/>
    <mergeCell ref="D82:J82"/>
    <mergeCell ref="A81:K81"/>
    <mergeCell ref="A80:B80"/>
    <mergeCell ref="A88:B88"/>
    <mergeCell ref="D88:J88"/>
    <mergeCell ref="D75:J75"/>
    <mergeCell ref="D76:J76"/>
    <mergeCell ref="D77:J77"/>
    <mergeCell ref="D78:J78"/>
    <mergeCell ref="D79:J79"/>
    <mergeCell ref="D72:J72"/>
    <mergeCell ref="D73:J73"/>
    <mergeCell ref="D74:J74"/>
    <mergeCell ref="A78:B78"/>
    <mergeCell ref="A79:B79"/>
    <mergeCell ref="A75:B75"/>
    <mergeCell ref="A76:B76"/>
    <mergeCell ref="A77:B77"/>
    <mergeCell ref="A72:B72"/>
    <mergeCell ref="D57:I57"/>
    <mergeCell ref="J57:K57"/>
    <mergeCell ref="D55:I55"/>
    <mergeCell ref="J55:K55"/>
    <mergeCell ref="A62:B62"/>
    <mergeCell ref="A66:B66"/>
    <mergeCell ref="A56:B56"/>
    <mergeCell ref="A67:B67"/>
    <mergeCell ref="A68:B68"/>
    <mergeCell ref="D61:J61"/>
    <mergeCell ref="D62:J62"/>
    <mergeCell ref="D63:J63"/>
    <mergeCell ref="D64:J64"/>
    <mergeCell ref="D65:J65"/>
    <mergeCell ref="D66:J66"/>
    <mergeCell ref="D67:J67"/>
    <mergeCell ref="D68:J68"/>
    <mergeCell ref="A64:B64"/>
    <mergeCell ref="A65:B65"/>
    <mergeCell ref="A61:B61"/>
    <mergeCell ref="A63:B63"/>
    <mergeCell ref="A73:B73"/>
    <mergeCell ref="A74:B74"/>
    <mergeCell ref="A69:B69"/>
    <mergeCell ref="A70:B70"/>
    <mergeCell ref="A71:B71"/>
    <mergeCell ref="A51:B51"/>
    <mergeCell ref="D51:I51"/>
    <mergeCell ref="J51:K51"/>
    <mergeCell ref="D56:I56"/>
    <mergeCell ref="J56:K56"/>
    <mergeCell ref="A58:K58"/>
    <mergeCell ref="A52:B52"/>
    <mergeCell ref="D52:I52"/>
    <mergeCell ref="J52:K52"/>
    <mergeCell ref="A53:B53"/>
    <mergeCell ref="D53:I53"/>
    <mergeCell ref="J53:K53"/>
    <mergeCell ref="A54:B54"/>
    <mergeCell ref="D54:I54"/>
    <mergeCell ref="J54:K54"/>
    <mergeCell ref="A55:B55"/>
    <mergeCell ref="A59:K59"/>
    <mergeCell ref="A60:K60"/>
    <mergeCell ref="A57:B57"/>
    <mergeCell ref="A48:B48"/>
    <mergeCell ref="D48:I48"/>
    <mergeCell ref="J48:K48"/>
    <mergeCell ref="A49:B49"/>
    <mergeCell ref="D49:I49"/>
    <mergeCell ref="J49:K49"/>
    <mergeCell ref="A50:B50"/>
    <mergeCell ref="D50:I50"/>
    <mergeCell ref="J50:K50"/>
    <mergeCell ref="A43:B43"/>
    <mergeCell ref="D43:I43"/>
    <mergeCell ref="J43:K43"/>
    <mergeCell ref="A44:B44"/>
    <mergeCell ref="D44:I44"/>
    <mergeCell ref="J44:K44"/>
    <mergeCell ref="A47:B47"/>
    <mergeCell ref="D47:I47"/>
    <mergeCell ref="J47:K47"/>
    <mergeCell ref="A45:B45"/>
    <mergeCell ref="D45:I45"/>
    <mergeCell ref="J45:K45"/>
    <mergeCell ref="A46:B46"/>
    <mergeCell ref="D46:I46"/>
    <mergeCell ref="J46:K46"/>
    <mergeCell ref="A42:B42"/>
    <mergeCell ref="D42:I42"/>
    <mergeCell ref="J42:K42"/>
    <mergeCell ref="A39:B39"/>
    <mergeCell ref="D39:I39"/>
    <mergeCell ref="J39:K39"/>
    <mergeCell ref="A40:B40"/>
    <mergeCell ref="D40:I40"/>
    <mergeCell ref="J40:K40"/>
    <mergeCell ref="A41:B41"/>
    <mergeCell ref="D41:I41"/>
    <mergeCell ref="J41:K41"/>
    <mergeCell ref="A34:K34"/>
    <mergeCell ref="A35:K35"/>
    <mergeCell ref="A36:K36"/>
    <mergeCell ref="A37:K37"/>
    <mergeCell ref="A38:B38"/>
    <mergeCell ref="D38:I38"/>
    <mergeCell ref="J38:K38"/>
    <mergeCell ref="A28:B28"/>
    <mergeCell ref="C28:H28"/>
    <mergeCell ref="J28:K28"/>
    <mergeCell ref="A29:B29"/>
    <mergeCell ref="C29:H29"/>
    <mergeCell ref="J29:K29"/>
    <mergeCell ref="C30:H30"/>
    <mergeCell ref="J30:K30"/>
    <mergeCell ref="A30:B30"/>
    <mergeCell ref="A31:B31"/>
    <mergeCell ref="C31:H31"/>
    <mergeCell ref="J31:K31"/>
    <mergeCell ref="A26:B26"/>
    <mergeCell ref="C26:H26"/>
    <mergeCell ref="J26:K26"/>
    <mergeCell ref="A16:B16"/>
    <mergeCell ref="C16:H16"/>
    <mergeCell ref="J16:K16"/>
    <mergeCell ref="A22:B22"/>
    <mergeCell ref="C22:H22"/>
    <mergeCell ref="J22:K22"/>
    <mergeCell ref="A23:B23"/>
    <mergeCell ref="C23:H23"/>
    <mergeCell ref="J23:K23"/>
    <mergeCell ref="A17:B17"/>
    <mergeCell ref="C17:H17"/>
    <mergeCell ref="J17:K17"/>
    <mergeCell ref="A25:B25"/>
    <mergeCell ref="C25:H25"/>
    <mergeCell ref="J25:K25"/>
    <mergeCell ref="A24:B24"/>
    <mergeCell ref="C24:H24"/>
    <mergeCell ref="C19:H19"/>
    <mergeCell ref="J19:K19"/>
    <mergeCell ref="A11:K11"/>
    <mergeCell ref="A13:B13"/>
    <mergeCell ref="C13:H13"/>
    <mergeCell ref="J13:K13"/>
    <mergeCell ref="A12:K12"/>
    <mergeCell ref="J24:K24"/>
    <mergeCell ref="A20:B20"/>
    <mergeCell ref="C20:H20"/>
    <mergeCell ref="J20:K20"/>
    <mergeCell ref="A21:B21"/>
    <mergeCell ref="C21:H21"/>
    <mergeCell ref="J21:K21"/>
    <mergeCell ref="A14:B14"/>
    <mergeCell ref="C14:H14"/>
    <mergeCell ref="J14:K14"/>
    <mergeCell ref="A15:B15"/>
    <mergeCell ref="C15:H15"/>
    <mergeCell ref="J15:K15"/>
    <mergeCell ref="C27:H27"/>
    <mergeCell ref="A27:B27"/>
    <mergeCell ref="J27:K27"/>
    <mergeCell ref="C8:H8"/>
    <mergeCell ref="A9:B9"/>
    <mergeCell ref="C9:H9"/>
    <mergeCell ref="A1:K1"/>
    <mergeCell ref="A2:K2"/>
    <mergeCell ref="A5:K5"/>
    <mergeCell ref="J6:K6"/>
    <mergeCell ref="J7:K7"/>
    <mergeCell ref="J8:K8"/>
    <mergeCell ref="J9:K9"/>
    <mergeCell ref="A3:K3"/>
    <mergeCell ref="A4:K4"/>
    <mergeCell ref="A6:B6"/>
    <mergeCell ref="C6:H6"/>
    <mergeCell ref="A7:B7"/>
    <mergeCell ref="C7:H7"/>
    <mergeCell ref="A8:B8"/>
    <mergeCell ref="A18:B18"/>
    <mergeCell ref="C18:H18"/>
    <mergeCell ref="J18:K18"/>
    <mergeCell ref="A19:B19"/>
  </mergeCells>
  <conditionalFormatting sqref="A14:I16">
    <cfRule type="containsBlanks" dxfId="19" priority="8">
      <formula>LEN(TRIM(A14))=0</formula>
    </cfRule>
  </conditionalFormatting>
  <conditionalFormatting sqref="I7:I9">
    <cfRule type="containsBlanks" dxfId="18" priority="2">
      <formula>LEN(TRIM(I7))=0</formula>
    </cfRule>
  </conditionalFormatting>
  <conditionalFormatting sqref="J7:K9">
    <cfRule type="containsBlanks" dxfId="17" priority="3">
      <formula>LEN(TRIM(J7))=0</formula>
    </cfRule>
  </conditionalFormatting>
  <conditionalFormatting sqref="J14:K31">
    <cfRule type="containsBlanks" dxfId="16" priority="1">
      <formula>LEN(TRIM(J14))=0</formula>
    </cfRule>
  </conditionalFormatting>
  <conditionalFormatting sqref="J39:K57 E150">
    <cfRule type="containsBlanks" dxfId="15" priority="10">
      <formula>LEN(TRIM(E39))=0</formula>
    </cfRule>
  </conditionalFormatting>
  <pageMargins left="0.25" right="0.25" top="0.86458333333333337" bottom="0.75" header="0.3" footer="0.3"/>
  <pageSetup paperSize="9" orientation="portrait" r:id="rId1"/>
  <headerFooter>
    <oddHeader>&amp;LStatement of Work
(eSOW/Hardware) - JLR-TMP-557249&amp;C&amp;G&amp;RIssue Level 5.3
Effective Date: 9th June 2025</oddHeader>
    <oddFooter>&amp;L&amp;"JLR Emeric,Regular"&amp;10
Appendix C.
Standards and Support Documents&amp;C&amp;"JLR Emeric,Bold"&amp;10&amp;KFF0000PRINTED COPIES ARE UNCONTROLLED&amp;R&amp;"JLR Emeric,Regular"&amp;10&amp;P</oddFooter>
  </headerFooter>
  <rowBreaks count="4" manualBreakCount="4">
    <brk id="33" max="16383" man="1"/>
    <brk id="57" max="16383" man="1"/>
    <brk id="80" max="16383" man="1"/>
    <brk id="109" max="16383" man="1"/>
  </rowBreaks>
  <legacyDrawing r:id="rId2"/>
  <legacyDrawingHF r:id="rId3"/>
  <extLst>
    <ext xmlns:x14="http://schemas.microsoft.com/office/spreadsheetml/2009/9/main" uri="{CCE6A557-97BC-4b89-ADB6-D9C93CAAB3DF}">
      <x14:dataValidations xmlns:xm="http://schemas.microsoft.com/office/excel/2006/main" count="5">
        <x14:dataValidation type="list" allowBlank="1" showInputMessage="1" showErrorMessage="1" xr:uid="{DA1E49E3-5266-4225-A3B4-D54436E72384}">
          <x14:formula1>
            <xm:f>DATA_NEW!$A$21:$A$22</xm:f>
          </x14:formula1>
          <xm:sqref>J7:J9</xm:sqref>
        </x14:dataValidation>
        <x14:dataValidation type="list" allowBlank="1" showInputMessage="1" showErrorMessage="1" xr:uid="{241D7BAD-B636-4403-A4E2-246E7E0A21C1}">
          <x14:formula1>
            <xm:f>DATA_NEW!$A$29:$A$30</xm:f>
          </x14:formula1>
          <xm:sqref>J39:K57 J16:K31</xm:sqref>
        </x14:dataValidation>
        <x14:dataValidation type="list" allowBlank="1" showInputMessage="1" showErrorMessage="1" xr:uid="{11A6854E-8D1F-441A-8873-FF0B3B707605}">
          <x14:formula1>
            <xm:f>DATA_NEW!$A$21</xm:f>
          </x14:formula1>
          <xm:sqref>K83:K109 K112:K137 K62:K80</xm:sqref>
        </x14:dataValidation>
        <x14:dataValidation type="list" allowBlank="1" showInputMessage="1" showErrorMessage="1" xr:uid="{90B5A242-0D11-4FED-8B99-74D4C05C7AB1}">
          <x14:formula1>
            <xm:f>DATA_NEW!$J$33:$J$38</xm:f>
          </x14:formula1>
          <xm:sqref>C83:C109 C112:C137 C62:C80</xm:sqref>
        </x14:dataValidation>
        <x14:dataValidation type="list" allowBlank="1" showInputMessage="1" showErrorMessage="1" xr:uid="{9E5FB895-8EDB-44BA-8FC9-E7950F20A46A}">
          <x14:formula1>
            <xm:f>DATA_NEW!$J$29:$J$30</xm:f>
          </x14:formula1>
          <xm:sqref>C39:C57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9D78C-4CB9-48CA-9BF4-512CD811034E}">
  <sheetPr codeName="Sheet19">
    <tabColor rgb="FFFF0000"/>
  </sheetPr>
  <dimension ref="A1:L32"/>
  <sheetViews>
    <sheetView view="pageLayout" zoomScaleNormal="100" zoomScaleSheetLayoutView="100" workbookViewId="0">
      <selection activeCell="J21" sqref="J21:K21"/>
    </sheetView>
  </sheetViews>
  <sheetFormatPr defaultColWidth="8.88671875" defaultRowHeight="14.4" x14ac:dyDescent="0.3"/>
  <cols>
    <col min="1" max="1" width="10.6640625" customWidth="1"/>
    <col min="2" max="2" width="8.44140625" customWidth="1"/>
    <col min="3" max="3" width="28.33203125" customWidth="1"/>
    <col min="4" max="4" width="18" bestFit="1" customWidth="1"/>
    <col min="5" max="5" width="6.44140625" bestFit="1" customWidth="1"/>
    <col min="6" max="6" width="7.109375" bestFit="1" customWidth="1"/>
    <col min="7" max="7" width="6.5546875" bestFit="1" customWidth="1"/>
    <col min="8" max="8" width="10" customWidth="1"/>
    <col min="9" max="9" width="7" customWidth="1"/>
    <col min="10" max="10" width="9.5546875" bestFit="1" customWidth="1"/>
    <col min="11" max="11" width="7.6640625" customWidth="1"/>
    <col min="12" max="12" width="22.5546875" customWidth="1"/>
  </cols>
  <sheetData>
    <row r="1" spans="1:12" s="5" customFormat="1" ht="24" customHeight="1" x14ac:dyDescent="0.3">
      <c r="A1" s="407" t="s">
        <v>1487</v>
      </c>
      <c r="B1" s="407"/>
      <c r="C1" s="407"/>
      <c r="D1" s="407"/>
      <c r="E1" s="407"/>
      <c r="F1" s="407"/>
      <c r="G1" s="407"/>
      <c r="H1" s="407"/>
      <c r="I1" s="407"/>
      <c r="J1" s="407"/>
      <c r="K1" s="407"/>
      <c r="L1" s="407"/>
    </row>
    <row r="2" spans="1:12" ht="81.599999999999994" customHeight="1" x14ac:dyDescent="0.3">
      <c r="A2" s="648" t="s">
        <v>1488</v>
      </c>
      <c r="B2" s="648"/>
      <c r="C2" s="648"/>
      <c r="D2" s="648"/>
      <c r="E2" s="648"/>
      <c r="F2" s="648"/>
      <c r="G2" s="648"/>
      <c r="H2" s="648"/>
      <c r="I2" s="648"/>
      <c r="J2" s="648"/>
      <c r="K2" s="648"/>
      <c r="L2" s="648"/>
    </row>
    <row r="3" spans="1:12" ht="17.399999999999999" customHeight="1" x14ac:dyDescent="0.3">
      <c r="A3" s="649" t="s">
        <v>1489</v>
      </c>
      <c r="B3" s="306"/>
      <c r="C3" s="306"/>
      <c r="D3" s="306"/>
      <c r="E3" s="306"/>
      <c r="F3" s="306"/>
      <c r="G3" s="306"/>
      <c r="H3" s="306"/>
      <c r="I3" s="306"/>
      <c r="J3" s="306"/>
      <c r="K3" s="306"/>
      <c r="L3" s="306"/>
    </row>
    <row r="4" spans="1:12" ht="13.95" customHeight="1" x14ac:dyDescent="0.3">
      <c r="A4" s="196"/>
      <c r="B4" s="196"/>
      <c r="C4" s="196"/>
      <c r="D4" s="196"/>
      <c r="E4" s="196"/>
      <c r="F4" s="196"/>
      <c r="G4" s="196"/>
      <c r="H4" s="196"/>
      <c r="I4" s="196"/>
      <c r="J4" s="196"/>
      <c r="K4" s="196"/>
      <c r="L4" s="196"/>
    </row>
    <row r="5" spans="1:12" ht="26.4" customHeight="1" x14ac:dyDescent="0.3">
      <c r="A5" s="235" t="s">
        <v>1490</v>
      </c>
      <c r="B5" s="102" t="s">
        <v>1491</v>
      </c>
      <c r="C5" s="102" t="s">
        <v>1492</v>
      </c>
      <c r="D5" s="102" t="s">
        <v>1493</v>
      </c>
      <c r="E5" s="235" t="s">
        <v>1494</v>
      </c>
      <c r="F5" s="235" t="s">
        <v>1495</v>
      </c>
      <c r="G5" s="102" t="s">
        <v>1496</v>
      </c>
      <c r="H5" s="102" t="s">
        <v>1497</v>
      </c>
      <c r="I5" s="102" t="s">
        <v>1498</v>
      </c>
      <c r="J5" s="102" t="s">
        <v>1499</v>
      </c>
      <c r="K5" s="102" t="s">
        <v>1500</v>
      </c>
      <c r="L5" s="102" t="s">
        <v>1501</v>
      </c>
    </row>
    <row r="6" spans="1:12" s="3" customFormat="1" ht="31.95" customHeight="1" x14ac:dyDescent="0.3">
      <c r="A6" s="2" t="s">
        <v>51</v>
      </c>
      <c r="B6" s="231" t="s">
        <v>56</v>
      </c>
      <c r="C6" s="236" t="s">
        <v>1502</v>
      </c>
      <c r="D6" s="234" t="s">
        <v>1503</v>
      </c>
      <c r="E6" s="234" t="str">
        <f>MID(D6,1,4)</f>
        <v>Z7B2</v>
      </c>
      <c r="F6" s="234" t="str">
        <f>MID(D6,6,6)</f>
        <v>13A994</v>
      </c>
      <c r="G6" s="2" t="str">
        <f>MID(D6,13,3)</f>
        <v>AAW</v>
      </c>
      <c r="H6" s="234" t="s">
        <v>1504</v>
      </c>
      <c r="I6" s="2" t="s">
        <v>1505</v>
      </c>
      <c r="J6" s="2" t="s">
        <v>27</v>
      </c>
      <c r="K6" s="2" t="s">
        <v>30</v>
      </c>
      <c r="L6" s="2" t="s">
        <v>408</v>
      </c>
    </row>
    <row r="7" spans="1:12" s="3" customFormat="1" ht="31.95" customHeight="1" x14ac:dyDescent="0.3">
      <c r="A7" s="234"/>
      <c r="B7" s="231"/>
      <c r="C7" s="231"/>
      <c r="D7" s="2"/>
      <c r="E7" s="234"/>
      <c r="F7" s="234"/>
      <c r="G7" s="2"/>
      <c r="H7" s="234"/>
      <c r="I7" s="2"/>
      <c r="J7" s="2"/>
      <c r="K7" s="2"/>
      <c r="L7" s="2"/>
    </row>
    <row r="8" spans="1:12" s="3" customFormat="1" ht="31.95" customHeight="1" x14ac:dyDescent="0.3">
      <c r="A8" s="234"/>
      <c r="B8" s="231"/>
      <c r="C8" s="231"/>
      <c r="D8" s="2"/>
      <c r="E8" s="234"/>
      <c r="F8" s="234"/>
      <c r="G8" s="2"/>
      <c r="H8" s="234"/>
      <c r="I8" s="2"/>
      <c r="J8" s="2"/>
      <c r="K8" s="2"/>
      <c r="L8" s="2"/>
    </row>
    <row r="9" spans="1:12" s="3" customFormat="1" ht="31.95" customHeight="1" x14ac:dyDescent="0.3">
      <c r="A9" s="234"/>
      <c r="B9" s="231"/>
      <c r="C9" s="231"/>
      <c r="D9" s="2"/>
      <c r="E9" s="234"/>
      <c r="F9" s="234"/>
      <c r="G9" s="2"/>
      <c r="H9" s="234"/>
      <c r="I9" s="2"/>
      <c r="J9" s="2"/>
      <c r="K9" s="2"/>
      <c r="L9" s="2"/>
    </row>
    <row r="10" spans="1:12" s="3" customFormat="1" ht="31.95" customHeight="1" x14ac:dyDescent="0.3">
      <c r="A10" s="234"/>
      <c r="B10" s="231"/>
      <c r="C10" s="231"/>
      <c r="D10" s="2"/>
      <c r="E10" s="234"/>
      <c r="F10" s="234"/>
      <c r="G10" s="2"/>
      <c r="H10" s="234"/>
      <c r="I10" s="2"/>
      <c r="J10" s="2"/>
      <c r="K10" s="2"/>
      <c r="L10" s="2"/>
    </row>
    <row r="11" spans="1:12" s="3" customFormat="1" ht="31.95" customHeight="1" x14ac:dyDescent="0.3">
      <c r="A11" s="234"/>
      <c r="B11" s="231"/>
      <c r="C11" s="231"/>
      <c r="D11" s="2"/>
      <c r="E11" s="234"/>
      <c r="F11" s="234"/>
      <c r="G11" s="2"/>
      <c r="H11" s="234"/>
      <c r="I11" s="2"/>
      <c r="J11" s="2"/>
      <c r="K11" s="2"/>
      <c r="L11" s="2"/>
    </row>
    <row r="12" spans="1:12" s="3" customFormat="1" ht="31.95" customHeight="1" x14ac:dyDescent="0.3">
      <c r="A12" s="234"/>
      <c r="B12" s="2"/>
      <c r="C12" s="2"/>
      <c r="D12" s="2"/>
      <c r="E12" s="234"/>
      <c r="F12" s="234"/>
      <c r="G12" s="2"/>
      <c r="H12" s="2"/>
      <c r="I12" s="2"/>
      <c r="J12" s="2"/>
      <c r="K12" s="2"/>
      <c r="L12" s="2"/>
    </row>
    <row r="13" spans="1:12" s="3" customFormat="1" ht="31.95" customHeight="1" x14ac:dyDescent="0.3">
      <c r="A13" s="234"/>
      <c r="B13" s="2"/>
      <c r="C13" s="2"/>
      <c r="D13" s="2"/>
      <c r="E13" s="234"/>
      <c r="F13" s="234"/>
      <c r="G13" s="2"/>
      <c r="H13" s="2"/>
      <c r="I13" s="2"/>
      <c r="J13" s="2"/>
      <c r="K13" s="2"/>
      <c r="L13" s="2"/>
    </row>
    <row r="14" spans="1:12" s="3" customFormat="1" ht="31.95" customHeight="1" x14ac:dyDescent="0.3">
      <c r="A14" s="234"/>
      <c r="B14" s="2"/>
      <c r="C14" s="2"/>
      <c r="D14" s="2"/>
      <c r="E14" s="234"/>
      <c r="F14" s="234"/>
      <c r="G14" s="2"/>
      <c r="H14" s="2"/>
      <c r="I14" s="2"/>
      <c r="J14" s="2"/>
      <c r="K14" s="2"/>
      <c r="L14" s="2"/>
    </row>
    <row r="15" spans="1:12" ht="17.399999999999999" customHeight="1" x14ac:dyDescent="0.3">
      <c r="A15" s="649" t="s">
        <v>1506</v>
      </c>
      <c r="B15" s="306"/>
      <c r="C15" s="306"/>
      <c r="D15" s="306"/>
      <c r="E15" s="306"/>
      <c r="F15" s="306"/>
      <c r="G15" s="306"/>
      <c r="H15" s="306"/>
      <c r="I15" s="306"/>
      <c r="J15" s="306"/>
      <c r="K15" s="306"/>
      <c r="L15" s="306"/>
    </row>
    <row r="16" spans="1:12" ht="48" customHeight="1" x14ac:dyDescent="0.3">
      <c r="A16" s="650" t="s">
        <v>1507</v>
      </c>
      <c r="B16" s="651"/>
      <c r="C16" s="651"/>
      <c r="D16" s="651"/>
      <c r="E16" s="651"/>
      <c r="F16" s="651"/>
      <c r="G16" s="651"/>
      <c r="H16" s="651"/>
      <c r="I16" s="651"/>
      <c r="J16" s="651"/>
      <c r="K16" s="651"/>
      <c r="L16" s="651"/>
    </row>
    <row r="17" spans="1:12" ht="26.4" customHeight="1" x14ac:dyDescent="0.3">
      <c r="A17" s="197" t="s">
        <v>1493</v>
      </c>
      <c r="B17" s="645" t="s">
        <v>1508</v>
      </c>
      <c r="C17" s="646"/>
      <c r="D17" s="647"/>
      <c r="E17" s="645" t="s">
        <v>1509</v>
      </c>
      <c r="F17" s="652"/>
      <c r="G17" s="652"/>
      <c r="H17" s="195" t="s">
        <v>1510</v>
      </c>
      <c r="I17" s="197" t="s">
        <v>1511</v>
      </c>
      <c r="J17" s="636" t="s">
        <v>1512</v>
      </c>
      <c r="K17" s="637"/>
      <c r="L17" s="197" t="s">
        <v>1513</v>
      </c>
    </row>
    <row r="18" spans="1:12" s="3" customFormat="1" ht="47.4" customHeight="1" x14ac:dyDescent="0.3">
      <c r="A18" s="2" t="str">
        <f t="shared" ref="A18" si="0">D6</f>
        <v xml:space="preserve">Z7B2-13A994-AAW </v>
      </c>
      <c r="B18" s="634" t="s">
        <v>1514</v>
      </c>
      <c r="C18" s="635"/>
      <c r="D18" s="334"/>
      <c r="E18" s="634" t="s">
        <v>1514</v>
      </c>
      <c r="F18" s="635"/>
      <c r="G18" s="334"/>
      <c r="H18" s="194" t="s">
        <v>75</v>
      </c>
      <c r="I18" s="2"/>
      <c r="J18" s="635" t="s">
        <v>1514</v>
      </c>
      <c r="K18" s="334"/>
      <c r="L18" s="2"/>
    </row>
    <row r="19" spans="1:12" s="3" customFormat="1" ht="31.95" customHeight="1" x14ac:dyDescent="0.3">
      <c r="A19" s="2"/>
      <c r="B19" s="634"/>
      <c r="C19" s="635"/>
      <c r="D19" s="334"/>
      <c r="E19" s="634"/>
      <c r="F19" s="635"/>
      <c r="G19" s="334"/>
      <c r="H19" s="194"/>
      <c r="I19" s="2"/>
      <c r="J19" s="635"/>
      <c r="K19" s="334"/>
      <c r="L19" s="2"/>
    </row>
    <row r="20" spans="1:12" s="3" customFormat="1" ht="31.95" customHeight="1" x14ac:dyDescent="0.3">
      <c r="A20" s="2"/>
      <c r="B20" s="634"/>
      <c r="C20" s="635"/>
      <c r="D20" s="334"/>
      <c r="E20" s="634"/>
      <c r="F20" s="635"/>
      <c r="G20" s="334"/>
      <c r="H20" s="194"/>
      <c r="I20" s="2"/>
      <c r="J20" s="635"/>
      <c r="K20" s="334"/>
      <c r="L20" s="2"/>
    </row>
    <row r="21" spans="1:12" s="3" customFormat="1" ht="31.95" customHeight="1" x14ac:dyDescent="0.3">
      <c r="A21" s="2"/>
      <c r="B21" s="634"/>
      <c r="C21" s="635"/>
      <c r="D21" s="334"/>
      <c r="E21" s="634"/>
      <c r="F21" s="635"/>
      <c r="G21" s="334"/>
      <c r="H21" s="194"/>
      <c r="I21" s="2"/>
      <c r="J21" s="635"/>
      <c r="K21" s="334"/>
      <c r="L21" s="2"/>
    </row>
    <row r="22" spans="1:12" s="3" customFormat="1" ht="31.95" customHeight="1" x14ac:dyDescent="0.3">
      <c r="A22" s="2"/>
      <c r="B22" s="634"/>
      <c r="C22" s="635"/>
      <c r="D22" s="334"/>
      <c r="E22" s="634"/>
      <c r="F22" s="635"/>
      <c r="G22" s="334"/>
      <c r="H22" s="194"/>
      <c r="I22" s="2"/>
      <c r="J22" s="635"/>
      <c r="K22" s="334"/>
      <c r="L22" s="2"/>
    </row>
    <row r="23" spans="1:12" s="3" customFormat="1" ht="31.95" customHeight="1" x14ac:dyDescent="0.3">
      <c r="A23" s="2"/>
      <c r="B23" s="634"/>
      <c r="C23" s="635"/>
      <c r="D23" s="334"/>
      <c r="E23" s="634"/>
      <c r="F23" s="635"/>
      <c r="G23" s="334"/>
      <c r="H23" s="194"/>
      <c r="I23" s="2"/>
      <c r="J23" s="635"/>
      <c r="K23" s="334"/>
      <c r="L23" s="2"/>
    </row>
    <row r="24" spans="1:12" s="3" customFormat="1" ht="31.95" customHeight="1" x14ac:dyDescent="0.3">
      <c r="A24" s="2"/>
      <c r="B24" s="634"/>
      <c r="C24" s="635"/>
      <c r="D24" s="334"/>
      <c r="E24" s="634"/>
      <c r="F24" s="635"/>
      <c r="G24" s="334"/>
      <c r="H24" s="194"/>
      <c r="I24" s="2"/>
      <c r="J24" s="635"/>
      <c r="K24" s="334"/>
      <c r="L24" s="2"/>
    </row>
    <row r="25" spans="1:12" s="3" customFormat="1" ht="31.95" customHeight="1" x14ac:dyDescent="0.3">
      <c r="A25" s="2"/>
      <c r="B25" s="634"/>
      <c r="C25" s="635"/>
      <c r="D25" s="334"/>
      <c r="E25" s="634"/>
      <c r="F25" s="635"/>
      <c r="G25" s="334"/>
      <c r="H25" s="194"/>
      <c r="I25" s="2"/>
      <c r="J25" s="635"/>
      <c r="K25" s="334"/>
      <c r="L25" s="2"/>
    </row>
    <row r="26" spans="1:12" s="3" customFormat="1" ht="31.95" customHeight="1" x14ac:dyDescent="0.3">
      <c r="A26" s="2"/>
      <c r="B26" s="634"/>
      <c r="C26" s="635"/>
      <c r="D26" s="334"/>
      <c r="E26" s="634"/>
      <c r="F26" s="635"/>
      <c r="G26" s="334"/>
      <c r="H26" s="194"/>
      <c r="I26" s="2"/>
      <c r="J26" s="635"/>
      <c r="K26" s="334"/>
      <c r="L26" s="2"/>
    </row>
    <row r="28" spans="1:12" ht="15.6" x14ac:dyDescent="0.3">
      <c r="A28" s="649" t="s">
        <v>1515</v>
      </c>
      <c r="B28" s="306"/>
      <c r="C28" s="306"/>
      <c r="D28" s="306"/>
      <c r="E28" s="306"/>
      <c r="F28" s="306"/>
      <c r="G28" s="306"/>
      <c r="H28" s="306"/>
      <c r="I28" s="306"/>
      <c r="J28" s="306"/>
      <c r="K28" s="306"/>
      <c r="L28" s="306"/>
    </row>
    <row r="29" spans="1:12" s="118" customFormat="1" ht="14.4" customHeight="1" x14ac:dyDescent="0.3">
      <c r="A29" s="403" t="s">
        <v>1516</v>
      </c>
      <c r="B29" s="403"/>
      <c r="C29" s="403"/>
      <c r="D29" s="403"/>
      <c r="E29" s="403"/>
      <c r="F29" s="403"/>
      <c r="G29" s="403"/>
      <c r="H29" s="403"/>
      <c r="I29" s="403"/>
      <c r="J29" s="403"/>
      <c r="K29" s="403"/>
      <c r="L29" s="403"/>
    </row>
    <row r="30" spans="1:12" x14ac:dyDescent="0.3">
      <c r="A30" s="638"/>
      <c r="B30" s="639"/>
      <c r="C30" s="639"/>
      <c r="D30" s="639"/>
      <c r="E30" s="639"/>
      <c r="F30" s="639"/>
      <c r="G30" s="639"/>
      <c r="H30" s="639"/>
      <c r="I30" s="639"/>
      <c r="J30" s="639"/>
      <c r="K30" s="639"/>
      <c r="L30" s="640"/>
    </row>
    <row r="31" spans="1:12" x14ac:dyDescent="0.3">
      <c r="A31" s="641"/>
      <c r="B31" s="286"/>
      <c r="C31" s="286"/>
      <c r="D31" s="286"/>
      <c r="E31" s="286"/>
      <c r="F31" s="286"/>
      <c r="G31" s="286"/>
      <c r="H31" s="286"/>
      <c r="I31" s="286"/>
      <c r="J31" s="286"/>
      <c r="K31" s="286"/>
      <c r="L31" s="642"/>
    </row>
    <row r="32" spans="1:12" x14ac:dyDescent="0.3">
      <c r="A32" s="643"/>
      <c r="B32" s="532"/>
      <c r="C32" s="532"/>
      <c r="D32" s="532"/>
      <c r="E32" s="532"/>
      <c r="F32" s="532"/>
      <c r="G32" s="532"/>
      <c r="H32" s="532"/>
      <c r="I32" s="532"/>
      <c r="J32" s="532"/>
      <c r="K32" s="532"/>
      <c r="L32" s="644"/>
    </row>
  </sheetData>
  <mergeCells count="38">
    <mergeCell ref="A2:L2"/>
    <mergeCell ref="A1:L1"/>
    <mergeCell ref="A3:L3"/>
    <mergeCell ref="A15:L15"/>
    <mergeCell ref="A28:L28"/>
    <mergeCell ref="J18:K18"/>
    <mergeCell ref="J26:K26"/>
    <mergeCell ref="A16:L16"/>
    <mergeCell ref="E17:G17"/>
    <mergeCell ref="E18:G18"/>
    <mergeCell ref="E19:G19"/>
    <mergeCell ref="E20:G20"/>
    <mergeCell ref="E21:G21"/>
    <mergeCell ref="E22:G22"/>
    <mergeCell ref="E23:G23"/>
    <mergeCell ref="E24:G24"/>
    <mergeCell ref="A29:L29"/>
    <mergeCell ref="A30:L32"/>
    <mergeCell ref="B17:D17"/>
    <mergeCell ref="B18:D18"/>
    <mergeCell ref="B19:D19"/>
    <mergeCell ref="B20:D20"/>
    <mergeCell ref="B21:D21"/>
    <mergeCell ref="B22:D22"/>
    <mergeCell ref="B23:D23"/>
    <mergeCell ref="B24:D24"/>
    <mergeCell ref="B25:D25"/>
    <mergeCell ref="B26:D26"/>
    <mergeCell ref="J24:K24"/>
    <mergeCell ref="J25:K25"/>
    <mergeCell ref="J21:K21"/>
    <mergeCell ref="J22:K22"/>
    <mergeCell ref="E25:G25"/>
    <mergeCell ref="E26:G26"/>
    <mergeCell ref="J17:K17"/>
    <mergeCell ref="J19:K19"/>
    <mergeCell ref="J20:K20"/>
    <mergeCell ref="J23:K23"/>
  </mergeCells>
  <conditionalFormatting sqref="L1">
    <cfRule type="cellIs" dxfId="14" priority="1" operator="equal">
      <formula>0</formula>
    </cfRule>
  </conditionalFormatting>
  <pageMargins left="0.25" right="0.25" top="0.86458333333333337" bottom="0.75" header="0.3" footer="0.3"/>
  <pageSetup paperSize="9" orientation="landscape" r:id="rId1"/>
  <headerFooter>
    <oddHeader>&amp;LStatement of Work
(eSOW/Hardware) - JLR-TMP-557249&amp;C&amp;G&amp;RIssue Level 5.3
Effective Date: 9th June 2025</oddHeader>
    <oddFooter>&amp;L&amp;"JLR Emeric,Regular"&amp;10Appendix D.
Parts and Materials&amp;C&amp;"JLR Emeric,Bold"&amp;10&amp;KFF0000PRINTED COPIES ARE UNCONTROLLED&amp;R&amp;"JLR Emeric,Regular"&amp;10&amp;P</oddFooter>
  </headerFooter>
  <rowBreaks count="1" manualBreakCount="1">
    <brk id="14" max="16383" man="1"/>
  </rowBreaks>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AB1E6-CCA7-4F63-BABE-97C9D1E98EE6}">
  <sheetPr codeName="Sheet20">
    <tabColor rgb="FF0070C0"/>
  </sheetPr>
  <dimension ref="A1:Q19"/>
  <sheetViews>
    <sheetView view="pageLayout" zoomScale="85" zoomScaleNormal="100" zoomScaleSheetLayoutView="100" zoomScalePageLayoutView="85" workbookViewId="0">
      <selection activeCell="D1" sqref="D1:H1"/>
    </sheetView>
  </sheetViews>
  <sheetFormatPr defaultColWidth="8.88671875" defaultRowHeight="24.75" customHeight="1" x14ac:dyDescent="0.3"/>
  <cols>
    <col min="9" max="9" width="1" customWidth="1"/>
    <col min="17" max="17" width="7.6640625" customWidth="1"/>
  </cols>
  <sheetData>
    <row r="1" spans="1:17" s="200" customFormat="1" ht="19.95" customHeight="1" x14ac:dyDescent="0.4">
      <c r="A1" s="672" t="s">
        <v>1517</v>
      </c>
      <c r="B1" s="673"/>
      <c r="C1" s="673"/>
      <c r="D1" s="675" t="s">
        <v>1503</v>
      </c>
      <c r="E1" s="675"/>
      <c r="F1" s="675"/>
      <c r="G1" s="675"/>
      <c r="H1" s="676"/>
      <c r="J1" s="677" t="s">
        <v>1518</v>
      </c>
      <c r="K1" s="678"/>
      <c r="L1" s="678"/>
      <c r="M1" s="678"/>
      <c r="N1" s="678"/>
      <c r="O1" s="678"/>
      <c r="P1" s="678"/>
      <c r="Q1" s="679"/>
    </row>
    <row r="2" spans="1:17" ht="24.75" customHeight="1" x14ac:dyDescent="0.3">
      <c r="A2" s="656" t="e" vm="1">
        <v>#VALUE!</v>
      </c>
      <c r="B2" s="657"/>
      <c r="C2" s="657"/>
      <c r="D2" s="657"/>
      <c r="E2" s="657"/>
      <c r="F2" s="657"/>
      <c r="G2" s="657"/>
      <c r="H2" s="658"/>
      <c r="J2" s="670" t="s">
        <v>1490</v>
      </c>
      <c r="K2" s="671"/>
      <c r="L2" s="524" t="s">
        <v>1519</v>
      </c>
      <c r="M2" s="526"/>
      <c r="N2" s="670" t="s">
        <v>1491</v>
      </c>
      <c r="O2" s="671"/>
      <c r="P2" s="669" t="s">
        <v>56</v>
      </c>
      <c r="Q2" s="526"/>
    </row>
    <row r="3" spans="1:17" ht="24.75" customHeight="1" x14ac:dyDescent="0.3">
      <c r="A3" s="659"/>
      <c r="B3" s="660"/>
      <c r="C3" s="660"/>
      <c r="D3" s="660"/>
      <c r="E3" s="660"/>
      <c r="F3" s="660"/>
      <c r="G3" s="660"/>
      <c r="H3" s="661"/>
      <c r="J3" s="665" t="s">
        <v>1520</v>
      </c>
      <c r="K3" s="666"/>
      <c r="L3" s="524" t="s">
        <v>27</v>
      </c>
      <c r="M3" s="526"/>
      <c r="N3" s="665" t="s">
        <v>1521</v>
      </c>
      <c r="O3" s="666"/>
      <c r="P3" s="524" t="s">
        <v>1522</v>
      </c>
      <c r="Q3" s="526"/>
    </row>
    <row r="4" spans="1:17" s="3" customFormat="1" ht="24.75" customHeight="1" x14ac:dyDescent="0.3">
      <c r="A4" s="659"/>
      <c r="B4" s="660"/>
      <c r="C4" s="660"/>
      <c r="D4" s="660"/>
      <c r="E4" s="660"/>
      <c r="F4" s="660"/>
      <c r="G4" s="660"/>
      <c r="H4" s="661"/>
      <c r="J4" s="665" t="s">
        <v>1523</v>
      </c>
      <c r="K4" s="666"/>
      <c r="L4" s="524" t="s">
        <v>75</v>
      </c>
      <c r="M4" s="525"/>
      <c r="N4" s="525"/>
      <c r="O4" s="525"/>
      <c r="P4" s="525"/>
      <c r="Q4" s="526"/>
    </row>
    <row r="5" spans="1:17" s="3" customFormat="1" ht="24.75" customHeight="1" x14ac:dyDescent="0.3">
      <c r="A5" s="659"/>
      <c r="B5" s="660"/>
      <c r="C5" s="660"/>
      <c r="D5" s="660"/>
      <c r="E5" s="660"/>
      <c r="F5" s="660"/>
      <c r="G5" s="660"/>
      <c r="H5" s="661"/>
      <c r="J5" s="665" t="s">
        <v>1524</v>
      </c>
      <c r="K5" s="666"/>
      <c r="L5" s="524" t="str">
        <f>D1</f>
        <v xml:space="preserve">Z7B2-13A994-AAW </v>
      </c>
      <c r="M5" s="525"/>
      <c r="N5" s="525"/>
      <c r="O5" s="525"/>
      <c r="P5" s="525"/>
      <c r="Q5" s="526"/>
    </row>
    <row r="6" spans="1:17" s="3" customFormat="1" ht="24.75" customHeight="1" x14ac:dyDescent="0.3">
      <c r="A6" s="659"/>
      <c r="B6" s="660"/>
      <c r="C6" s="660"/>
      <c r="D6" s="660"/>
      <c r="E6" s="660"/>
      <c r="F6" s="660"/>
      <c r="G6" s="660"/>
      <c r="H6" s="661"/>
      <c r="J6" s="665" t="s">
        <v>1525</v>
      </c>
      <c r="K6" s="666"/>
      <c r="L6" s="669" t="s">
        <v>1502</v>
      </c>
      <c r="M6" s="525"/>
      <c r="N6" s="525"/>
      <c r="O6" s="525"/>
      <c r="P6" s="525"/>
      <c r="Q6" s="526"/>
    </row>
    <row r="7" spans="1:17" s="3" customFormat="1" ht="24.75" customHeight="1" x14ac:dyDescent="0.3">
      <c r="A7" s="659"/>
      <c r="B7" s="660"/>
      <c r="C7" s="660"/>
      <c r="D7" s="660"/>
      <c r="E7" s="660"/>
      <c r="F7" s="660"/>
      <c r="G7" s="660"/>
      <c r="H7" s="661"/>
      <c r="J7" s="665" t="s">
        <v>1526</v>
      </c>
      <c r="K7" s="666"/>
      <c r="L7" s="524" t="s">
        <v>1527</v>
      </c>
      <c r="M7" s="525"/>
      <c r="N7" s="525"/>
      <c r="O7" s="525"/>
      <c r="P7" s="525"/>
      <c r="Q7" s="526"/>
    </row>
    <row r="8" spans="1:17" s="3" customFormat="1" ht="24.75" customHeight="1" x14ac:dyDescent="0.3">
      <c r="A8" s="659"/>
      <c r="B8" s="660"/>
      <c r="C8" s="660"/>
      <c r="D8" s="660"/>
      <c r="E8" s="660"/>
      <c r="F8" s="660"/>
      <c r="G8" s="660"/>
      <c r="H8" s="661"/>
      <c r="J8" s="665" t="s">
        <v>1528</v>
      </c>
      <c r="K8" s="666"/>
      <c r="L8" s="674">
        <v>0.10970000000000001</v>
      </c>
      <c r="M8" s="525"/>
      <c r="N8" s="525"/>
      <c r="O8" s="525"/>
      <c r="P8" s="525"/>
      <c r="Q8" s="526"/>
    </row>
    <row r="9" spans="1:17" s="3" customFormat="1" ht="24.75" customHeight="1" x14ac:dyDescent="0.3">
      <c r="A9" s="659"/>
      <c r="B9" s="660"/>
      <c r="C9" s="660"/>
      <c r="D9" s="660"/>
      <c r="E9" s="660"/>
      <c r="F9" s="660"/>
      <c r="G9" s="660"/>
      <c r="H9" s="661"/>
      <c r="J9" s="665" t="s">
        <v>1529</v>
      </c>
      <c r="K9" s="666"/>
      <c r="L9" s="524">
        <v>10945</v>
      </c>
      <c r="M9" s="525"/>
      <c r="N9" s="525"/>
      <c r="O9" s="525"/>
      <c r="P9" s="525"/>
      <c r="Q9" s="526"/>
    </row>
    <row r="10" spans="1:17" s="3" customFormat="1" ht="24.75" customHeight="1" x14ac:dyDescent="0.3">
      <c r="A10" s="659"/>
      <c r="B10" s="660"/>
      <c r="C10" s="660"/>
      <c r="D10" s="660"/>
      <c r="E10" s="660"/>
      <c r="F10" s="660"/>
      <c r="G10" s="660"/>
      <c r="H10" s="661"/>
      <c r="J10" s="665" t="s">
        <v>1530</v>
      </c>
      <c r="K10" s="666"/>
      <c r="L10" s="524" t="s">
        <v>1531</v>
      </c>
      <c r="M10" s="525"/>
      <c r="N10" s="525"/>
      <c r="O10" s="525"/>
      <c r="P10" s="525"/>
      <c r="Q10" s="526"/>
    </row>
    <row r="11" spans="1:17" s="3" customFormat="1" ht="24.75" customHeight="1" x14ac:dyDescent="0.3">
      <c r="A11" s="659"/>
      <c r="B11" s="660"/>
      <c r="C11" s="660"/>
      <c r="D11" s="660"/>
      <c r="E11" s="660"/>
      <c r="F11" s="660"/>
      <c r="G11" s="660"/>
      <c r="H11" s="661"/>
      <c r="J11" s="665" t="s">
        <v>1532</v>
      </c>
      <c r="K11" s="666"/>
      <c r="L11" s="524">
        <v>1</v>
      </c>
      <c r="M11" s="525"/>
      <c r="N11" s="525"/>
      <c r="O11" s="525"/>
      <c r="P11" s="525"/>
      <c r="Q11" s="526"/>
    </row>
    <row r="12" spans="1:17" s="3" customFormat="1" ht="24.75" customHeight="1" x14ac:dyDescent="0.3">
      <c r="A12" s="659"/>
      <c r="B12" s="660"/>
      <c r="C12" s="660"/>
      <c r="D12" s="660"/>
      <c r="E12" s="660"/>
      <c r="F12" s="660"/>
      <c r="G12" s="660"/>
      <c r="H12" s="661"/>
      <c r="J12" s="665" t="s">
        <v>1533</v>
      </c>
      <c r="K12" s="666"/>
      <c r="L12" s="524" t="s">
        <v>1514</v>
      </c>
      <c r="M12" s="525"/>
      <c r="N12" s="525"/>
      <c r="O12" s="525"/>
      <c r="P12" s="525"/>
      <c r="Q12" s="526"/>
    </row>
    <row r="13" spans="1:17" ht="24.75" customHeight="1" x14ac:dyDescent="0.3">
      <c r="A13" s="659"/>
      <c r="B13" s="660"/>
      <c r="C13" s="660"/>
      <c r="D13" s="660"/>
      <c r="E13" s="660"/>
      <c r="F13" s="660"/>
      <c r="G13" s="660"/>
      <c r="H13" s="661"/>
      <c r="J13" s="665" t="s">
        <v>1534</v>
      </c>
      <c r="K13" s="666"/>
      <c r="L13" s="524" t="s">
        <v>1514</v>
      </c>
      <c r="M13" s="525"/>
      <c r="N13" s="525"/>
      <c r="O13" s="525"/>
      <c r="P13" s="525"/>
      <c r="Q13" s="526"/>
    </row>
    <row r="14" spans="1:17" ht="24.75" customHeight="1" x14ac:dyDescent="0.3">
      <c r="A14" s="659"/>
      <c r="B14" s="660"/>
      <c r="C14" s="660"/>
      <c r="D14" s="660"/>
      <c r="E14" s="660"/>
      <c r="F14" s="660"/>
      <c r="G14" s="660"/>
      <c r="H14" s="661"/>
      <c r="J14" s="665" t="s">
        <v>1535</v>
      </c>
      <c r="K14" s="666"/>
      <c r="L14" s="524" t="s">
        <v>75</v>
      </c>
      <c r="M14" s="525"/>
      <c r="N14" s="525"/>
      <c r="O14" s="525"/>
      <c r="P14" s="525"/>
      <c r="Q14" s="526"/>
    </row>
    <row r="15" spans="1:17" s="118" customFormat="1" ht="24.75" customHeight="1" x14ac:dyDescent="0.3">
      <c r="A15" s="659"/>
      <c r="B15" s="660"/>
      <c r="C15" s="660"/>
      <c r="D15" s="660"/>
      <c r="E15" s="660"/>
      <c r="F15" s="660"/>
      <c r="G15" s="660"/>
      <c r="H15" s="661"/>
      <c r="J15" s="665" t="s">
        <v>1536</v>
      </c>
      <c r="K15" s="666"/>
      <c r="L15" s="524" t="s">
        <v>1514</v>
      </c>
      <c r="M15" s="525"/>
      <c r="N15" s="525"/>
      <c r="O15" s="525"/>
      <c r="P15" s="525"/>
      <c r="Q15" s="526"/>
    </row>
    <row r="16" spans="1:17" ht="24.75" customHeight="1" x14ac:dyDescent="0.3">
      <c r="A16" s="659"/>
      <c r="B16" s="660"/>
      <c r="C16" s="660"/>
      <c r="D16" s="660"/>
      <c r="E16" s="660"/>
      <c r="F16" s="660"/>
      <c r="G16" s="660"/>
      <c r="H16" s="661"/>
      <c r="J16" s="665" t="s">
        <v>1537</v>
      </c>
      <c r="K16" s="666"/>
      <c r="L16" s="524" t="s">
        <v>1514</v>
      </c>
      <c r="M16" s="525"/>
      <c r="N16" s="525"/>
      <c r="O16" s="525"/>
      <c r="P16" s="525"/>
      <c r="Q16" s="526"/>
    </row>
    <row r="17" spans="1:17" ht="24.75" customHeight="1" x14ac:dyDescent="0.3">
      <c r="A17" s="659"/>
      <c r="B17" s="660"/>
      <c r="C17" s="660"/>
      <c r="D17" s="660"/>
      <c r="E17" s="660"/>
      <c r="F17" s="660"/>
      <c r="G17" s="660"/>
      <c r="H17" s="661"/>
      <c r="J17" s="665" t="s">
        <v>1538</v>
      </c>
      <c r="K17" s="666"/>
      <c r="L17" s="524" t="s">
        <v>1514</v>
      </c>
      <c r="M17" s="525"/>
      <c r="N17" s="525"/>
      <c r="O17" s="525"/>
      <c r="P17" s="525"/>
      <c r="Q17" s="526"/>
    </row>
    <row r="18" spans="1:17" ht="24.6" customHeight="1" x14ac:dyDescent="0.3">
      <c r="A18" s="662"/>
      <c r="B18" s="663"/>
      <c r="C18" s="663"/>
      <c r="D18" s="663"/>
      <c r="E18" s="663"/>
      <c r="F18" s="663"/>
      <c r="G18" s="663"/>
      <c r="H18" s="664"/>
      <c r="J18" s="665" t="s">
        <v>1539</v>
      </c>
      <c r="K18" s="666"/>
      <c r="L18" s="524" t="s">
        <v>1514</v>
      </c>
      <c r="M18" s="525"/>
      <c r="N18" s="525"/>
      <c r="O18" s="525"/>
      <c r="P18" s="525"/>
      <c r="Q18" s="526"/>
    </row>
    <row r="19" spans="1:17" ht="24.6" customHeight="1" x14ac:dyDescent="0.3">
      <c r="A19" s="653" t="s">
        <v>1540</v>
      </c>
      <c r="B19" s="654"/>
      <c r="C19" s="654"/>
      <c r="D19" s="655"/>
      <c r="E19" s="655"/>
      <c r="F19" s="655"/>
      <c r="G19" s="655"/>
      <c r="H19" s="655"/>
      <c r="J19" s="667" t="s">
        <v>1541</v>
      </c>
      <c r="K19" s="667"/>
      <c r="L19" s="668" t="s">
        <v>75</v>
      </c>
      <c r="M19" s="668"/>
      <c r="N19" s="668"/>
      <c r="O19" s="668"/>
      <c r="P19" s="668"/>
      <c r="Q19" s="668"/>
    </row>
  </sheetData>
  <mergeCells count="46">
    <mergeCell ref="A1:C1"/>
    <mergeCell ref="L10:Q10"/>
    <mergeCell ref="L11:Q11"/>
    <mergeCell ref="L12:Q12"/>
    <mergeCell ref="L13:Q13"/>
    <mergeCell ref="L5:Q5"/>
    <mergeCell ref="L6:Q6"/>
    <mergeCell ref="L7:Q7"/>
    <mergeCell ref="L8:Q8"/>
    <mergeCell ref="L9:Q9"/>
    <mergeCell ref="J10:K10"/>
    <mergeCell ref="J11:K11"/>
    <mergeCell ref="D1:H1"/>
    <mergeCell ref="J1:Q1"/>
    <mergeCell ref="J7:K7"/>
    <mergeCell ref="J8:K8"/>
    <mergeCell ref="P2:Q2"/>
    <mergeCell ref="L4:Q4"/>
    <mergeCell ref="J3:K3"/>
    <mergeCell ref="J2:K2"/>
    <mergeCell ref="L17:Q17"/>
    <mergeCell ref="J12:K12"/>
    <mergeCell ref="J13:K13"/>
    <mergeCell ref="N3:O3"/>
    <mergeCell ref="L3:M3"/>
    <mergeCell ref="J9:K9"/>
    <mergeCell ref="J4:K4"/>
    <mergeCell ref="J5:K5"/>
    <mergeCell ref="L2:M2"/>
    <mergeCell ref="N2:O2"/>
    <mergeCell ref="L18:Q18"/>
    <mergeCell ref="A19:C19"/>
    <mergeCell ref="D19:H19"/>
    <mergeCell ref="A2:H18"/>
    <mergeCell ref="L14:Q14"/>
    <mergeCell ref="L15:Q15"/>
    <mergeCell ref="J16:K16"/>
    <mergeCell ref="J17:K17"/>
    <mergeCell ref="J18:K18"/>
    <mergeCell ref="J19:K19"/>
    <mergeCell ref="L19:Q19"/>
    <mergeCell ref="J14:K14"/>
    <mergeCell ref="J15:K15"/>
    <mergeCell ref="P3:Q3"/>
    <mergeCell ref="J6:K6"/>
    <mergeCell ref="L16:Q16"/>
  </mergeCells>
  <conditionalFormatting sqref="L2:M3 P2:Q3">
    <cfRule type="containsBlanks" dxfId="13" priority="61">
      <formula>LEN(TRIM(L2))=0</formula>
    </cfRule>
  </conditionalFormatting>
  <conditionalFormatting sqref="L4:Q19">
    <cfRule type="containsBlanks" dxfId="12" priority="7">
      <formula>LEN(TRIM(L4))=0</formula>
    </cfRule>
  </conditionalFormatting>
  <pageMargins left="0.25" right="0.25" top="0.86458333333333337" bottom="0.75" header="0.3" footer="0.3"/>
  <pageSetup paperSize="9" orientation="landscape" r:id="rId1"/>
  <headerFooter>
    <oddHeader>&amp;LStatement of Work
(eSOW/Hardware) - JLR-TMP-557249&amp;C&amp;G&amp;RIssue Level 5.3
Effective Date: 9th June 2025</oddHeader>
    <oddFooter>&amp;L&amp;"JLR Emeric,Regular"&amp;10Appendix Di.
Cost Pack Template&amp;C&amp;"JLR Emeric,Bold"&amp;10&amp;KFF0000PRINTED COPIES ARE UNCONTROLLED&amp;R&amp;"JLR Emeric,Regular"&amp;10&amp;P</oddFooter>
  </headerFooter>
  <legacyDrawingHF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54480-5E2E-46DA-89EE-AD4CD75277F9}">
  <sheetPr codeName="Sheet21">
    <tabColor rgb="FF0070C0"/>
  </sheetPr>
  <dimension ref="A1:K149"/>
  <sheetViews>
    <sheetView view="pageLayout" zoomScaleNormal="100" zoomScaleSheetLayoutView="100" workbookViewId="0">
      <selection sqref="A1:K1"/>
    </sheetView>
  </sheetViews>
  <sheetFormatPr defaultColWidth="8.88671875" defaultRowHeight="14.4" x14ac:dyDescent="0.3"/>
  <cols>
    <col min="1" max="1" width="8.88671875" customWidth="1"/>
  </cols>
  <sheetData>
    <row r="1" spans="1:11" ht="27.6" customHeight="1" x14ac:dyDescent="0.3">
      <c r="A1" s="407" t="s">
        <v>1542</v>
      </c>
      <c r="B1" s="407"/>
      <c r="C1" s="407"/>
      <c r="D1" s="407"/>
      <c r="E1" s="407"/>
      <c r="F1" s="407"/>
      <c r="G1" s="407"/>
      <c r="H1" s="407"/>
      <c r="I1" s="407"/>
      <c r="J1" s="407"/>
      <c r="K1" s="407"/>
    </row>
    <row r="2" spans="1:11" ht="177.6" customHeight="1" x14ac:dyDescent="0.3">
      <c r="A2" s="257" t="s">
        <v>1543</v>
      </c>
      <c r="B2" s="351"/>
      <c r="C2" s="351"/>
      <c r="D2" s="351"/>
      <c r="E2" s="351"/>
      <c r="F2" s="351"/>
      <c r="G2" s="351"/>
      <c r="H2" s="351"/>
      <c r="I2" s="351"/>
      <c r="J2" s="351"/>
      <c r="K2" s="351"/>
    </row>
    <row r="4" spans="1:11" ht="15.6" x14ac:dyDescent="0.3">
      <c r="A4" s="306" t="s">
        <v>1544</v>
      </c>
      <c r="B4" s="306"/>
      <c r="C4" s="306"/>
      <c r="D4" s="306"/>
      <c r="E4" s="306"/>
      <c r="F4" s="306"/>
      <c r="G4" s="306"/>
      <c r="H4" s="306"/>
      <c r="I4" s="306"/>
      <c r="J4" s="306"/>
      <c r="K4" s="306"/>
    </row>
    <row r="5" spans="1:11" ht="18" customHeight="1" x14ac:dyDescent="0.3">
      <c r="A5" s="346" t="s">
        <v>1545</v>
      </c>
      <c r="B5" s="346"/>
      <c r="C5" s="346"/>
      <c r="D5" s="346"/>
      <c r="E5" s="346"/>
      <c r="F5" s="346"/>
      <c r="G5" s="346"/>
      <c r="H5" s="346"/>
      <c r="I5" s="346"/>
      <c r="J5" s="346"/>
      <c r="K5" s="346"/>
    </row>
    <row r="6" spans="1:11" x14ac:dyDescent="0.3">
      <c r="A6" s="112" t="s">
        <v>1546</v>
      </c>
      <c r="B6" s="113"/>
      <c r="C6" s="693" t="s">
        <v>1547</v>
      </c>
      <c r="D6" s="693"/>
      <c r="E6" s="693"/>
      <c r="F6" s="693"/>
      <c r="G6" s="113"/>
      <c r="H6" s="113"/>
      <c r="I6" s="113"/>
      <c r="J6" s="113"/>
      <c r="K6" s="114"/>
    </row>
    <row r="7" spans="1:11" x14ac:dyDescent="0.3">
      <c r="A7" s="98" t="s">
        <v>857</v>
      </c>
      <c r="B7" s="431" t="s">
        <v>1548</v>
      </c>
      <c r="C7" s="431"/>
      <c r="D7" s="431"/>
      <c r="E7" s="431"/>
      <c r="F7" s="431"/>
      <c r="G7" s="98" t="s">
        <v>1549</v>
      </c>
      <c r="H7" s="431" t="s">
        <v>1550</v>
      </c>
      <c r="I7" s="431"/>
      <c r="J7" s="431" t="s">
        <v>1551</v>
      </c>
      <c r="K7" s="431"/>
    </row>
    <row r="8" spans="1:11" x14ac:dyDescent="0.3">
      <c r="A8" s="86">
        <v>1</v>
      </c>
      <c r="B8" s="577"/>
      <c r="C8" s="577"/>
      <c r="D8" s="577"/>
      <c r="E8" s="577"/>
      <c r="F8" s="577"/>
      <c r="G8" s="86"/>
      <c r="H8" s="577"/>
      <c r="I8" s="577"/>
      <c r="J8" s="577"/>
      <c r="K8" s="577"/>
    </row>
    <row r="9" spans="1:11" x14ac:dyDescent="0.3">
      <c r="A9" s="86">
        <v>2</v>
      </c>
      <c r="B9" s="577"/>
      <c r="C9" s="577"/>
      <c r="D9" s="577"/>
      <c r="E9" s="577"/>
      <c r="F9" s="577"/>
      <c r="G9" s="86"/>
      <c r="H9" s="577"/>
      <c r="I9" s="577"/>
      <c r="J9" s="577"/>
      <c r="K9" s="577"/>
    </row>
    <row r="10" spans="1:11" x14ac:dyDescent="0.3">
      <c r="A10" s="86">
        <v>3</v>
      </c>
      <c r="B10" s="577"/>
      <c r="C10" s="577"/>
      <c r="D10" s="577"/>
      <c r="E10" s="577"/>
      <c r="F10" s="577"/>
      <c r="G10" s="86"/>
      <c r="H10" s="577"/>
      <c r="I10" s="577"/>
      <c r="J10" s="577"/>
      <c r="K10" s="577"/>
    </row>
    <row r="11" spans="1:11" x14ac:dyDescent="0.3">
      <c r="A11" s="111"/>
      <c r="B11" s="111"/>
      <c r="C11" s="111"/>
      <c r="D11" s="111"/>
      <c r="E11" s="111"/>
      <c r="F11" s="111"/>
      <c r="G11" s="111"/>
      <c r="H11" s="111"/>
      <c r="I11" s="111"/>
      <c r="J11" s="111"/>
      <c r="K11" s="111"/>
    </row>
    <row r="12" spans="1:11" x14ac:dyDescent="0.3">
      <c r="A12" s="115" t="s">
        <v>1546</v>
      </c>
      <c r="B12" s="113"/>
      <c r="C12" s="694" t="s">
        <v>457</v>
      </c>
      <c r="D12" s="694"/>
      <c r="E12" s="694"/>
      <c r="F12" s="694"/>
      <c r="G12" s="113"/>
      <c r="H12" s="113"/>
      <c r="I12" s="113"/>
      <c r="J12" s="113"/>
      <c r="K12" s="114"/>
    </row>
    <row r="13" spans="1:11" x14ac:dyDescent="0.3">
      <c r="A13" s="98" t="s">
        <v>857</v>
      </c>
      <c r="B13" s="339" t="s">
        <v>1548</v>
      </c>
      <c r="C13" s="635"/>
      <c r="D13" s="334"/>
      <c r="E13" s="339" t="s">
        <v>1552</v>
      </c>
      <c r="F13" s="635"/>
      <c r="G13" s="334"/>
      <c r="H13" s="431" t="s">
        <v>1550</v>
      </c>
      <c r="I13" s="431"/>
      <c r="J13" s="431" t="s">
        <v>1551</v>
      </c>
      <c r="K13" s="431"/>
    </row>
    <row r="14" spans="1:11" ht="15" customHeight="1" x14ac:dyDescent="0.3">
      <c r="A14" s="86">
        <v>1</v>
      </c>
      <c r="B14" s="310" t="s">
        <v>1703</v>
      </c>
      <c r="C14" s="635"/>
      <c r="D14" s="334"/>
      <c r="E14" s="690" t="s">
        <v>1705</v>
      </c>
      <c r="F14" s="691"/>
      <c r="G14" s="692"/>
      <c r="H14" s="310"/>
      <c r="I14" s="311"/>
      <c r="J14" s="577"/>
      <c r="K14" s="577"/>
    </row>
    <row r="15" spans="1:11" ht="15" customHeight="1" x14ac:dyDescent="0.3">
      <c r="A15" s="86">
        <v>2</v>
      </c>
      <c r="B15" s="310" t="s">
        <v>1553</v>
      </c>
      <c r="C15" s="635"/>
      <c r="D15" s="334"/>
      <c r="E15" s="690" t="s">
        <v>1554</v>
      </c>
      <c r="F15" s="691"/>
      <c r="G15" s="692"/>
      <c r="H15" s="310"/>
      <c r="I15" s="311"/>
      <c r="J15" s="577"/>
      <c r="K15" s="577"/>
    </row>
    <row r="16" spans="1:11" ht="15" customHeight="1" x14ac:dyDescent="0.3">
      <c r="A16" s="86">
        <v>3</v>
      </c>
      <c r="B16" s="310" t="s">
        <v>43</v>
      </c>
      <c r="C16" s="635"/>
      <c r="D16" s="334"/>
      <c r="E16" s="690" t="s">
        <v>1555</v>
      </c>
      <c r="F16" s="691"/>
      <c r="G16" s="692"/>
      <c r="H16" s="310"/>
      <c r="I16" s="311"/>
      <c r="J16" s="577"/>
      <c r="K16" s="577"/>
    </row>
    <row r="18" spans="1:11" ht="15.6" x14ac:dyDescent="0.3">
      <c r="A18" s="306" t="s">
        <v>1556</v>
      </c>
      <c r="B18" s="306"/>
      <c r="C18" s="306"/>
      <c r="D18" s="306"/>
      <c r="E18" s="306"/>
      <c r="F18" s="306"/>
      <c r="G18" s="306"/>
      <c r="H18" s="306"/>
      <c r="I18" s="306"/>
      <c r="J18" s="306"/>
      <c r="K18" s="306"/>
    </row>
    <row r="20" spans="1:11" x14ac:dyDescent="0.3">
      <c r="A20" s="684" t="s">
        <v>1557</v>
      </c>
      <c r="B20" s="684"/>
      <c r="C20" s="684"/>
      <c r="D20" s="684"/>
      <c r="E20" s="684"/>
      <c r="F20" s="684"/>
      <c r="G20" s="684"/>
      <c r="H20" s="684"/>
      <c r="I20" s="684"/>
      <c r="J20" s="684"/>
      <c r="K20" s="684"/>
    </row>
    <row r="21" spans="1:11" x14ac:dyDescent="0.3">
      <c r="A21" s="685" t="s">
        <v>702</v>
      </c>
      <c r="B21" s="685"/>
      <c r="C21" s="685"/>
      <c r="D21" s="116" t="s">
        <v>1549</v>
      </c>
      <c r="E21" s="685" t="s">
        <v>1558</v>
      </c>
      <c r="F21" s="685"/>
      <c r="G21" s="685"/>
      <c r="H21" s="685" t="s">
        <v>1559</v>
      </c>
      <c r="I21" s="685"/>
      <c r="J21" s="685" t="s">
        <v>1560</v>
      </c>
      <c r="K21" s="685"/>
    </row>
    <row r="22" spans="1:11" ht="31.95" customHeight="1" x14ac:dyDescent="0.3">
      <c r="A22" s="271" t="s">
        <v>1703</v>
      </c>
      <c r="B22" s="272"/>
      <c r="C22" s="273"/>
      <c r="D22" s="37" t="s">
        <v>1704</v>
      </c>
      <c r="E22" s="687" t="s">
        <v>1705</v>
      </c>
      <c r="F22" s="688"/>
      <c r="G22" s="689"/>
      <c r="H22" s="456" t="s">
        <v>1561</v>
      </c>
      <c r="I22" s="456"/>
      <c r="J22" s="456"/>
      <c r="K22" s="456"/>
    </row>
    <row r="23" spans="1:11" ht="31.95" customHeight="1" x14ac:dyDescent="0.3">
      <c r="A23" s="271" t="s">
        <v>1562</v>
      </c>
      <c r="B23" s="272"/>
      <c r="C23" s="273"/>
      <c r="D23" s="37" t="s">
        <v>1563</v>
      </c>
      <c r="E23" s="687" t="s">
        <v>1554</v>
      </c>
      <c r="F23" s="688"/>
      <c r="G23" s="689"/>
      <c r="H23" s="456" t="s">
        <v>1564</v>
      </c>
      <c r="I23" s="456"/>
      <c r="J23" s="456"/>
      <c r="K23" s="456"/>
    </row>
    <row r="24" spans="1:11" ht="31.95" customHeight="1" x14ac:dyDescent="0.3">
      <c r="A24" s="271" t="s">
        <v>43</v>
      </c>
      <c r="B24" s="272"/>
      <c r="C24" s="273"/>
      <c r="D24" s="37" t="s">
        <v>44</v>
      </c>
      <c r="E24" s="687" t="s">
        <v>1555</v>
      </c>
      <c r="F24" s="688"/>
      <c r="G24" s="689"/>
      <c r="H24" s="456" t="s">
        <v>1565</v>
      </c>
      <c r="I24" s="456"/>
      <c r="J24" s="456"/>
      <c r="K24" s="456"/>
    </row>
    <row r="25" spans="1:11" ht="31.95" customHeight="1" x14ac:dyDescent="0.3">
      <c r="A25" s="456" t="s">
        <v>39</v>
      </c>
      <c r="B25" s="456"/>
      <c r="C25" s="456"/>
      <c r="D25" s="37" t="s">
        <v>40</v>
      </c>
      <c r="E25" s="686" t="s">
        <v>1566</v>
      </c>
      <c r="F25" s="686"/>
      <c r="G25" s="686"/>
      <c r="H25" s="456" t="s">
        <v>1567</v>
      </c>
      <c r="I25" s="456"/>
      <c r="J25" s="456"/>
      <c r="K25" s="456"/>
    </row>
    <row r="26" spans="1:11" ht="31.95" customHeight="1" x14ac:dyDescent="0.3">
      <c r="A26" s="456" t="s">
        <v>1568</v>
      </c>
      <c r="B26" s="456"/>
      <c r="C26" s="456"/>
      <c r="D26" s="37" t="s">
        <v>1569</v>
      </c>
      <c r="E26" s="686" t="s">
        <v>1570</v>
      </c>
      <c r="F26" s="686"/>
      <c r="G26" s="686"/>
      <c r="H26" s="456" t="s">
        <v>1567</v>
      </c>
      <c r="I26" s="456"/>
      <c r="J26" s="456"/>
      <c r="K26" s="456"/>
    </row>
    <row r="27" spans="1:11" ht="31.95" customHeight="1" x14ac:dyDescent="0.3">
      <c r="A27" s="456" t="s">
        <v>1571</v>
      </c>
      <c r="B27" s="456"/>
      <c r="C27" s="456"/>
      <c r="D27" s="37" t="s">
        <v>1572</v>
      </c>
      <c r="E27" s="686" t="s">
        <v>1573</v>
      </c>
      <c r="F27" s="686"/>
      <c r="G27" s="686"/>
      <c r="H27" s="456" t="s">
        <v>1574</v>
      </c>
      <c r="I27" s="456"/>
      <c r="J27" s="456"/>
      <c r="K27" s="456"/>
    </row>
    <row r="28" spans="1:11" ht="31.95" customHeight="1" x14ac:dyDescent="0.3">
      <c r="A28" s="456" t="s">
        <v>48</v>
      </c>
      <c r="B28" s="456"/>
      <c r="C28" s="456"/>
      <c r="D28" s="37" t="s">
        <v>49</v>
      </c>
      <c r="E28" s="686" t="s">
        <v>1575</v>
      </c>
      <c r="F28" s="686"/>
      <c r="G28" s="686"/>
      <c r="H28" s="456" t="s">
        <v>1576</v>
      </c>
      <c r="I28" s="456"/>
      <c r="J28" s="456"/>
      <c r="K28" s="456"/>
    </row>
    <row r="29" spans="1:11" ht="31.95" customHeight="1" x14ac:dyDescent="0.3">
      <c r="A29" s="456"/>
      <c r="B29" s="456"/>
      <c r="C29" s="456"/>
      <c r="D29" s="37"/>
      <c r="E29" s="456"/>
      <c r="F29" s="456"/>
      <c r="G29" s="456"/>
      <c r="H29" s="456"/>
      <c r="I29" s="456"/>
      <c r="J29" s="456"/>
      <c r="K29" s="456"/>
    </row>
    <row r="30" spans="1:11" ht="31.95" customHeight="1" x14ac:dyDescent="0.3">
      <c r="A30" s="456"/>
      <c r="B30" s="456"/>
      <c r="C30" s="456"/>
      <c r="D30" s="37"/>
      <c r="E30" s="456"/>
      <c r="F30" s="456"/>
      <c r="G30" s="456"/>
      <c r="H30" s="456"/>
      <c r="I30" s="456"/>
      <c r="J30" s="456"/>
      <c r="K30" s="456"/>
    </row>
    <row r="31" spans="1:11" ht="31.95" customHeight="1" x14ac:dyDescent="0.3">
      <c r="A31" s="456"/>
      <c r="B31" s="456"/>
      <c r="C31" s="456"/>
      <c r="D31" s="37"/>
      <c r="E31" s="456"/>
      <c r="F31" s="456"/>
      <c r="G31" s="456"/>
      <c r="H31" s="456"/>
      <c r="I31" s="456"/>
      <c r="J31" s="456"/>
      <c r="K31" s="456"/>
    </row>
    <row r="33" spans="1:11" x14ac:dyDescent="0.3">
      <c r="A33" s="683" t="s">
        <v>1577</v>
      </c>
      <c r="B33" s="683"/>
      <c r="C33" s="683"/>
      <c r="D33" s="683"/>
      <c r="E33" s="683"/>
      <c r="F33" s="683"/>
      <c r="G33" s="683"/>
      <c r="H33" s="683"/>
      <c r="I33" s="683"/>
      <c r="J33" s="683"/>
      <c r="K33" s="683"/>
    </row>
    <row r="34" spans="1:11" x14ac:dyDescent="0.3">
      <c r="A34" s="472"/>
      <c r="B34" s="472"/>
      <c r="C34" s="472"/>
      <c r="D34" s="472"/>
      <c r="E34" s="472"/>
      <c r="F34" s="472"/>
      <c r="G34" s="472"/>
      <c r="H34" s="472"/>
      <c r="I34" s="472"/>
      <c r="J34" s="472"/>
      <c r="K34" s="472"/>
    </row>
    <row r="35" spans="1:11" x14ac:dyDescent="0.3">
      <c r="A35" s="472"/>
      <c r="B35" s="472"/>
      <c r="C35" s="472"/>
      <c r="D35" s="472"/>
      <c r="E35" s="472"/>
      <c r="F35" s="472"/>
      <c r="G35" s="472"/>
      <c r="H35" s="472"/>
      <c r="I35" s="472"/>
      <c r="J35" s="472"/>
      <c r="K35" s="472"/>
    </row>
    <row r="36" spans="1:11" x14ac:dyDescent="0.3">
      <c r="A36" s="472"/>
      <c r="B36" s="472"/>
      <c r="C36" s="472"/>
      <c r="D36" s="472"/>
      <c r="E36" s="472"/>
      <c r="F36" s="472"/>
      <c r="G36" s="472"/>
      <c r="H36" s="472"/>
      <c r="I36" s="472"/>
      <c r="J36" s="472"/>
      <c r="K36" s="472"/>
    </row>
    <row r="37" spans="1:11" x14ac:dyDescent="0.3">
      <c r="A37" s="472"/>
      <c r="B37" s="472"/>
      <c r="C37" s="472"/>
      <c r="D37" s="472"/>
      <c r="E37" s="472"/>
      <c r="F37" s="472"/>
      <c r="G37" s="472"/>
      <c r="H37" s="472"/>
      <c r="I37" s="472"/>
      <c r="J37" s="472"/>
      <c r="K37" s="472"/>
    </row>
    <row r="38" spans="1:11" x14ac:dyDescent="0.3">
      <c r="A38" s="472"/>
      <c r="B38" s="472"/>
      <c r="C38" s="472"/>
      <c r="D38" s="472"/>
      <c r="E38" s="472"/>
      <c r="F38" s="472"/>
      <c r="G38" s="472"/>
      <c r="H38" s="472"/>
      <c r="I38" s="472"/>
      <c r="J38" s="472"/>
      <c r="K38" s="472"/>
    </row>
    <row r="39" spans="1:11" x14ac:dyDescent="0.3">
      <c r="A39" s="472"/>
      <c r="B39" s="472"/>
      <c r="C39" s="472"/>
      <c r="D39" s="472"/>
      <c r="E39" s="472"/>
      <c r="F39" s="472"/>
      <c r="G39" s="472"/>
      <c r="H39" s="472"/>
      <c r="I39" s="472"/>
      <c r="J39" s="472"/>
      <c r="K39" s="472"/>
    </row>
    <row r="40" spans="1:11" x14ac:dyDescent="0.3">
      <c r="A40" s="472"/>
      <c r="B40" s="472"/>
      <c r="C40" s="472"/>
      <c r="D40" s="472"/>
      <c r="E40" s="472"/>
      <c r="F40" s="472"/>
      <c r="G40" s="472"/>
      <c r="H40" s="472"/>
      <c r="I40" s="472"/>
      <c r="J40" s="472"/>
      <c r="K40" s="472"/>
    </row>
    <row r="41" spans="1:11" x14ac:dyDescent="0.3">
      <c r="A41" s="472"/>
      <c r="B41" s="472"/>
      <c r="C41" s="472"/>
      <c r="D41" s="472"/>
      <c r="E41" s="472"/>
      <c r="F41" s="472"/>
      <c r="G41" s="472"/>
      <c r="H41" s="472"/>
      <c r="I41" s="472"/>
      <c r="J41" s="472"/>
      <c r="K41" s="472"/>
    </row>
    <row r="42" spans="1:11" x14ac:dyDescent="0.3">
      <c r="A42" s="472"/>
      <c r="B42" s="472"/>
      <c r="C42" s="472"/>
      <c r="D42" s="472"/>
      <c r="E42" s="472"/>
      <c r="F42" s="472"/>
      <c r="G42" s="472"/>
      <c r="H42" s="472"/>
      <c r="I42" s="472"/>
      <c r="J42" s="472"/>
      <c r="K42" s="472"/>
    </row>
    <row r="43" spans="1:11" x14ac:dyDescent="0.3">
      <c r="A43" s="472"/>
      <c r="B43" s="472"/>
      <c r="C43" s="472"/>
      <c r="D43" s="472"/>
      <c r="E43" s="472"/>
      <c r="F43" s="472"/>
      <c r="G43" s="472"/>
      <c r="H43" s="472"/>
      <c r="I43" s="472"/>
      <c r="J43" s="472"/>
      <c r="K43" s="472"/>
    </row>
    <row r="44" spans="1:11" x14ac:dyDescent="0.3">
      <c r="A44" s="472"/>
      <c r="B44" s="472"/>
      <c r="C44" s="472"/>
      <c r="D44" s="472"/>
      <c r="E44" s="472"/>
      <c r="F44" s="472"/>
      <c r="G44" s="472"/>
      <c r="H44" s="472"/>
      <c r="I44" s="472"/>
      <c r="J44" s="472"/>
      <c r="K44" s="472"/>
    </row>
    <row r="45" spans="1:11" x14ac:dyDescent="0.3">
      <c r="A45" s="472"/>
      <c r="B45" s="472"/>
      <c r="C45" s="472"/>
      <c r="D45" s="472"/>
      <c r="E45" s="472"/>
      <c r="F45" s="472"/>
      <c r="G45" s="472"/>
      <c r="H45" s="472"/>
      <c r="I45" s="472"/>
      <c r="J45" s="472"/>
      <c r="K45" s="472"/>
    </row>
    <row r="46" spans="1:11" x14ac:dyDescent="0.3">
      <c r="A46" s="472"/>
      <c r="B46" s="472"/>
      <c r="C46" s="472"/>
      <c r="D46" s="472"/>
      <c r="E46" s="472"/>
      <c r="F46" s="472"/>
      <c r="G46" s="472"/>
      <c r="H46" s="472"/>
      <c r="I46" s="472"/>
      <c r="J46" s="472"/>
      <c r="K46" s="472"/>
    </row>
    <row r="47" spans="1:11" x14ac:dyDescent="0.3">
      <c r="A47" s="472"/>
      <c r="B47" s="472"/>
      <c r="C47" s="472"/>
      <c r="D47" s="472"/>
      <c r="E47" s="472"/>
      <c r="F47" s="472"/>
      <c r="G47" s="472"/>
      <c r="H47" s="472"/>
      <c r="I47" s="472"/>
      <c r="J47" s="472"/>
      <c r="K47" s="472"/>
    </row>
    <row r="48" spans="1:11" x14ac:dyDescent="0.3">
      <c r="A48" s="472"/>
      <c r="B48" s="472"/>
      <c r="C48" s="472"/>
      <c r="D48" s="472"/>
      <c r="E48" s="472"/>
      <c r="F48" s="472"/>
      <c r="G48" s="472"/>
      <c r="H48" s="472"/>
      <c r="I48" s="472"/>
      <c r="J48" s="472"/>
      <c r="K48" s="472"/>
    </row>
    <row r="49" spans="1:11" x14ac:dyDescent="0.3">
      <c r="A49" s="472"/>
      <c r="B49" s="472"/>
      <c r="C49" s="472"/>
      <c r="D49" s="472"/>
      <c r="E49" s="472"/>
      <c r="F49" s="472"/>
      <c r="G49" s="472"/>
      <c r="H49" s="472"/>
      <c r="I49" s="472"/>
      <c r="J49" s="472"/>
      <c r="K49" s="472"/>
    </row>
    <row r="50" spans="1:11" x14ac:dyDescent="0.3">
      <c r="A50" s="472"/>
      <c r="B50" s="472"/>
      <c r="C50" s="472"/>
      <c r="D50" s="472"/>
      <c r="E50" s="472"/>
      <c r="F50" s="472"/>
      <c r="G50" s="472"/>
      <c r="H50" s="472"/>
      <c r="I50" s="472"/>
      <c r="J50" s="472"/>
      <c r="K50" s="472"/>
    </row>
    <row r="51" spans="1:11" x14ac:dyDescent="0.3">
      <c r="A51" s="472"/>
      <c r="B51" s="472"/>
      <c r="C51" s="472"/>
      <c r="D51" s="472"/>
      <c r="E51" s="472"/>
      <c r="F51" s="472"/>
      <c r="G51" s="472"/>
      <c r="H51" s="472"/>
      <c r="I51" s="472"/>
      <c r="J51" s="472"/>
      <c r="K51" s="472"/>
    </row>
    <row r="52" spans="1:11" x14ac:dyDescent="0.3">
      <c r="A52" s="472"/>
      <c r="B52" s="472"/>
      <c r="C52" s="472"/>
      <c r="D52" s="472"/>
      <c r="E52" s="472"/>
      <c r="F52" s="472"/>
      <c r="G52" s="472"/>
      <c r="H52" s="472"/>
      <c r="I52" s="472"/>
      <c r="J52" s="472"/>
      <c r="K52" s="472"/>
    </row>
    <row r="53" spans="1:11" x14ac:dyDescent="0.3">
      <c r="A53" s="472"/>
      <c r="B53" s="472"/>
      <c r="C53" s="472"/>
      <c r="D53" s="472"/>
      <c r="E53" s="472"/>
      <c r="F53" s="472"/>
      <c r="G53" s="472"/>
      <c r="H53" s="472"/>
      <c r="I53" s="472"/>
      <c r="J53" s="472"/>
      <c r="K53" s="472"/>
    </row>
    <row r="54" spans="1:11" x14ac:dyDescent="0.3">
      <c r="A54" s="472"/>
      <c r="B54" s="472"/>
      <c r="C54" s="472"/>
      <c r="D54" s="472"/>
      <c r="E54" s="472"/>
      <c r="F54" s="472"/>
      <c r="G54" s="472"/>
      <c r="H54" s="472"/>
      <c r="I54" s="472"/>
      <c r="J54" s="472"/>
      <c r="K54" s="472"/>
    </row>
    <row r="55" spans="1:11" ht="15.6" x14ac:dyDescent="0.3">
      <c r="A55" s="306" t="s">
        <v>1578</v>
      </c>
      <c r="B55" s="306"/>
      <c r="C55" s="306"/>
      <c r="D55" s="306"/>
      <c r="E55" s="306"/>
      <c r="F55" s="306"/>
      <c r="G55" s="306"/>
      <c r="H55" s="306"/>
      <c r="I55" s="306"/>
      <c r="J55" s="306"/>
      <c r="K55" s="306"/>
    </row>
    <row r="57" spans="1:11" x14ac:dyDescent="0.3">
      <c r="A57" s="684" t="s">
        <v>1557</v>
      </c>
      <c r="B57" s="684"/>
      <c r="C57" s="684"/>
      <c r="D57" s="684"/>
      <c r="E57" s="684"/>
      <c r="F57" s="684"/>
      <c r="G57" s="684"/>
      <c r="H57" s="684"/>
      <c r="I57" s="684"/>
      <c r="J57" s="684"/>
      <c r="K57" s="684"/>
    </row>
    <row r="58" spans="1:11" x14ac:dyDescent="0.3">
      <c r="A58" s="685" t="s">
        <v>702</v>
      </c>
      <c r="B58" s="685"/>
      <c r="C58" s="685"/>
      <c r="D58" s="116" t="s">
        <v>1549</v>
      </c>
      <c r="E58" s="685" t="s">
        <v>1558</v>
      </c>
      <c r="F58" s="685"/>
      <c r="G58" s="685"/>
      <c r="H58" s="685" t="s">
        <v>1559</v>
      </c>
      <c r="I58" s="685"/>
      <c r="J58" s="685" t="s">
        <v>1560</v>
      </c>
      <c r="K58" s="685"/>
    </row>
    <row r="59" spans="1:11" ht="31.95" customHeight="1" x14ac:dyDescent="0.3">
      <c r="A59" s="456"/>
      <c r="B59" s="456"/>
      <c r="C59" s="456"/>
      <c r="D59" s="37"/>
      <c r="E59" s="456"/>
      <c r="F59" s="456"/>
      <c r="G59" s="456"/>
      <c r="H59" s="456"/>
      <c r="I59" s="456"/>
      <c r="J59" s="456"/>
      <c r="K59" s="456"/>
    </row>
    <row r="60" spans="1:11" ht="31.95" customHeight="1" x14ac:dyDescent="0.3">
      <c r="A60" s="456"/>
      <c r="B60" s="456"/>
      <c r="C60" s="456"/>
      <c r="D60" s="37"/>
      <c r="E60" s="456"/>
      <c r="F60" s="456"/>
      <c r="G60" s="456"/>
      <c r="H60" s="456"/>
      <c r="I60" s="456"/>
      <c r="J60" s="456"/>
      <c r="K60" s="456"/>
    </row>
    <row r="61" spans="1:11" ht="31.95" customHeight="1" x14ac:dyDescent="0.3">
      <c r="A61" s="456"/>
      <c r="B61" s="456"/>
      <c r="C61" s="456"/>
      <c r="D61" s="37"/>
      <c r="E61" s="456"/>
      <c r="F61" s="456"/>
      <c r="G61" s="456"/>
      <c r="H61" s="456"/>
      <c r="I61" s="456"/>
      <c r="J61" s="456"/>
      <c r="K61" s="456"/>
    </row>
    <row r="62" spans="1:11" ht="31.95" customHeight="1" x14ac:dyDescent="0.3">
      <c r="A62" s="456"/>
      <c r="B62" s="456"/>
      <c r="C62" s="456"/>
      <c r="D62" s="37"/>
      <c r="E62" s="456"/>
      <c r="F62" s="456"/>
      <c r="G62" s="456"/>
      <c r="H62" s="456"/>
      <c r="I62" s="456"/>
      <c r="J62" s="456"/>
      <c r="K62" s="456"/>
    </row>
    <row r="63" spans="1:11" ht="31.95" customHeight="1" x14ac:dyDescent="0.3">
      <c r="A63" s="456"/>
      <c r="B63" s="456"/>
      <c r="C63" s="456"/>
      <c r="D63" s="37"/>
      <c r="E63" s="456"/>
      <c r="F63" s="456"/>
      <c r="G63" s="456"/>
      <c r="H63" s="456"/>
      <c r="I63" s="456"/>
      <c r="J63" s="456"/>
      <c r="K63" s="456"/>
    </row>
    <row r="64" spans="1:11" ht="31.95" customHeight="1" x14ac:dyDescent="0.3">
      <c r="A64" s="456"/>
      <c r="B64" s="456"/>
      <c r="C64" s="456"/>
      <c r="D64" s="37"/>
      <c r="E64" s="456"/>
      <c r="F64" s="456"/>
      <c r="G64" s="456"/>
      <c r="H64" s="456"/>
      <c r="I64" s="456"/>
      <c r="J64" s="456"/>
      <c r="K64" s="456"/>
    </row>
    <row r="65" spans="1:11" ht="31.95" customHeight="1" x14ac:dyDescent="0.3">
      <c r="A65" s="456"/>
      <c r="B65" s="456"/>
      <c r="C65" s="456"/>
      <c r="D65" s="37"/>
      <c r="E65" s="456"/>
      <c r="F65" s="456"/>
      <c r="G65" s="456"/>
      <c r="H65" s="456"/>
      <c r="I65" s="456"/>
      <c r="J65" s="456"/>
      <c r="K65" s="456"/>
    </row>
    <row r="66" spans="1:11" ht="31.95" customHeight="1" x14ac:dyDescent="0.3">
      <c r="A66" s="456"/>
      <c r="B66" s="456"/>
      <c r="C66" s="456"/>
      <c r="D66" s="37"/>
      <c r="E66" s="456"/>
      <c r="F66" s="456"/>
      <c r="G66" s="456"/>
      <c r="H66" s="456"/>
      <c r="I66" s="456"/>
      <c r="J66" s="456"/>
      <c r="K66" s="456"/>
    </row>
    <row r="67" spans="1:11" ht="31.95" customHeight="1" x14ac:dyDescent="0.3">
      <c r="A67" s="456"/>
      <c r="B67" s="456"/>
      <c r="C67" s="456"/>
      <c r="D67" s="37"/>
      <c r="E67" s="456"/>
      <c r="F67" s="456"/>
      <c r="G67" s="456"/>
      <c r="H67" s="456"/>
      <c r="I67" s="456"/>
      <c r="J67" s="456"/>
      <c r="K67" s="456"/>
    </row>
    <row r="68" spans="1:11" ht="31.95" customHeight="1" x14ac:dyDescent="0.3">
      <c r="A68" s="456"/>
      <c r="B68" s="456"/>
      <c r="C68" s="456"/>
      <c r="D68" s="37"/>
      <c r="E68" s="456"/>
      <c r="F68" s="456"/>
      <c r="G68" s="456"/>
      <c r="H68" s="456"/>
      <c r="I68" s="456"/>
      <c r="J68" s="456"/>
      <c r="K68" s="456"/>
    </row>
    <row r="70" spans="1:11" x14ac:dyDescent="0.3">
      <c r="A70" s="683" t="s">
        <v>1577</v>
      </c>
      <c r="B70" s="683"/>
      <c r="C70" s="683"/>
      <c r="D70" s="683"/>
      <c r="E70" s="683"/>
      <c r="F70" s="683"/>
      <c r="G70" s="683"/>
      <c r="H70" s="683"/>
      <c r="I70" s="683"/>
      <c r="J70" s="683"/>
      <c r="K70" s="683"/>
    </row>
    <row r="71" spans="1:11" x14ac:dyDescent="0.3">
      <c r="A71" s="472"/>
      <c r="B71" s="472"/>
      <c r="C71" s="472"/>
      <c r="D71" s="472"/>
      <c r="E71" s="472"/>
      <c r="F71" s="472"/>
      <c r="G71" s="472"/>
      <c r="H71" s="472"/>
      <c r="I71" s="472"/>
      <c r="J71" s="472"/>
      <c r="K71" s="472"/>
    </row>
    <row r="72" spans="1:11" x14ac:dyDescent="0.3">
      <c r="A72" s="472"/>
      <c r="B72" s="472"/>
      <c r="C72" s="472"/>
      <c r="D72" s="472"/>
      <c r="E72" s="472"/>
      <c r="F72" s="472"/>
      <c r="G72" s="472"/>
      <c r="H72" s="472"/>
      <c r="I72" s="472"/>
      <c r="J72" s="472"/>
      <c r="K72" s="472"/>
    </row>
    <row r="73" spans="1:11" x14ac:dyDescent="0.3">
      <c r="A73" s="472"/>
      <c r="B73" s="472"/>
      <c r="C73" s="472"/>
      <c r="D73" s="472"/>
      <c r="E73" s="472"/>
      <c r="F73" s="472"/>
      <c r="G73" s="472"/>
      <c r="H73" s="472"/>
      <c r="I73" s="472"/>
      <c r="J73" s="472"/>
      <c r="K73" s="472"/>
    </row>
    <row r="74" spans="1:11" x14ac:dyDescent="0.3">
      <c r="A74" s="472"/>
      <c r="B74" s="472"/>
      <c r="C74" s="472"/>
      <c r="D74" s="472"/>
      <c r="E74" s="472"/>
      <c r="F74" s="472"/>
      <c r="G74" s="472"/>
      <c r="H74" s="472"/>
      <c r="I74" s="472"/>
      <c r="J74" s="472"/>
      <c r="K74" s="472"/>
    </row>
    <row r="75" spans="1:11" x14ac:dyDescent="0.3">
      <c r="A75" s="472"/>
      <c r="B75" s="472"/>
      <c r="C75" s="472"/>
      <c r="D75" s="472"/>
      <c r="E75" s="472"/>
      <c r="F75" s="472"/>
      <c r="G75" s="472"/>
      <c r="H75" s="472"/>
      <c r="I75" s="472"/>
      <c r="J75" s="472"/>
      <c r="K75" s="472"/>
    </row>
    <row r="76" spans="1:11" x14ac:dyDescent="0.3">
      <c r="A76" s="472"/>
      <c r="B76" s="472"/>
      <c r="C76" s="472"/>
      <c r="D76" s="472"/>
      <c r="E76" s="472"/>
      <c r="F76" s="472"/>
      <c r="G76" s="472"/>
      <c r="H76" s="472"/>
      <c r="I76" s="472"/>
      <c r="J76" s="472"/>
      <c r="K76" s="472"/>
    </row>
    <row r="77" spans="1:11" x14ac:dyDescent="0.3">
      <c r="A77" s="472"/>
      <c r="B77" s="472"/>
      <c r="C77" s="472"/>
      <c r="D77" s="472"/>
      <c r="E77" s="472"/>
      <c r="F77" s="472"/>
      <c r="G77" s="472"/>
      <c r="H77" s="472"/>
      <c r="I77" s="472"/>
      <c r="J77" s="472"/>
      <c r="K77" s="472"/>
    </row>
    <row r="78" spans="1:11" x14ac:dyDescent="0.3">
      <c r="A78" s="472"/>
      <c r="B78" s="472"/>
      <c r="C78" s="472"/>
      <c r="D78" s="472"/>
      <c r="E78" s="472"/>
      <c r="F78" s="472"/>
      <c r="G78" s="472"/>
      <c r="H78" s="472"/>
      <c r="I78" s="472"/>
      <c r="J78" s="472"/>
      <c r="K78" s="472"/>
    </row>
    <row r="79" spans="1:11" x14ac:dyDescent="0.3">
      <c r="A79" s="472"/>
      <c r="B79" s="472"/>
      <c r="C79" s="472"/>
      <c r="D79" s="472"/>
      <c r="E79" s="472"/>
      <c r="F79" s="472"/>
      <c r="G79" s="472"/>
      <c r="H79" s="472"/>
      <c r="I79" s="472"/>
      <c r="J79" s="472"/>
      <c r="K79" s="472"/>
    </row>
    <row r="80" spans="1:11" x14ac:dyDescent="0.3">
      <c r="A80" s="472"/>
      <c r="B80" s="472"/>
      <c r="C80" s="472"/>
      <c r="D80" s="472"/>
      <c r="E80" s="472"/>
      <c r="F80" s="472"/>
      <c r="G80" s="472"/>
      <c r="H80" s="472"/>
      <c r="I80" s="472"/>
      <c r="J80" s="472"/>
      <c r="K80" s="472"/>
    </row>
    <row r="81" spans="1:11" x14ac:dyDescent="0.3">
      <c r="A81" s="472"/>
      <c r="B81" s="472"/>
      <c r="C81" s="472"/>
      <c r="D81" s="472"/>
      <c r="E81" s="472"/>
      <c r="F81" s="472"/>
      <c r="G81" s="472"/>
      <c r="H81" s="472"/>
      <c r="I81" s="472"/>
      <c r="J81" s="472"/>
      <c r="K81" s="472"/>
    </row>
    <row r="82" spans="1:11" x14ac:dyDescent="0.3">
      <c r="A82" s="472"/>
      <c r="B82" s="472"/>
      <c r="C82" s="472"/>
      <c r="D82" s="472"/>
      <c r="E82" s="472"/>
      <c r="F82" s="472"/>
      <c r="G82" s="472"/>
      <c r="H82" s="472"/>
      <c r="I82" s="472"/>
      <c r="J82" s="472"/>
      <c r="K82" s="472"/>
    </row>
    <row r="83" spans="1:11" x14ac:dyDescent="0.3">
      <c r="A83" s="472"/>
      <c r="B83" s="472"/>
      <c r="C83" s="472"/>
      <c r="D83" s="472"/>
      <c r="E83" s="472"/>
      <c r="F83" s="472"/>
      <c r="G83" s="472"/>
      <c r="H83" s="472"/>
      <c r="I83" s="472"/>
      <c r="J83" s="472"/>
      <c r="K83" s="472"/>
    </row>
    <row r="84" spans="1:11" x14ac:dyDescent="0.3">
      <c r="A84" s="472"/>
      <c r="B84" s="472"/>
      <c r="C84" s="472"/>
      <c r="D84" s="472"/>
      <c r="E84" s="472"/>
      <c r="F84" s="472"/>
      <c r="G84" s="472"/>
      <c r="H84" s="472"/>
      <c r="I84" s="472"/>
      <c r="J84" s="472"/>
      <c r="K84" s="472"/>
    </row>
    <row r="85" spans="1:11" x14ac:dyDescent="0.3">
      <c r="A85" s="472"/>
      <c r="B85" s="472"/>
      <c r="C85" s="472"/>
      <c r="D85" s="472"/>
      <c r="E85" s="472"/>
      <c r="F85" s="472"/>
      <c r="G85" s="472"/>
      <c r="H85" s="472"/>
      <c r="I85" s="472"/>
      <c r="J85" s="472"/>
      <c r="K85" s="472"/>
    </row>
    <row r="86" spans="1:11" x14ac:dyDescent="0.3">
      <c r="A86" s="472"/>
      <c r="B86" s="472"/>
      <c r="C86" s="472"/>
      <c r="D86" s="472"/>
      <c r="E86" s="472"/>
      <c r="F86" s="472"/>
      <c r="G86" s="472"/>
      <c r="H86" s="472"/>
      <c r="I86" s="472"/>
      <c r="J86" s="472"/>
      <c r="K86" s="472"/>
    </row>
    <row r="87" spans="1:11" x14ac:dyDescent="0.3">
      <c r="A87" s="472"/>
      <c r="B87" s="472"/>
      <c r="C87" s="472"/>
      <c r="D87" s="472"/>
      <c r="E87" s="472"/>
      <c r="F87" s="472"/>
      <c r="G87" s="472"/>
      <c r="H87" s="472"/>
      <c r="I87" s="472"/>
      <c r="J87" s="472"/>
      <c r="K87" s="472"/>
    </row>
    <row r="88" spans="1:11" x14ac:dyDescent="0.3">
      <c r="A88" s="472"/>
      <c r="B88" s="472"/>
      <c r="C88" s="472"/>
      <c r="D88" s="472"/>
      <c r="E88" s="472"/>
      <c r="F88" s="472"/>
      <c r="G88" s="472"/>
      <c r="H88" s="472"/>
      <c r="I88" s="472"/>
      <c r="J88" s="472"/>
      <c r="K88" s="472"/>
    </row>
    <row r="89" spans="1:11" x14ac:dyDescent="0.3">
      <c r="A89" s="472"/>
      <c r="B89" s="472"/>
      <c r="C89" s="472"/>
      <c r="D89" s="472"/>
      <c r="E89" s="472"/>
      <c r="F89" s="472"/>
      <c r="G89" s="472"/>
      <c r="H89" s="472"/>
      <c r="I89" s="472"/>
      <c r="J89" s="472"/>
      <c r="K89" s="472"/>
    </row>
    <row r="90" spans="1:11" x14ac:dyDescent="0.3">
      <c r="A90" s="472"/>
      <c r="B90" s="472"/>
      <c r="C90" s="472"/>
      <c r="D90" s="472"/>
      <c r="E90" s="472"/>
      <c r="F90" s="472"/>
      <c r="G90" s="472"/>
      <c r="H90" s="472"/>
      <c r="I90" s="472"/>
      <c r="J90" s="472"/>
      <c r="K90" s="472"/>
    </row>
    <row r="91" spans="1:11" x14ac:dyDescent="0.3">
      <c r="A91" s="472"/>
      <c r="B91" s="472"/>
      <c r="C91" s="472"/>
      <c r="D91" s="472"/>
      <c r="E91" s="472"/>
      <c r="F91" s="472"/>
      <c r="G91" s="472"/>
      <c r="H91" s="472"/>
      <c r="I91" s="472"/>
      <c r="J91" s="472"/>
      <c r="K91" s="472"/>
    </row>
    <row r="92" spans="1:11" ht="15.6" x14ac:dyDescent="0.3">
      <c r="A92" s="306" t="s">
        <v>1579</v>
      </c>
      <c r="B92" s="306"/>
      <c r="C92" s="306"/>
      <c r="D92" s="306"/>
      <c r="E92" s="306"/>
      <c r="F92" s="306"/>
      <c r="G92" s="306"/>
      <c r="H92" s="306"/>
      <c r="I92" s="306"/>
      <c r="J92" s="306"/>
      <c r="K92" s="306"/>
    </row>
    <row r="93" spans="1:11" ht="61.2" customHeight="1" x14ac:dyDescent="0.3">
      <c r="A93" s="257" t="s">
        <v>1580</v>
      </c>
      <c r="B93" s="257"/>
      <c r="C93" s="257"/>
      <c r="D93" s="257"/>
      <c r="E93" s="257"/>
      <c r="F93" s="257"/>
      <c r="G93" s="257"/>
      <c r="H93" s="257"/>
      <c r="I93" s="257"/>
      <c r="J93" s="257"/>
      <c r="K93" s="257"/>
    </row>
    <row r="94" spans="1:11" x14ac:dyDescent="0.3">
      <c r="A94" s="684" t="s">
        <v>1581</v>
      </c>
      <c r="B94" s="684"/>
      <c r="C94" s="684"/>
      <c r="D94" s="684"/>
      <c r="E94" s="684"/>
      <c r="F94" s="684"/>
      <c r="G94" s="684"/>
      <c r="H94" s="684"/>
      <c r="I94" s="684"/>
      <c r="J94" s="684"/>
      <c r="K94" s="684"/>
    </row>
    <row r="95" spans="1:11" x14ac:dyDescent="0.3">
      <c r="A95" s="685" t="s">
        <v>702</v>
      </c>
      <c r="B95" s="685"/>
      <c r="C95" s="685"/>
      <c r="D95" s="116" t="s">
        <v>1549</v>
      </c>
      <c r="E95" s="685" t="s">
        <v>1558</v>
      </c>
      <c r="F95" s="685"/>
      <c r="G95" s="685"/>
      <c r="H95" s="685" t="s">
        <v>1559</v>
      </c>
      <c r="I95" s="685"/>
      <c r="J95" s="685" t="s">
        <v>1560</v>
      </c>
      <c r="K95" s="685"/>
    </row>
    <row r="96" spans="1:11" ht="31.95" customHeight="1" x14ac:dyDescent="0.3">
      <c r="A96" s="456"/>
      <c r="B96" s="456"/>
      <c r="C96" s="456"/>
      <c r="D96" s="37"/>
      <c r="E96" s="456"/>
      <c r="F96" s="456"/>
      <c r="G96" s="456"/>
      <c r="H96" s="456"/>
      <c r="I96" s="456"/>
      <c r="J96" s="456"/>
      <c r="K96" s="456"/>
    </row>
    <row r="97" spans="1:11" ht="31.95" customHeight="1" x14ac:dyDescent="0.3">
      <c r="A97" s="456"/>
      <c r="B97" s="456"/>
      <c r="C97" s="456"/>
      <c r="D97" s="37"/>
      <c r="E97" s="456"/>
      <c r="F97" s="456"/>
      <c r="G97" s="456"/>
      <c r="H97" s="456"/>
      <c r="I97" s="456"/>
      <c r="J97" s="456"/>
      <c r="K97" s="456"/>
    </row>
    <row r="98" spans="1:11" ht="31.95" customHeight="1" x14ac:dyDescent="0.3">
      <c r="A98" s="456"/>
      <c r="B98" s="456"/>
      <c r="C98" s="456"/>
      <c r="D98" s="37"/>
      <c r="E98" s="456"/>
      <c r="F98" s="456"/>
      <c r="G98" s="456"/>
      <c r="H98" s="456"/>
      <c r="I98" s="456"/>
      <c r="J98" s="456"/>
      <c r="K98" s="456"/>
    </row>
    <row r="99" spans="1:11" ht="31.95" customHeight="1" x14ac:dyDescent="0.3">
      <c r="A99" s="456"/>
      <c r="B99" s="456"/>
      <c r="C99" s="456"/>
      <c r="D99" s="37"/>
      <c r="E99" s="456"/>
      <c r="F99" s="456"/>
      <c r="G99" s="456"/>
      <c r="H99" s="456"/>
      <c r="I99" s="456"/>
      <c r="J99" s="456"/>
      <c r="K99" s="456"/>
    </row>
    <row r="100" spans="1:11" ht="31.95" customHeight="1" x14ac:dyDescent="0.3">
      <c r="A100" s="456"/>
      <c r="B100" s="456"/>
      <c r="C100" s="456"/>
      <c r="D100" s="37"/>
      <c r="E100" s="456"/>
      <c r="F100" s="456"/>
      <c r="G100" s="456"/>
      <c r="H100" s="456"/>
      <c r="I100" s="456"/>
      <c r="J100" s="456"/>
      <c r="K100" s="456"/>
    </row>
    <row r="101" spans="1:11" ht="31.95" customHeight="1" x14ac:dyDescent="0.3">
      <c r="A101" s="456"/>
      <c r="B101" s="456"/>
      <c r="C101" s="456"/>
      <c r="D101" s="37"/>
      <c r="E101" s="456"/>
      <c r="F101" s="456"/>
      <c r="G101" s="456"/>
      <c r="H101" s="456"/>
      <c r="I101" s="456"/>
      <c r="J101" s="456"/>
      <c r="K101" s="456"/>
    </row>
    <row r="102" spans="1:11" ht="31.95" customHeight="1" x14ac:dyDescent="0.3">
      <c r="A102" s="456"/>
      <c r="B102" s="456"/>
      <c r="C102" s="456"/>
      <c r="D102" s="37"/>
      <c r="E102" s="456"/>
      <c r="F102" s="456"/>
      <c r="G102" s="456"/>
      <c r="H102" s="456"/>
      <c r="I102" s="456"/>
      <c r="J102" s="456"/>
      <c r="K102" s="456"/>
    </row>
    <row r="103" spans="1:11" ht="31.95" customHeight="1" x14ac:dyDescent="0.3">
      <c r="A103" s="456"/>
      <c r="B103" s="456"/>
      <c r="C103" s="456"/>
      <c r="D103" s="37"/>
      <c r="E103" s="456"/>
      <c r="F103" s="456"/>
      <c r="G103" s="456"/>
      <c r="H103" s="456"/>
      <c r="I103" s="456"/>
      <c r="J103" s="456"/>
      <c r="K103" s="456"/>
    </row>
    <row r="104" spans="1:11" ht="31.95" customHeight="1" x14ac:dyDescent="0.3">
      <c r="A104" s="456"/>
      <c r="B104" s="456"/>
      <c r="C104" s="456"/>
      <c r="D104" s="37"/>
      <c r="E104" s="456"/>
      <c r="F104" s="456"/>
      <c r="G104" s="456"/>
      <c r="H104" s="456"/>
      <c r="I104" s="456"/>
      <c r="J104" s="456"/>
      <c r="K104" s="456"/>
    </row>
    <row r="105" spans="1:11" ht="31.95" customHeight="1" x14ac:dyDescent="0.3">
      <c r="A105" s="456"/>
      <c r="B105" s="456"/>
      <c r="C105" s="456"/>
      <c r="D105" s="37"/>
      <c r="E105" s="456"/>
      <c r="F105" s="456"/>
      <c r="G105" s="456"/>
      <c r="H105" s="456"/>
      <c r="I105" s="456"/>
      <c r="J105" s="456"/>
      <c r="K105" s="456"/>
    </row>
    <row r="106" spans="1:11" ht="31.95" customHeight="1" x14ac:dyDescent="0.3">
      <c r="A106" s="456"/>
      <c r="B106" s="456"/>
      <c r="C106" s="456"/>
      <c r="D106" s="37"/>
      <c r="E106" s="456"/>
      <c r="F106" s="456"/>
      <c r="G106" s="456"/>
      <c r="H106" s="456"/>
      <c r="I106" s="456"/>
      <c r="J106" s="456"/>
      <c r="K106" s="456"/>
    </row>
    <row r="107" spans="1:11" ht="31.95" customHeight="1" x14ac:dyDescent="0.3">
      <c r="A107" s="456"/>
      <c r="B107" s="456"/>
      <c r="C107" s="456"/>
      <c r="D107" s="37"/>
      <c r="E107" s="456"/>
      <c r="F107" s="456"/>
      <c r="G107" s="456"/>
      <c r="H107" s="456"/>
      <c r="I107" s="456"/>
      <c r="J107" s="456"/>
      <c r="K107" s="456"/>
    </row>
    <row r="108" spans="1:11" ht="31.95" customHeight="1" x14ac:dyDescent="0.3">
      <c r="A108" s="456"/>
      <c r="B108" s="456"/>
      <c r="C108" s="456"/>
      <c r="D108" s="37"/>
      <c r="E108" s="456"/>
      <c r="F108" s="456"/>
      <c r="G108" s="456"/>
      <c r="H108" s="456"/>
      <c r="I108" s="456"/>
      <c r="J108" s="456"/>
      <c r="K108" s="456"/>
    </row>
    <row r="109" spans="1:11" ht="31.95" customHeight="1" x14ac:dyDescent="0.3">
      <c r="A109" s="456"/>
      <c r="B109" s="456"/>
      <c r="C109" s="456"/>
      <c r="D109" s="37"/>
      <c r="E109" s="456"/>
      <c r="F109" s="456"/>
      <c r="G109" s="456"/>
      <c r="H109" s="456"/>
      <c r="I109" s="456"/>
      <c r="J109" s="456"/>
      <c r="K109" s="456"/>
    </row>
    <row r="110" spans="1:11" ht="31.95" customHeight="1" x14ac:dyDescent="0.3">
      <c r="A110" s="456"/>
      <c r="B110" s="456"/>
      <c r="C110" s="456"/>
      <c r="D110" s="37"/>
      <c r="E110" s="456"/>
      <c r="F110" s="456"/>
      <c r="G110" s="456"/>
      <c r="H110" s="456"/>
      <c r="I110" s="456"/>
      <c r="J110" s="456"/>
      <c r="K110" s="456"/>
    </row>
    <row r="111" spans="1:11" ht="31.95" customHeight="1" x14ac:dyDescent="0.3">
      <c r="A111" s="456"/>
      <c r="B111" s="456"/>
      <c r="C111" s="456"/>
      <c r="D111" s="37"/>
      <c r="E111" s="456"/>
      <c r="F111" s="456"/>
      <c r="G111" s="456"/>
      <c r="H111" s="456"/>
      <c r="I111" s="456"/>
      <c r="J111" s="456"/>
      <c r="K111" s="456"/>
    </row>
    <row r="112" spans="1:11" ht="31.95" customHeight="1" x14ac:dyDescent="0.3">
      <c r="A112" s="456"/>
      <c r="B112" s="456"/>
      <c r="C112" s="456"/>
      <c r="D112" s="37"/>
      <c r="E112" s="456"/>
      <c r="F112" s="456"/>
      <c r="G112" s="456"/>
      <c r="H112" s="456"/>
      <c r="I112" s="456"/>
      <c r="J112" s="456"/>
      <c r="K112" s="456"/>
    </row>
    <row r="113" spans="1:11" ht="31.95" customHeight="1" x14ac:dyDescent="0.3">
      <c r="A113" s="456"/>
      <c r="B113" s="456"/>
      <c r="C113" s="456"/>
      <c r="D113" s="37"/>
      <c r="E113" s="456"/>
      <c r="F113" s="456"/>
      <c r="G113" s="456"/>
      <c r="H113" s="456"/>
      <c r="I113" s="456"/>
      <c r="J113" s="456"/>
      <c r="K113" s="456"/>
    </row>
    <row r="116" spans="1:11" ht="15.6" x14ac:dyDescent="0.3">
      <c r="A116" s="306" t="s">
        <v>1582</v>
      </c>
      <c r="B116" s="306"/>
      <c r="C116" s="306"/>
      <c r="D116" s="306"/>
      <c r="E116" s="306"/>
      <c r="F116" s="306"/>
      <c r="G116" s="306"/>
      <c r="H116" s="306"/>
      <c r="I116" s="306"/>
      <c r="J116" s="306"/>
      <c r="K116" s="306"/>
    </row>
    <row r="117" spans="1:11" ht="50.4" customHeight="1" x14ac:dyDescent="0.3">
      <c r="A117" s="345" t="s">
        <v>1583</v>
      </c>
      <c r="B117" s="345"/>
      <c r="C117" s="345"/>
      <c r="D117" s="345"/>
      <c r="E117" s="345"/>
      <c r="F117" s="345"/>
      <c r="G117" s="345"/>
      <c r="H117" s="345"/>
      <c r="I117" s="345"/>
      <c r="J117" s="345"/>
      <c r="K117" s="345"/>
    </row>
    <row r="118" spans="1:11" ht="28.95" customHeight="1" x14ac:dyDescent="0.3">
      <c r="A118" s="682" t="s">
        <v>1584</v>
      </c>
      <c r="B118" s="682"/>
      <c r="C118" s="682" t="s">
        <v>1585</v>
      </c>
      <c r="D118" s="682"/>
      <c r="E118" s="119" t="s">
        <v>1586</v>
      </c>
      <c r="F118" s="682" t="s">
        <v>1587</v>
      </c>
      <c r="G118" s="682"/>
      <c r="H118" s="682" t="s">
        <v>1588</v>
      </c>
      <c r="I118" s="682"/>
      <c r="J118" s="682" t="s">
        <v>1589</v>
      </c>
      <c r="K118" s="682"/>
    </row>
    <row r="119" spans="1:11" ht="40.950000000000003" customHeight="1" x14ac:dyDescent="0.3">
      <c r="A119" s="681"/>
      <c r="B119" s="681"/>
      <c r="C119" s="247"/>
      <c r="D119" s="247"/>
      <c r="E119" s="117"/>
      <c r="F119" s="247"/>
      <c r="G119" s="247"/>
      <c r="H119" s="247"/>
      <c r="I119" s="247"/>
      <c r="J119" s="247"/>
      <c r="K119" s="247"/>
    </row>
    <row r="120" spans="1:11" ht="40.950000000000003" customHeight="1" x14ac:dyDescent="0.3">
      <c r="A120" s="681"/>
      <c r="B120" s="681"/>
      <c r="C120" s="247"/>
      <c r="D120" s="247"/>
      <c r="E120" s="117"/>
      <c r="F120" s="247"/>
      <c r="G120" s="247"/>
      <c r="H120" s="247"/>
      <c r="I120" s="247"/>
      <c r="J120" s="247"/>
      <c r="K120" s="247"/>
    </row>
    <row r="121" spans="1:11" ht="40.950000000000003" customHeight="1" x14ac:dyDescent="0.3">
      <c r="A121" s="681"/>
      <c r="B121" s="681"/>
      <c r="C121" s="247"/>
      <c r="D121" s="247"/>
      <c r="E121" s="117"/>
      <c r="F121" s="247"/>
      <c r="G121" s="247"/>
      <c r="H121" s="247"/>
      <c r="I121" s="247"/>
      <c r="J121" s="247"/>
      <c r="K121" s="247"/>
    </row>
    <row r="122" spans="1:11" ht="40.950000000000003" customHeight="1" x14ac:dyDescent="0.3">
      <c r="A122" s="681"/>
      <c r="B122" s="681"/>
      <c r="C122" s="247"/>
      <c r="D122" s="247"/>
      <c r="E122" s="117"/>
      <c r="F122" s="247"/>
      <c r="G122" s="247"/>
      <c r="H122" s="247"/>
      <c r="I122" s="247"/>
      <c r="J122" s="247"/>
      <c r="K122" s="247"/>
    </row>
    <row r="123" spans="1:11" ht="40.950000000000003" customHeight="1" x14ac:dyDescent="0.3">
      <c r="A123" s="681"/>
      <c r="B123" s="681"/>
      <c r="C123" s="247"/>
      <c r="D123" s="247"/>
      <c r="E123" s="117"/>
      <c r="F123" s="247"/>
      <c r="G123" s="247"/>
      <c r="H123" s="247"/>
      <c r="I123" s="247"/>
      <c r="J123" s="247"/>
      <c r="K123" s="247"/>
    </row>
    <row r="124" spans="1:11" ht="40.950000000000003" customHeight="1" x14ac:dyDescent="0.3">
      <c r="A124" s="681"/>
      <c r="B124" s="681"/>
      <c r="C124" s="247"/>
      <c r="D124" s="247"/>
      <c r="E124" s="117"/>
      <c r="F124" s="247"/>
      <c r="G124" s="247"/>
      <c r="H124" s="247"/>
      <c r="I124" s="247"/>
      <c r="J124" s="247"/>
      <c r="K124" s="247"/>
    </row>
    <row r="125" spans="1:11" ht="40.950000000000003" customHeight="1" x14ac:dyDescent="0.3">
      <c r="A125" s="681"/>
      <c r="B125" s="681"/>
      <c r="C125" s="247"/>
      <c r="D125" s="247"/>
      <c r="E125" s="117"/>
      <c r="F125" s="247"/>
      <c r="G125" s="247"/>
      <c r="H125" s="247"/>
      <c r="I125" s="247"/>
      <c r="J125" s="247"/>
      <c r="K125" s="247"/>
    </row>
    <row r="126" spans="1:11" ht="40.950000000000003" customHeight="1" x14ac:dyDescent="0.3">
      <c r="A126" s="681"/>
      <c r="B126" s="681"/>
      <c r="C126" s="247"/>
      <c r="D126" s="247"/>
      <c r="E126" s="117"/>
      <c r="F126" s="247"/>
      <c r="G126" s="247"/>
      <c r="H126" s="247"/>
      <c r="I126" s="247"/>
      <c r="J126" s="247"/>
      <c r="K126" s="247"/>
    </row>
    <row r="127" spans="1:11" ht="40.950000000000003" customHeight="1" x14ac:dyDescent="0.3">
      <c r="A127" s="681"/>
      <c r="B127" s="681"/>
      <c r="C127" s="247"/>
      <c r="D127" s="247"/>
      <c r="E127" s="117"/>
      <c r="F127" s="247"/>
      <c r="G127" s="247"/>
      <c r="H127" s="247"/>
      <c r="I127" s="247"/>
      <c r="J127" s="247"/>
      <c r="K127" s="247"/>
    </row>
    <row r="128" spans="1:11" ht="40.950000000000003" customHeight="1" x14ac:dyDescent="0.3">
      <c r="A128" s="681"/>
      <c r="B128" s="681"/>
      <c r="C128" s="247"/>
      <c r="D128" s="247"/>
      <c r="E128" s="117"/>
      <c r="F128" s="247"/>
      <c r="G128" s="247"/>
      <c r="H128" s="247"/>
      <c r="I128" s="247"/>
      <c r="J128" s="247"/>
      <c r="K128" s="247"/>
    </row>
    <row r="129" spans="1:11" ht="40.950000000000003" customHeight="1" x14ac:dyDescent="0.3">
      <c r="A129" s="681"/>
      <c r="B129" s="681"/>
      <c r="C129" s="247"/>
      <c r="D129" s="247"/>
      <c r="E129" s="117"/>
      <c r="F129" s="247"/>
      <c r="G129" s="247"/>
      <c r="H129" s="247"/>
      <c r="I129" s="247"/>
      <c r="J129" s="247"/>
      <c r="K129" s="247"/>
    </row>
    <row r="130" spans="1:11" ht="40.950000000000003" customHeight="1" x14ac:dyDescent="0.3">
      <c r="A130" s="681"/>
      <c r="B130" s="681"/>
      <c r="C130" s="247"/>
      <c r="D130" s="247"/>
      <c r="E130" s="117"/>
      <c r="F130" s="247"/>
      <c r="G130" s="247"/>
      <c r="H130" s="247"/>
      <c r="I130" s="247"/>
      <c r="J130" s="247"/>
      <c r="K130" s="247"/>
    </row>
    <row r="131" spans="1:11" ht="40.950000000000003" customHeight="1" x14ac:dyDescent="0.3">
      <c r="A131" s="681"/>
      <c r="B131" s="681"/>
      <c r="C131" s="247"/>
      <c r="D131" s="247"/>
      <c r="E131" s="117"/>
      <c r="F131" s="247"/>
      <c r="G131" s="247"/>
      <c r="H131" s="247"/>
      <c r="I131" s="247"/>
      <c r="J131" s="247"/>
      <c r="K131" s="247"/>
    </row>
    <row r="132" spans="1:11" ht="40.950000000000003" customHeight="1" x14ac:dyDescent="0.3">
      <c r="A132" s="681"/>
      <c r="B132" s="681"/>
      <c r="C132" s="247"/>
      <c r="D132" s="247"/>
      <c r="E132" s="117"/>
      <c r="F132" s="247"/>
      <c r="G132" s="247"/>
      <c r="H132" s="247"/>
      <c r="I132" s="247"/>
      <c r="J132" s="247"/>
      <c r="K132" s="247"/>
    </row>
    <row r="133" spans="1:11" ht="40.950000000000003" customHeight="1" x14ac:dyDescent="0.3">
      <c r="A133" s="681"/>
      <c r="B133" s="681"/>
      <c r="C133" s="247"/>
      <c r="D133" s="247"/>
      <c r="E133" s="117"/>
      <c r="F133" s="247"/>
      <c r="G133" s="247"/>
      <c r="H133" s="247"/>
      <c r="I133" s="247"/>
      <c r="J133" s="247"/>
      <c r="K133" s="247"/>
    </row>
    <row r="134" spans="1:11" ht="15.6" x14ac:dyDescent="0.3">
      <c r="A134" s="306" t="s">
        <v>1590</v>
      </c>
      <c r="B134" s="306"/>
      <c r="C134" s="306"/>
      <c r="D134" s="306"/>
      <c r="E134" s="306"/>
      <c r="F134" s="306"/>
      <c r="G134" s="306"/>
      <c r="H134" s="306"/>
      <c r="I134" s="306"/>
      <c r="J134" s="306"/>
      <c r="K134" s="306"/>
    </row>
    <row r="135" spans="1:11" ht="64.95" customHeight="1" x14ac:dyDescent="0.3">
      <c r="A135" s="257" t="s">
        <v>1591</v>
      </c>
      <c r="B135" s="257"/>
      <c r="C135" s="257"/>
      <c r="D135" s="257"/>
      <c r="E135" s="257"/>
      <c r="F135" s="257"/>
      <c r="G135" s="257"/>
      <c r="H135" s="257"/>
      <c r="I135" s="257"/>
      <c r="J135" s="257"/>
      <c r="K135" s="257"/>
    </row>
    <row r="136" spans="1:11" x14ac:dyDescent="0.3">
      <c r="A136" t="s">
        <v>1592</v>
      </c>
    </row>
    <row r="137" spans="1:11" x14ac:dyDescent="0.3">
      <c r="A137" s="414" t="s">
        <v>1593</v>
      </c>
      <c r="B137" s="414"/>
      <c r="C137" s="414"/>
      <c r="D137" s="414" t="s">
        <v>1594</v>
      </c>
      <c r="E137" s="414"/>
      <c r="F137" s="414"/>
      <c r="G137" s="414"/>
      <c r="H137" s="414"/>
      <c r="I137" s="414"/>
      <c r="J137" s="414" t="s">
        <v>276</v>
      </c>
      <c r="K137" s="680"/>
    </row>
    <row r="138" spans="1:11" ht="60.6" customHeight="1" x14ac:dyDescent="0.3">
      <c r="A138" s="584" t="s">
        <v>1595</v>
      </c>
      <c r="B138" s="584"/>
      <c r="C138" s="584"/>
      <c r="D138" s="456"/>
      <c r="E138" s="456"/>
      <c r="F138" s="456"/>
      <c r="G138" s="456"/>
      <c r="H138" s="456"/>
      <c r="I138" s="456"/>
      <c r="J138" s="577"/>
      <c r="K138" s="577"/>
    </row>
    <row r="139" spans="1:11" ht="60.6" customHeight="1" x14ac:dyDescent="0.3">
      <c r="A139" s="584" t="s">
        <v>532</v>
      </c>
      <c r="B139" s="584"/>
      <c r="C139" s="584"/>
      <c r="D139" s="456"/>
      <c r="E139" s="456"/>
      <c r="F139" s="456"/>
      <c r="G139" s="456"/>
      <c r="H139" s="456"/>
      <c r="I139" s="456"/>
      <c r="J139" s="577"/>
      <c r="K139" s="577"/>
    </row>
    <row r="140" spans="1:11" ht="60.6" customHeight="1" x14ac:dyDescent="0.3">
      <c r="A140" s="584" t="s">
        <v>1596</v>
      </c>
      <c r="B140" s="584"/>
      <c r="C140" s="584"/>
      <c r="D140" s="456"/>
      <c r="E140" s="456"/>
      <c r="F140" s="456"/>
      <c r="G140" s="456"/>
      <c r="H140" s="456"/>
      <c r="I140" s="456"/>
      <c r="J140" s="577"/>
      <c r="K140" s="577"/>
    </row>
    <row r="141" spans="1:11" ht="60.6" customHeight="1" x14ac:dyDescent="0.3">
      <c r="A141" s="584" t="s">
        <v>1597</v>
      </c>
      <c r="B141" s="584"/>
      <c r="C141" s="584"/>
      <c r="D141" s="456"/>
      <c r="E141" s="456"/>
      <c r="F141" s="456"/>
      <c r="G141" s="456"/>
      <c r="H141" s="456"/>
      <c r="I141" s="456"/>
      <c r="J141" s="577"/>
      <c r="K141" s="577"/>
    </row>
    <row r="142" spans="1:11" ht="60.6" customHeight="1" x14ac:dyDescent="0.3">
      <c r="A142" s="584" t="s">
        <v>1598</v>
      </c>
      <c r="B142" s="584"/>
      <c r="C142" s="584"/>
      <c r="D142" s="456"/>
      <c r="E142" s="456"/>
      <c r="F142" s="456"/>
      <c r="G142" s="456"/>
      <c r="H142" s="456"/>
      <c r="I142" s="456"/>
      <c r="J142" s="577"/>
      <c r="K142" s="577"/>
    </row>
    <row r="143" spans="1:11" ht="60.6" customHeight="1" x14ac:dyDescent="0.3">
      <c r="A143" s="584" t="s">
        <v>1599</v>
      </c>
      <c r="B143" s="584"/>
      <c r="C143" s="584"/>
      <c r="D143" s="456"/>
      <c r="E143" s="456"/>
      <c r="F143" s="456"/>
      <c r="G143" s="456"/>
      <c r="H143" s="456"/>
      <c r="I143" s="456"/>
      <c r="J143" s="577"/>
      <c r="K143" s="577"/>
    </row>
    <row r="144" spans="1:11" ht="60.6" customHeight="1" x14ac:dyDescent="0.3">
      <c r="A144" s="584" t="s">
        <v>1600</v>
      </c>
      <c r="B144" s="584"/>
      <c r="C144" s="584"/>
      <c r="D144" s="456"/>
      <c r="E144" s="456"/>
      <c r="F144" s="456"/>
      <c r="G144" s="456"/>
      <c r="H144" s="456"/>
      <c r="I144" s="456"/>
      <c r="J144" s="577"/>
      <c r="K144" s="577"/>
    </row>
    <row r="145" spans="1:11" ht="60.6" customHeight="1" x14ac:dyDescent="0.3">
      <c r="A145" s="584" t="s">
        <v>1601</v>
      </c>
      <c r="B145" s="584"/>
      <c r="C145" s="584"/>
      <c r="D145" s="456"/>
      <c r="E145" s="456"/>
      <c r="F145" s="456"/>
      <c r="G145" s="456"/>
      <c r="H145" s="456"/>
      <c r="I145" s="456"/>
      <c r="J145" s="577"/>
      <c r="K145" s="577"/>
    </row>
    <row r="146" spans="1:11" ht="60.6" customHeight="1" x14ac:dyDescent="0.3">
      <c r="A146" s="410" t="s">
        <v>1602</v>
      </c>
      <c r="B146" s="537"/>
      <c r="C146" s="538"/>
      <c r="D146" s="456"/>
      <c r="E146" s="456"/>
      <c r="F146" s="456"/>
      <c r="G146" s="456"/>
      <c r="H146" s="456"/>
      <c r="I146" s="456"/>
      <c r="J146" s="577"/>
      <c r="K146" s="577"/>
    </row>
    <row r="149" spans="1:11" x14ac:dyDescent="0.3">
      <c r="E149" s="386" t="s">
        <v>338</v>
      </c>
      <c r="F149" s="386"/>
      <c r="G149" s="386"/>
    </row>
  </sheetData>
  <mergeCells count="324">
    <mergeCell ref="A4:K4"/>
    <mergeCell ref="A5:K5"/>
    <mergeCell ref="B7:F7"/>
    <mergeCell ref="H7:I7"/>
    <mergeCell ref="J7:K7"/>
    <mergeCell ref="C6:F6"/>
    <mergeCell ref="E149:G149"/>
    <mergeCell ref="A1:K1"/>
    <mergeCell ref="A2:K2"/>
    <mergeCell ref="B8:F8"/>
    <mergeCell ref="H8:I8"/>
    <mergeCell ref="J8:K8"/>
    <mergeCell ref="B9:F9"/>
    <mergeCell ref="H9:I9"/>
    <mergeCell ref="J9:K9"/>
    <mergeCell ref="B13:D13"/>
    <mergeCell ref="B14:D14"/>
    <mergeCell ref="B15:D15"/>
    <mergeCell ref="E13:G13"/>
    <mergeCell ref="E14:G14"/>
    <mergeCell ref="E15:G15"/>
    <mergeCell ref="C12:F12"/>
    <mergeCell ref="H14:I14"/>
    <mergeCell ref="J14:K14"/>
    <mergeCell ref="H15:I15"/>
    <mergeCell ref="J15:K15"/>
    <mergeCell ref="B10:F10"/>
    <mergeCell ref="H10:I10"/>
    <mergeCell ref="J10:K10"/>
    <mergeCell ref="H13:I13"/>
    <mergeCell ref="J13:K13"/>
    <mergeCell ref="E16:G16"/>
    <mergeCell ref="H16:I16"/>
    <mergeCell ref="J16:K16"/>
    <mergeCell ref="B16:D16"/>
    <mergeCell ref="A21:C21"/>
    <mergeCell ref="E21:G21"/>
    <mergeCell ref="H21:I21"/>
    <mergeCell ref="J21:K21"/>
    <mergeCell ref="A22:C22"/>
    <mergeCell ref="E22:G22"/>
    <mergeCell ref="H22:I22"/>
    <mergeCell ref="J22:K22"/>
    <mergeCell ref="A18:K18"/>
    <mergeCell ref="J25:K25"/>
    <mergeCell ref="A26:C26"/>
    <mergeCell ref="E26:G26"/>
    <mergeCell ref="H26:I26"/>
    <mergeCell ref="J26:K26"/>
    <mergeCell ref="A23:C23"/>
    <mergeCell ref="E23:G23"/>
    <mergeCell ref="H23:I23"/>
    <mergeCell ref="J23:K23"/>
    <mergeCell ref="A24:C24"/>
    <mergeCell ref="E24:G24"/>
    <mergeCell ref="H24:I24"/>
    <mergeCell ref="J24:K24"/>
    <mergeCell ref="A31:C31"/>
    <mergeCell ref="E31:G31"/>
    <mergeCell ref="H31:I31"/>
    <mergeCell ref="J31:K31"/>
    <mergeCell ref="A20:K20"/>
    <mergeCell ref="A29:C29"/>
    <mergeCell ref="E29:G29"/>
    <mergeCell ref="H29:I29"/>
    <mergeCell ref="J29:K29"/>
    <mergeCell ref="A30:C30"/>
    <mergeCell ref="E30:G30"/>
    <mergeCell ref="H30:I30"/>
    <mergeCell ref="J30:K30"/>
    <mergeCell ref="A27:C27"/>
    <mergeCell ref="E27:G27"/>
    <mergeCell ref="H27:I27"/>
    <mergeCell ref="J27:K27"/>
    <mergeCell ref="A28:C28"/>
    <mergeCell ref="E28:G28"/>
    <mergeCell ref="H28:I28"/>
    <mergeCell ref="J28:K28"/>
    <mergeCell ref="A25:C25"/>
    <mergeCell ref="E25:G25"/>
    <mergeCell ref="H25:I25"/>
    <mergeCell ref="A59:C59"/>
    <mergeCell ref="E59:G59"/>
    <mergeCell ref="H59:I59"/>
    <mergeCell ref="J59:K59"/>
    <mergeCell ref="A60:C60"/>
    <mergeCell ref="E60:G60"/>
    <mergeCell ref="H60:I60"/>
    <mergeCell ref="J60:K60"/>
    <mergeCell ref="A33:K33"/>
    <mergeCell ref="A34:K54"/>
    <mergeCell ref="A55:K55"/>
    <mergeCell ref="A57:K57"/>
    <mergeCell ref="A58:C58"/>
    <mergeCell ref="E58:G58"/>
    <mergeCell ref="H58:I58"/>
    <mergeCell ref="J58:K58"/>
    <mergeCell ref="A63:C63"/>
    <mergeCell ref="E63:G63"/>
    <mergeCell ref="H63:I63"/>
    <mergeCell ref="J63:K63"/>
    <mergeCell ref="A64:C64"/>
    <mergeCell ref="E64:G64"/>
    <mergeCell ref="H64:I64"/>
    <mergeCell ref="J64:K64"/>
    <mergeCell ref="A61:C61"/>
    <mergeCell ref="E61:G61"/>
    <mergeCell ref="H61:I61"/>
    <mergeCell ref="J61:K61"/>
    <mergeCell ref="A62:C62"/>
    <mergeCell ref="E62:G62"/>
    <mergeCell ref="H62:I62"/>
    <mergeCell ref="J62:K62"/>
    <mergeCell ref="A67:C67"/>
    <mergeCell ref="E67:G67"/>
    <mergeCell ref="H67:I67"/>
    <mergeCell ref="J67:K67"/>
    <mergeCell ref="A68:C68"/>
    <mergeCell ref="E68:G68"/>
    <mergeCell ref="H68:I68"/>
    <mergeCell ref="J68:K68"/>
    <mergeCell ref="A65:C65"/>
    <mergeCell ref="E65:G65"/>
    <mergeCell ref="H65:I65"/>
    <mergeCell ref="J65:K65"/>
    <mergeCell ref="A66:C66"/>
    <mergeCell ref="E66:G66"/>
    <mergeCell ref="H66:I66"/>
    <mergeCell ref="J66:K66"/>
    <mergeCell ref="A96:C96"/>
    <mergeCell ref="E96:G96"/>
    <mergeCell ref="H96:I96"/>
    <mergeCell ref="J96:K96"/>
    <mergeCell ref="A97:C97"/>
    <mergeCell ref="E97:G97"/>
    <mergeCell ref="H97:I97"/>
    <mergeCell ref="J97:K97"/>
    <mergeCell ref="A70:K70"/>
    <mergeCell ref="A71:K91"/>
    <mergeCell ref="A92:K92"/>
    <mergeCell ref="A94:K94"/>
    <mergeCell ref="A95:C95"/>
    <mergeCell ref="E95:G95"/>
    <mergeCell ref="H95:I95"/>
    <mergeCell ref="J95:K95"/>
    <mergeCell ref="A93:K93"/>
    <mergeCell ref="A100:C100"/>
    <mergeCell ref="E100:G100"/>
    <mergeCell ref="H100:I100"/>
    <mergeCell ref="J100:K100"/>
    <mergeCell ref="A101:C101"/>
    <mergeCell ref="E101:G101"/>
    <mergeCell ref="H101:I101"/>
    <mergeCell ref="J101:K101"/>
    <mergeCell ref="A98:C98"/>
    <mergeCell ref="E98:G98"/>
    <mergeCell ref="H98:I98"/>
    <mergeCell ref="J98:K98"/>
    <mergeCell ref="A99:C99"/>
    <mergeCell ref="E99:G99"/>
    <mergeCell ref="H99:I99"/>
    <mergeCell ref="J99:K99"/>
    <mergeCell ref="A104:C104"/>
    <mergeCell ref="E104:G104"/>
    <mergeCell ref="H104:I104"/>
    <mergeCell ref="J104:K104"/>
    <mergeCell ref="A105:C105"/>
    <mergeCell ref="E105:G105"/>
    <mergeCell ref="H105:I105"/>
    <mergeCell ref="J105:K105"/>
    <mergeCell ref="A102:C102"/>
    <mergeCell ref="E102:G102"/>
    <mergeCell ref="H102:I102"/>
    <mergeCell ref="J102:K102"/>
    <mergeCell ref="A103:C103"/>
    <mergeCell ref="E103:G103"/>
    <mergeCell ref="H103:I103"/>
    <mergeCell ref="J103:K103"/>
    <mergeCell ref="A108:C108"/>
    <mergeCell ref="E108:G108"/>
    <mergeCell ref="H108:I108"/>
    <mergeCell ref="J108:K108"/>
    <mergeCell ref="A109:C109"/>
    <mergeCell ref="E109:G109"/>
    <mergeCell ref="H109:I109"/>
    <mergeCell ref="J109:K109"/>
    <mergeCell ref="A106:C106"/>
    <mergeCell ref="E106:G106"/>
    <mergeCell ref="H106:I106"/>
    <mergeCell ref="J106:K106"/>
    <mergeCell ref="A107:C107"/>
    <mergeCell ref="E107:G107"/>
    <mergeCell ref="H107:I107"/>
    <mergeCell ref="J107:K107"/>
    <mergeCell ref="A112:C112"/>
    <mergeCell ref="E112:G112"/>
    <mergeCell ref="H112:I112"/>
    <mergeCell ref="J112:K112"/>
    <mergeCell ref="A113:C113"/>
    <mergeCell ref="E113:G113"/>
    <mergeCell ref="H113:I113"/>
    <mergeCell ref="J113:K113"/>
    <mergeCell ref="A110:C110"/>
    <mergeCell ref="E110:G110"/>
    <mergeCell ref="H110:I110"/>
    <mergeCell ref="J110:K110"/>
    <mergeCell ref="A111:C111"/>
    <mergeCell ref="E111:G111"/>
    <mergeCell ref="H111:I111"/>
    <mergeCell ref="J111:K111"/>
    <mergeCell ref="C120:D120"/>
    <mergeCell ref="F120:G120"/>
    <mergeCell ref="H120:I120"/>
    <mergeCell ref="J120:K120"/>
    <mergeCell ref="C121:D121"/>
    <mergeCell ref="F121:G121"/>
    <mergeCell ref="H121:I121"/>
    <mergeCell ref="J121:K121"/>
    <mergeCell ref="A116:K116"/>
    <mergeCell ref="A117:K117"/>
    <mergeCell ref="A119:B119"/>
    <mergeCell ref="C118:D118"/>
    <mergeCell ref="F118:G118"/>
    <mergeCell ref="H118:I118"/>
    <mergeCell ref="J118:K118"/>
    <mergeCell ref="C119:D119"/>
    <mergeCell ref="F119:G119"/>
    <mergeCell ref="H119:I119"/>
    <mergeCell ref="J119:K119"/>
    <mergeCell ref="C124:D124"/>
    <mergeCell ref="F124:G124"/>
    <mergeCell ref="H124:I124"/>
    <mergeCell ref="J124:K124"/>
    <mergeCell ref="C125:D125"/>
    <mergeCell ref="F125:G125"/>
    <mergeCell ref="H125:I125"/>
    <mergeCell ref="J125:K125"/>
    <mergeCell ref="C122:D122"/>
    <mergeCell ref="F122:G122"/>
    <mergeCell ref="H122:I122"/>
    <mergeCell ref="J122:K122"/>
    <mergeCell ref="C123:D123"/>
    <mergeCell ref="F123:G123"/>
    <mergeCell ref="H123:I123"/>
    <mergeCell ref="J123:K123"/>
    <mergeCell ref="C128:D128"/>
    <mergeCell ref="F128:G128"/>
    <mergeCell ref="H128:I128"/>
    <mergeCell ref="J128:K128"/>
    <mergeCell ref="C129:D129"/>
    <mergeCell ref="F129:G129"/>
    <mergeCell ref="H129:I129"/>
    <mergeCell ref="J129:K129"/>
    <mergeCell ref="C126:D126"/>
    <mergeCell ref="F126:G126"/>
    <mergeCell ref="H126:I126"/>
    <mergeCell ref="J126:K126"/>
    <mergeCell ref="C127:D127"/>
    <mergeCell ref="F127:G127"/>
    <mergeCell ref="H127:I127"/>
    <mergeCell ref="J127:K127"/>
    <mergeCell ref="C132:D132"/>
    <mergeCell ref="F132:G132"/>
    <mergeCell ref="H132:I132"/>
    <mergeCell ref="J132:K132"/>
    <mergeCell ref="C133:D133"/>
    <mergeCell ref="F133:G133"/>
    <mergeCell ref="H133:I133"/>
    <mergeCell ref="J133:K133"/>
    <mergeCell ref="C130:D130"/>
    <mergeCell ref="F130:G130"/>
    <mergeCell ref="H130:I130"/>
    <mergeCell ref="J130:K130"/>
    <mergeCell ref="C131:D131"/>
    <mergeCell ref="F131:G131"/>
    <mergeCell ref="H131:I131"/>
    <mergeCell ref="J131:K131"/>
    <mergeCell ref="A130:B130"/>
    <mergeCell ref="A131:B131"/>
    <mergeCell ref="A132:B132"/>
    <mergeCell ref="A133:B133"/>
    <mergeCell ref="A118:B118"/>
    <mergeCell ref="A125:B125"/>
    <mergeCell ref="A126:B126"/>
    <mergeCell ref="A127:B127"/>
    <mergeCell ref="A128:B128"/>
    <mergeCell ref="A129:B129"/>
    <mergeCell ref="A120:B120"/>
    <mergeCell ref="A121:B121"/>
    <mergeCell ref="A122:B122"/>
    <mergeCell ref="A123:B123"/>
    <mergeCell ref="A124:B124"/>
    <mergeCell ref="J138:K138"/>
    <mergeCell ref="J139:K139"/>
    <mergeCell ref="A138:C138"/>
    <mergeCell ref="A139:C139"/>
    <mergeCell ref="D137:I137"/>
    <mergeCell ref="A134:K134"/>
    <mergeCell ref="A135:K135"/>
    <mergeCell ref="A137:C137"/>
    <mergeCell ref="J137:K137"/>
    <mergeCell ref="D138:I138"/>
    <mergeCell ref="D139:I139"/>
    <mergeCell ref="A146:C146"/>
    <mergeCell ref="D146:I146"/>
    <mergeCell ref="J140:K140"/>
    <mergeCell ref="J141:K141"/>
    <mergeCell ref="J142:K142"/>
    <mergeCell ref="J143:K143"/>
    <mergeCell ref="J144:K144"/>
    <mergeCell ref="J145:K145"/>
    <mergeCell ref="J146:K146"/>
    <mergeCell ref="A145:C145"/>
    <mergeCell ref="D140:I140"/>
    <mergeCell ref="D141:I141"/>
    <mergeCell ref="D142:I142"/>
    <mergeCell ref="D143:I143"/>
    <mergeCell ref="D144:I144"/>
    <mergeCell ref="D145:I145"/>
    <mergeCell ref="A140:C140"/>
    <mergeCell ref="A141:C141"/>
    <mergeCell ref="A142:C142"/>
    <mergeCell ref="A143:C143"/>
    <mergeCell ref="A144:C144"/>
  </mergeCells>
  <conditionalFormatting sqref="E149">
    <cfRule type="containsBlanks" dxfId="11" priority="1">
      <formula>LEN(TRIM(E149))=0</formula>
    </cfRule>
  </conditionalFormatting>
  <conditionalFormatting sqref="J138:K146">
    <cfRule type="containsBlanks" dxfId="10" priority="2">
      <formula>LEN(TRIM(J138))=0</formula>
    </cfRule>
  </conditionalFormatting>
  <hyperlinks>
    <hyperlink ref="E22:G22" r:id="rId1" display="jteasda1@jaguarlandrover.com" xr:uid="{E57DB55A-9498-4DDD-AE54-52ABD9301F4E}"/>
    <hyperlink ref="E23:G23" r:id="rId2" display="gkuber1@jaguarlandrover.com" xr:uid="{3CD3194E-1D82-499D-8670-4E27B7442E54}"/>
    <hyperlink ref="E24:G24" r:id="rId3" display="mcrouch7@jaguarlandrover.com" xr:uid="{8E044123-D6F2-4F36-9D77-9B2E485E69CA}"/>
    <hyperlink ref="E25:G25" r:id="rId4" display="jellis3@jaguarlandrover.com" xr:uid="{27C2AA65-CA4B-4E78-A6CC-A8BE3FD00016}"/>
    <hyperlink ref="E26:G26" r:id="rId5" display="mpyka@jaguarlandrover.com" xr:uid="{664C2795-5816-413E-9B99-9F56D86A4E4C}"/>
    <hyperlink ref="E27:G27" r:id="rId6" display="sbrown58@jaguarlandrover.com" xr:uid="{1493146D-DAAC-4800-AF62-5544F1601B74}"/>
    <hyperlink ref="E28:G28" r:id="rId7" display="lspensl1@jaguarlandrover.com" xr:uid="{D02834A4-F8C7-4759-A895-BB72EDD8DCD2}"/>
    <hyperlink ref="E14:G14" r:id="rId8" display="jteasda1@jaguarlandrover.com" xr:uid="{30C3C697-379E-495D-94D3-CDD2CEFB12CD}"/>
    <hyperlink ref="E16:G16" r:id="rId9" display="mcrouch7@jaguarlandrover.com" xr:uid="{15CF24FA-AC77-496E-96FF-75CE7ABCEA50}"/>
    <hyperlink ref="E15:G15" r:id="rId10" display="gkuber1@jaguarlandrover.com" xr:uid="{11026E03-5CF7-4F84-8AC7-DE729AAE61C3}"/>
    <hyperlink ref="E14" r:id="rId11" xr:uid="{2CE376CF-9DDA-422F-85F5-FC101421C591}"/>
    <hyperlink ref="E22" r:id="rId12" display="amitroi@partner.jaguarlandrover.com" xr:uid="{26936262-A7AB-48E7-8670-BDE4D4D8A4FB}"/>
  </hyperlinks>
  <pageMargins left="0.25" right="0.25" top="0.86458333333333337" bottom="0.75" header="0.3" footer="0.3"/>
  <pageSetup paperSize="9" orientation="portrait" r:id="rId13"/>
  <headerFooter>
    <oddHeader>&amp;LStatement of Work
(eSOW/Hardware) - JLR-TMP-557249&amp;C&amp;G&amp;RIssue Level 5.3
Effective Date: 9th June 2025</oddHeader>
    <oddFooter>&amp;L&amp;"JLR Emeric,Regular"&amp;10
Appendix E.
Project Collaboration&amp;C&amp;"JLR Emeric,Bold"&amp;10&amp;KFF0000PRINTED COPIES ARE UNCONTROLLED&amp;R&amp;"JLR Emeric,Regular"&amp;10&amp;P</oddFooter>
  </headerFooter>
  <rowBreaks count="5" manualBreakCount="5">
    <brk id="17" max="16383" man="1"/>
    <brk id="54" max="16383" man="1"/>
    <brk id="91" max="16383" man="1"/>
    <brk id="115" max="16383" man="1"/>
    <brk id="133" max="16383" man="1"/>
  </rowBreaks>
  <drawing r:id="rId14"/>
  <legacyDrawing r:id="rId15"/>
  <legacyDrawingHF r:id="rId16"/>
  <extLst>
    <ext xmlns:x14="http://schemas.microsoft.com/office/spreadsheetml/2009/9/main" uri="{CCE6A557-97BC-4b89-ADB6-D9C93CAAB3DF}">
      <x14:dataValidations xmlns:xm="http://schemas.microsoft.com/office/excel/2006/main" count="1">
        <x14:dataValidation type="list" allowBlank="1" showInputMessage="1" showErrorMessage="1" xr:uid="{10CC9668-8C44-4BBF-AE51-F76BB5EC0A00}">
          <x14:formula1>
            <xm:f>DATA_NEW!$A$21:$A$22</xm:f>
          </x14:formula1>
          <xm:sqref>H8:I10 H14:I16 J138:J146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C329F-F8C3-49F2-97F3-51BF14A61A04}">
  <sheetPr>
    <tabColor rgb="FF00B050"/>
  </sheetPr>
  <dimension ref="A1:L25"/>
  <sheetViews>
    <sheetView view="pageLayout" zoomScaleNormal="85" zoomScaleSheetLayoutView="100" workbookViewId="0">
      <selection activeCell="N16" sqref="N16"/>
    </sheetView>
  </sheetViews>
  <sheetFormatPr defaultColWidth="8.88671875" defaultRowHeight="14.4" x14ac:dyDescent="0.3"/>
  <cols>
    <col min="1" max="1" width="12.5546875" customWidth="1"/>
    <col min="2" max="2" width="8.88671875" customWidth="1"/>
    <col min="3" max="3" width="33.6640625" customWidth="1"/>
    <col min="4" max="4" width="17.33203125" customWidth="1"/>
    <col min="5" max="5" width="6.6640625" bestFit="1" customWidth="1"/>
    <col min="6" max="6" width="7.33203125" bestFit="1" customWidth="1"/>
    <col min="7" max="7" width="7.6640625" customWidth="1"/>
    <col min="8" max="8" width="10.5546875" customWidth="1"/>
    <col min="9" max="9" width="7.88671875" customWidth="1"/>
    <col min="10" max="10" width="6.44140625" customWidth="1"/>
    <col min="11" max="12" width="10" customWidth="1"/>
  </cols>
  <sheetData>
    <row r="1" spans="1:12" s="5" customFormat="1" ht="24" customHeight="1" x14ac:dyDescent="0.3">
      <c r="A1" s="407" t="s">
        <v>1603</v>
      </c>
      <c r="B1" s="407"/>
      <c r="C1" s="407"/>
      <c r="D1" s="407"/>
      <c r="E1" s="407"/>
      <c r="F1" s="407"/>
      <c r="G1" s="407"/>
      <c r="H1" s="407"/>
      <c r="I1" s="407"/>
      <c r="J1" s="407"/>
      <c r="K1" s="407"/>
      <c r="L1" s="407"/>
    </row>
    <row r="2" spans="1:12" ht="113.4" customHeight="1" x14ac:dyDescent="0.3">
      <c r="A2" s="648" t="s">
        <v>1604</v>
      </c>
      <c r="B2" s="648"/>
      <c r="C2" s="648"/>
      <c r="D2" s="648"/>
      <c r="E2" s="648"/>
      <c r="F2" s="648"/>
      <c r="G2" s="648"/>
      <c r="H2" s="648"/>
      <c r="I2" s="648"/>
      <c r="J2" s="648"/>
      <c r="K2" s="648"/>
      <c r="L2" s="648"/>
    </row>
    <row r="3" spans="1:12" ht="17.399999999999999" customHeight="1" x14ac:dyDescent="0.3">
      <c r="A3" s="649" t="s">
        <v>1605</v>
      </c>
      <c r="B3" s="306"/>
      <c r="C3" s="306"/>
      <c r="D3" s="306"/>
      <c r="E3" s="306"/>
      <c r="F3" s="306"/>
      <c r="G3" s="306"/>
      <c r="H3" s="306"/>
      <c r="I3" s="306"/>
      <c r="J3" s="306"/>
      <c r="K3" s="306"/>
      <c r="L3" s="306"/>
    </row>
    <row r="4" spans="1:12" ht="13.95" customHeight="1" x14ac:dyDescent="0.3">
      <c r="A4" s="196"/>
      <c r="B4" s="196"/>
      <c r="C4" s="196"/>
      <c r="D4" s="196"/>
      <c r="E4" s="196"/>
      <c r="F4" s="196"/>
      <c r="G4" s="196"/>
      <c r="H4" s="196"/>
      <c r="I4" s="196"/>
      <c r="J4" s="196"/>
      <c r="K4" s="196"/>
      <c r="L4" s="196"/>
    </row>
    <row r="5" spans="1:12" ht="15.6" x14ac:dyDescent="0.3">
      <c r="A5" s="703" t="s">
        <v>1606</v>
      </c>
      <c r="B5" s="704"/>
      <c r="C5" s="704"/>
      <c r="D5" s="704"/>
      <c r="E5" s="704"/>
      <c r="F5" s="704"/>
      <c r="G5" s="704"/>
      <c r="H5" s="704"/>
      <c r="I5" s="704"/>
      <c r="J5" s="705"/>
      <c r="K5" s="703" t="s">
        <v>1607</v>
      </c>
      <c r="L5" s="705"/>
    </row>
    <row r="6" spans="1:12" s="3" customFormat="1" ht="15.6" x14ac:dyDescent="0.3">
      <c r="A6" s="699" t="s">
        <v>1608</v>
      </c>
      <c r="B6" s="700"/>
      <c r="C6" s="701"/>
      <c r="D6" s="701"/>
      <c r="E6" s="701"/>
      <c r="F6" s="701"/>
      <c r="G6" s="701"/>
      <c r="H6" s="701"/>
      <c r="I6" s="701"/>
      <c r="J6" s="701"/>
      <c r="K6" s="701"/>
      <c r="L6" s="702"/>
    </row>
    <row r="7" spans="1:12" s="3" customFormat="1" ht="15.6" x14ac:dyDescent="0.3">
      <c r="A7" s="698" t="s">
        <v>1609</v>
      </c>
      <c r="B7" s="698"/>
      <c r="C7" s="698"/>
      <c r="D7" s="698"/>
      <c r="E7" s="698"/>
      <c r="F7" s="698"/>
      <c r="G7" s="698"/>
      <c r="H7" s="698"/>
      <c r="I7" s="698"/>
      <c r="J7" s="698"/>
      <c r="K7" s="237" t="s">
        <v>408</v>
      </c>
      <c r="L7" s="237" t="s">
        <v>75</v>
      </c>
    </row>
    <row r="8" spans="1:12" s="3" customFormat="1" ht="14.4" customHeight="1" x14ac:dyDescent="0.3">
      <c r="A8" s="668" t="s">
        <v>1610</v>
      </c>
      <c r="B8" s="668"/>
      <c r="C8" s="668"/>
      <c r="D8" s="668"/>
      <c r="E8" s="668"/>
      <c r="F8" s="668"/>
      <c r="G8" s="668"/>
      <c r="H8" s="668"/>
      <c r="I8" s="668"/>
      <c r="J8" s="668"/>
      <c r="K8" s="2"/>
      <c r="L8" s="2"/>
    </row>
    <row r="9" spans="1:12" s="3" customFormat="1" x14ac:dyDescent="0.3">
      <c r="A9" s="668" t="s">
        <v>1611</v>
      </c>
      <c r="B9" s="668"/>
      <c r="C9" s="668"/>
      <c r="D9" s="668"/>
      <c r="E9" s="668"/>
      <c r="F9" s="668"/>
      <c r="G9" s="668"/>
      <c r="H9" s="668"/>
      <c r="I9" s="668"/>
      <c r="J9" s="668"/>
      <c r="K9" s="2"/>
      <c r="L9" s="2"/>
    </row>
    <row r="10" spans="1:12" s="3" customFormat="1" ht="15" customHeight="1" x14ac:dyDescent="0.3">
      <c r="A10" s="668" t="s">
        <v>1612</v>
      </c>
      <c r="B10" s="668"/>
      <c r="C10" s="668"/>
      <c r="D10" s="668"/>
      <c r="E10" s="668"/>
      <c r="F10" s="668"/>
      <c r="G10" s="668"/>
      <c r="H10" s="668"/>
      <c r="I10" s="668"/>
      <c r="J10" s="668"/>
      <c r="K10" s="2"/>
      <c r="L10" s="2"/>
    </row>
    <row r="11" spans="1:12" s="3" customFormat="1" ht="15" customHeight="1" x14ac:dyDescent="0.3">
      <c r="A11" s="668" t="s">
        <v>1613</v>
      </c>
      <c r="B11" s="668"/>
      <c r="C11" s="668"/>
      <c r="D11" s="668"/>
      <c r="E11" s="668"/>
      <c r="F11" s="668"/>
      <c r="G11" s="668"/>
      <c r="H11" s="668"/>
      <c r="I11" s="668"/>
      <c r="J11" s="668"/>
      <c r="K11" s="2"/>
      <c r="L11" s="2"/>
    </row>
    <row r="12" spans="1:12" s="3" customFormat="1" ht="15" customHeight="1" x14ac:dyDescent="0.3">
      <c r="A12" s="668" t="s">
        <v>1614</v>
      </c>
      <c r="B12" s="668"/>
      <c r="C12" s="668"/>
      <c r="D12" s="668"/>
      <c r="E12" s="668"/>
      <c r="F12" s="668"/>
      <c r="G12" s="668"/>
      <c r="H12" s="668"/>
      <c r="I12" s="668"/>
      <c r="J12" s="668"/>
      <c r="K12" s="2"/>
      <c r="L12" s="2"/>
    </row>
    <row r="13" spans="1:12" s="3" customFormat="1" ht="14.4" customHeight="1" x14ac:dyDescent="0.3">
      <c r="A13" s="668" t="s">
        <v>1615</v>
      </c>
      <c r="B13" s="668"/>
      <c r="C13" s="668"/>
      <c r="D13" s="668"/>
      <c r="E13" s="668"/>
      <c r="F13" s="668"/>
      <c r="G13" s="668"/>
      <c r="H13" s="668"/>
      <c r="I13" s="668"/>
      <c r="J13" s="668"/>
      <c r="K13" s="2"/>
      <c r="L13" s="2"/>
    </row>
    <row r="14" spans="1:12" s="3" customFormat="1" ht="14.4" customHeight="1" x14ac:dyDescent="0.3">
      <c r="A14" s="668" t="s">
        <v>1616</v>
      </c>
      <c r="B14" s="668"/>
      <c r="C14" s="668"/>
      <c r="D14" s="668"/>
      <c r="E14" s="668"/>
      <c r="F14" s="668"/>
      <c r="G14" s="668"/>
      <c r="H14" s="668"/>
      <c r="I14" s="668"/>
      <c r="J14" s="668"/>
      <c r="K14" s="2"/>
      <c r="L14" s="2"/>
    </row>
    <row r="15" spans="1:12" s="3" customFormat="1" ht="14.4" customHeight="1" x14ac:dyDescent="0.3">
      <c r="A15" s="668" t="s">
        <v>1617</v>
      </c>
      <c r="B15" s="668"/>
      <c r="C15" s="668"/>
      <c r="D15" s="668"/>
      <c r="E15" s="668"/>
      <c r="F15" s="668"/>
      <c r="G15" s="668"/>
      <c r="H15" s="668"/>
      <c r="I15" s="668"/>
      <c r="J15" s="668"/>
      <c r="K15" s="2"/>
      <c r="L15" s="2"/>
    </row>
    <row r="16" spans="1:12" s="3" customFormat="1" x14ac:dyDescent="0.3">
      <c r="A16" s="668" t="s">
        <v>1618</v>
      </c>
      <c r="B16" s="668"/>
      <c r="C16" s="668"/>
      <c r="D16" s="668"/>
      <c r="E16" s="668"/>
      <c r="F16" s="668"/>
      <c r="G16" s="668"/>
      <c r="H16" s="668"/>
      <c r="I16" s="668"/>
      <c r="J16" s="668"/>
      <c r="K16" s="2"/>
      <c r="L16" s="2"/>
    </row>
    <row r="17" spans="1:12" ht="15" customHeight="1" x14ac:dyDescent="0.3"/>
    <row r="18" spans="1:12" ht="30" customHeight="1" x14ac:dyDescent="0.3">
      <c r="B18" s="695" t="s">
        <v>1619</v>
      </c>
      <c r="C18" s="695"/>
      <c r="D18" s="695"/>
      <c r="E18" s="695"/>
      <c r="F18" s="695"/>
      <c r="G18" s="695"/>
      <c r="H18" s="695"/>
      <c r="I18" s="695"/>
      <c r="J18" s="695"/>
    </row>
    <row r="19" spans="1:12" ht="8.1" customHeight="1" x14ac:dyDescent="0.3">
      <c r="B19" s="696"/>
      <c r="C19" s="696"/>
      <c r="D19" s="696"/>
      <c r="E19" s="696"/>
      <c r="F19" s="696"/>
      <c r="G19" s="696"/>
      <c r="H19" s="696"/>
      <c r="I19" s="696"/>
      <c r="J19" s="696"/>
    </row>
    <row r="20" spans="1:12" ht="30.6" customHeight="1" x14ac:dyDescent="0.3">
      <c r="B20" s="695" t="s">
        <v>1620</v>
      </c>
      <c r="C20" s="695"/>
      <c r="D20" s="695"/>
      <c r="E20" s="695"/>
      <c r="F20" s="695"/>
      <c r="G20" s="695"/>
      <c r="H20" s="695"/>
      <c r="I20" s="695"/>
      <c r="J20" s="695"/>
    </row>
    <row r="21" spans="1:12" ht="8.1" customHeight="1" x14ac:dyDescent="0.3">
      <c r="B21" s="696"/>
      <c r="C21" s="696"/>
      <c r="D21" s="696"/>
      <c r="E21" s="696"/>
      <c r="F21" s="696"/>
      <c r="G21" s="696"/>
      <c r="H21" s="696"/>
      <c r="I21" s="696"/>
      <c r="J21" s="696"/>
    </row>
    <row r="22" spans="1:12" x14ac:dyDescent="0.3">
      <c r="B22" s="697" t="s">
        <v>1621</v>
      </c>
      <c r="C22" s="697"/>
      <c r="D22" s="697"/>
      <c r="E22" s="697"/>
      <c r="F22" s="697"/>
      <c r="G22" s="697"/>
      <c r="H22" s="697"/>
      <c r="I22" s="697"/>
      <c r="J22" s="697"/>
    </row>
    <row r="23" spans="1:12" x14ac:dyDescent="0.3">
      <c r="B23" s="697" t="s">
        <v>1622</v>
      </c>
      <c r="C23" s="697"/>
      <c r="D23" s="697"/>
      <c r="E23" s="697"/>
      <c r="F23" s="697"/>
      <c r="G23" s="697"/>
      <c r="H23" s="697"/>
      <c r="I23" s="697"/>
      <c r="J23" s="697"/>
    </row>
    <row r="25" spans="1:12" x14ac:dyDescent="0.3">
      <c r="A25" s="386" t="s">
        <v>338</v>
      </c>
      <c r="B25" s="386"/>
      <c r="C25" s="386"/>
      <c r="D25" s="386"/>
      <c r="E25" s="386"/>
      <c r="F25" s="386"/>
      <c r="G25" s="386"/>
      <c r="H25" s="386"/>
      <c r="I25" s="386"/>
      <c r="J25" s="386"/>
      <c r="K25" s="386"/>
      <c r="L25" s="386"/>
    </row>
  </sheetData>
  <mergeCells count="24">
    <mergeCell ref="A6:B6"/>
    <mergeCell ref="C6:L6"/>
    <mergeCell ref="A1:L1"/>
    <mergeCell ref="A2:L2"/>
    <mergeCell ref="A3:L3"/>
    <mergeCell ref="A5:J5"/>
    <mergeCell ref="K5:L5"/>
    <mergeCell ref="B19:J19"/>
    <mergeCell ref="A7:J7"/>
    <mergeCell ref="A8:J8"/>
    <mergeCell ref="A9:J9"/>
    <mergeCell ref="A10:J10"/>
    <mergeCell ref="A11:J11"/>
    <mergeCell ref="A12:J12"/>
    <mergeCell ref="A13:J13"/>
    <mergeCell ref="A14:J14"/>
    <mergeCell ref="A15:J15"/>
    <mergeCell ref="A16:J16"/>
    <mergeCell ref="B18:J18"/>
    <mergeCell ref="B20:J20"/>
    <mergeCell ref="B21:J21"/>
    <mergeCell ref="B22:J22"/>
    <mergeCell ref="B23:J23"/>
    <mergeCell ref="A25:L25"/>
  </mergeCells>
  <conditionalFormatting sqref="A25">
    <cfRule type="containsBlanks" dxfId="9" priority="1">
      <formula>LEN(TRIM(A25))=0</formula>
    </cfRule>
  </conditionalFormatting>
  <conditionalFormatting sqref="L1">
    <cfRule type="cellIs" dxfId="8" priority="2" operator="equal">
      <formula>0</formula>
    </cfRule>
  </conditionalFormatting>
  <pageMargins left="0.25" right="0.25" top="0.86458333333333337" bottom="0.75" header="0.3" footer="0.3"/>
  <pageSetup paperSize="9" orientation="landscape" r:id="rId1"/>
  <headerFooter>
    <oddHeader>&amp;LStatement of Work
(eSOW/Hardware) - JLR-TMP-557249&amp;C&amp;"JLR Emeric,Bold"&amp;14&amp;G&amp;RIssue Level 3.9
Effective Date: 15th July 2023</oddHeader>
    <oddFooter>&amp;L&amp;"JLR Emeric,Regular"&amp;10Appendix F.
Body Engineering Supplier Gauge Design Check Sheet&amp;C&amp;"JLR Emeric,Bold"&amp;10&amp;KFF0000PRINTED COPIES ARE UNCONTROLLED&amp;R&amp;"JLR Emeric,Regular"&amp;10&amp;P</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0725-F5A6-4793-9E9C-DE27C764A471}">
  <sheetPr>
    <tabColor rgb="FF00B050"/>
  </sheetPr>
  <dimension ref="A1:L22"/>
  <sheetViews>
    <sheetView view="pageLayout" zoomScaleNormal="85" zoomScaleSheetLayoutView="100" workbookViewId="0">
      <selection activeCell="N16" sqref="N16"/>
    </sheetView>
  </sheetViews>
  <sheetFormatPr defaultColWidth="8.88671875" defaultRowHeight="14.4" x14ac:dyDescent="0.3"/>
  <cols>
    <col min="1" max="1" width="12.5546875" customWidth="1"/>
    <col min="2" max="2" width="8.88671875" customWidth="1"/>
    <col min="3" max="3" width="3" customWidth="1"/>
    <col min="4" max="4" width="45.5546875" customWidth="1"/>
    <col min="5" max="5" width="6.6640625" bestFit="1" customWidth="1"/>
    <col min="6" max="6" width="7.33203125" bestFit="1" customWidth="1"/>
    <col min="7" max="7" width="7.6640625" customWidth="1"/>
    <col min="8" max="8" width="10.5546875" customWidth="1"/>
    <col min="9" max="9" width="7.88671875" customWidth="1"/>
    <col min="10" max="10" width="4" customWidth="1"/>
    <col min="11" max="12" width="10" customWidth="1"/>
  </cols>
  <sheetData>
    <row r="1" spans="1:12" s="5" customFormat="1" ht="24" customHeight="1" x14ac:dyDescent="0.3">
      <c r="A1" s="407" t="s">
        <v>1623</v>
      </c>
      <c r="B1" s="407"/>
      <c r="C1" s="407"/>
      <c r="D1" s="407"/>
      <c r="E1" s="407"/>
      <c r="F1" s="407"/>
      <c r="G1" s="407"/>
      <c r="H1" s="407"/>
      <c r="I1" s="407"/>
      <c r="J1" s="407"/>
      <c r="K1" s="407"/>
      <c r="L1" s="407"/>
    </row>
    <row r="2" spans="1:12" ht="32.4" customHeight="1" x14ac:dyDescent="0.3">
      <c r="A2" s="648" t="s">
        <v>1624</v>
      </c>
      <c r="B2" s="648"/>
      <c r="C2" s="648"/>
      <c r="D2" s="648"/>
      <c r="E2" s="648"/>
      <c r="F2" s="648"/>
      <c r="G2" s="648"/>
      <c r="H2" s="648"/>
      <c r="I2" s="648"/>
      <c r="J2" s="648"/>
      <c r="K2" s="648"/>
      <c r="L2" s="648"/>
    </row>
    <row r="3" spans="1:12" ht="17.399999999999999" customHeight="1" x14ac:dyDescent="0.3">
      <c r="A3" s="649" t="s">
        <v>1625</v>
      </c>
      <c r="B3" s="306"/>
      <c r="C3" s="306"/>
      <c r="D3" s="306"/>
      <c r="E3" s="306"/>
      <c r="F3" s="306"/>
      <c r="G3" s="306"/>
      <c r="H3" s="306"/>
      <c r="I3" s="306"/>
      <c r="J3" s="306"/>
      <c r="K3" s="306"/>
      <c r="L3" s="306"/>
    </row>
    <row r="4" spans="1:12" ht="13.95" customHeight="1" x14ac:dyDescent="0.3">
      <c r="A4" s="196"/>
      <c r="B4" s="196"/>
      <c r="C4" s="196"/>
      <c r="D4" s="196"/>
      <c r="E4" s="196"/>
      <c r="F4" s="196"/>
      <c r="G4" s="196"/>
      <c r="H4" s="196"/>
      <c r="I4" s="196"/>
      <c r="J4" s="196"/>
      <c r="K4" s="196"/>
      <c r="L4" s="196"/>
    </row>
    <row r="5" spans="1:12" ht="15.6" x14ac:dyDescent="0.3">
      <c r="A5" s="703" t="s">
        <v>1626</v>
      </c>
      <c r="B5" s="704"/>
      <c r="C5" s="704"/>
      <c r="D5" s="704"/>
      <c r="E5" s="704"/>
      <c r="F5" s="704"/>
      <c r="G5" s="704"/>
      <c r="H5" s="704"/>
      <c r="I5" s="704"/>
      <c r="J5" s="705"/>
      <c r="K5" s="703" t="s">
        <v>1627</v>
      </c>
      <c r="L5" s="705"/>
    </row>
    <row r="6" spans="1:12" s="3" customFormat="1" ht="15.6" customHeight="1" x14ac:dyDescent="0.3">
      <c r="A6" s="707" t="s">
        <v>1628</v>
      </c>
      <c r="B6" s="708"/>
      <c r="C6" s="708"/>
      <c r="D6" s="708"/>
      <c r="E6" s="708"/>
      <c r="F6" s="708"/>
      <c r="G6" s="708"/>
      <c r="H6" s="708"/>
      <c r="I6" s="708"/>
      <c r="J6" s="708"/>
      <c r="K6" s="708"/>
      <c r="L6" s="709"/>
    </row>
    <row r="7" spans="1:12" s="3" customFormat="1" ht="15.6" x14ac:dyDescent="0.3">
      <c r="A7" s="707" t="s">
        <v>1629</v>
      </c>
      <c r="B7" s="708"/>
      <c r="C7" s="708"/>
      <c r="D7" s="708"/>
      <c r="E7" s="708"/>
      <c r="F7" s="708"/>
      <c r="G7" s="708"/>
      <c r="H7" s="708"/>
      <c r="I7" s="708"/>
      <c r="J7" s="708"/>
      <c r="K7" s="708"/>
      <c r="L7" s="709"/>
    </row>
    <row r="8" spans="1:12" s="3" customFormat="1" ht="15.6" customHeight="1" x14ac:dyDescent="0.3">
      <c r="A8" s="710" t="s">
        <v>1630</v>
      </c>
      <c r="B8" s="711"/>
      <c r="C8" s="711"/>
      <c r="D8" s="711"/>
      <c r="E8" s="711"/>
      <c r="F8" s="711"/>
      <c r="G8" s="711"/>
      <c r="H8" s="711"/>
      <c r="I8" s="711"/>
      <c r="J8" s="711"/>
      <c r="K8" s="711"/>
      <c r="L8" s="712"/>
    </row>
    <row r="9" spans="1:12" s="3" customFormat="1" ht="15.6" x14ac:dyDescent="0.3">
      <c r="A9" s="698"/>
      <c r="B9" s="698"/>
      <c r="C9" s="698"/>
      <c r="D9" s="698"/>
      <c r="E9" s="698"/>
      <c r="F9" s="698"/>
      <c r="G9" s="698"/>
      <c r="H9" s="698"/>
      <c r="I9" s="698"/>
      <c r="J9" s="698"/>
      <c r="K9" s="237" t="s">
        <v>408</v>
      </c>
      <c r="L9" s="237" t="s">
        <v>75</v>
      </c>
    </row>
    <row r="10" spans="1:12" s="3" customFormat="1" ht="14.4" customHeight="1" x14ac:dyDescent="0.3">
      <c r="A10" s="668" t="s">
        <v>1631</v>
      </c>
      <c r="B10" s="668"/>
      <c r="C10" s="668"/>
      <c r="D10" s="668"/>
      <c r="E10" s="668"/>
      <c r="F10" s="668"/>
      <c r="G10" s="668"/>
      <c r="H10" s="668"/>
      <c r="I10" s="668"/>
      <c r="J10" s="668"/>
      <c r="K10" s="2"/>
      <c r="L10" s="2"/>
    </row>
    <row r="11" spans="1:12" s="3" customFormat="1" ht="14.4" customHeight="1" x14ac:dyDescent="0.3">
      <c r="A11" s="668" t="s">
        <v>1632</v>
      </c>
      <c r="B11" s="668"/>
      <c r="C11" s="668"/>
      <c r="D11" s="668"/>
      <c r="E11" s="668"/>
      <c r="F11" s="668"/>
      <c r="G11" s="668"/>
      <c r="H11" s="668"/>
      <c r="I11" s="668"/>
      <c r="J11" s="668"/>
      <c r="K11" s="2"/>
      <c r="L11" s="2"/>
    </row>
    <row r="12" spans="1:12" s="3" customFormat="1" ht="28.2" customHeight="1" x14ac:dyDescent="0.3">
      <c r="A12" s="668"/>
      <c r="B12" s="668"/>
      <c r="C12" s="668"/>
      <c r="D12" s="668"/>
      <c r="E12" s="668"/>
      <c r="F12" s="668"/>
      <c r="G12" s="668"/>
      <c r="H12" s="668"/>
      <c r="I12" s="668"/>
      <c r="J12" s="668"/>
      <c r="K12" s="634" t="s">
        <v>1633</v>
      </c>
      <c r="L12" s="334"/>
    </row>
    <row r="13" spans="1:12" s="3" customFormat="1" ht="28.2" customHeight="1" x14ac:dyDescent="0.3">
      <c r="A13" s="668" t="s">
        <v>1634</v>
      </c>
      <c r="B13" s="668"/>
      <c r="C13" s="668"/>
      <c r="D13" s="668"/>
      <c r="E13" s="668"/>
      <c r="F13" s="668"/>
      <c r="G13" s="668"/>
      <c r="H13" s="668"/>
      <c r="I13" s="668"/>
      <c r="J13" s="668"/>
      <c r="K13" s="634"/>
      <c r="L13" s="334"/>
    </row>
    <row r="14" spans="1:12" s="3" customFormat="1" ht="15" customHeight="1" x14ac:dyDescent="0.3">
      <c r="A14"/>
      <c r="B14"/>
      <c r="C14"/>
      <c r="D14"/>
      <c r="E14"/>
      <c r="F14"/>
      <c r="G14"/>
      <c r="H14"/>
      <c r="I14"/>
      <c r="J14"/>
      <c r="K14"/>
      <c r="L14"/>
    </row>
    <row r="15" spans="1:12" s="3" customFormat="1" ht="14.4" customHeight="1" x14ac:dyDescent="0.3">
      <c r="A15"/>
      <c r="B15"/>
      <c r="C15"/>
      <c r="D15"/>
      <c r="E15"/>
      <c r="F15"/>
      <c r="G15"/>
      <c r="H15"/>
      <c r="I15"/>
      <c r="J15"/>
      <c r="K15"/>
      <c r="L15"/>
    </row>
    <row r="16" spans="1:12" s="3" customFormat="1" ht="14.4" customHeight="1" x14ac:dyDescent="0.3">
      <c r="A16"/>
      <c r="B16"/>
      <c r="C16"/>
      <c r="D16" s="706" t="s">
        <v>1621</v>
      </c>
      <c r="E16" s="706"/>
      <c r="F16" s="706"/>
      <c r="G16" s="706"/>
      <c r="H16" s="706"/>
      <c r="I16" s="706"/>
      <c r="J16" s="706"/>
      <c r="K16"/>
      <c r="L16"/>
    </row>
    <row r="17" spans="1:12" s="3" customFormat="1" ht="14.4" customHeight="1" x14ac:dyDescent="0.3">
      <c r="A17"/>
      <c r="B17"/>
      <c r="C17"/>
      <c r="D17" s="706" t="s">
        <v>1635</v>
      </c>
      <c r="E17" s="706"/>
      <c r="F17" s="706"/>
      <c r="G17" s="706"/>
      <c r="H17" s="706"/>
      <c r="I17" s="706"/>
      <c r="J17" s="706"/>
      <c r="K17"/>
      <c r="L17"/>
    </row>
    <row r="18" spans="1:12" s="3" customFormat="1" ht="14.4" customHeight="1" x14ac:dyDescent="0.3">
      <c r="A18"/>
      <c r="B18"/>
      <c r="C18"/>
      <c r="D18"/>
      <c r="E18"/>
      <c r="F18"/>
      <c r="G18"/>
      <c r="H18"/>
      <c r="I18"/>
      <c r="J18"/>
      <c r="K18"/>
      <c r="L18"/>
    </row>
    <row r="22" spans="1:12" ht="14.4" customHeight="1" x14ac:dyDescent="0.3">
      <c r="A22" s="386" t="s">
        <v>338</v>
      </c>
      <c r="B22" s="386"/>
      <c r="C22" s="386"/>
      <c r="D22" s="386"/>
      <c r="E22" s="386"/>
      <c r="F22" s="386"/>
      <c r="G22" s="386"/>
      <c r="H22" s="386"/>
      <c r="I22" s="386"/>
      <c r="J22" s="386"/>
      <c r="K22" s="386"/>
      <c r="L22" s="386"/>
    </row>
  </sheetData>
  <mergeCells count="18">
    <mergeCell ref="A12:J12"/>
    <mergeCell ref="K12:L12"/>
    <mergeCell ref="A1:L1"/>
    <mergeCell ref="A2:L2"/>
    <mergeCell ref="A3:L3"/>
    <mergeCell ref="A5:J5"/>
    <mergeCell ref="K5:L5"/>
    <mergeCell ref="A6:L6"/>
    <mergeCell ref="A7:L7"/>
    <mergeCell ref="A8:L8"/>
    <mergeCell ref="A9:J9"/>
    <mergeCell ref="A10:J10"/>
    <mergeCell ref="A11:J11"/>
    <mergeCell ref="A13:J13"/>
    <mergeCell ref="K13:L13"/>
    <mergeCell ref="D16:J16"/>
    <mergeCell ref="D17:J17"/>
    <mergeCell ref="A22:L22"/>
  </mergeCells>
  <conditionalFormatting sqref="A22">
    <cfRule type="containsBlanks" dxfId="7" priority="1">
      <formula>LEN(TRIM(A22))=0</formula>
    </cfRule>
  </conditionalFormatting>
  <conditionalFormatting sqref="L1">
    <cfRule type="cellIs" dxfId="6" priority="2" operator="equal">
      <formula>0</formula>
    </cfRule>
  </conditionalFormatting>
  <pageMargins left="0.25" right="0.25" top="0.86458333333333337" bottom="0.75" header="0.3" footer="0.3"/>
  <pageSetup paperSize="9" orientation="landscape" r:id="rId1"/>
  <headerFooter>
    <oddHeader>&amp;LStatement of Work
(eSOW/Hardware) - JLR-TMP-557249&amp;C&amp;"JLR Emeric,Bold"&amp;14&amp;G&amp;RIssue Level 3.9
Effective Date: 15th July 2023</oddHeader>
    <oddFooter>&amp;L&amp;"JLR Emeric,Regular"&amp;10Appendix G.
Requirements for measurement equipment&amp;C&amp;"JLR Emeric,Bold"&amp;10&amp;KFF0000PRINTED COPIES ARE UNCONTROLLED&amp;R&amp;"JLR Emeric,Regular"&amp;10&amp;P</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F6C49-359C-4DC3-8116-EBC600AC4312}">
  <sheetPr>
    <tabColor rgb="FF00B050"/>
  </sheetPr>
  <dimension ref="A1:L23"/>
  <sheetViews>
    <sheetView view="pageLayout" zoomScaleNormal="85" zoomScaleSheetLayoutView="100" workbookViewId="0">
      <selection activeCell="N16" sqref="N16"/>
    </sheetView>
  </sheetViews>
  <sheetFormatPr defaultColWidth="8.88671875" defaultRowHeight="14.4" x14ac:dyDescent="0.3"/>
  <cols>
    <col min="1" max="1" width="12.5546875" customWidth="1"/>
    <col min="2" max="2" width="8.88671875" customWidth="1"/>
    <col min="3" max="3" width="3" customWidth="1"/>
    <col min="4" max="4" width="45.5546875" customWidth="1"/>
    <col min="5" max="5" width="6.6640625" bestFit="1" customWidth="1"/>
    <col min="6" max="6" width="7.33203125" bestFit="1" customWidth="1"/>
    <col min="7" max="7" width="7.6640625" customWidth="1"/>
    <col min="8" max="8" width="10.5546875" customWidth="1"/>
    <col min="9" max="9" width="5.5546875" customWidth="1"/>
    <col min="10" max="12" width="10" customWidth="1"/>
  </cols>
  <sheetData>
    <row r="1" spans="1:12" s="5" customFormat="1" ht="24" customHeight="1" x14ac:dyDescent="0.3">
      <c r="A1" s="407" t="s">
        <v>1636</v>
      </c>
      <c r="B1" s="407"/>
      <c r="C1" s="407"/>
      <c r="D1" s="407"/>
      <c r="E1" s="407"/>
      <c r="F1" s="407"/>
      <c r="G1" s="407"/>
      <c r="H1" s="407"/>
      <c r="I1" s="407"/>
      <c r="J1" s="407"/>
      <c r="K1" s="407"/>
      <c r="L1" s="407"/>
    </row>
    <row r="2" spans="1:12" ht="32.4" customHeight="1" x14ac:dyDescent="0.3">
      <c r="A2" s="648" t="s">
        <v>1637</v>
      </c>
      <c r="B2" s="648"/>
      <c r="C2" s="648"/>
      <c r="D2" s="648"/>
      <c r="E2" s="648"/>
      <c r="F2" s="648"/>
      <c r="G2" s="648"/>
      <c r="H2" s="648"/>
      <c r="I2" s="648"/>
      <c r="J2" s="648"/>
      <c r="K2" s="648"/>
      <c r="L2" s="648"/>
    </row>
    <row r="3" spans="1:12" ht="17.399999999999999" customHeight="1" x14ac:dyDescent="0.3">
      <c r="A3" s="649" t="s">
        <v>1638</v>
      </c>
      <c r="B3" s="306"/>
      <c r="C3" s="306"/>
      <c r="D3" s="306"/>
      <c r="E3" s="306"/>
      <c r="F3" s="306"/>
      <c r="G3" s="306"/>
      <c r="H3" s="306"/>
      <c r="I3" s="306"/>
      <c r="J3" s="306"/>
      <c r="K3" s="306"/>
      <c r="L3" s="306"/>
    </row>
    <row r="4" spans="1:12" ht="13.95" customHeight="1" x14ac:dyDescent="0.3">
      <c r="A4" s="196"/>
      <c r="B4" s="196"/>
      <c r="C4" s="196"/>
      <c r="D4" s="196"/>
      <c r="E4" s="196"/>
      <c r="F4" s="196"/>
      <c r="G4" s="196"/>
      <c r="H4" s="196"/>
      <c r="I4" s="196"/>
      <c r="J4" s="196"/>
      <c r="K4" s="196"/>
      <c r="L4" s="196"/>
    </row>
    <row r="5" spans="1:12" ht="15.6" customHeight="1" x14ac:dyDescent="0.3">
      <c r="A5" s="703" t="s">
        <v>1639</v>
      </c>
      <c r="B5" s="704"/>
      <c r="C5" s="704"/>
      <c r="D5" s="704"/>
      <c r="E5" s="704"/>
      <c r="F5" s="704"/>
      <c r="G5" s="704"/>
      <c r="H5" s="704"/>
      <c r="I5" s="704"/>
      <c r="J5" s="238"/>
      <c r="K5" s="703" t="s">
        <v>1627</v>
      </c>
      <c r="L5" s="705"/>
    </row>
    <row r="6" spans="1:12" s="3" customFormat="1" ht="15.6" customHeight="1" x14ac:dyDescent="0.3">
      <c r="A6" s="707" t="s">
        <v>1640</v>
      </c>
      <c r="B6" s="708"/>
      <c r="C6" s="708"/>
      <c r="D6" s="708"/>
      <c r="E6" s="708"/>
      <c r="F6" s="708"/>
      <c r="G6" s="708"/>
      <c r="H6" s="708"/>
      <c r="I6" s="708"/>
      <c r="J6" s="708"/>
      <c r="K6" s="708"/>
      <c r="L6" s="709"/>
    </row>
    <row r="7" spans="1:12" s="3" customFormat="1" ht="15.6" x14ac:dyDescent="0.3">
      <c r="A7" s="707" t="s">
        <v>1641</v>
      </c>
      <c r="B7" s="708"/>
      <c r="C7" s="708"/>
      <c r="D7" s="708"/>
      <c r="E7" s="708"/>
      <c r="F7" s="708"/>
      <c r="G7" s="708"/>
      <c r="H7" s="708"/>
      <c r="I7" s="708"/>
      <c r="J7" s="708"/>
      <c r="K7" s="708"/>
      <c r="L7" s="709"/>
    </row>
    <row r="8" spans="1:12" s="3" customFormat="1" ht="15.6" x14ac:dyDescent="0.3">
      <c r="A8" s="698"/>
      <c r="B8" s="698"/>
      <c r="C8" s="698"/>
      <c r="D8" s="698"/>
      <c r="E8" s="698"/>
      <c r="F8" s="698"/>
      <c r="G8" s="698"/>
      <c r="H8" s="698"/>
      <c r="I8" s="698"/>
      <c r="J8" s="237" t="s">
        <v>408</v>
      </c>
      <c r="K8" s="237" t="s">
        <v>411</v>
      </c>
      <c r="L8" s="237" t="s">
        <v>75</v>
      </c>
    </row>
    <row r="9" spans="1:12" s="3" customFormat="1" ht="14.4" customHeight="1" x14ac:dyDescent="0.3">
      <c r="A9" s="713" t="s">
        <v>1642</v>
      </c>
      <c r="B9" s="713"/>
      <c r="C9" s="713"/>
      <c r="D9" s="713"/>
      <c r="E9" s="713"/>
      <c r="F9" s="713"/>
      <c r="G9" s="713"/>
      <c r="H9" s="713"/>
      <c r="I9" s="713"/>
      <c r="J9" s="239"/>
      <c r="K9" s="2"/>
      <c r="L9" s="2"/>
    </row>
    <row r="10" spans="1:12" s="3" customFormat="1" ht="14.4" customHeight="1" x14ac:dyDescent="0.3">
      <c r="A10" s="713" t="s">
        <v>1643</v>
      </c>
      <c r="B10" s="713"/>
      <c r="C10" s="713"/>
      <c r="D10" s="713"/>
      <c r="E10" s="713"/>
      <c r="F10" s="713"/>
      <c r="G10" s="713"/>
      <c r="H10" s="713"/>
      <c r="I10" s="713"/>
      <c r="J10" s="239"/>
      <c r="K10" s="2"/>
      <c r="L10" s="2"/>
    </row>
    <row r="11" spans="1:12" ht="14.4" customHeight="1" x14ac:dyDescent="0.3">
      <c r="A11" s="713" t="s">
        <v>1644</v>
      </c>
      <c r="B11" s="713"/>
      <c r="C11" s="713"/>
      <c r="D11" s="713"/>
      <c r="E11" s="713"/>
      <c r="F11" s="713"/>
      <c r="G11" s="713"/>
      <c r="H11" s="713"/>
      <c r="I11" s="713"/>
      <c r="J11" s="239"/>
      <c r="K11" s="2"/>
      <c r="L11" s="2"/>
    </row>
    <row r="12" spans="1:12" ht="14.4" customHeight="1" x14ac:dyDescent="0.3">
      <c r="A12" s="713" t="s">
        <v>1645</v>
      </c>
      <c r="B12" s="713"/>
      <c r="C12" s="713"/>
      <c r="D12" s="713"/>
      <c r="E12" s="713"/>
      <c r="F12" s="713"/>
      <c r="G12" s="713"/>
      <c r="H12" s="713"/>
      <c r="I12" s="713"/>
      <c r="J12" s="239"/>
      <c r="K12" s="2"/>
      <c r="L12" s="2"/>
    </row>
    <row r="13" spans="1:12" ht="14.4" customHeight="1" x14ac:dyDescent="0.3">
      <c r="A13" s="713" t="s">
        <v>1646</v>
      </c>
      <c r="B13" s="713"/>
      <c r="C13" s="713"/>
      <c r="D13" s="713"/>
      <c r="E13" s="713"/>
      <c r="F13" s="713"/>
      <c r="G13" s="713"/>
      <c r="H13" s="713"/>
      <c r="I13" s="713"/>
      <c r="J13" s="239"/>
      <c r="K13" s="2"/>
      <c r="L13" s="2"/>
    </row>
    <row r="14" spans="1:12" ht="14.4" customHeight="1" x14ac:dyDescent="0.3">
      <c r="A14" s="713" t="s">
        <v>1647</v>
      </c>
      <c r="B14" s="713"/>
      <c r="C14" s="713"/>
      <c r="D14" s="713"/>
      <c r="E14" s="713"/>
      <c r="F14" s="713"/>
      <c r="G14" s="713"/>
      <c r="H14" s="713"/>
      <c r="I14" s="713"/>
      <c r="J14" s="239"/>
      <c r="K14" s="2"/>
      <c r="L14" s="2"/>
    </row>
    <row r="15" spans="1:12" ht="14.4" customHeight="1" x14ac:dyDescent="0.3">
      <c r="A15" s="536" t="s">
        <v>1648</v>
      </c>
      <c r="B15" s="537"/>
      <c r="C15" s="537"/>
      <c r="D15" s="537"/>
      <c r="E15" s="537"/>
      <c r="F15" s="537"/>
      <c r="G15" s="537"/>
      <c r="H15" s="537"/>
      <c r="I15" s="538"/>
      <c r="J15" s="239"/>
      <c r="K15" s="2"/>
      <c r="L15" s="2"/>
    </row>
    <row r="17" spans="1:12" x14ac:dyDescent="0.3">
      <c r="A17" s="706" t="s">
        <v>1621</v>
      </c>
      <c r="B17" s="706"/>
      <c r="C17" s="706"/>
      <c r="D17" s="706"/>
      <c r="E17" s="706"/>
      <c r="F17" s="706"/>
      <c r="G17" s="706"/>
      <c r="H17" s="706"/>
      <c r="I17" s="706"/>
      <c r="J17" s="706"/>
    </row>
    <row r="18" spans="1:12" x14ac:dyDescent="0.3">
      <c r="A18" s="706" t="s">
        <v>1649</v>
      </c>
      <c r="B18" s="706"/>
      <c r="C18" s="706"/>
      <c r="D18" s="706"/>
      <c r="E18" s="706"/>
      <c r="F18" s="706"/>
      <c r="G18" s="706"/>
      <c r="H18" s="706"/>
      <c r="I18" s="706"/>
      <c r="J18" s="706"/>
    </row>
    <row r="23" spans="1:12" x14ac:dyDescent="0.3">
      <c r="A23" s="386" t="s">
        <v>338</v>
      </c>
      <c r="B23" s="386"/>
      <c r="C23" s="386"/>
      <c r="D23" s="386"/>
      <c r="E23" s="386"/>
      <c r="F23" s="386"/>
      <c r="G23" s="386"/>
      <c r="H23" s="386"/>
      <c r="I23" s="386"/>
      <c r="J23" s="386"/>
      <c r="K23" s="386"/>
      <c r="L23" s="386"/>
    </row>
  </sheetData>
  <mergeCells count="18">
    <mergeCell ref="A6:L6"/>
    <mergeCell ref="A1:L1"/>
    <mergeCell ref="A2:L2"/>
    <mergeCell ref="A3:L3"/>
    <mergeCell ref="A5:I5"/>
    <mergeCell ref="K5:L5"/>
    <mergeCell ref="A23:L23"/>
    <mergeCell ref="A7:L7"/>
    <mergeCell ref="A8:I8"/>
    <mergeCell ref="A9:I9"/>
    <mergeCell ref="A10:I10"/>
    <mergeCell ref="A11:I11"/>
    <mergeCell ref="A12:I12"/>
    <mergeCell ref="A13:I13"/>
    <mergeCell ref="A14:I14"/>
    <mergeCell ref="A15:I15"/>
    <mergeCell ref="A17:J17"/>
    <mergeCell ref="A18:J18"/>
  </mergeCells>
  <conditionalFormatting sqref="A23">
    <cfRule type="containsBlanks" dxfId="5" priority="1">
      <formula>LEN(TRIM(A23))=0</formula>
    </cfRule>
  </conditionalFormatting>
  <conditionalFormatting sqref="L1">
    <cfRule type="cellIs" dxfId="4" priority="2" operator="equal">
      <formula>0</formula>
    </cfRule>
  </conditionalFormatting>
  <pageMargins left="0.25" right="0.25" top="0.86458333333333337" bottom="0.75" header="0.3" footer="0.3"/>
  <pageSetup paperSize="9" orientation="landscape" r:id="rId1"/>
  <headerFooter>
    <oddHeader>&amp;LStatement of Work
(eSOW/Hardware) - JLR-TMP-557249&amp;C&amp;"JLR Emeric,Bold"&amp;14&amp;G&amp;RIssue Level 3.9
Effective Date: 15th July 2023</oddHeader>
    <oddFooter>&amp;L&amp;"JLR Emeric,Regular"&amp;10Appendix H.
Measurement data submissions&amp;C&amp;"JLR Emeric,Bold"&amp;10&amp;KFF0000PRINTED COPIES ARE UNCONTROLLED&amp;R&amp;"JLR Emeric,Regular"&amp;10&amp;P</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67F2E-8AD0-4815-A3DA-77CC24E62959}">
  <sheetPr>
    <tabColor rgb="FF00B050"/>
  </sheetPr>
  <dimension ref="A1:L27"/>
  <sheetViews>
    <sheetView view="pageLayout" zoomScaleNormal="85" zoomScaleSheetLayoutView="100" workbookViewId="0">
      <selection activeCell="N16" sqref="N16"/>
    </sheetView>
  </sheetViews>
  <sheetFormatPr defaultColWidth="8.88671875" defaultRowHeight="14.4" x14ac:dyDescent="0.3"/>
  <cols>
    <col min="1" max="1" width="12.5546875" customWidth="1"/>
    <col min="2" max="2" width="8.88671875" customWidth="1"/>
    <col min="3" max="3" width="3" customWidth="1"/>
    <col min="4" max="4" width="45.5546875" customWidth="1"/>
    <col min="5" max="5" width="6.6640625" bestFit="1" customWidth="1"/>
    <col min="6" max="6" width="7.33203125" bestFit="1" customWidth="1"/>
    <col min="7" max="7" width="7.6640625" customWidth="1"/>
    <col min="8" max="8" width="10.5546875" customWidth="1"/>
    <col min="9" max="9" width="6.33203125" customWidth="1"/>
    <col min="10" max="12" width="10" customWidth="1"/>
  </cols>
  <sheetData>
    <row r="1" spans="1:12" s="5" customFormat="1" ht="24" customHeight="1" x14ac:dyDescent="0.3">
      <c r="A1" s="407" t="s">
        <v>1650</v>
      </c>
      <c r="B1" s="407"/>
      <c r="C1" s="407"/>
      <c r="D1" s="407"/>
      <c r="E1" s="407"/>
      <c r="F1" s="407"/>
      <c r="G1" s="407"/>
      <c r="H1" s="407"/>
      <c r="I1" s="407"/>
      <c r="J1" s="407"/>
      <c r="K1" s="407"/>
      <c r="L1" s="407"/>
    </row>
    <row r="2" spans="1:12" ht="21.15" customHeight="1" x14ac:dyDescent="0.3">
      <c r="A2" s="648" t="s">
        <v>1651</v>
      </c>
      <c r="B2" s="648"/>
      <c r="C2" s="648"/>
      <c r="D2" s="648"/>
      <c r="E2" s="648"/>
      <c r="F2" s="648"/>
      <c r="G2" s="648"/>
      <c r="H2" s="648"/>
      <c r="I2" s="648"/>
      <c r="J2" s="648"/>
      <c r="K2" s="648"/>
      <c r="L2" s="648"/>
    </row>
    <row r="3" spans="1:12" ht="17.399999999999999" customHeight="1" x14ac:dyDescent="0.3">
      <c r="A3" s="649" t="s">
        <v>1652</v>
      </c>
      <c r="B3" s="306"/>
      <c r="C3" s="306"/>
      <c r="D3" s="306"/>
      <c r="E3" s="306"/>
      <c r="F3" s="306"/>
      <c r="G3" s="306"/>
      <c r="H3" s="306"/>
      <c r="I3" s="306"/>
      <c r="J3" s="306"/>
      <c r="K3" s="306"/>
      <c r="L3" s="306"/>
    </row>
    <row r="4" spans="1:12" ht="13.95" customHeight="1" x14ac:dyDescent="0.3">
      <c r="A4" s="196"/>
      <c r="B4" s="196"/>
      <c r="C4" s="196"/>
      <c r="D4" s="196"/>
      <c r="E4" s="196"/>
      <c r="F4" s="196"/>
      <c r="G4" s="196"/>
      <c r="H4" s="196"/>
      <c r="I4" s="196"/>
      <c r="J4" s="196"/>
      <c r="K4" s="196"/>
      <c r="L4" s="196"/>
    </row>
    <row r="5" spans="1:12" ht="15.6" customHeight="1" x14ac:dyDescent="0.3">
      <c r="A5" s="703" t="s">
        <v>1653</v>
      </c>
      <c r="B5" s="704"/>
      <c r="C5" s="704"/>
      <c r="D5" s="704"/>
      <c r="E5" s="704"/>
      <c r="F5" s="704"/>
      <c r="G5" s="704"/>
      <c r="H5" s="704"/>
      <c r="I5" s="704"/>
      <c r="J5" s="238"/>
      <c r="K5" s="703" t="s">
        <v>1627</v>
      </c>
      <c r="L5" s="705"/>
    </row>
    <row r="6" spans="1:12" s="3" customFormat="1" ht="15.6" customHeight="1" x14ac:dyDescent="0.3">
      <c r="A6" s="707" t="s">
        <v>1628</v>
      </c>
      <c r="B6" s="708"/>
      <c r="C6" s="708"/>
      <c r="D6" s="708"/>
      <c r="E6" s="708"/>
      <c r="F6" s="708"/>
      <c r="G6" s="708"/>
      <c r="H6" s="708"/>
      <c r="I6" s="708"/>
      <c r="J6" s="708"/>
      <c r="K6" s="708"/>
      <c r="L6" s="709"/>
    </row>
    <row r="7" spans="1:12" s="3" customFormat="1" ht="15.6" customHeight="1" x14ac:dyDescent="0.3">
      <c r="A7" s="707" t="s">
        <v>1640</v>
      </c>
      <c r="B7" s="708"/>
      <c r="C7" s="708"/>
      <c r="D7" s="708"/>
      <c r="E7" s="708"/>
      <c r="F7" s="708"/>
      <c r="G7" s="708"/>
      <c r="H7" s="708"/>
      <c r="I7" s="708"/>
      <c r="J7" s="708"/>
      <c r="K7" s="708"/>
      <c r="L7" s="709"/>
    </row>
    <row r="8" spans="1:12" s="3" customFormat="1" ht="15.6" x14ac:dyDescent="0.3">
      <c r="A8" s="707" t="s">
        <v>1641</v>
      </c>
      <c r="B8" s="708"/>
      <c r="C8" s="708"/>
      <c r="D8" s="708"/>
      <c r="E8" s="708"/>
      <c r="F8" s="708"/>
      <c r="G8" s="708"/>
      <c r="H8" s="708"/>
      <c r="I8" s="708"/>
      <c r="J8" s="708"/>
      <c r="K8" s="708"/>
      <c r="L8" s="709"/>
    </row>
    <row r="9" spans="1:12" s="3" customFormat="1" ht="15.6" x14ac:dyDescent="0.3">
      <c r="A9" s="698"/>
      <c r="B9" s="698"/>
      <c r="C9" s="698"/>
      <c r="D9" s="698"/>
      <c r="E9" s="698"/>
      <c r="F9" s="698"/>
      <c r="G9" s="698"/>
      <c r="H9" s="698"/>
      <c r="I9" s="698"/>
      <c r="J9" s="237" t="s">
        <v>408</v>
      </c>
      <c r="K9" s="237" t="s">
        <v>411</v>
      </c>
      <c r="L9" s="237" t="s">
        <v>75</v>
      </c>
    </row>
    <row r="10" spans="1:12" s="3" customFormat="1" x14ac:dyDescent="0.3">
      <c r="A10" s="713" t="s">
        <v>1654</v>
      </c>
      <c r="B10" s="713"/>
      <c r="C10" s="713"/>
      <c r="D10" s="713"/>
      <c r="E10" s="713"/>
      <c r="F10" s="713"/>
      <c r="G10" s="713"/>
      <c r="H10" s="713"/>
      <c r="I10" s="713"/>
      <c r="J10" s="239"/>
      <c r="K10" s="2"/>
      <c r="L10" s="2"/>
    </row>
    <row r="11" spans="1:12" s="3" customFormat="1" ht="28.2" customHeight="1" x14ac:dyDescent="0.3">
      <c r="A11" s="713" t="s">
        <v>1655</v>
      </c>
      <c r="B11" s="713"/>
      <c r="C11" s="713"/>
      <c r="D11" s="713"/>
      <c r="E11" s="713"/>
      <c r="F11" s="713"/>
      <c r="G11" s="713"/>
      <c r="H11" s="713"/>
      <c r="I11" s="713"/>
      <c r="J11" s="239"/>
      <c r="K11" s="2"/>
      <c r="L11" s="2"/>
    </row>
    <row r="12" spans="1:12" ht="14.4" customHeight="1" x14ac:dyDescent="0.3">
      <c r="A12" s="713" t="s">
        <v>1656</v>
      </c>
      <c r="B12" s="713"/>
      <c r="C12" s="713"/>
      <c r="D12" s="713"/>
      <c r="E12" s="713"/>
      <c r="F12" s="713"/>
      <c r="G12" s="713"/>
      <c r="H12" s="713"/>
      <c r="I12" s="713"/>
      <c r="J12" s="239"/>
      <c r="K12" s="2"/>
      <c r="L12" s="2"/>
    </row>
    <row r="13" spans="1:12" ht="28.2" customHeight="1" x14ac:dyDescent="0.3">
      <c r="A13" s="713" t="s">
        <v>1657</v>
      </c>
      <c r="B13" s="713"/>
      <c r="C13" s="713"/>
      <c r="D13" s="713"/>
      <c r="E13" s="713"/>
      <c r="F13" s="713"/>
      <c r="G13" s="713"/>
      <c r="H13" s="713"/>
      <c r="I13" s="713"/>
      <c r="J13" s="239"/>
      <c r="K13" s="2"/>
      <c r="L13" s="2"/>
    </row>
    <row r="14" spans="1:12" ht="14.4" customHeight="1" x14ac:dyDescent="0.3">
      <c r="A14" s="713" t="s">
        <v>1658</v>
      </c>
      <c r="B14" s="713"/>
      <c r="C14" s="713"/>
      <c r="D14" s="713"/>
      <c r="E14" s="713"/>
      <c r="F14" s="713"/>
      <c r="G14" s="713"/>
      <c r="H14" s="713"/>
      <c r="I14" s="713"/>
      <c r="J14" s="239"/>
      <c r="K14" s="2"/>
      <c r="L14" s="2"/>
    </row>
    <row r="15" spans="1:12" ht="28.2" customHeight="1" x14ac:dyDescent="0.3">
      <c r="A15" s="713" t="s">
        <v>1659</v>
      </c>
      <c r="B15" s="713"/>
      <c r="C15" s="713"/>
      <c r="D15" s="713"/>
      <c r="E15" s="713"/>
      <c r="F15" s="713"/>
      <c r="G15" s="713"/>
      <c r="H15" s="713"/>
      <c r="I15" s="713"/>
      <c r="J15" s="239"/>
      <c r="K15" s="2"/>
      <c r="L15" s="2"/>
    </row>
    <row r="16" spans="1:12" ht="14.4" customHeight="1" x14ac:dyDescent="0.3">
      <c r="A16" s="536" t="s">
        <v>1660</v>
      </c>
      <c r="B16" s="537"/>
      <c r="C16" s="537"/>
      <c r="D16" s="537"/>
      <c r="E16" s="537"/>
      <c r="F16" s="537"/>
      <c r="G16" s="537"/>
      <c r="H16" s="537"/>
      <c r="I16" s="538"/>
      <c r="J16" s="239"/>
      <c r="K16" s="2"/>
      <c r="L16" s="2"/>
    </row>
    <row r="17" spans="1:12" x14ac:dyDescent="0.3">
      <c r="A17" s="713" t="s">
        <v>1661</v>
      </c>
      <c r="B17" s="713"/>
      <c r="C17" s="713"/>
      <c r="D17" s="713"/>
      <c r="E17" s="713"/>
      <c r="F17" s="713"/>
      <c r="G17" s="713"/>
      <c r="H17" s="713"/>
      <c r="I17" s="713"/>
      <c r="J17" s="239"/>
      <c r="K17" s="2"/>
      <c r="L17" s="2"/>
    </row>
    <row r="18" spans="1:12" ht="28.2" customHeight="1" x14ac:dyDescent="0.3">
      <c r="A18" s="713" t="s">
        <v>1662</v>
      </c>
      <c r="B18" s="713"/>
      <c r="C18" s="713"/>
      <c r="D18" s="713"/>
      <c r="E18" s="713"/>
      <c r="F18" s="713"/>
      <c r="G18" s="713"/>
      <c r="H18" s="713"/>
      <c r="I18" s="713"/>
      <c r="J18" s="239"/>
      <c r="K18" s="2"/>
      <c r="L18" s="2"/>
    </row>
    <row r="19" spans="1:12" ht="14.4" customHeight="1" x14ac:dyDescent="0.3">
      <c r="A19" s="713" t="s">
        <v>1663</v>
      </c>
      <c r="B19" s="713"/>
      <c r="C19" s="713"/>
      <c r="D19" s="713"/>
      <c r="E19" s="713"/>
      <c r="F19" s="713"/>
      <c r="G19" s="713"/>
      <c r="H19" s="713"/>
      <c r="I19" s="713"/>
      <c r="J19" s="239"/>
      <c r="K19" s="2"/>
      <c r="L19" s="2"/>
    </row>
    <row r="20" spans="1:12" ht="28.2" customHeight="1" x14ac:dyDescent="0.3">
      <c r="A20" s="713" t="s">
        <v>1664</v>
      </c>
      <c r="B20" s="713"/>
      <c r="C20" s="713"/>
      <c r="D20" s="713"/>
      <c r="E20" s="713"/>
      <c r="F20" s="713"/>
      <c r="G20" s="713"/>
      <c r="H20" s="713"/>
      <c r="I20" s="713"/>
      <c r="J20" s="239"/>
      <c r="K20" s="2"/>
      <c r="L20" s="2"/>
    </row>
    <row r="21" spans="1:12" x14ac:dyDescent="0.3">
      <c r="A21" s="713" t="s">
        <v>1665</v>
      </c>
      <c r="B21" s="713"/>
      <c r="C21" s="713"/>
      <c r="D21" s="713"/>
      <c r="E21" s="713"/>
      <c r="F21" s="713"/>
      <c r="G21" s="713"/>
      <c r="H21" s="713"/>
      <c r="I21" s="713"/>
      <c r="J21" s="239"/>
      <c r="K21" s="2"/>
      <c r="L21" s="2"/>
    </row>
    <row r="22" spans="1:12" ht="28.2" customHeight="1" x14ac:dyDescent="0.3">
      <c r="A22" s="536" t="s">
        <v>1666</v>
      </c>
      <c r="B22" s="537"/>
      <c r="C22" s="537"/>
      <c r="D22" s="537"/>
      <c r="E22" s="537"/>
      <c r="F22" s="537"/>
      <c r="G22" s="537"/>
      <c r="H22" s="537"/>
      <c r="I22" s="538"/>
      <c r="J22" s="239"/>
      <c r="K22" s="2"/>
      <c r="L22" s="2"/>
    </row>
    <row r="24" spans="1:12" ht="14.4" customHeight="1" x14ac:dyDescent="0.3">
      <c r="A24" s="706" t="s">
        <v>1621</v>
      </c>
      <c r="B24" s="706"/>
      <c r="C24" s="706"/>
      <c r="D24" s="706"/>
      <c r="E24" s="706"/>
      <c r="F24" s="706"/>
      <c r="G24" s="706"/>
      <c r="H24" s="706"/>
      <c r="I24" s="706"/>
      <c r="J24" s="706"/>
    </row>
    <row r="25" spans="1:12" ht="14.4" customHeight="1" x14ac:dyDescent="0.3">
      <c r="A25" s="706" t="s">
        <v>1667</v>
      </c>
      <c r="B25" s="706"/>
      <c r="C25" s="706"/>
      <c r="D25" s="706"/>
      <c r="E25" s="706"/>
      <c r="F25" s="706"/>
      <c r="G25" s="706"/>
      <c r="H25" s="706"/>
      <c r="I25" s="706"/>
      <c r="J25" s="706"/>
    </row>
    <row r="26" spans="1:12" ht="14.4" customHeight="1" x14ac:dyDescent="0.3"/>
    <row r="27" spans="1:12" ht="14.4" customHeight="1" x14ac:dyDescent="0.3">
      <c r="A27" s="386" t="s">
        <v>338</v>
      </c>
      <c r="B27" s="386"/>
      <c r="C27" s="386"/>
      <c r="D27" s="386"/>
      <c r="E27" s="386"/>
      <c r="F27" s="386"/>
      <c r="G27" s="386"/>
      <c r="H27" s="386"/>
      <c r="I27" s="386"/>
      <c r="J27" s="386"/>
      <c r="K27" s="386"/>
      <c r="L27" s="386"/>
    </row>
  </sheetData>
  <mergeCells count="25">
    <mergeCell ref="A6:L6"/>
    <mergeCell ref="A1:L1"/>
    <mergeCell ref="A2:L2"/>
    <mergeCell ref="A3:L3"/>
    <mergeCell ref="A5:I5"/>
    <mergeCell ref="K5:L5"/>
    <mergeCell ref="A18:I18"/>
    <mergeCell ref="A7:L7"/>
    <mergeCell ref="A8:L8"/>
    <mergeCell ref="A9:I9"/>
    <mergeCell ref="A10:I10"/>
    <mergeCell ref="A11:I11"/>
    <mergeCell ref="A12:I12"/>
    <mergeCell ref="A13:I13"/>
    <mergeCell ref="A14:I14"/>
    <mergeCell ref="A15:I15"/>
    <mergeCell ref="A16:I16"/>
    <mergeCell ref="A17:I17"/>
    <mergeCell ref="A27:L27"/>
    <mergeCell ref="A19:I19"/>
    <mergeCell ref="A20:I20"/>
    <mergeCell ref="A21:I21"/>
    <mergeCell ref="A22:I22"/>
    <mergeCell ref="A24:J24"/>
    <mergeCell ref="A25:J25"/>
  </mergeCells>
  <conditionalFormatting sqref="A27">
    <cfRule type="containsBlanks" dxfId="3" priority="1">
      <formula>LEN(TRIM(A27))=0</formula>
    </cfRule>
  </conditionalFormatting>
  <conditionalFormatting sqref="L1">
    <cfRule type="cellIs" dxfId="2" priority="2" operator="equal">
      <formula>0</formula>
    </cfRule>
  </conditionalFormatting>
  <pageMargins left="0.25" right="0.25" top="0.86458333333333337" bottom="0.75" header="0.3" footer="0.3"/>
  <pageSetup paperSize="9" orientation="landscape" r:id="rId1"/>
  <headerFooter>
    <oddHeader>&amp;LStatement of Work
(eSOW/Hardware) - JLR-TMP-557249&amp;C&amp;"JLR Emeric,Bold"&amp;14&amp;G&amp;RIssue Level 3.9
Effective Date: 15th July 2023</oddHeader>
    <oddFooter>&amp;L&amp;"JLR Emeric,Regular"&amp;10Appendix I.
Measurement Point Planning &amp;C&amp;"JLR Emeric,Bold"&amp;10&amp;KFF0000PRINTED COPIES ARE UNCONTROLLED&amp;R&amp;"JLR Emeric,Regular"&amp;10&amp;P</oddFoot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A5208-2E78-4673-AB41-048B2F67ABA9}">
  <sheetPr>
    <tabColor rgb="FF0070C0"/>
  </sheetPr>
  <dimension ref="A1:M46"/>
  <sheetViews>
    <sheetView view="pageLayout" zoomScaleNormal="100" zoomScaleSheetLayoutView="100" workbookViewId="0">
      <selection activeCell="S42" sqref="S42"/>
    </sheetView>
  </sheetViews>
  <sheetFormatPr defaultColWidth="8.88671875" defaultRowHeight="14.4" x14ac:dyDescent="0.3"/>
  <cols>
    <col min="1" max="1" width="8.88671875" customWidth="1"/>
    <col min="7" max="7" width="8.88671875" customWidth="1"/>
    <col min="10" max="13" width="4.33203125" customWidth="1"/>
  </cols>
  <sheetData>
    <row r="1" spans="1:13" ht="27.6" customHeight="1" x14ac:dyDescent="0.3">
      <c r="A1" s="407" t="s">
        <v>1668</v>
      </c>
      <c r="B1" s="407"/>
      <c r="C1" s="407"/>
      <c r="D1" s="407"/>
      <c r="E1" s="407"/>
      <c r="F1" s="407"/>
      <c r="G1" s="407"/>
      <c r="H1" s="407"/>
      <c r="I1" s="407"/>
      <c r="J1" s="407"/>
      <c r="K1" s="407"/>
      <c r="L1" s="286"/>
      <c r="M1" s="286"/>
    </row>
    <row r="2" spans="1:13" ht="96" customHeight="1" x14ac:dyDescent="0.3">
      <c r="A2" s="257" t="s">
        <v>1669</v>
      </c>
      <c r="B2" s="351"/>
      <c r="C2" s="351"/>
      <c r="D2" s="351"/>
      <c r="E2" s="351"/>
      <c r="F2" s="351"/>
      <c r="G2" s="351"/>
      <c r="H2" s="351"/>
      <c r="I2" s="351"/>
      <c r="J2" s="351"/>
      <c r="K2" s="351"/>
      <c r="L2" s="618"/>
      <c r="M2" s="618"/>
    </row>
    <row r="3" spans="1:13" ht="41.25" customHeight="1" x14ac:dyDescent="0.3">
      <c r="A3" s="257" t="s">
        <v>1670</v>
      </c>
      <c r="B3" s="257"/>
      <c r="C3" s="257"/>
      <c r="D3" s="257"/>
      <c r="E3" s="257"/>
      <c r="F3" s="257"/>
      <c r="G3" s="257"/>
      <c r="H3" s="257"/>
      <c r="I3" s="257"/>
      <c r="J3" s="257"/>
      <c r="K3" s="257"/>
      <c r="L3" s="257"/>
      <c r="M3" s="257"/>
    </row>
    <row r="4" spans="1:13" ht="15.6" x14ac:dyDescent="0.3">
      <c r="A4" s="717" t="s">
        <v>1671</v>
      </c>
      <c r="B4" s="717"/>
      <c r="C4" s="717"/>
      <c r="D4" s="717"/>
      <c r="E4" s="717"/>
      <c r="F4" s="717"/>
      <c r="G4" s="717"/>
      <c r="H4" s="717"/>
      <c r="I4" s="717"/>
      <c r="J4" s="717"/>
      <c r="K4" s="717"/>
      <c r="L4" s="717"/>
      <c r="M4" s="717"/>
    </row>
    <row r="5" spans="1:13" ht="33" customHeight="1" x14ac:dyDescent="0.3">
      <c r="A5" s="257" t="s">
        <v>1672</v>
      </c>
      <c r="B5" s="257"/>
      <c r="C5" s="257"/>
      <c r="D5" s="257"/>
      <c r="E5" s="257"/>
      <c r="F5" s="257"/>
      <c r="G5" s="257"/>
      <c r="H5" s="257"/>
      <c r="I5" s="257"/>
      <c r="J5" s="257"/>
      <c r="K5" s="257"/>
      <c r="L5" s="257"/>
      <c r="M5" s="257"/>
    </row>
    <row r="6" spans="1:13" x14ac:dyDescent="0.3">
      <c r="A6" s="718"/>
      <c r="B6" s="718"/>
      <c r="C6" s="718"/>
      <c r="D6" s="718"/>
      <c r="E6" s="718"/>
      <c r="F6" s="149"/>
      <c r="G6" s="149"/>
      <c r="H6" s="149"/>
      <c r="I6" s="149"/>
      <c r="J6" s="149"/>
      <c r="K6" s="149"/>
      <c r="L6" s="149"/>
      <c r="M6" s="149"/>
    </row>
    <row r="7" spans="1:13" ht="15.6" x14ac:dyDescent="0.3">
      <c r="A7" s="717" t="s">
        <v>1673</v>
      </c>
      <c r="B7" s="717"/>
      <c r="C7" s="717"/>
      <c r="D7" s="717"/>
      <c r="E7" s="717"/>
      <c r="F7" s="717"/>
      <c r="G7" s="717"/>
      <c r="H7" s="717"/>
      <c r="I7" s="717"/>
      <c r="J7" s="717"/>
      <c r="K7" s="717"/>
      <c r="L7" s="717"/>
      <c r="M7" s="717"/>
    </row>
    <row r="8" spans="1:13" ht="28.5" customHeight="1" x14ac:dyDescent="0.3">
      <c r="A8" s="257" t="s">
        <v>1674</v>
      </c>
      <c r="B8" s="257"/>
      <c r="C8" s="257"/>
      <c r="D8" s="257"/>
      <c r="E8" s="257"/>
      <c r="F8" s="257"/>
      <c r="G8" s="257"/>
      <c r="H8" s="257"/>
      <c r="I8" s="257"/>
      <c r="J8" s="257"/>
      <c r="K8" s="257"/>
      <c r="L8" s="257"/>
      <c r="M8" s="257"/>
    </row>
    <row r="9" spans="1:13" ht="11.25" customHeight="1" x14ac:dyDescent="0.3">
      <c r="A9" s="84"/>
      <c r="B9" s="84"/>
      <c r="C9" s="84"/>
      <c r="D9" s="84"/>
      <c r="E9" s="84"/>
      <c r="F9" s="84"/>
      <c r="G9" s="84"/>
      <c r="H9" s="84"/>
      <c r="I9" s="84"/>
      <c r="J9" s="84"/>
      <c r="K9" s="84"/>
      <c r="L9" s="84"/>
      <c r="M9" s="84"/>
    </row>
    <row r="10" spans="1:13" ht="28.5" customHeight="1" x14ac:dyDescent="0.3">
      <c r="A10" s="719" t="s">
        <v>1675</v>
      </c>
      <c r="B10" s="719"/>
      <c r="C10" s="719"/>
      <c r="D10" s="719"/>
      <c r="E10" s="719"/>
      <c r="F10" s="719"/>
      <c r="G10" s="719"/>
      <c r="H10" s="719" t="s">
        <v>1676</v>
      </c>
      <c r="I10" s="719"/>
      <c r="J10" s="719"/>
      <c r="K10" s="719"/>
      <c r="L10" s="719"/>
      <c r="M10" s="719"/>
    </row>
    <row r="11" spans="1:13" x14ac:dyDescent="0.3">
      <c r="A11" s="720" t="s">
        <v>1677</v>
      </c>
      <c r="B11" s="721"/>
      <c r="C11" s="721"/>
      <c r="D11" s="721"/>
      <c r="E11" s="721"/>
      <c r="F11" s="721"/>
      <c r="G11" s="721"/>
      <c r="H11" s="722"/>
      <c r="I11" s="722"/>
      <c r="J11" s="722"/>
      <c r="K11" s="722"/>
      <c r="L11" s="722"/>
      <c r="M11" s="723"/>
    </row>
    <row r="12" spans="1:13" ht="18.600000000000001" customHeight="1" x14ac:dyDescent="0.3">
      <c r="A12" s="714" t="s">
        <v>1678</v>
      </c>
      <c r="B12" s="715"/>
      <c r="C12" s="715"/>
      <c r="D12" s="715"/>
      <c r="E12" s="715"/>
      <c r="F12" s="715"/>
      <c r="G12" s="715"/>
      <c r="H12" s="715"/>
      <c r="I12" s="715"/>
      <c r="J12" s="715"/>
      <c r="K12" s="715"/>
      <c r="L12" s="715"/>
      <c r="M12" s="716"/>
    </row>
    <row r="13" spans="1:13" ht="21.6" customHeight="1" x14ac:dyDescent="0.3">
      <c r="A13" s="348" t="s">
        <v>1679</v>
      </c>
      <c r="B13" s="318"/>
      <c r="C13" s="318"/>
      <c r="D13" s="319"/>
      <c r="E13" s="727" t="s">
        <v>1680</v>
      </c>
      <c r="F13" s="728"/>
      <c r="G13" s="728"/>
      <c r="H13" s="728"/>
      <c r="I13" s="728"/>
      <c r="J13" s="728"/>
      <c r="K13" s="728"/>
      <c r="L13" s="728"/>
      <c r="M13" s="729"/>
    </row>
    <row r="14" spans="1:13" x14ac:dyDescent="0.3">
      <c r="A14" s="730"/>
      <c r="B14" s="318"/>
      <c r="C14" s="318"/>
      <c r="D14" s="318"/>
      <c r="E14" s="318"/>
      <c r="F14" s="318"/>
      <c r="G14" s="318"/>
      <c r="H14" s="318"/>
      <c r="I14" s="318"/>
      <c r="J14" s="318"/>
      <c r="K14" s="318"/>
      <c r="L14" s="318"/>
      <c r="M14" s="731"/>
    </row>
    <row r="15" spans="1:13" x14ac:dyDescent="0.3">
      <c r="A15" s="720" t="s">
        <v>1681</v>
      </c>
      <c r="B15" s="721"/>
      <c r="C15" s="721"/>
      <c r="D15" s="721"/>
      <c r="E15" s="721"/>
      <c r="F15" s="721"/>
      <c r="G15" s="721"/>
      <c r="H15" s="722"/>
      <c r="I15" s="722"/>
      <c r="J15" s="722"/>
      <c r="K15" s="722"/>
      <c r="L15" s="722"/>
      <c r="M15" s="723"/>
    </row>
    <row r="16" spans="1:13" ht="55.5" customHeight="1" x14ac:dyDescent="0.3">
      <c r="A16" s="443" t="s">
        <v>1682</v>
      </c>
      <c r="B16" s="724"/>
      <c r="C16" s="724"/>
      <c r="D16" s="724"/>
      <c r="E16" s="724"/>
      <c r="F16" s="724"/>
      <c r="G16" s="724"/>
      <c r="H16" s="443"/>
      <c r="I16" s="724"/>
      <c r="J16" s="724"/>
      <c r="K16" s="724"/>
      <c r="L16" s="724"/>
      <c r="M16" s="724"/>
    </row>
    <row r="17" spans="1:13" x14ac:dyDescent="0.3">
      <c r="A17" s="730"/>
      <c r="B17" s="318"/>
      <c r="C17" s="318"/>
      <c r="D17" s="318"/>
      <c r="E17" s="318"/>
      <c r="F17" s="318"/>
      <c r="G17" s="318"/>
      <c r="H17" s="318"/>
      <c r="I17" s="318"/>
      <c r="J17" s="318"/>
      <c r="K17" s="318"/>
      <c r="L17" s="318"/>
      <c r="M17" s="731"/>
    </row>
    <row r="18" spans="1:13" x14ac:dyDescent="0.3">
      <c r="A18" s="720" t="s">
        <v>1683</v>
      </c>
      <c r="B18" s="721"/>
      <c r="C18" s="721"/>
      <c r="D18" s="721"/>
      <c r="E18" s="721"/>
      <c r="F18" s="721"/>
      <c r="G18" s="721"/>
      <c r="H18" s="722"/>
      <c r="I18" s="722"/>
      <c r="J18" s="722"/>
      <c r="K18" s="722"/>
      <c r="L18" s="722"/>
      <c r="M18" s="723"/>
    </row>
    <row r="19" spans="1:13" ht="31.5" customHeight="1" x14ac:dyDescent="0.3">
      <c r="A19" s="443" t="s">
        <v>1684</v>
      </c>
      <c r="B19" s="724"/>
      <c r="C19" s="724"/>
      <c r="D19" s="724"/>
      <c r="E19" s="724"/>
      <c r="F19" s="724"/>
      <c r="G19" s="724"/>
      <c r="H19" s="725" t="s">
        <v>1685</v>
      </c>
      <c r="I19" s="726"/>
      <c r="J19" s="726"/>
      <c r="K19" s="726"/>
      <c r="L19" s="726"/>
      <c r="M19" s="726"/>
    </row>
    <row r="21" spans="1:13" x14ac:dyDescent="0.3">
      <c r="A21" s="720" t="s">
        <v>1686</v>
      </c>
      <c r="B21" s="721"/>
      <c r="C21" s="721"/>
      <c r="D21" s="721"/>
      <c r="E21" s="721"/>
      <c r="F21" s="721"/>
      <c r="G21" s="721"/>
      <c r="H21" s="722"/>
      <c r="I21" s="722"/>
      <c r="J21" s="722"/>
      <c r="K21" s="722"/>
      <c r="L21" s="722"/>
      <c r="M21" s="723"/>
    </row>
    <row r="22" spans="1:13" ht="57" customHeight="1" x14ac:dyDescent="0.3">
      <c r="A22" s="443"/>
      <c r="B22" s="724"/>
      <c r="C22" s="724"/>
      <c r="D22" s="724"/>
      <c r="E22" s="724"/>
      <c r="F22" s="724"/>
      <c r="G22" s="724"/>
      <c r="H22" s="725"/>
      <c r="I22" s="726"/>
      <c r="J22" s="726"/>
      <c r="K22" s="726"/>
      <c r="L22" s="726"/>
      <c r="M22" s="726"/>
    </row>
    <row r="23" spans="1:13" ht="15.6" x14ac:dyDescent="0.3">
      <c r="A23" s="717" t="s">
        <v>1687</v>
      </c>
      <c r="B23" s="717"/>
      <c r="C23" s="717"/>
      <c r="D23" s="717"/>
      <c r="E23" s="717"/>
      <c r="F23" s="717"/>
      <c r="G23" s="717"/>
      <c r="H23" s="717"/>
      <c r="I23" s="717"/>
      <c r="J23" s="717"/>
      <c r="K23" s="717"/>
      <c r="L23" s="717"/>
      <c r="M23" s="717"/>
    </row>
    <row r="24" spans="1:13" ht="28.5" customHeight="1" x14ac:dyDescent="0.3">
      <c r="A24" s="257" t="s">
        <v>1688</v>
      </c>
      <c r="B24" s="257"/>
      <c r="C24" s="257"/>
      <c r="D24" s="257"/>
      <c r="E24" s="257"/>
      <c r="F24" s="257"/>
      <c r="G24" s="257"/>
      <c r="H24" s="257"/>
      <c r="I24" s="257"/>
      <c r="J24" s="257"/>
      <c r="K24" s="257"/>
      <c r="L24" s="257"/>
      <c r="M24" s="257"/>
    </row>
    <row r="25" spans="1:13" ht="11.25" customHeight="1" x14ac:dyDescent="0.3">
      <c r="A25" s="84"/>
      <c r="B25" s="84"/>
      <c r="C25" s="84"/>
      <c r="D25" s="84"/>
      <c r="E25" s="84"/>
      <c r="F25" s="84"/>
      <c r="G25" s="84"/>
      <c r="H25" s="84"/>
      <c r="I25" s="84"/>
      <c r="J25" s="84"/>
      <c r="K25" s="84"/>
      <c r="L25" s="84"/>
      <c r="M25" s="84"/>
    </row>
    <row r="26" spans="1:13" ht="28.5" customHeight="1" x14ac:dyDescent="0.3">
      <c r="A26" s="736" t="s">
        <v>1689</v>
      </c>
      <c r="B26" s="736"/>
      <c r="C26" s="736"/>
      <c r="D26" s="736"/>
      <c r="E26" s="736"/>
      <c r="F26" s="736"/>
      <c r="G26" s="736"/>
      <c r="H26" s="736" t="s">
        <v>1676</v>
      </c>
      <c r="I26" s="736"/>
      <c r="J26" s="736"/>
      <c r="K26" s="736"/>
      <c r="L26" s="736"/>
      <c r="M26" s="736"/>
    </row>
    <row r="27" spans="1:13" x14ac:dyDescent="0.3">
      <c r="A27" s="732" t="s">
        <v>1690</v>
      </c>
      <c r="B27" s="733"/>
      <c r="C27" s="733"/>
      <c r="D27" s="733"/>
      <c r="E27" s="733"/>
      <c r="F27" s="733"/>
      <c r="G27" s="733"/>
      <c r="H27" s="734"/>
      <c r="I27" s="734"/>
      <c r="J27" s="734"/>
      <c r="K27" s="734"/>
      <c r="L27" s="734"/>
      <c r="M27" s="735"/>
    </row>
    <row r="28" spans="1:13" ht="115.95" customHeight="1" x14ac:dyDescent="0.3">
      <c r="A28" s="443" t="s">
        <v>1691</v>
      </c>
      <c r="B28" s="724"/>
      <c r="C28" s="724"/>
      <c r="D28" s="724"/>
      <c r="E28" s="724"/>
      <c r="F28" s="724"/>
      <c r="G28" s="724"/>
      <c r="H28" s="725"/>
      <c r="I28" s="726"/>
      <c r="J28" s="726"/>
      <c r="K28" s="726"/>
      <c r="L28" s="726"/>
      <c r="M28" s="726"/>
    </row>
    <row r="29" spans="1:13" x14ac:dyDescent="0.3">
      <c r="A29" s="730"/>
      <c r="B29" s="318"/>
      <c r="C29" s="318"/>
      <c r="D29" s="318"/>
      <c r="E29" s="318"/>
      <c r="F29" s="318"/>
      <c r="G29" s="318"/>
      <c r="H29" s="318"/>
      <c r="I29" s="318"/>
      <c r="J29" s="318"/>
      <c r="K29" s="318"/>
      <c r="L29" s="318"/>
      <c r="M29" s="731"/>
    </row>
    <row r="30" spans="1:13" x14ac:dyDescent="0.3">
      <c r="A30" s="732" t="s">
        <v>1692</v>
      </c>
      <c r="B30" s="733"/>
      <c r="C30" s="733"/>
      <c r="D30" s="733"/>
      <c r="E30" s="733"/>
      <c r="F30" s="733"/>
      <c r="G30" s="733"/>
      <c r="H30" s="734"/>
      <c r="I30" s="734"/>
      <c r="J30" s="734"/>
      <c r="K30" s="734"/>
      <c r="L30" s="734"/>
      <c r="M30" s="735"/>
    </row>
    <row r="31" spans="1:13" ht="45" customHeight="1" x14ac:dyDescent="0.3">
      <c r="A31" s="443" t="s">
        <v>1693</v>
      </c>
      <c r="B31" s="724"/>
      <c r="C31" s="724"/>
      <c r="D31" s="724"/>
      <c r="E31" s="724"/>
      <c r="F31" s="724"/>
      <c r="G31" s="724"/>
      <c r="H31" s="725" t="s">
        <v>1694</v>
      </c>
      <c r="I31" s="726"/>
      <c r="J31" s="726"/>
      <c r="K31" s="726"/>
      <c r="L31" s="726"/>
      <c r="M31" s="726"/>
    </row>
    <row r="32" spans="1:13" x14ac:dyDescent="0.3">
      <c r="A32" s="730"/>
      <c r="B32" s="318"/>
      <c r="C32" s="318"/>
      <c r="D32" s="318"/>
      <c r="E32" s="318"/>
      <c r="F32" s="318"/>
      <c r="G32" s="318"/>
      <c r="H32" s="318"/>
      <c r="I32" s="318"/>
      <c r="J32" s="318"/>
      <c r="K32" s="318"/>
      <c r="L32" s="318"/>
      <c r="M32" s="731"/>
    </row>
    <row r="33" spans="1:13" ht="15" customHeight="1" x14ac:dyDescent="0.3">
      <c r="A33" s="732" t="s">
        <v>1695</v>
      </c>
      <c r="B33" s="733"/>
      <c r="C33" s="733"/>
      <c r="D33" s="733"/>
      <c r="E33" s="733"/>
      <c r="F33" s="733"/>
      <c r="G33" s="733"/>
      <c r="H33" s="734"/>
      <c r="I33" s="734"/>
      <c r="J33" s="734"/>
      <c r="K33" s="734"/>
      <c r="L33" s="734"/>
      <c r="M33" s="735"/>
    </row>
    <row r="34" spans="1:13" ht="37.200000000000003" customHeight="1" x14ac:dyDescent="0.3">
      <c r="A34" s="443" t="s">
        <v>1696</v>
      </c>
      <c r="B34" s="724"/>
      <c r="C34" s="724"/>
      <c r="D34" s="724"/>
      <c r="E34" s="724"/>
      <c r="F34" s="724"/>
      <c r="G34" s="724"/>
      <c r="H34" s="725" t="s">
        <v>1694</v>
      </c>
      <c r="I34" s="726"/>
      <c r="J34" s="726"/>
      <c r="K34" s="726"/>
      <c r="L34" s="726"/>
      <c r="M34" s="726"/>
    </row>
    <row r="35" spans="1:13" x14ac:dyDescent="0.3">
      <c r="A35" s="241"/>
      <c r="M35" s="242"/>
    </row>
    <row r="36" spans="1:13" x14ac:dyDescent="0.3">
      <c r="A36" s="732" t="s">
        <v>1697</v>
      </c>
      <c r="B36" s="733"/>
      <c r="C36" s="733"/>
      <c r="D36" s="733"/>
      <c r="E36" s="733"/>
      <c r="F36" s="733"/>
      <c r="G36" s="733"/>
      <c r="H36" s="734"/>
      <c r="I36" s="734"/>
      <c r="J36" s="734"/>
      <c r="K36" s="734"/>
      <c r="L36" s="734"/>
      <c r="M36" s="735"/>
    </row>
    <row r="37" spans="1:13" ht="91.2" customHeight="1" x14ac:dyDescent="0.3">
      <c r="A37" s="737" t="s">
        <v>1698</v>
      </c>
      <c r="B37" s="738"/>
      <c r="C37" s="738"/>
      <c r="D37" s="738"/>
      <c r="E37" s="738"/>
      <c r="F37" s="738"/>
      <c r="G37" s="738"/>
      <c r="H37" s="725" t="s">
        <v>1694</v>
      </c>
      <c r="I37" s="726"/>
      <c r="J37" s="726"/>
      <c r="K37" s="726"/>
      <c r="L37" s="726"/>
      <c r="M37" s="726"/>
    </row>
    <row r="38" spans="1:13" ht="16.95" customHeight="1" x14ac:dyDescent="0.3">
      <c r="A38" s="84"/>
      <c r="B38" s="103"/>
      <c r="C38" s="103"/>
      <c r="D38" s="103"/>
      <c r="E38" s="103"/>
      <c r="F38" s="103"/>
      <c r="G38" s="103"/>
      <c r="H38" s="243"/>
      <c r="I38" s="244"/>
      <c r="J38" s="244"/>
      <c r="K38" s="244"/>
      <c r="L38" s="244"/>
      <c r="M38" s="244"/>
    </row>
    <row r="39" spans="1:13" ht="15" customHeight="1" x14ac:dyDescent="0.3">
      <c r="A39" s="739" t="s">
        <v>1699</v>
      </c>
      <c r="B39" s="740"/>
      <c r="C39" s="740"/>
      <c r="D39" s="740"/>
      <c r="E39" s="740"/>
      <c r="F39" s="740"/>
      <c r="G39" s="740"/>
      <c r="H39" s="741"/>
      <c r="I39" s="741"/>
      <c r="J39" s="741"/>
      <c r="K39" s="741"/>
      <c r="L39" s="741"/>
      <c r="M39" s="742"/>
    </row>
    <row r="40" spans="1:13" ht="37.200000000000003" customHeight="1" x14ac:dyDescent="0.3">
      <c r="A40" s="737" t="s">
        <v>1700</v>
      </c>
      <c r="B40" s="738"/>
      <c r="C40" s="738"/>
      <c r="D40" s="738"/>
      <c r="E40" s="738"/>
      <c r="F40" s="738"/>
      <c r="G40" s="738"/>
      <c r="H40" s="743" t="s">
        <v>1694</v>
      </c>
      <c r="I40" s="744"/>
      <c r="J40" s="744"/>
      <c r="K40" s="744"/>
      <c r="L40" s="744"/>
      <c r="M40" s="744"/>
    </row>
    <row r="41" spans="1:13" x14ac:dyDescent="0.3">
      <c r="A41" s="84"/>
      <c r="B41" s="103"/>
      <c r="C41" s="103"/>
      <c r="D41" s="103"/>
      <c r="E41" s="103"/>
      <c r="F41" s="103"/>
      <c r="G41" s="103"/>
      <c r="H41" s="103"/>
      <c r="I41" s="103"/>
      <c r="J41" s="103"/>
      <c r="K41" s="103"/>
      <c r="L41" s="103"/>
      <c r="M41" s="103"/>
    </row>
    <row r="42" spans="1:13" x14ac:dyDescent="0.3">
      <c r="A42" s="732" t="s">
        <v>1701</v>
      </c>
      <c r="B42" s="733"/>
      <c r="C42" s="733"/>
      <c r="D42" s="733"/>
      <c r="E42" s="733"/>
      <c r="F42" s="733"/>
      <c r="G42" s="733"/>
      <c r="H42" s="734"/>
      <c r="I42" s="734"/>
      <c r="J42" s="734"/>
      <c r="K42" s="734"/>
      <c r="L42" s="734"/>
      <c r="M42" s="735"/>
    </row>
    <row r="43" spans="1:13" ht="78" customHeight="1" x14ac:dyDescent="0.3">
      <c r="A43" s="443"/>
      <c r="B43" s="724"/>
      <c r="C43" s="724"/>
      <c r="D43" s="724"/>
      <c r="E43" s="724"/>
      <c r="F43" s="724"/>
      <c r="G43" s="724"/>
      <c r="H43" s="725"/>
      <c r="I43" s="726"/>
      <c r="J43" s="726"/>
      <c r="K43" s="726"/>
      <c r="L43" s="726"/>
      <c r="M43" s="726"/>
    </row>
    <row r="46" spans="1:13" x14ac:dyDescent="0.3">
      <c r="E46" s="386" t="s">
        <v>338</v>
      </c>
      <c r="F46" s="386"/>
      <c r="G46" s="386"/>
    </row>
  </sheetData>
  <mergeCells count="50">
    <mergeCell ref="E46:G46"/>
    <mergeCell ref="A34:G34"/>
    <mergeCell ref="H34:M34"/>
    <mergeCell ref="A36:M36"/>
    <mergeCell ref="A37:G37"/>
    <mergeCell ref="H37:M37"/>
    <mergeCell ref="A39:M39"/>
    <mergeCell ref="A40:G40"/>
    <mergeCell ref="H40:M40"/>
    <mergeCell ref="A42:M42"/>
    <mergeCell ref="A43:G43"/>
    <mergeCell ref="H43:M43"/>
    <mergeCell ref="A33:M33"/>
    <mergeCell ref="A23:M23"/>
    <mergeCell ref="A24:M24"/>
    <mergeCell ref="A26:G26"/>
    <mergeCell ref="H26:M26"/>
    <mergeCell ref="A27:M27"/>
    <mergeCell ref="A28:G28"/>
    <mergeCell ref="H28:M28"/>
    <mergeCell ref="A29:M29"/>
    <mergeCell ref="A30:M30"/>
    <mergeCell ref="A31:G31"/>
    <mergeCell ref="H31:M31"/>
    <mergeCell ref="A32:M32"/>
    <mergeCell ref="A22:G22"/>
    <mergeCell ref="H22:M22"/>
    <mergeCell ref="A13:D13"/>
    <mergeCell ref="E13:M13"/>
    <mergeCell ref="A14:M14"/>
    <mergeCell ref="A15:M15"/>
    <mergeCell ref="A16:G16"/>
    <mergeCell ref="H16:M16"/>
    <mergeCell ref="A17:M17"/>
    <mergeCell ref="A18:M18"/>
    <mergeCell ref="A19:G19"/>
    <mergeCell ref="H19:M19"/>
    <mergeCell ref="A21:M21"/>
    <mergeCell ref="A12:M12"/>
    <mergeCell ref="A1:M1"/>
    <mergeCell ref="A2:M2"/>
    <mergeCell ref="A3:M3"/>
    <mergeCell ref="A4:M4"/>
    <mergeCell ref="A5:M5"/>
    <mergeCell ref="A6:E6"/>
    <mergeCell ref="A7:M7"/>
    <mergeCell ref="A8:M8"/>
    <mergeCell ref="A10:G10"/>
    <mergeCell ref="H10:M10"/>
    <mergeCell ref="A11:M11"/>
  </mergeCells>
  <conditionalFormatting sqref="E46">
    <cfRule type="containsBlanks" dxfId="1" priority="1">
      <formula>LEN(TRIM(E46))=0</formula>
    </cfRule>
  </conditionalFormatting>
  <pageMargins left="0.25" right="0.25" top="0.86458333333333337" bottom="0.75" header="0.3" footer="0.3"/>
  <pageSetup paperSize="9" orientation="portrait" r:id="rId1"/>
  <headerFooter>
    <oddHeader>&amp;LStatement of Work
(eSOW/Hardware) - JLR-TMP-557249&amp;C&amp;G&amp;RIssue Level 5.3
Effective Date: 9th June 2025</oddHeader>
    <oddFooter>&amp;L&amp;"JLR Emeric,Regular"&amp;10
Appendix J.
Injection Moulded Plastics&amp;C&amp;"JLR Emeric,Bold"&amp;10&amp;KFF0000PRINTED COPIES ARE UNCONTROLLED&amp;R&amp;"JLR Emeric,Regular"&amp;10&amp;P</oddFooter>
  </headerFooter>
  <rowBreaks count="1" manualBreakCount="1">
    <brk id="22" max="16383" man="1"/>
  </rowBreaks>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B047-6027-44EA-A2A0-0A16924891E5}">
  <sheetPr codeName="Sheet28">
    <tabColor rgb="FFFF0000"/>
  </sheetPr>
  <dimension ref="A25:K49"/>
  <sheetViews>
    <sheetView showGridLines="0" view="pageLayout" zoomScaleNormal="100" zoomScaleSheetLayoutView="100" workbookViewId="0">
      <selection activeCell="K4" sqref="K4"/>
    </sheetView>
  </sheetViews>
  <sheetFormatPr defaultColWidth="8.88671875" defaultRowHeight="14.4" x14ac:dyDescent="0.3"/>
  <cols>
    <col min="1" max="1" width="8.88671875" customWidth="1"/>
  </cols>
  <sheetData>
    <row r="25" spans="1:11" x14ac:dyDescent="0.3">
      <c r="A25" s="745" t="s">
        <v>1702</v>
      </c>
      <c r="B25" s="745"/>
      <c r="C25" s="745"/>
      <c r="D25" s="745"/>
      <c r="E25" s="745"/>
      <c r="F25" s="745"/>
      <c r="G25" s="745"/>
      <c r="H25" s="745"/>
      <c r="I25" s="745"/>
      <c r="J25" s="745"/>
      <c r="K25" s="745"/>
    </row>
    <row r="26" spans="1:11" x14ac:dyDescent="0.3">
      <c r="A26" s="745"/>
      <c r="B26" s="745"/>
      <c r="C26" s="745"/>
      <c r="D26" s="745"/>
      <c r="E26" s="745"/>
      <c r="F26" s="745"/>
      <c r="G26" s="745"/>
      <c r="H26" s="745"/>
      <c r="I26" s="745"/>
      <c r="J26" s="745"/>
      <c r="K26" s="745"/>
    </row>
    <row r="49" spans="5:7" x14ac:dyDescent="0.3">
      <c r="E49" s="386" t="s">
        <v>338</v>
      </c>
      <c r="F49" s="386"/>
      <c r="G49" s="386"/>
    </row>
  </sheetData>
  <mergeCells count="2">
    <mergeCell ref="A25:K26"/>
    <mergeCell ref="E49:G49"/>
  </mergeCells>
  <conditionalFormatting sqref="E49">
    <cfRule type="containsBlanks" dxfId="0" priority="1">
      <formula>LEN(TRIM(E49))=0</formula>
    </cfRule>
  </conditionalFormatting>
  <pageMargins left="0.25" right="0.25" top="0.86458333333333337" bottom="0.75" header="0.3" footer="0.3"/>
  <pageSetup paperSize="9" orientation="portrait" r:id="rId1"/>
  <headerFooter>
    <oddHeader>&amp;LStatement of Work
(eSOW/Hardware) - JLR-TMP-557249&amp;C&amp;G&amp;RIssue Level 5.3
Effective Date: 9th June 2025</oddHeader>
    <oddFooter>&amp;C&amp;"JLR Emeric,Bold"&amp;10&amp;KFF0000PRINTED COPIES ARE UNCONTROLLED</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7ddb062-64c7-497e-a1c1-2ec52e8a1034" xsi:nil="true"/>
    <lcf76f155ced4ddcb4097134ff3c332f xmlns="c2d75ae2-8cad-4a44-8048-741eaed44336">
      <Terms xmlns="http://schemas.microsoft.com/office/infopath/2007/PartnerControls"/>
    </lcf76f155ced4ddcb4097134ff3c332f>
    <TaxKeywordTaxHTField xmlns="67ddb062-64c7-497e-a1c1-2ec52e8a1034">
      <Terms xmlns="http://schemas.microsoft.com/office/infopath/2007/PartnerControls"/>
    </TaxKeywordTaxHTField>
    <Programme xmlns="c2d75ae2-8cad-4a44-8048-741eaed4433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C07BDC5259AD94DB177CBDCEFE54F8C" ma:contentTypeVersion="20" ma:contentTypeDescription="Create a new document." ma:contentTypeScope="" ma:versionID="06f421f6e962908d565d7b6566e43e14">
  <xsd:schema xmlns:xsd="http://www.w3.org/2001/XMLSchema" xmlns:xs="http://www.w3.org/2001/XMLSchema" xmlns:p="http://schemas.microsoft.com/office/2006/metadata/properties" xmlns:ns2="c2d75ae2-8cad-4a44-8048-741eaed44336" xmlns:ns3="67ddb062-64c7-497e-a1c1-2ec52e8a1034" targetNamespace="http://schemas.microsoft.com/office/2006/metadata/properties" ma:root="true" ma:fieldsID="763d26f79d69579d8e39d69445050aec" ns2:_="" ns3:_="">
    <xsd:import namespace="c2d75ae2-8cad-4a44-8048-741eaed44336"/>
    <xsd:import namespace="67ddb062-64c7-497e-a1c1-2ec52e8a103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KeywordTaxHTField" minOccurs="0"/>
                <xsd:element ref="ns2:MediaServiceObjectDetectorVersions" minOccurs="0"/>
                <xsd:element ref="ns2:MediaServiceSearchProperties" minOccurs="0"/>
                <xsd:element ref="ns2:MediaServiceBillingMetadata" minOccurs="0"/>
                <xsd:element ref="ns2:Program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d75ae2-8cad-4a44-8048-741eaed443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1a9981d-741d-4dde-8b20-345ed497435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hidden="true" ma:internalName="MediaServiceOCR"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hidden="true"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Programme" ma:index="26" nillable="true" ma:displayName="Programme" ma:format="Dropdown" ma:internalName="Programm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7ddb062-64c7-497e-a1c1-2ec52e8a103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f4fcafc-27fc-4e5d-8a55-5ff765b33d8f}" ma:internalName="TaxCatchAll" ma:readOnly="false" ma:showField="CatchAllData" ma:web="67ddb062-64c7-497e-a1c1-2ec52e8a1034">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KeywordTaxHTField" ma:index="22" nillable="true" ma:taxonomy="true" ma:internalName="TaxKeywordTaxHTField" ma:taxonomyFieldName="TaxKeyword" ma:displayName="Enterprise Keywords" ma:readOnly="false" ma:fieldId="{23f27201-bee3-471e-b2e7-b64fd8b7ca38}" ma:taxonomyMulti="true" ma:sspId="f1a9981d-741d-4dde-8b20-345ed4974356" ma:termSetId="00000000-0000-0000-0000-000000000000" ma:anchorId="00000000-0000-0000-0000-000000000000" ma:open="true" ma:isKeyword="tru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C6D208-4547-40F5-8AE8-F086044AD9B9}">
  <ds:schemaRefs>
    <ds:schemaRef ds:uri="http://schemas.microsoft.com/office/2006/metadata/properties"/>
    <ds:schemaRef ds:uri="http://schemas.microsoft.com/office/infopath/2007/PartnerControls"/>
    <ds:schemaRef ds:uri="67ddb062-64c7-497e-a1c1-2ec52e8a1034"/>
    <ds:schemaRef ds:uri="c2d75ae2-8cad-4a44-8048-741eaed44336"/>
  </ds:schemaRefs>
</ds:datastoreItem>
</file>

<file path=customXml/itemProps2.xml><?xml version="1.0" encoding="utf-8"?>
<ds:datastoreItem xmlns:ds="http://schemas.openxmlformats.org/officeDocument/2006/customXml" ds:itemID="{AB12BF7B-6146-465E-BA0C-0383EF3A71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d75ae2-8cad-4a44-8048-741eaed44336"/>
    <ds:schemaRef ds:uri="67ddb062-64c7-497e-a1c1-2ec52e8a10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AB31ECC-AA7A-49F0-8102-A3887E118F6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16</vt:i4>
      </vt:variant>
    </vt:vector>
  </HeadingPairs>
  <TitlesOfParts>
    <vt:vector size="37" baseType="lpstr">
      <vt:lpstr>Front Matter</vt:lpstr>
      <vt:lpstr>DATA_NEW</vt:lpstr>
      <vt:lpstr>Supply Chain Transparency</vt:lpstr>
      <vt:lpstr>Environmental Req.</vt:lpstr>
      <vt:lpstr>Project Management</vt:lpstr>
      <vt:lpstr>Service Requirements</vt:lpstr>
      <vt:lpstr>Technical Requirements</vt:lpstr>
      <vt:lpstr>Hardware &amp; CAD</vt:lpstr>
      <vt:lpstr>Appendix A. RASIC</vt:lpstr>
      <vt:lpstr>DATA_RASIC_DESC</vt:lpstr>
      <vt:lpstr>DATA_RASIC</vt:lpstr>
      <vt:lpstr>Appendix C. Standards &amp; Docs.</vt:lpstr>
      <vt:lpstr>Appendix D. Parts and Materials</vt:lpstr>
      <vt:lpstr>Appendix Di. Cost Pack Template</vt:lpstr>
      <vt:lpstr>Appendix E. Proj. Collaboration</vt:lpstr>
      <vt:lpstr>Appendix F. Gauge Design</vt:lpstr>
      <vt:lpstr>Appendix G. Measurement Eqpmt.</vt:lpstr>
      <vt:lpstr>Appendix H. Measurement Data</vt:lpstr>
      <vt:lpstr>Appendix J. Measurement Points </vt:lpstr>
      <vt:lpstr>Appendix J. Inj. Molded Plastic</vt:lpstr>
      <vt:lpstr>END PAGES</vt:lpstr>
      <vt:lpstr>'Appendix A. RASIC'!Print_Area</vt:lpstr>
      <vt:lpstr>'Appendix C. Standards &amp; Docs.'!Print_Area</vt:lpstr>
      <vt:lpstr>'Appendix D. Parts and Materials'!Print_Area</vt:lpstr>
      <vt:lpstr>'Appendix E. Proj. Collaboration'!Print_Area</vt:lpstr>
      <vt:lpstr>'Appendix F. Gauge Design'!Print_Area</vt:lpstr>
      <vt:lpstr>'Appendix G. Measurement Eqpmt.'!Print_Area</vt:lpstr>
      <vt:lpstr>'Appendix H. Measurement Data'!Print_Area</vt:lpstr>
      <vt:lpstr>'Appendix J. Inj. Molded Plastic'!Print_Area</vt:lpstr>
      <vt:lpstr>'Appendix J. Measurement Points '!Print_Area</vt:lpstr>
      <vt:lpstr>'Environmental Req.'!Print_Area</vt:lpstr>
      <vt:lpstr>'Front Matter'!Print_Area</vt:lpstr>
      <vt:lpstr>'Hardware &amp; CAD'!Print_Area</vt:lpstr>
      <vt:lpstr>'Project Management'!Print_Area</vt:lpstr>
      <vt:lpstr>'Service Requirements'!Print_Area</vt:lpstr>
      <vt:lpstr>'Supply Chain Transparency'!Print_Area</vt:lpstr>
      <vt:lpstr>'Technical Requirements'!Print_Area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Statement of Work eSOW Hardware JLR-TMP-557249 Issue 5.3.xlsx</dc:title>
  <dc:subject/>
  <dc:creator>MacRae, Phil (P.)</dc:creator>
  <cp:keywords/>
  <dc:description/>
  <cp:lastModifiedBy>Marton Minda</cp:lastModifiedBy>
  <cp:revision/>
  <dcterms:created xsi:type="dcterms:W3CDTF">2015-06-05T18:17:20Z</dcterms:created>
  <dcterms:modified xsi:type="dcterms:W3CDTF">2026-07-10T12:10:46Z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0x0101006C07BDC5259AD94DB177CBDCEFE54F8C</vt:lpwstr>
  </property>
  <property fmtid="{D5CDD505-2E9C-101B-9397-08002B2CF9AE}" pid="3" name="MediaServiceImageTags">
    <vt:lpwstr/>
  </property>
  <property fmtid="{D5CDD505-2E9C-101B-9397-08002B2CF9AE}" pid="4" name="JLROwningLocation">
    <vt:lpwstr/>
  </property>
  <property fmtid="{D5CDD505-2E9C-101B-9397-08002B2CF9AE}" pid="5" name="JLROwningFunction">
    <vt:lpwstr/>
  </property>
  <property fmtid="{D5CDD505-2E9C-101B-9397-08002B2CF9AE}" pid="6" name="MSIP_Label_e23a2e4d-7b38-42d5-8708-beb4650eecf4_Removed">
    <vt:lpwstr>False</vt:lpwstr>
  </property>
  <property fmtid="{D5CDD505-2E9C-101B-9397-08002B2CF9AE}" pid="7" name="MSIP_Label_e23a2e4d-7b38-42d5-8708-beb4650eecf4_ActionId">
    <vt:lpwstr>bde55c4e-79a9-4091-889e-3bb1cc2629e9</vt:lpwstr>
  </property>
  <property fmtid="{D5CDD505-2E9C-101B-9397-08002B2CF9AE}" pid="8" name="MSIP_Label_e23a2e4d-7b38-42d5-8708-beb4650eecf4_Name">
    <vt:lpwstr>Confidential - Sensitive</vt:lpwstr>
  </property>
  <property fmtid="{D5CDD505-2E9C-101B-9397-08002B2CF9AE}" pid="9" name="MSIP_Label_e23a2e4d-7b38-42d5-8708-beb4650eecf4_SetDate">
    <vt:lpwstr>2025-06-10T12:40:43Z</vt:lpwstr>
  </property>
  <property fmtid="{D5CDD505-2E9C-101B-9397-08002B2CF9AE}" pid="10" name="MSIP_Label_e23a2e4d-7b38-42d5-8708-beb4650eecf4_SiteId">
    <vt:lpwstr>4c087f80-1e07-4f72-9e41-d7d9748d0f4c</vt:lpwstr>
  </property>
  <property fmtid="{D5CDD505-2E9C-101B-9397-08002B2CF9AE}" pid="11" name="MSIP_Label_e23a2e4d-7b38-42d5-8708-beb4650eecf4_Enabled">
    <vt:lpwstr>True</vt:lpwstr>
  </property>
  <property fmtid="{D5CDD505-2E9C-101B-9397-08002B2CF9AE}" pid="12" name="MSIP_Label_e23a2e4d-7b38-42d5-8708-beb4650eecf4_Extended_MSFT_Method">
    <vt:lpwstr>Standard</vt:lpwstr>
  </property>
  <property fmtid="{D5CDD505-2E9C-101B-9397-08002B2CF9AE}" pid="13" name="Sensitivity">
    <vt:lpwstr>Confidential - Sensitive</vt:lpwstr>
  </property>
  <property fmtid="{D5CDD505-2E9C-101B-9397-08002B2CF9AE}" pid="14" name="TaxKeyword">
    <vt:lpwstr/>
  </property>
</Properties>
</file>