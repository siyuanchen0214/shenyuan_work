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jlrglobal.sharepoint.com/sites/cabin-team/Shared Documents/Projects - Working Files/On-Cycle/L463/Lower Cabin Systems/23 RFQs/Access Panels/ABS changeover IN_10322/"/>
    </mc:Choice>
  </mc:AlternateContent>
  <xr:revisionPtr revIDLastSave="69" documentId="13_ncr:1_{39B0AFC9-E83D-436D-931D-1AD8B40EDDA5}" xr6:coauthVersionLast="47" xr6:coauthVersionMax="47" xr10:uidLastSave="{61770F05-7431-49C9-97C5-B6576A1DBC97}"/>
  <bookViews>
    <workbookView xWindow="-108" yWindow="-108" windowWidth="23256" windowHeight="13896" tabRatio="798" activeTab="2" xr2:uid="{00000000-000D-0000-FFFF-FFFF00000000}"/>
  </bookViews>
  <sheets>
    <sheet name="DATA CONTROL" sheetId="56" r:id="rId1"/>
    <sheet name="ME (inc MP&amp;L)" sheetId="82" r:id="rId2"/>
    <sheet name="Supplier (Make to Print)" sheetId="72" r:id="rId3"/>
    <sheet name="JLR Eng " sheetId="84" r:id="rId4"/>
    <sheet name="Service" sheetId="83" r:id="rId5"/>
    <sheet name="Revision History" sheetId="86" r:id="rId6"/>
    <sheet name="Dropdowns" sheetId="85" state="hidden" r:id="rId7"/>
  </sheets>
  <definedNames>
    <definedName name="DFMEAClass" localSheetId="5">#REF!</definedName>
    <definedName name="DFMEAClass">#N/A</definedName>
    <definedName name="PFMEACL" localSheetId="5">#REF!</definedName>
    <definedName name="PFMEACL">#N/A</definedName>
    <definedName name="PFMEAClas" localSheetId="5">#REF!</definedName>
    <definedName name="PFMEAClas">#N/A</definedName>
    <definedName name="PFMEACLASS" localSheetId="5">#REF!,#REF!,#REF!,#REF!</definedName>
    <definedName name="PFMEACLASS">#N/A</definedName>
    <definedName name="Status" localSheetId="5">#REF!</definedName>
    <definedName name="Status">#N/A</definedName>
    <definedName name="YesNo" localSheetId="5">#REF!</definedName>
    <definedName name="YesNo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72" l="1"/>
  <c r="C11" i="72"/>
  <c r="G4" i="72"/>
  <c r="C4" i="83"/>
  <c r="A4" i="83"/>
  <c r="C4" i="84"/>
  <c r="A4" i="84"/>
  <c r="A4" i="72"/>
  <c r="A4" i="82"/>
  <c r="C4" i="82"/>
  <c r="C12" i="72"/>
  <c r="C11" i="84"/>
  <c r="C11" i="83"/>
  <c r="C10" i="72"/>
  <c r="C10" i="84"/>
  <c r="C10" i="83"/>
  <c r="C9" i="72"/>
  <c r="C9" i="84"/>
  <c r="C9" i="83"/>
  <c r="C8" i="84"/>
  <c r="C8" i="83"/>
  <c r="C7" i="84"/>
  <c r="C7" i="83"/>
  <c r="C6" i="72"/>
  <c r="C6" i="84"/>
  <c r="C6" i="83"/>
  <c r="C5" i="84"/>
  <c r="C5" i="83"/>
  <c r="C11" i="82"/>
  <c r="C10" i="82"/>
  <c r="C9" i="82"/>
  <c r="C8" i="82"/>
  <c r="C7" i="82"/>
  <c r="C6" i="82"/>
  <c r="C5" i="82"/>
  <c r="G1" i="72" a="1"/>
  <c r="G1" i="72" s="1"/>
  <c r="F1" i="84" a="1"/>
  <c r="F1" i="84" s="1"/>
  <c r="G1" i="83" a="1"/>
  <c r="G1" i="83" s="1"/>
  <c r="F1" i="82" a="1"/>
  <c r="F1" i="8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<sst xmlns="http://schemas.openxmlformats.org/spreadsheetml/2006/main" count="262" uniqueCount="144">
  <si>
    <t>Special Characteristics Summary Sheet</t>
  </si>
  <si>
    <t>DATA CONTROL SHEET</t>
  </si>
  <si>
    <r>
      <t>JLR-TMP-46598 I</t>
    </r>
    <r>
      <rPr>
        <b/>
        <sz val="16"/>
        <rFont val="Arial"/>
        <family val="2"/>
      </rPr>
      <t>ss. 5.0</t>
    </r>
  </si>
  <si>
    <t>DFMEA Data (Generic)</t>
  </si>
  <si>
    <t>ID number (e.g. Reliasoft ####)</t>
  </si>
  <si>
    <t>CDSID of DFMEA owner</t>
  </si>
  <si>
    <t>Sean Oakwood</t>
  </si>
  <si>
    <t>CDSID of GL</t>
  </si>
  <si>
    <t>Date and time of DFMEA extract</t>
  </si>
  <si>
    <t>Project Specific Data</t>
  </si>
  <si>
    <t>Project Name</t>
  </si>
  <si>
    <t>L463 30MY</t>
  </si>
  <si>
    <t>Cycle Plan Code</t>
  </si>
  <si>
    <t>Y9250A</t>
  </si>
  <si>
    <t>Part Name(s)</t>
  </si>
  <si>
    <t>Part Number(s)</t>
  </si>
  <si>
    <t xml:space="preserve">Z7B2-13A994-AAW </t>
  </si>
  <si>
    <t>Project Engineer</t>
  </si>
  <si>
    <t>Supplier</t>
  </si>
  <si>
    <t>Company Name</t>
  </si>
  <si>
    <t>TBC</t>
  </si>
  <si>
    <t>Recipient's name</t>
  </si>
  <si>
    <t>GSDB</t>
  </si>
  <si>
    <t>Other Contacts</t>
  </si>
  <si>
    <t>CDSID of ME owner</t>
  </si>
  <si>
    <t>JAMES WENHAM</t>
  </si>
  <si>
    <t>Service owner</t>
  </si>
  <si>
    <t>SAMUEL MORRIS</t>
  </si>
  <si>
    <t>Official Record JLR-RMP item 25.01, Retention S+12, Confidential</t>
  </si>
  <si>
    <t xml:space="preserve">Special Characteristics Summary Sheet - JLR PE to </t>
  </si>
  <si>
    <t>JLR-TMP-46598 Issue 5.0</t>
  </si>
  <si>
    <t>Note: For Special Characteristic definitions refer to the AIAG-VDA Handbook</t>
  </si>
  <si>
    <t>Part Name(s):</t>
  </si>
  <si>
    <t>DFMEA owner:</t>
  </si>
  <si>
    <t>Group Leader:</t>
  </si>
  <si>
    <t>Project Engineer:</t>
  </si>
  <si>
    <t>Programme Name:</t>
  </si>
  <si>
    <t>Cycle Plan Code:</t>
  </si>
  <si>
    <t>Part number(s):</t>
  </si>
  <si>
    <t>JLR Engineering DFMEA cascade</t>
  </si>
  <si>
    <t>Recipient: populate data control tab</t>
  </si>
  <si>
    <t>No.</t>
  </si>
  <si>
    <t>JLR DFMEA Function</t>
  </si>
  <si>
    <t>JLR DFMEA Cause</t>
  </si>
  <si>
    <t xml:space="preserve">What specifically needs to be controlled? </t>
  </si>
  <si>
    <t xml:space="preserve">Characteristic, specification &amp; Tolerance </t>
  </si>
  <si>
    <r>
      <t xml:space="preserve">Severity
</t>
    </r>
    <r>
      <rPr>
        <b/>
        <sz val="8"/>
        <rFont val="Arial"/>
        <family val="2"/>
      </rPr>
      <t>(DFMEA Score)</t>
    </r>
  </si>
  <si>
    <t>Sub-area for cascade</t>
  </si>
  <si>
    <t>Approval</t>
  </si>
  <si>
    <r>
      <t xml:space="preserve">PFMEA Class </t>
    </r>
    <r>
      <rPr>
        <b/>
        <sz val="8"/>
        <rFont val="Arial"/>
        <family val="2"/>
      </rPr>
      <t>(CC, SC)</t>
    </r>
  </si>
  <si>
    <t>Date</t>
  </si>
  <si>
    <t>Approval comments</t>
  </si>
  <si>
    <t>SUPPLIER NAME</t>
  </si>
  <si>
    <r>
      <t xml:space="preserve">Supplier Quality:
</t>
    </r>
    <r>
      <rPr>
        <sz val="12"/>
        <rFont val="Arial"/>
        <family val="2"/>
      </rPr>
      <t>(Name/ Date / Signature)</t>
    </r>
  </si>
  <si>
    <t>&lt; enter name &gt;</t>
  </si>
  <si>
    <t>dd/mm/yyyy</t>
  </si>
  <si>
    <r>
      <t xml:space="preserve">JLR STA:
</t>
    </r>
    <r>
      <rPr>
        <sz val="12"/>
        <rFont val="Arial"/>
        <family val="2"/>
      </rPr>
      <t>(Name/ Date / Signature)</t>
    </r>
  </si>
  <si>
    <r>
      <t xml:space="preserve">Supplier Engineering:
</t>
    </r>
    <r>
      <rPr>
        <sz val="12"/>
        <rFont val="Arial"/>
        <family val="2"/>
      </rPr>
      <t>(Name/ Date / Signature)</t>
    </r>
  </si>
  <si>
    <r>
      <rPr>
        <b/>
        <sz val="12"/>
        <rFont val="Arial"/>
        <family val="2"/>
      </rPr>
      <t>JLR Engineering:</t>
    </r>
    <r>
      <rPr>
        <sz val="12"/>
        <rFont val="Arial"/>
        <family val="2"/>
      </rPr>
      <t xml:space="preserve">
(Name/ Date / Signature)</t>
    </r>
  </si>
  <si>
    <r>
      <t xml:space="preserve">Supplier Manufacturing:
</t>
    </r>
    <r>
      <rPr>
        <sz val="12"/>
        <rFont val="Arial"/>
        <family val="2"/>
      </rPr>
      <t>(Name/ Date / Signature)</t>
    </r>
  </si>
  <si>
    <t>GSDB:</t>
  </si>
  <si>
    <t>Recipient</t>
  </si>
  <si>
    <t>populate data control tab</t>
  </si>
  <si>
    <t>PFMEA No &amp; Line ID</t>
  </si>
  <si>
    <t>PFMEA Class</t>
  </si>
  <si>
    <t>Process Control Method as defined on Control Plan
(Process Parameters / Product Evaluation)</t>
  </si>
  <si>
    <t>PFMEA Detection Rating</t>
  </si>
  <si>
    <t>Control Plan Item reference ID</t>
  </si>
  <si>
    <t>Operator Work Instruction item reference ID</t>
  </si>
  <si>
    <t>REG</t>
  </si>
  <si>
    <t>Materials burn at &gt;100mm/min</t>
  </si>
  <si>
    <t>YC</t>
  </si>
  <si>
    <t>FMVSS302 &lt;100mm/min</t>
  </si>
  <si>
    <t xml:space="preserve">Comply with  CQC16-491264-2018 </t>
  </si>
  <si>
    <t>CQC/CCAP requirements</t>
  </si>
  <si>
    <t>Comply with  CHN. ANNOUNCEMENT 44/2019 CQC/CCAP CERTIFICATION FOR INTERIOR TRIMMING MATERIAL</t>
  </si>
  <si>
    <t>Component Presence</t>
  </si>
  <si>
    <t>Presence of metal clips, position check</t>
  </si>
  <si>
    <t>Medium</t>
  </si>
  <si>
    <t>Clips are present and assembled as per CAD design</t>
  </si>
  <si>
    <t>Floor Mat Clip presence, position and retention check</t>
  </si>
  <si>
    <t>Clips are present and assembled as per CAD design. Retention to be as per ITW drawing</t>
  </si>
  <si>
    <t>Material Construction</t>
  </si>
  <si>
    <t>Material Conformity</t>
  </si>
  <si>
    <t>PV Testing</t>
  </si>
  <si>
    <t xml:space="preserve">High </t>
  </si>
  <si>
    <t>Refer to 3D drawing notes &amp; PVP&amp;R</t>
  </si>
  <si>
    <t>Appearance Approval</t>
  </si>
  <si>
    <t>Visual Apperance</t>
  </si>
  <si>
    <t>YS</t>
  </si>
  <si>
    <t>Parts to be free from flash, sinkmarks and all imperfections</t>
  </si>
  <si>
    <t>Colour and grain does not match the master colour plaque</t>
  </si>
  <si>
    <t>Colour matched to the master plaque</t>
  </si>
  <si>
    <t>Part marking</t>
  </si>
  <si>
    <t>Label part marking</t>
  </si>
  <si>
    <t>Label failure (in the case of adhesive label) -  STJLR.51.5182 -  Performance requirements of labels</t>
  </si>
  <si>
    <t>Adhering to part marking, Branding standards,  Location &amp; orientation</t>
  </si>
  <si>
    <t>RM-8500 JLR Corporate E108 Parts and Accessories Branding Policy</t>
  </si>
  <si>
    <t>Tolerancing</t>
  </si>
  <si>
    <t>Geometric tolerances</t>
  </si>
  <si>
    <t>Parts to meet STJLR.51.5261 and GD&amp;T specifications</t>
  </si>
  <si>
    <t>Measurement points, gap &amp; flush</t>
  </si>
  <si>
    <t>To be measured as per the drawings</t>
  </si>
  <si>
    <t>Weight tolerance</t>
  </si>
  <si>
    <t>Component to be delivered between +/-10% weight tolerance TBC</t>
  </si>
  <si>
    <r>
      <t xml:space="preserve">Recipient: </t>
    </r>
    <r>
      <rPr>
        <sz val="14"/>
        <rFont val="Arial"/>
        <family val="2"/>
      </rPr>
      <t>populate data control tab</t>
    </r>
  </si>
  <si>
    <t>ISSUE LEVEL</t>
  </si>
  <si>
    <t>DATE</t>
  </si>
  <si>
    <t>DETAILS</t>
  </si>
  <si>
    <t>NAME/CDSID</t>
  </si>
  <si>
    <t>First Publication on the JLR Way</t>
  </si>
  <si>
    <t>Phil Houghton (phought3)</t>
  </si>
  <si>
    <t>Document changes are limited to: text formatting, text re-organisation, minor clarifications, spelling, adding explanation to definitions, expanding abbreviations, etc.</t>
  </si>
  <si>
    <t>Reviewed and approved. Process ownership to be moved to quality strategy</t>
  </si>
  <si>
    <t>David Eaves (deaves)</t>
  </si>
  <si>
    <t>Antonio Tedesco (atedesco)</t>
  </si>
  <si>
    <t>Template updated in line with Product Engineering Quality improvement project TP-001. Key contacts BSORBIE, CCOSTEL1, CDELL2
Document Approvals on the JLR Way by: Martin Brown, Andrew Schoolar, Liam Taylor, Large, Stephen (S.), Greg Walsh, Stuart Woodcock, Joel Wymer,Peter Skinner.</t>
  </si>
  <si>
    <t>Corinne Dell (cdell)</t>
  </si>
  <si>
    <t>RMP marking to correct formula to reflect JLR way document number and issue level on 3 of the sheets corrected. No other changes.</t>
  </si>
  <si>
    <t>Document republished on the JLR Way with no changes</t>
  </si>
  <si>
    <t>Abdul-Aziz (aaziz1)</t>
  </si>
  <si>
    <r>
      <t xml:space="preserve">Revision History Added.
Document approver names/approvals updated.
Data Control: </t>
    </r>
    <r>
      <rPr>
        <i/>
        <sz val="10"/>
        <rFont val="Arial"/>
        <family val="2"/>
      </rPr>
      <t>GSDB</t>
    </r>
    <r>
      <rPr>
        <sz val="10"/>
        <rFont val="Arial"/>
        <family val="2"/>
      </rPr>
      <t xml:space="preserve"> field added. 
Supplier (Make to Print/Design): Column E/D for </t>
    </r>
    <r>
      <rPr>
        <i/>
        <sz val="10"/>
        <rFont val="Arial"/>
        <family val="2"/>
      </rPr>
      <t>Severity</t>
    </r>
    <r>
      <rPr>
        <sz val="10"/>
        <rFont val="Arial"/>
        <family val="2"/>
      </rPr>
      <t xml:space="preserve"> added.
Eng JLR: Tab/Sheet re-instated with </t>
    </r>
    <r>
      <rPr>
        <i/>
        <sz val="10"/>
        <rFont val="Arial"/>
        <family val="2"/>
      </rPr>
      <t>DFMEA</t>
    </r>
    <r>
      <rPr>
        <sz val="10"/>
        <rFont val="Arial"/>
        <family val="2"/>
      </rPr>
      <t xml:space="preserve"> updated to Severity and </t>
    </r>
    <r>
      <rPr>
        <i/>
        <sz val="10"/>
        <rFont val="Arial"/>
        <family val="2"/>
      </rPr>
      <t>Date</t>
    </r>
    <r>
      <rPr>
        <sz val="10"/>
        <rFont val="Arial"/>
        <family val="2"/>
      </rPr>
      <t xml:space="preserve"> field added.
</t>
    </r>
  </si>
  <si>
    <t>Clare Hynds (ccostel1)</t>
  </si>
  <si>
    <t>Warning message added to the DFMEA entry boxes (Requirement is already in the procedure Stage 1/Step 2): 
"If you have added any additional product requirements to the SCSS for your programme, you must add an action into the DRBFM to review/update the core DFMEA to reflect the new additional requirements"</t>
  </si>
  <si>
    <t>Ian Stevens
(istevens)</t>
  </si>
  <si>
    <t>•  DATA CONTROL- CDSID requirement added for ME owner.
•  ALL TABS- Severity dropdown now aligned to Reliasoft 1, 5, 6, 8, 10.
•  ALL TABS- Approval dropdown now Approved, Queried, Rejected.
•  ALL TABS - Where broken, DATA CONTROL Formulae fixed.
•  ME (inc MP&amp;L) - PFMEA Class dropdown added CC,SC,blank.
•  Supplier (Make to Print) - PFMEA Class dropdown selections removed.</t>
  </si>
  <si>
    <t>TAB NAME</t>
  </si>
  <si>
    <t>ME (inc MP&amp;L)</t>
  </si>
  <si>
    <t>Supplier (Make to Print)</t>
  </si>
  <si>
    <t>Supplier (Design Resp.)</t>
  </si>
  <si>
    <t>JLR Eng</t>
  </si>
  <si>
    <t>Service</t>
  </si>
  <si>
    <t>FIELD &amp; DATA</t>
  </si>
  <si>
    <t>Approved</t>
  </si>
  <si>
    <t>Queried</t>
  </si>
  <si>
    <t>Rejected</t>
  </si>
  <si>
    <t>Severity (DFMEA Score 1-10)</t>
  </si>
  <si>
    <t>CC</t>
  </si>
  <si>
    <t>Leave blank</t>
  </si>
  <si>
    <t>SC</t>
  </si>
  <si>
    <t>MPYKA</t>
  </si>
  <si>
    <t>MMINDA1</t>
  </si>
  <si>
    <t>ACCESS PANEL</t>
  </si>
  <si>
    <t>JBOWYER2/MMINDA1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</si>
</sst>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1\9.\5\9\4\2.??"/>
    <numFmt numFmtId="165" formatCode="&quot;DFMEA ID: &quot;#"/>
  </numFmts>
  <fonts count="60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24"/>
      <name val="Arial"/>
      <family val="2"/>
    </font>
    <font>
      <sz val="11"/>
      <color indexed="8"/>
      <name val="Calibri"/>
      <family val="2"/>
    </font>
    <font>
      <sz val="9"/>
      <name val="Arial MT"/>
    </font>
    <font>
      <sz val="1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9C0006"/>
      <name val="Calibri"/>
      <family val="2"/>
      <scheme val="minor"/>
    </font>
    <font>
      <sz val="10"/>
      <color rgb="FF9C0006"/>
      <name val="Arial"/>
      <family val="2"/>
    </font>
    <font>
      <b/>
      <sz val="11"/>
      <color rgb="FFFA7D00"/>
      <name val="Calibri"/>
      <family val="2"/>
      <scheme val="minor"/>
    </font>
    <font>
      <b/>
      <sz val="10"/>
      <color rgb="FFFA7D0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i/>
      <sz val="11"/>
      <color rgb="FF7F7F7F"/>
      <name val="Calibri"/>
      <family val="2"/>
      <scheme val="minor"/>
    </font>
    <font>
      <i/>
      <sz val="10"/>
      <color rgb="FF7F7F7F"/>
      <name val="Arial"/>
      <family val="2"/>
    </font>
    <font>
      <sz val="11"/>
      <color rgb="FF006100"/>
      <name val="Calibri"/>
      <family val="2"/>
      <scheme val="minor"/>
    </font>
    <font>
      <sz val="10"/>
      <color rgb="FF006100"/>
      <name val="Arial"/>
      <family val="2"/>
    </font>
    <font>
      <b/>
      <sz val="15"/>
      <color theme="3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Calibri"/>
      <family val="2"/>
      <scheme val="minor"/>
    </font>
    <font>
      <b/>
      <sz val="13"/>
      <color theme="3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color rgb="FF3F3F76"/>
      <name val="Arial"/>
      <family val="2"/>
    </font>
    <font>
      <sz val="11"/>
      <color rgb="FFFA7D00"/>
      <name val="Calibri"/>
      <family val="2"/>
      <scheme val="minor"/>
    </font>
    <font>
      <sz val="10"/>
      <color rgb="FFFA7D00"/>
      <name val="Arial"/>
      <family val="2"/>
    </font>
    <font>
      <sz val="11"/>
      <color rgb="FF9C6500"/>
      <name val="Calibri"/>
      <family val="2"/>
      <scheme val="minor"/>
    </font>
    <font>
      <sz val="10"/>
      <color rgb="FF9C6500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6"/>
      <color rgb="FF000000"/>
      <name val="Arial"/>
      <family val="2"/>
    </font>
    <font>
      <b/>
      <u/>
      <sz val="16"/>
      <color rgb="FF000000"/>
      <name val="Arial"/>
      <family val="2"/>
    </font>
    <font>
      <sz val="12"/>
      <color rgb="FF000000"/>
      <name val="Arial"/>
      <family val="2"/>
    </font>
    <font>
      <i/>
      <sz val="12"/>
      <color theme="0" tint="-0.499984740745262"/>
      <name val="Arial"/>
      <family val="2"/>
    </font>
    <font>
      <i/>
      <sz val="11"/>
      <color theme="0" tint="-0.499984740745262"/>
      <name val="Arial"/>
      <family val="2"/>
    </font>
    <font>
      <sz val="16"/>
      <name val="Arial"/>
      <family val="2"/>
    </font>
    <font>
      <sz val="14"/>
      <name val="Arial"/>
      <family val="2"/>
    </font>
    <font>
      <i/>
      <sz val="10"/>
      <name val="Arial"/>
      <family val="2"/>
    </font>
    <font>
      <b/>
      <sz val="16"/>
      <color rgb="FF000000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sz val="10"/>
      <color rgb="FF000000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694">
    <xf numFmtId="0" fontId="0" fillId="0" borderId="0"/>
    <xf numFmtId="0" fontId="12" fillId="4" borderId="0" applyNumberFormat="0" applyBorder="0" applyAlignment="0" applyProtection="0"/>
    <xf numFmtId="0" fontId="13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8" borderId="0" applyNumberFormat="0" applyBorder="0" applyAlignment="0" applyProtection="0"/>
    <xf numFmtId="0" fontId="12" fillId="9" borderId="0" applyNumberFormat="0" applyBorder="0" applyAlignment="0" applyProtection="0"/>
    <xf numFmtId="0" fontId="13" fillId="9" borderId="0" applyNumberFormat="0" applyBorder="0" applyAlignment="0" applyProtection="0"/>
    <xf numFmtId="0" fontId="12" fillId="10" borderId="0" applyNumberFormat="0" applyBorder="0" applyAlignment="0" applyProtection="0"/>
    <xf numFmtId="0" fontId="13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2" borderId="0" applyNumberFormat="0" applyBorder="0" applyAlignment="0" applyProtection="0"/>
    <xf numFmtId="0" fontId="12" fillId="13" borderId="0" applyNumberFormat="0" applyBorder="0" applyAlignment="0" applyProtection="0"/>
    <xf numFmtId="0" fontId="13" fillId="13" borderId="0" applyNumberFormat="0" applyBorder="0" applyAlignment="0" applyProtection="0"/>
    <xf numFmtId="0" fontId="12" fillId="14" borderId="0" applyNumberFormat="0" applyBorder="0" applyAlignment="0" applyProtection="0"/>
    <xf numFmtId="0" fontId="13" fillId="14" borderId="0" applyNumberFormat="0" applyBorder="0" applyAlignment="0" applyProtection="0"/>
    <xf numFmtId="0" fontId="12" fillId="15" borderId="0" applyNumberFormat="0" applyBorder="0" applyAlignment="0" applyProtection="0"/>
    <xf numFmtId="0" fontId="13" fillId="15" borderId="0" applyNumberFormat="0" applyBorder="0" applyAlignment="0" applyProtection="0"/>
    <xf numFmtId="0" fontId="14" fillId="16" borderId="0" applyNumberFormat="0" applyBorder="0" applyAlignment="0" applyProtection="0"/>
    <xf numFmtId="0" fontId="15" fillId="16" borderId="0" applyNumberFormat="0" applyBorder="0" applyAlignment="0" applyProtection="0"/>
    <xf numFmtId="0" fontId="14" fillId="17" borderId="0" applyNumberFormat="0" applyBorder="0" applyAlignment="0" applyProtection="0"/>
    <xf numFmtId="0" fontId="15" fillId="17" borderId="0" applyNumberFormat="0" applyBorder="0" applyAlignment="0" applyProtection="0"/>
    <xf numFmtId="0" fontId="14" fillId="18" borderId="0" applyNumberFormat="0" applyBorder="0" applyAlignment="0" applyProtection="0"/>
    <xf numFmtId="0" fontId="15" fillId="18" borderId="0" applyNumberFormat="0" applyBorder="0" applyAlignment="0" applyProtection="0"/>
    <xf numFmtId="0" fontId="14" fillId="19" borderId="0" applyNumberFormat="0" applyBorder="0" applyAlignment="0" applyProtection="0"/>
    <xf numFmtId="0" fontId="15" fillId="19" borderId="0" applyNumberFormat="0" applyBorder="0" applyAlignment="0" applyProtection="0"/>
    <xf numFmtId="0" fontId="14" fillId="20" borderId="0" applyNumberFormat="0" applyBorder="0" applyAlignment="0" applyProtection="0"/>
    <xf numFmtId="0" fontId="15" fillId="20" borderId="0" applyNumberFormat="0" applyBorder="0" applyAlignment="0" applyProtection="0"/>
    <xf numFmtId="0" fontId="14" fillId="21" borderId="0" applyNumberFormat="0" applyBorder="0" applyAlignment="0" applyProtection="0"/>
    <xf numFmtId="0" fontId="15" fillId="21" borderId="0" applyNumberFormat="0" applyBorder="0" applyAlignment="0" applyProtection="0"/>
    <xf numFmtId="0" fontId="14" fillId="22" borderId="0" applyNumberFormat="0" applyBorder="0" applyAlignment="0" applyProtection="0"/>
    <xf numFmtId="0" fontId="15" fillId="22" borderId="0" applyNumberFormat="0" applyBorder="0" applyAlignment="0" applyProtection="0"/>
    <xf numFmtId="0" fontId="14" fillId="23" borderId="0" applyNumberFormat="0" applyBorder="0" applyAlignment="0" applyProtection="0"/>
    <xf numFmtId="0" fontId="15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4" borderId="0" applyNumberFormat="0" applyBorder="0" applyAlignment="0" applyProtection="0"/>
    <xf numFmtId="0" fontId="14" fillId="25" borderId="0" applyNumberFormat="0" applyBorder="0" applyAlignment="0" applyProtection="0"/>
    <xf numFmtId="0" fontId="15" fillId="25" borderId="0" applyNumberFormat="0" applyBorder="0" applyAlignment="0" applyProtection="0"/>
    <xf numFmtId="0" fontId="14" fillId="26" borderId="0" applyNumberFormat="0" applyBorder="0" applyAlignment="0" applyProtection="0"/>
    <xf numFmtId="0" fontId="15" fillId="26" borderId="0" applyNumberFormat="0" applyBorder="0" applyAlignment="0" applyProtection="0"/>
    <xf numFmtId="0" fontId="14" fillId="27" borderId="0" applyNumberFormat="0" applyBorder="0" applyAlignment="0" applyProtection="0"/>
    <xf numFmtId="0" fontId="15" fillId="27" borderId="0" applyNumberFormat="0" applyBorder="0" applyAlignment="0" applyProtection="0"/>
    <xf numFmtId="0" fontId="10" fillId="0" borderId="0"/>
    <xf numFmtId="0" fontId="10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6" fillId="28" borderId="0" applyNumberFormat="0" applyBorder="0" applyAlignment="0" applyProtection="0"/>
    <xf numFmtId="0" fontId="17" fillId="28" borderId="0" applyNumberFormat="0" applyBorder="0" applyAlignment="0" applyProtection="0"/>
    <xf numFmtId="0" fontId="18" fillId="29" borderId="52" applyNumberFormat="0" applyAlignment="0" applyProtection="0"/>
    <xf numFmtId="0" fontId="19" fillId="29" borderId="52" applyNumberFormat="0" applyAlignment="0" applyProtection="0"/>
    <xf numFmtId="0" fontId="20" fillId="30" borderId="53" applyNumberFormat="0" applyAlignment="0" applyProtection="0"/>
    <xf numFmtId="0" fontId="21" fillId="30" borderId="53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31" borderId="0" applyNumberFormat="0" applyBorder="0" applyAlignment="0" applyProtection="0"/>
    <xf numFmtId="0" fontId="25" fillId="31" borderId="0" applyNumberFormat="0" applyBorder="0" applyAlignment="0" applyProtection="0"/>
    <xf numFmtId="38" fontId="4" fillId="2" borderId="0" applyNumberFormat="0" applyBorder="0" applyAlignment="0" applyProtection="0"/>
    <xf numFmtId="0" fontId="26" fillId="0" borderId="54" applyNumberFormat="0" applyFill="0" applyAlignment="0" applyProtection="0"/>
    <xf numFmtId="0" fontId="27" fillId="0" borderId="54" applyNumberFormat="0" applyFill="0" applyAlignment="0" applyProtection="0"/>
    <xf numFmtId="0" fontId="28" fillId="0" borderId="55" applyNumberFormat="0" applyFill="0" applyAlignment="0" applyProtection="0"/>
    <xf numFmtId="0" fontId="29" fillId="0" borderId="55" applyNumberFormat="0" applyFill="0" applyAlignment="0" applyProtection="0"/>
    <xf numFmtId="0" fontId="30" fillId="0" borderId="56" applyNumberFormat="0" applyFill="0" applyAlignment="0" applyProtection="0"/>
    <xf numFmtId="0" fontId="31" fillId="0" borderId="56" applyNumberFormat="0" applyFill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0" fontId="4" fillId="3" borderId="1" applyNumberFormat="0" applyBorder="0" applyAlignment="0" applyProtection="0"/>
    <xf numFmtId="0" fontId="33" fillId="32" borderId="52" applyNumberFormat="0" applyAlignment="0" applyProtection="0"/>
    <xf numFmtId="0" fontId="33" fillId="32" borderId="52" applyNumberFormat="0" applyAlignment="0" applyProtection="0"/>
    <xf numFmtId="0" fontId="33" fillId="32" borderId="52" applyNumberFormat="0" applyAlignment="0" applyProtection="0"/>
    <xf numFmtId="0" fontId="34" fillId="32" borderId="52" applyNumberFormat="0" applyAlignment="0" applyProtection="0"/>
    <xf numFmtId="0" fontId="35" fillId="0" borderId="57" applyNumberFormat="0" applyFill="0" applyAlignment="0" applyProtection="0"/>
    <xf numFmtId="0" fontId="36" fillId="0" borderId="57" applyNumberFormat="0" applyFill="0" applyAlignment="0" applyProtection="0"/>
    <xf numFmtId="0" fontId="37" fillId="33" borderId="0" applyNumberFormat="0" applyBorder="0" applyAlignment="0" applyProtection="0"/>
    <xf numFmtId="0" fontId="38" fillId="33" borderId="0" applyNumberFormat="0" applyBorder="0" applyAlignment="0" applyProtection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2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12" fillId="0" borderId="0"/>
    <xf numFmtId="0" fontId="12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34" borderId="58" applyNumberFormat="0" applyFont="0" applyAlignment="0" applyProtection="0"/>
    <xf numFmtId="0" fontId="12" fillId="34" borderId="58" applyNumberFormat="0" applyFont="0" applyAlignment="0" applyProtection="0"/>
    <xf numFmtId="0" fontId="13" fillId="34" borderId="58" applyNumberFormat="0" applyFont="0" applyAlignment="0" applyProtection="0"/>
    <xf numFmtId="0" fontId="39" fillId="29" borderId="59" applyNumberFormat="0" applyAlignment="0" applyProtection="0"/>
    <xf numFmtId="0" fontId="40" fillId="29" borderId="59" applyNumberFormat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60" applyNumberFormat="0" applyFill="0" applyAlignment="0" applyProtection="0"/>
    <xf numFmtId="0" fontId="43" fillId="0" borderId="60" applyNumberFormat="0" applyFill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" fillId="0" borderId="0">
      <alignment horizontal="left"/>
    </xf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58" applyNumberFormat="0" applyFont="0" applyAlignment="0" applyProtection="0"/>
  </cellStyleXfs>
  <cellXfs count="253">
    <xf numFmtId="0" fontId="0" fillId="0" borderId="0" xfId="0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5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6" fillId="0" borderId="0" xfId="0" applyFont="1" applyAlignment="1">
      <alignment horizontal="left" vertical="center" wrapText="1" readingOrder="1"/>
    </xf>
    <xf numFmtId="0" fontId="8" fillId="0" borderId="0" xfId="0" applyFont="1" applyAlignment="1">
      <alignment vertical="center"/>
    </xf>
    <xf numFmtId="0" fontId="47" fillId="0" borderId="0" xfId="0" applyFont="1" applyAlignment="1">
      <alignment horizontal="left" vertical="center" wrapText="1" readingOrder="1"/>
    </xf>
    <xf numFmtId="0" fontId="46" fillId="0" borderId="0" xfId="0" applyFont="1" applyAlignment="1">
      <alignment horizontal="left" vertical="center" readingOrder="1"/>
    </xf>
    <xf numFmtId="0" fontId="0" fillId="2" borderId="0" xfId="0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35" borderId="6" xfId="0" applyFont="1" applyFill="1" applyBorder="1" applyAlignment="1" applyProtection="1">
      <alignment horizontal="center" vertical="center" wrapText="1"/>
      <protection locked="0"/>
    </xf>
    <xf numFmtId="0" fontId="3" fillId="35" borderId="1" xfId="0" applyFont="1" applyFill="1" applyBorder="1" applyAlignment="1" applyProtection="1">
      <alignment horizontal="center" vertical="center" wrapText="1"/>
      <protection locked="0"/>
    </xf>
    <xf numFmtId="0" fontId="3" fillId="35" borderId="4" xfId="0" applyFont="1" applyFill="1" applyBorder="1" applyAlignment="1" applyProtection="1">
      <alignment horizontal="center" vertical="center" wrapText="1"/>
      <protection locked="0"/>
    </xf>
    <xf numFmtId="0" fontId="3" fillId="35" borderId="7" xfId="0" applyFont="1" applyFill="1" applyBorder="1" applyAlignment="1" applyProtection="1">
      <alignment horizontal="center" vertical="center" wrapText="1"/>
      <protection locked="0"/>
    </xf>
    <xf numFmtId="0" fontId="47" fillId="0" borderId="0" xfId="0" applyFont="1" applyAlignment="1">
      <alignment horizontal="left" vertical="center" readingOrder="1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3" fillId="0" borderId="19" xfId="0" applyFont="1" applyBorder="1" applyAlignment="1" applyProtection="1">
      <alignment horizontal="left" vertical="center" wrapText="1"/>
      <protection locked="0"/>
    </xf>
    <xf numFmtId="0" fontId="5" fillId="36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35" borderId="9" xfId="0" applyFont="1" applyFill="1" applyBorder="1" applyAlignment="1" applyProtection="1">
      <alignment horizontal="center" vertical="center" wrapText="1"/>
      <protection locked="0"/>
    </xf>
    <xf numFmtId="0" fontId="3" fillId="0" borderId="20" xfId="0" applyFont="1" applyBorder="1" applyAlignment="1">
      <alignment horizontal="center" vertical="center"/>
    </xf>
    <xf numFmtId="0" fontId="3" fillId="35" borderId="19" xfId="0" applyFont="1" applyFill="1" applyBorder="1" applyAlignment="1" applyProtection="1">
      <alignment horizontal="center" vertical="center" wrapText="1"/>
      <protection locked="0"/>
    </xf>
    <xf numFmtId="0" fontId="48" fillId="0" borderId="0" xfId="0" applyFont="1" applyAlignment="1">
      <alignment vertical="center" readingOrder="1"/>
    </xf>
    <xf numFmtId="0" fontId="0" fillId="0" borderId="0" xfId="0" applyAlignment="1">
      <alignment horizontal="right" vertical="center"/>
    </xf>
    <xf numFmtId="0" fontId="5" fillId="36" borderId="0" xfId="0" applyFont="1" applyFill="1" applyAlignment="1">
      <alignment horizontal="left" vertical="center"/>
    </xf>
    <xf numFmtId="0" fontId="6" fillId="36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3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5" borderId="13" xfId="0" applyFont="1" applyFill="1" applyBorder="1" applyAlignment="1" applyProtection="1">
      <alignment horizontal="center" vertical="center" wrapText="1"/>
      <protection locked="0"/>
    </xf>
    <xf numFmtId="0" fontId="3" fillId="35" borderId="14" xfId="0" applyFont="1" applyFill="1" applyBorder="1" applyAlignment="1" applyProtection="1">
      <alignment horizontal="center" vertical="center" wrapText="1"/>
      <protection locked="0"/>
    </xf>
    <xf numFmtId="0" fontId="3" fillId="35" borderId="15" xfId="0" applyFont="1" applyFill="1" applyBorder="1" applyAlignment="1" applyProtection="1">
      <alignment horizontal="center" vertical="center" wrapText="1"/>
      <protection locked="0"/>
    </xf>
    <xf numFmtId="0" fontId="7" fillId="35" borderId="2" xfId="0" applyFont="1" applyFill="1" applyBorder="1" applyAlignment="1">
      <alignment vertical="center"/>
    </xf>
    <xf numFmtId="0" fontId="7" fillId="35" borderId="3" xfId="0" applyFont="1" applyFill="1" applyBorder="1" applyAlignment="1">
      <alignment vertical="center"/>
    </xf>
    <xf numFmtId="0" fontId="2" fillId="0" borderId="23" xfId="0" applyFont="1" applyBorder="1" applyAlignment="1">
      <alignment horizontal="center" vertical="center" textRotation="90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49" fillId="0" borderId="0" xfId="0" applyFont="1" applyAlignment="1">
      <alignment vertical="center" readingOrder="1"/>
    </xf>
    <xf numFmtId="0" fontId="48" fillId="0" borderId="0" xfId="0" applyFont="1" applyAlignment="1">
      <alignment horizontal="center" vertical="center" readingOrder="1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17" xfId="0" applyFont="1" applyBorder="1" applyAlignment="1" applyProtection="1">
      <alignment horizontal="center" vertical="center" wrapText="1"/>
      <protection locked="0"/>
    </xf>
    <xf numFmtId="0" fontId="3" fillId="35" borderId="12" xfId="0" applyFont="1" applyFill="1" applyBorder="1" applyAlignment="1" applyProtection="1">
      <alignment horizontal="center" vertical="center" wrapText="1"/>
      <protection locked="0"/>
    </xf>
    <xf numFmtId="0" fontId="3" fillId="35" borderId="11" xfId="0" applyFont="1" applyFill="1" applyBorder="1" applyAlignment="1" applyProtection="1">
      <alignment horizontal="center" vertical="center" wrapText="1"/>
      <protection locked="0"/>
    </xf>
    <xf numFmtId="0" fontId="3" fillId="35" borderId="17" xfId="0" applyFont="1" applyFill="1" applyBorder="1" applyAlignment="1" applyProtection="1">
      <alignment horizontal="center" vertical="center" wrapText="1"/>
      <protection locked="0"/>
    </xf>
    <xf numFmtId="0" fontId="49" fillId="0" borderId="0" xfId="0" applyFont="1" applyAlignment="1">
      <alignment horizontal="left" vertical="center" readingOrder="1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7" fillId="35" borderId="3" xfId="0" applyFont="1" applyFill="1" applyBorder="1" applyAlignment="1">
      <alignment horizontal="left" vertical="center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left" vertical="center" wrapText="1"/>
    </xf>
    <xf numFmtId="0" fontId="3" fillId="0" borderId="34" xfId="0" applyFont="1" applyBorder="1" applyAlignment="1" applyProtection="1">
      <alignment horizontal="left" vertical="center" wrapText="1"/>
      <protection locked="0"/>
    </xf>
    <xf numFmtId="0" fontId="3" fillId="35" borderId="34" xfId="0" applyFont="1" applyFill="1" applyBorder="1" applyAlignment="1" applyProtection="1">
      <alignment horizontal="center" vertical="center" wrapText="1"/>
      <protection locked="0"/>
    </xf>
    <xf numFmtId="0" fontId="3" fillId="35" borderId="35" xfId="0" applyFont="1" applyFill="1" applyBorder="1" applyAlignment="1" applyProtection="1">
      <alignment horizontal="center" vertical="center" wrapText="1"/>
      <protection locked="0"/>
    </xf>
    <xf numFmtId="0" fontId="6" fillId="0" borderId="23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0" fillId="35" borderId="3" xfId="0" applyFill="1" applyBorder="1" applyAlignment="1">
      <alignment vertical="center"/>
    </xf>
    <xf numFmtId="0" fontId="11" fillId="35" borderId="5" xfId="0" applyFont="1" applyFill="1" applyBorder="1" applyAlignment="1">
      <alignment horizontal="right" vertical="center"/>
    </xf>
    <xf numFmtId="0" fontId="2" fillId="0" borderId="36" xfId="0" applyFont="1" applyBorder="1" applyAlignment="1">
      <alignment horizontal="center" vertical="center" wrapText="1"/>
    </xf>
    <xf numFmtId="0" fontId="3" fillId="35" borderId="4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vertical="center" wrapText="1"/>
    </xf>
    <xf numFmtId="0" fontId="50" fillId="0" borderId="0" xfId="0" applyFont="1" applyAlignment="1">
      <alignment vertical="center" readingOrder="1"/>
    </xf>
    <xf numFmtId="0" fontId="46" fillId="0" borderId="0" xfId="0" applyFont="1" applyAlignment="1">
      <alignment horizontal="right" vertical="center" readingOrder="1"/>
    </xf>
    <xf numFmtId="0" fontId="46" fillId="0" borderId="0" xfId="0" applyFont="1" applyAlignment="1">
      <alignment horizontal="right" vertical="center" wrapText="1" readingOrder="1"/>
    </xf>
    <xf numFmtId="0" fontId="46" fillId="38" borderId="1" xfId="0" applyFont="1" applyFill="1" applyBorder="1" applyAlignment="1">
      <alignment horizontal="left" vertical="center" wrapText="1" readingOrder="1"/>
    </xf>
    <xf numFmtId="22" fontId="6" fillId="37" borderId="27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3" fillId="0" borderId="8" xfId="0" applyFont="1" applyBorder="1" applyAlignment="1" applyProtection="1">
      <alignment horizontal="left" vertical="center" wrapText="1"/>
      <protection locked="0"/>
    </xf>
    <xf numFmtId="0" fontId="3" fillId="0" borderId="10" xfId="0" applyFont="1" applyBorder="1" applyAlignment="1" applyProtection="1">
      <alignment horizontal="left" vertical="center" wrapText="1"/>
      <protection locked="0"/>
    </xf>
    <xf numFmtId="0" fontId="3" fillId="35" borderId="22" xfId="0" applyFont="1" applyFill="1" applyBorder="1" applyAlignment="1" applyProtection="1">
      <alignment horizontal="center" vertical="center" wrapText="1"/>
      <protection locked="0"/>
    </xf>
    <xf numFmtId="0" fontId="3" fillId="35" borderId="24" xfId="0" applyFont="1" applyFill="1" applyBorder="1" applyAlignment="1" applyProtection="1">
      <alignment horizontal="center" vertical="center" wrapText="1"/>
      <protection locked="0"/>
    </xf>
    <xf numFmtId="0" fontId="6" fillId="37" borderId="44" xfId="0" applyFont="1" applyFill="1" applyBorder="1" applyAlignment="1">
      <alignment horizontal="right" vertical="center"/>
    </xf>
    <xf numFmtId="0" fontId="3" fillId="35" borderId="11" xfId="0" quotePrefix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2" fillId="39" borderId="1" xfId="0" applyFont="1" applyFill="1" applyBorder="1" applyAlignment="1">
      <alignment horizontal="center" vertical="center" wrapText="1"/>
    </xf>
    <xf numFmtId="0" fontId="6" fillId="0" borderId="63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6" fillId="0" borderId="66" xfId="0" applyFont="1" applyBorder="1" applyAlignment="1">
      <alignment horizontal="left" vertical="center" wrapText="1"/>
    </xf>
    <xf numFmtId="0" fontId="6" fillId="0" borderId="67" xfId="0" applyFont="1" applyBorder="1" applyAlignment="1">
      <alignment horizontal="left" vertical="center" wrapText="1"/>
    </xf>
    <xf numFmtId="0" fontId="7" fillId="0" borderId="70" xfId="0" applyFont="1" applyBorder="1" applyAlignment="1">
      <alignment horizontal="left" vertical="center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19" xfId="0" applyFont="1" applyBorder="1" applyAlignment="1" applyProtection="1">
      <alignment horizontal="center" vertical="center" wrapText="1"/>
      <protection locked="0"/>
    </xf>
    <xf numFmtId="0" fontId="0" fillId="0" borderId="68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3" fillId="35" borderId="71" xfId="0" applyFont="1" applyFill="1" applyBorder="1" applyAlignment="1" applyProtection="1">
      <alignment horizontal="center" vertical="center" wrapText="1"/>
      <protection locked="0"/>
    </xf>
    <xf numFmtId="0" fontId="6" fillId="37" borderId="40" xfId="0" applyFont="1" applyFill="1" applyBorder="1" applyAlignment="1">
      <alignment horizontal="right" vertical="center"/>
    </xf>
    <xf numFmtId="0" fontId="51" fillId="0" borderId="0" xfId="0" applyFont="1" applyAlignment="1">
      <alignment horizontal="right" vertical="center" readingOrder="1"/>
    </xf>
    <xf numFmtId="0" fontId="51" fillId="0" borderId="0" xfId="0" applyFont="1" applyAlignment="1">
      <alignment horizontal="right" vertical="center" wrapText="1" readingOrder="1"/>
    </xf>
    <xf numFmtId="0" fontId="8" fillId="40" borderId="5" xfId="0" applyFont="1" applyFill="1" applyBorder="1" applyAlignment="1">
      <alignment vertical="center"/>
    </xf>
    <xf numFmtId="0" fontId="6" fillId="0" borderId="43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8" fillId="40" borderId="2" xfId="0" applyFont="1" applyFill="1" applyBorder="1" applyAlignment="1">
      <alignment vertical="center"/>
    </xf>
    <xf numFmtId="0" fontId="54" fillId="0" borderId="0" xfId="0" applyFont="1" applyAlignment="1">
      <alignment horizontal="right" vertical="center"/>
    </xf>
    <xf numFmtId="0" fontId="55" fillId="37" borderId="28" xfId="0" applyFont="1" applyFill="1" applyBorder="1" applyAlignment="1">
      <alignment horizontal="left" vertical="center" wrapText="1"/>
    </xf>
    <xf numFmtId="0" fontId="55" fillId="37" borderId="28" xfId="0" applyFont="1" applyFill="1" applyBorder="1" applyAlignment="1">
      <alignment horizontal="left" vertical="center"/>
    </xf>
    <xf numFmtId="0" fontId="55" fillId="37" borderId="27" xfId="0" applyFont="1" applyFill="1" applyBorder="1" applyAlignment="1">
      <alignment horizontal="left" vertical="center"/>
    </xf>
    <xf numFmtId="0" fontId="55" fillId="37" borderId="29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3" fillId="35" borderId="72" xfId="0" applyFont="1" applyFill="1" applyBorder="1" applyAlignment="1" applyProtection="1">
      <alignment horizontal="center" vertical="center" wrapText="1"/>
      <protection locked="0"/>
    </xf>
    <xf numFmtId="0" fontId="3" fillId="0" borderId="73" xfId="0" applyFont="1" applyBorder="1" applyAlignment="1">
      <alignment horizontal="center" vertical="center"/>
    </xf>
    <xf numFmtId="0" fontId="3" fillId="0" borderId="74" xfId="0" applyFont="1" applyBorder="1" applyAlignment="1">
      <alignment horizontal="left" vertical="center" wrapText="1"/>
    </xf>
    <xf numFmtId="0" fontId="3" fillId="0" borderId="66" xfId="0" applyFont="1" applyBorder="1" applyAlignment="1">
      <alignment horizontal="left" vertical="center" wrapText="1"/>
    </xf>
    <xf numFmtId="0" fontId="3" fillId="0" borderId="74" xfId="0" applyFont="1" applyBorder="1" applyAlignment="1" applyProtection="1">
      <alignment horizontal="left" vertical="center" wrapText="1"/>
      <protection locked="0"/>
    </xf>
    <xf numFmtId="0" fontId="2" fillId="0" borderId="50" xfId="0" applyFont="1" applyBorder="1" applyAlignment="1">
      <alignment horizontal="center" vertical="center" textRotation="90" wrapText="1"/>
    </xf>
    <xf numFmtId="0" fontId="0" fillId="0" borderId="0" xfId="0" applyAlignment="1">
      <alignment wrapText="1"/>
    </xf>
    <xf numFmtId="0" fontId="3" fillId="0" borderId="76" xfId="0" applyFont="1" applyBorder="1" applyAlignment="1">
      <alignment horizontal="center" wrapText="1"/>
    </xf>
    <xf numFmtId="0" fontId="0" fillId="0" borderId="76" xfId="0" applyBorder="1" applyAlignment="1">
      <alignment horizontal="center" wrapText="1"/>
    </xf>
    <xf numFmtId="0" fontId="0" fillId="0" borderId="77" xfId="0" applyBorder="1" applyAlignment="1">
      <alignment horizontal="center" wrapText="1"/>
    </xf>
    <xf numFmtId="0" fontId="2" fillId="38" borderId="75" xfId="0" applyFont="1" applyFill="1" applyBorder="1" applyAlignment="1">
      <alignment horizontal="center" wrapText="1"/>
    </xf>
    <xf numFmtId="0" fontId="0" fillId="41" borderId="76" xfId="0" applyFill="1" applyBorder="1" applyAlignment="1">
      <alignment horizontal="center" wrapText="1"/>
    </xf>
    <xf numFmtId="0" fontId="4" fillId="42" borderId="76" xfId="0" applyFont="1" applyFill="1" applyBorder="1" applyAlignment="1">
      <alignment horizontal="center" wrapText="1"/>
    </xf>
    <xf numFmtId="0" fontId="4" fillId="42" borderId="77" xfId="0" applyFont="1" applyFill="1" applyBorder="1" applyAlignment="1">
      <alignment horizontal="center" wrapText="1"/>
    </xf>
    <xf numFmtId="0" fontId="2" fillId="38" borderId="75" xfId="0" applyFont="1" applyFill="1" applyBorder="1" applyAlignment="1">
      <alignment horizontal="center" vertical="center" wrapText="1"/>
    </xf>
    <xf numFmtId="0" fontId="3" fillId="0" borderId="77" xfId="0" applyFont="1" applyBorder="1" applyAlignment="1">
      <alignment horizontal="center" wrapText="1"/>
    </xf>
    <xf numFmtId="0" fontId="2" fillId="39" borderId="78" xfId="0" applyFont="1" applyFill="1" applyBorder="1" applyAlignment="1">
      <alignment horizontal="center" vertical="center" wrapText="1"/>
    </xf>
    <xf numFmtId="0" fontId="6" fillId="37" borderId="30" xfId="0" applyFont="1" applyFill="1" applyBorder="1" applyAlignment="1">
      <alignment horizontal="center" vertical="center" wrapText="1"/>
    </xf>
    <xf numFmtId="0" fontId="6" fillId="37" borderId="43" xfId="0" applyFont="1" applyFill="1" applyBorder="1" applyAlignment="1">
      <alignment horizontal="center" vertical="center" wrapText="1"/>
    </xf>
    <xf numFmtId="0" fontId="3" fillId="37" borderId="0" xfId="0" applyFont="1" applyFill="1" applyAlignment="1">
      <alignment horizontal="right"/>
    </xf>
    <xf numFmtId="0" fontId="6" fillId="35" borderId="3" xfId="0" applyFont="1" applyFill="1" applyBorder="1" applyAlignment="1">
      <alignment horizontal="center" vertical="center" wrapText="1"/>
    </xf>
    <xf numFmtId="0" fontId="6" fillId="35" borderId="31" xfId="0" applyFont="1" applyFill="1" applyBorder="1" applyAlignment="1">
      <alignment horizontal="center" vertical="center" wrapText="1"/>
    </xf>
    <xf numFmtId="0" fontId="6" fillId="35" borderId="32" xfId="0" applyFont="1" applyFill="1" applyBorder="1" applyAlignment="1">
      <alignment horizontal="center" vertical="center" wrapText="1"/>
    </xf>
    <xf numFmtId="0" fontId="6" fillId="35" borderId="62" xfId="0" applyFont="1" applyFill="1" applyBorder="1" applyAlignment="1">
      <alignment horizontal="center" vertical="center" wrapText="1"/>
    </xf>
    <xf numFmtId="0" fontId="3" fillId="37" borderId="1" xfId="0" applyFont="1" applyFill="1" applyBorder="1" applyAlignment="1">
      <alignment horizontal="center" vertical="center" wrapText="1"/>
    </xf>
    <xf numFmtId="14" fontId="3" fillId="37" borderId="1" xfId="0" applyNumberFormat="1" applyFont="1" applyFill="1" applyBorder="1" applyAlignment="1">
      <alignment horizontal="center" vertical="center" wrapText="1"/>
    </xf>
    <xf numFmtId="0" fontId="3" fillId="37" borderId="1" xfId="0" applyFont="1" applyFill="1" applyBorder="1" applyAlignment="1">
      <alignment vertical="center" wrapText="1"/>
    </xf>
    <xf numFmtId="0" fontId="2" fillId="0" borderId="49" xfId="0" applyFont="1" applyBorder="1" applyAlignment="1">
      <alignment horizontal="center" vertical="center" textRotation="90" wrapText="1"/>
    </xf>
    <xf numFmtId="0" fontId="6" fillId="0" borderId="79" xfId="0" applyFont="1" applyBorder="1" applyAlignment="1">
      <alignment horizontal="center" vertical="center" wrapText="1"/>
    </xf>
    <xf numFmtId="0" fontId="6" fillId="0" borderId="78" xfId="0" applyFont="1" applyBorder="1" applyAlignment="1">
      <alignment horizontal="center" vertical="center" wrapText="1"/>
    </xf>
    <xf numFmtId="0" fontId="6" fillId="35" borderId="78" xfId="0" applyFont="1" applyFill="1" applyBorder="1" applyAlignment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21" xfId="0" applyFont="1" applyBorder="1" applyAlignment="1">
      <alignment horizontal="left" vertical="center" wrapText="1"/>
    </xf>
    <xf numFmtId="14" fontId="46" fillId="38" borderId="1" xfId="0" applyNumberFormat="1" applyFont="1" applyFill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3" fillId="43" borderId="42" xfId="0" applyFont="1" applyFill="1" applyBorder="1" applyAlignment="1">
      <alignment horizontal="left" vertical="center" wrapText="1"/>
    </xf>
    <xf numFmtId="0" fontId="3" fillId="43" borderId="34" xfId="0" applyFont="1" applyFill="1" applyBorder="1" applyAlignment="1" applyProtection="1">
      <alignment horizontal="left" vertical="center" wrapText="1"/>
      <protection locked="0"/>
    </xf>
    <xf numFmtId="0" fontId="2" fillId="0" borderId="16" xfId="0" applyFont="1" applyBorder="1" applyAlignment="1">
      <alignment horizontal="center" vertical="center"/>
    </xf>
    <xf numFmtId="0" fontId="3" fillId="43" borderId="8" xfId="0" applyFont="1" applyFill="1" applyBorder="1" applyAlignment="1" applyProtection="1">
      <alignment horizontal="left" vertical="center" wrapText="1"/>
      <protection locked="0"/>
    </xf>
    <xf numFmtId="0" fontId="3" fillId="43" borderId="1" xfId="0" applyFont="1" applyFill="1" applyBorder="1" applyAlignment="1" applyProtection="1">
      <alignment horizontal="left" vertical="center" wrapText="1"/>
      <protection locked="0"/>
    </xf>
    <xf numFmtId="0" fontId="59" fillId="0" borderId="6" xfId="0" applyFont="1" applyBorder="1" applyAlignment="1">
      <alignment vertical="center"/>
    </xf>
    <xf numFmtId="0" fontId="3" fillId="35" borderId="80" xfId="0" applyFont="1" applyFill="1" applyBorder="1" applyAlignment="1" applyProtection="1">
      <alignment horizontal="center" vertical="center" wrapText="1"/>
      <protection locked="0"/>
    </xf>
    <xf numFmtId="0" fontId="3" fillId="35" borderId="81" xfId="0" applyFont="1" applyFill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22" xfId="0" applyFont="1" applyBorder="1" applyAlignment="1" applyProtection="1">
      <alignment horizontal="left" vertical="center" wrapText="1"/>
      <protection locked="0"/>
    </xf>
    <xf numFmtId="14" fontId="5" fillId="37" borderId="26" xfId="0" applyNumberFormat="1" applyFont="1" applyFill="1" applyBorder="1" applyAlignment="1">
      <alignment horizontal="center" vertical="center"/>
    </xf>
    <xf numFmtId="14" fontId="5" fillId="37" borderId="27" xfId="0" applyNumberFormat="1" applyFont="1" applyFill="1" applyBorder="1" applyAlignment="1">
      <alignment horizontal="center" vertical="center"/>
    </xf>
    <xf numFmtId="14" fontId="5" fillId="37" borderId="0" xfId="0" applyNumberFormat="1" applyFont="1" applyFill="1" applyAlignment="1">
      <alignment horizontal="center" vertical="center"/>
    </xf>
    <xf numFmtId="14" fontId="5" fillId="37" borderId="28" xfId="0" applyNumberFormat="1" applyFont="1" applyFill="1" applyBorder="1" applyAlignment="1">
      <alignment horizontal="center" vertical="center"/>
    </xf>
    <xf numFmtId="14" fontId="5" fillId="37" borderId="40" xfId="0" applyNumberFormat="1" applyFont="1" applyFill="1" applyBorder="1" applyAlignment="1">
      <alignment horizontal="center" vertical="center"/>
    </xf>
    <xf numFmtId="14" fontId="5" fillId="37" borderId="29" xfId="0" applyNumberFormat="1" applyFont="1" applyFill="1" applyBorder="1" applyAlignment="1">
      <alignment horizontal="center" vertical="center"/>
    </xf>
    <xf numFmtId="0" fontId="6" fillId="37" borderId="45" xfId="0" applyFont="1" applyFill="1" applyBorder="1" applyAlignment="1">
      <alignment horizontal="right" vertical="center"/>
    </xf>
    <xf numFmtId="0" fontId="6" fillId="37" borderId="0" xfId="0" applyFont="1" applyFill="1" applyAlignment="1">
      <alignment horizontal="right" vertical="center"/>
    </xf>
    <xf numFmtId="0" fontId="6" fillId="37" borderId="25" xfId="0" applyFont="1" applyFill="1" applyBorder="1" applyAlignment="1">
      <alignment horizontal="center" vertical="center" wrapText="1"/>
    </xf>
    <xf numFmtId="0" fontId="6" fillId="37" borderId="46" xfId="0" applyFont="1" applyFill="1" applyBorder="1" applyAlignment="1">
      <alignment horizontal="center" vertical="center" wrapText="1"/>
    </xf>
    <xf numFmtId="0" fontId="6" fillId="37" borderId="45" xfId="0" applyFont="1" applyFill="1" applyBorder="1" applyAlignment="1">
      <alignment horizontal="center" vertical="center" wrapText="1"/>
    </xf>
    <xf numFmtId="0" fontId="6" fillId="37" borderId="47" xfId="0" applyFont="1" applyFill="1" applyBorder="1" applyAlignment="1">
      <alignment horizontal="center" vertical="center" wrapText="1"/>
    </xf>
    <xf numFmtId="0" fontId="6" fillId="37" borderId="44" xfId="0" applyFont="1" applyFill="1" applyBorder="1" applyAlignment="1">
      <alignment horizontal="center" vertical="center" wrapText="1"/>
    </xf>
    <xf numFmtId="0" fontId="6" fillId="37" borderId="48" xfId="0" applyFont="1" applyFill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 wrapText="1"/>
    </xf>
    <xf numFmtId="0" fontId="5" fillId="37" borderId="37" xfId="0" applyFont="1" applyFill="1" applyBorder="1" applyAlignment="1">
      <alignment horizontal="left" vertical="top"/>
    </xf>
    <xf numFmtId="0" fontId="5" fillId="37" borderId="38" xfId="0" applyFont="1" applyFill="1" applyBorder="1" applyAlignment="1">
      <alignment horizontal="left" vertical="top"/>
    </xf>
    <xf numFmtId="0" fontId="5" fillId="37" borderId="39" xfId="0" applyFont="1" applyFill="1" applyBorder="1" applyAlignment="1">
      <alignment horizontal="left" vertical="top"/>
    </xf>
    <xf numFmtId="0" fontId="5" fillId="0" borderId="49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5" fillId="37" borderId="26" xfId="0" applyFont="1" applyFill="1" applyBorder="1" applyAlignment="1">
      <alignment horizontal="left" vertical="top"/>
    </xf>
    <xf numFmtId="0" fontId="5" fillId="37" borderId="0" xfId="0" applyFont="1" applyFill="1" applyAlignment="1">
      <alignment horizontal="left" vertical="top"/>
    </xf>
    <xf numFmtId="0" fontId="5" fillId="37" borderId="40" xfId="0" applyFont="1" applyFill="1" applyBorder="1" applyAlignment="1">
      <alignment horizontal="left" vertical="top"/>
    </xf>
    <xf numFmtId="0" fontId="49" fillId="0" borderId="0" xfId="0" applyFont="1" applyAlignment="1">
      <alignment horizontal="left" vertical="center" readingOrder="1"/>
    </xf>
    <xf numFmtId="0" fontId="5" fillId="37" borderId="26" xfId="0" applyFont="1" applyFill="1" applyBorder="1" applyAlignment="1">
      <alignment horizontal="left" vertical="center"/>
    </xf>
    <xf numFmtId="0" fontId="5" fillId="37" borderId="27" xfId="0" applyFont="1" applyFill="1" applyBorder="1" applyAlignment="1">
      <alignment horizontal="left" vertical="center"/>
    </xf>
    <xf numFmtId="0" fontId="5" fillId="37" borderId="0" xfId="0" applyFont="1" applyFill="1" applyAlignment="1">
      <alignment horizontal="left" vertical="center"/>
    </xf>
    <xf numFmtId="0" fontId="5" fillId="37" borderId="28" xfId="0" applyFont="1" applyFill="1" applyBorder="1" applyAlignment="1">
      <alignment horizontal="left" vertical="center"/>
    </xf>
    <xf numFmtId="0" fontId="5" fillId="37" borderId="40" xfId="0" applyFont="1" applyFill="1" applyBorder="1" applyAlignment="1">
      <alignment horizontal="left" vertical="center"/>
    </xf>
    <xf numFmtId="0" fontId="5" fillId="37" borderId="29" xfId="0" applyFont="1" applyFill="1" applyBorder="1" applyAlignment="1">
      <alignment horizontal="left" vertical="center"/>
    </xf>
    <xf numFmtId="0" fontId="6" fillId="37" borderId="45" xfId="0" applyFont="1" applyFill="1" applyBorder="1" applyAlignment="1">
      <alignment horizontal="right" vertical="center" wrapText="1"/>
    </xf>
    <xf numFmtId="0" fontId="6" fillId="37" borderId="0" xfId="0" applyFont="1" applyFill="1" applyAlignment="1">
      <alignment horizontal="right" vertical="center" wrapText="1"/>
    </xf>
    <xf numFmtId="0" fontId="6" fillId="37" borderId="25" xfId="0" applyFont="1" applyFill="1" applyBorder="1" applyAlignment="1">
      <alignment horizontal="right" vertical="center"/>
    </xf>
    <xf numFmtId="0" fontId="6" fillId="37" borderId="26" xfId="0" applyFont="1" applyFill="1" applyBorder="1" applyAlignment="1">
      <alignment horizontal="right" vertical="center"/>
    </xf>
    <xf numFmtId="165" fontId="6" fillId="37" borderId="25" xfId="0" applyNumberFormat="1" applyFont="1" applyFill="1" applyBorder="1" applyAlignment="1">
      <alignment horizontal="left" vertical="center"/>
    </xf>
    <xf numFmtId="165" fontId="6" fillId="37" borderId="26" xfId="0" applyNumberFormat="1" applyFont="1" applyFill="1" applyBorder="1" applyAlignment="1">
      <alignment horizontal="left" vertical="center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3" fillId="0" borderId="22" xfId="0" applyFont="1" applyBorder="1" applyAlignment="1" applyProtection="1">
      <alignment horizontal="left" vertical="center" wrapText="1"/>
      <protection locked="0"/>
    </xf>
    <xf numFmtId="0" fontId="3" fillId="0" borderId="8" xfId="0" applyFont="1" applyBorder="1" applyAlignment="1" applyProtection="1">
      <alignment horizontal="left" vertical="center" wrapText="1"/>
      <protection locked="0"/>
    </xf>
    <xf numFmtId="0" fontId="2" fillId="43" borderId="4" xfId="0" applyFont="1" applyFill="1" applyBorder="1" applyAlignment="1">
      <alignment horizontal="left" vertical="center" wrapText="1"/>
    </xf>
    <xf numFmtId="0" fontId="2" fillId="43" borderId="22" xfId="0" applyFont="1" applyFill="1" applyBorder="1" applyAlignment="1">
      <alignment horizontal="left" vertical="center" wrapText="1"/>
    </xf>
    <xf numFmtId="0" fontId="2" fillId="43" borderId="8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6" fillId="0" borderId="3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3" fillId="43" borderId="18" xfId="0" applyFont="1" applyFill="1" applyBorder="1" applyAlignment="1">
      <alignment horizontal="left" vertical="center" wrapText="1"/>
    </xf>
    <xf numFmtId="0" fontId="43" fillId="43" borderId="21" xfId="0" applyFont="1" applyFill="1" applyBorder="1" applyAlignment="1">
      <alignment horizontal="left" vertical="center" wrapText="1"/>
    </xf>
    <xf numFmtId="0" fontId="43" fillId="43" borderId="9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3" fillId="0" borderId="19" xfId="0" applyFont="1" applyBorder="1" applyAlignment="1" applyProtection="1">
      <alignment horizontal="left" vertical="center" wrapText="1"/>
      <protection locked="0"/>
    </xf>
    <xf numFmtId="0" fontId="3" fillId="0" borderId="24" xfId="0" applyFont="1" applyBorder="1" applyAlignment="1" applyProtection="1">
      <alignment horizontal="left" vertical="center" wrapText="1"/>
      <protection locked="0"/>
    </xf>
    <xf numFmtId="0" fontId="3" fillId="0" borderId="10" xfId="0" applyFont="1" applyBorder="1" applyAlignment="1" applyProtection="1">
      <alignment horizontal="left" vertical="center" wrapText="1"/>
      <protection locked="0"/>
    </xf>
    <xf numFmtId="0" fontId="11" fillId="35" borderId="2" xfId="0" applyFont="1" applyFill="1" applyBorder="1" applyAlignment="1">
      <alignment horizontal="center" vertical="center"/>
    </xf>
    <xf numFmtId="0" fontId="11" fillId="35" borderId="3" xfId="0" applyFont="1" applyFill="1" applyBorder="1" applyAlignment="1">
      <alignment horizontal="center" vertical="center"/>
    </xf>
    <xf numFmtId="0" fontId="11" fillId="35" borderId="5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37" borderId="44" xfId="0" applyFont="1" applyFill="1" applyBorder="1" applyAlignment="1">
      <alignment horizontal="right" vertical="center"/>
    </xf>
    <xf numFmtId="0" fontId="6" fillId="37" borderId="40" xfId="0" applyFont="1" applyFill="1" applyBorder="1" applyAlignment="1">
      <alignment horizontal="right" vertical="center"/>
    </xf>
    <xf numFmtId="0" fontId="7" fillId="0" borderId="5" xfId="0" applyFont="1" applyBorder="1" applyAlignment="1">
      <alignment horizontal="left" vertical="center"/>
    </xf>
    <xf numFmtId="0" fontId="51" fillId="35" borderId="2" xfId="0" applyFont="1" applyFill="1" applyBorder="1" applyAlignment="1">
      <alignment horizontal="left" vertical="center"/>
    </xf>
    <xf numFmtId="0" fontId="51" fillId="35" borderId="3" xfId="0" applyFont="1" applyFill="1" applyBorder="1" applyAlignment="1">
      <alignment horizontal="left" vertical="center"/>
    </xf>
    <xf numFmtId="0" fontId="51" fillId="35" borderId="5" xfId="0" applyFont="1" applyFill="1" applyBorder="1" applyAlignment="1">
      <alignment horizontal="left" vertical="center"/>
    </xf>
    <xf numFmtId="0" fontId="11" fillId="35" borderId="65" xfId="0" applyFont="1" applyFill="1" applyBorder="1" applyAlignment="1">
      <alignment horizontal="left" vertical="center"/>
    </xf>
    <xf numFmtId="0" fontId="11" fillId="35" borderId="61" xfId="0" applyFont="1" applyFill="1" applyBorder="1" applyAlignment="1">
      <alignment horizontal="left" vertical="center"/>
    </xf>
    <xf numFmtId="0" fontId="7" fillId="0" borderId="68" xfId="0" applyFont="1" applyBorder="1" applyAlignment="1">
      <alignment horizontal="left" vertical="center"/>
    </xf>
    <xf numFmtId="0" fontId="7" fillId="0" borderId="69" xfId="0" applyFont="1" applyBorder="1" applyAlignment="1">
      <alignment horizontal="left" vertical="center"/>
    </xf>
    <xf numFmtId="0" fontId="2" fillId="40" borderId="40" xfId="0" applyFont="1" applyFill="1" applyBorder="1" applyAlignment="1">
      <alignment horizontal="center" wrapText="1"/>
    </xf>
    <xf numFmtId="0" fontId="2" fillId="39" borderId="2" xfId="0" applyFont="1" applyFill="1" applyBorder="1" applyAlignment="1">
      <alignment horizontal="center" vertical="center" wrapText="1"/>
    </xf>
    <xf numFmtId="0" fontId="2" fillId="39" borderId="3" xfId="0" applyFont="1" applyFill="1" applyBorder="1" applyAlignment="1">
      <alignment horizontal="center" vertical="center" wrapText="1"/>
    </xf>
    <xf numFmtId="0" fontId="2" fillId="39" borderId="5" xfId="0" applyFont="1" applyFill="1" applyBorder="1" applyAlignment="1">
      <alignment horizontal="center" vertical="center" wrapText="1"/>
    </xf>
  </cellXfs>
  <cellStyles count="694">
    <cellStyle name="20% - Accent1 2" xfId="1" xr:uid="{00000000-0005-0000-0000-000000000000}"/>
    <cellStyle name="20% - Accent1 2 2" xfId="632" xr:uid="{DB9AFC27-864C-48CA-8994-9AF713C9AC17}"/>
    <cellStyle name="20% - Accent1 3" xfId="2" xr:uid="{00000000-0005-0000-0000-000001000000}"/>
    <cellStyle name="20% - Accent2 2" xfId="3" xr:uid="{00000000-0005-0000-0000-000002000000}"/>
    <cellStyle name="20% - Accent2 2 2" xfId="633" xr:uid="{75B2B760-7041-49DA-8E92-01E7A34F76A1}"/>
    <cellStyle name="20% - Accent2 3" xfId="4" xr:uid="{00000000-0005-0000-0000-000003000000}"/>
    <cellStyle name="20% - Accent3 2" xfId="5" xr:uid="{00000000-0005-0000-0000-000004000000}"/>
    <cellStyle name="20% - Accent3 2 2" xfId="634" xr:uid="{24130D97-4D2E-4FA2-AD3A-BC069AA18A9F}"/>
    <cellStyle name="20% - Accent3 3" xfId="6" xr:uid="{00000000-0005-0000-0000-000005000000}"/>
    <cellStyle name="20% - Accent4 2" xfId="7" xr:uid="{00000000-0005-0000-0000-000006000000}"/>
    <cellStyle name="20% - Accent4 2 2" xfId="635" xr:uid="{DA8DF47E-72A3-4F15-B4FC-C3CE95EF8B85}"/>
    <cellStyle name="20% - Accent4 3" xfId="8" xr:uid="{00000000-0005-0000-0000-000007000000}"/>
    <cellStyle name="20% - Accent5 2" xfId="9" xr:uid="{00000000-0005-0000-0000-000008000000}"/>
    <cellStyle name="20% - Accent5 2 2" xfId="636" xr:uid="{A30E7E8B-465A-418B-B5B0-CDB5B26A485B}"/>
    <cellStyle name="20% - Accent5 3" xfId="10" xr:uid="{00000000-0005-0000-0000-000009000000}"/>
    <cellStyle name="20% - Accent6 2" xfId="11" xr:uid="{00000000-0005-0000-0000-00000A000000}"/>
    <cellStyle name="20% - Accent6 2 2" xfId="637" xr:uid="{B9F729E0-AE32-4881-9D8D-54B23B3F28CE}"/>
    <cellStyle name="20% - Accent6 3" xfId="12" xr:uid="{00000000-0005-0000-0000-00000B000000}"/>
    <cellStyle name="40% - Accent1 2" xfId="13" xr:uid="{00000000-0005-0000-0000-00000C000000}"/>
    <cellStyle name="40% - Accent1 2 2" xfId="638" xr:uid="{AEA3D790-0EE2-49EC-AE38-2B67A31E8736}"/>
    <cellStyle name="40% - Accent1 3" xfId="14" xr:uid="{00000000-0005-0000-0000-00000D000000}"/>
    <cellStyle name="40% - Accent2 2" xfId="15" xr:uid="{00000000-0005-0000-0000-00000E000000}"/>
    <cellStyle name="40% - Accent2 2 2" xfId="639" xr:uid="{477E8B56-3FDD-4752-A9BF-E402C95A9DD1}"/>
    <cellStyle name="40% - Accent2 3" xfId="16" xr:uid="{00000000-0005-0000-0000-00000F000000}"/>
    <cellStyle name="40% - Accent3 2" xfId="17" xr:uid="{00000000-0005-0000-0000-000010000000}"/>
    <cellStyle name="40% - Accent3 2 2" xfId="640" xr:uid="{C7113DD5-25BB-4F2D-A810-36835ACF5DF0}"/>
    <cellStyle name="40% - Accent3 3" xfId="18" xr:uid="{00000000-0005-0000-0000-000011000000}"/>
    <cellStyle name="40% - Accent4 2" xfId="19" xr:uid="{00000000-0005-0000-0000-000012000000}"/>
    <cellStyle name="40% - Accent4 2 2" xfId="641" xr:uid="{7CA6E299-FFFD-4949-BFA0-249C165278AE}"/>
    <cellStyle name="40% - Accent4 3" xfId="20" xr:uid="{00000000-0005-0000-0000-000013000000}"/>
    <cellStyle name="40% - Accent5 2" xfId="21" xr:uid="{00000000-0005-0000-0000-000014000000}"/>
    <cellStyle name="40% - Accent5 2 2" xfId="642" xr:uid="{19950B73-0483-4806-8AFE-AB5C59918747}"/>
    <cellStyle name="40% - Accent5 3" xfId="22" xr:uid="{00000000-0005-0000-0000-000015000000}"/>
    <cellStyle name="40% - Accent6 2" xfId="23" xr:uid="{00000000-0005-0000-0000-000016000000}"/>
    <cellStyle name="40% - Accent6 2 2" xfId="643" xr:uid="{E013FF11-17E9-43A4-9D02-0DA571BBB5B7}"/>
    <cellStyle name="40% - Accent6 3" xfId="24" xr:uid="{00000000-0005-0000-0000-000017000000}"/>
    <cellStyle name="60% - Accent1 2" xfId="25" xr:uid="{00000000-0005-0000-0000-000018000000}"/>
    <cellStyle name="60% - Accent1 3" xfId="26" xr:uid="{00000000-0005-0000-0000-000019000000}"/>
    <cellStyle name="60% - Accent2 2" xfId="27" xr:uid="{00000000-0005-0000-0000-00001A000000}"/>
    <cellStyle name="60% - Accent2 3" xfId="28" xr:uid="{00000000-0005-0000-0000-00001B000000}"/>
    <cellStyle name="60% - Accent3 2" xfId="29" xr:uid="{00000000-0005-0000-0000-00001C000000}"/>
    <cellStyle name="60% - Accent3 3" xfId="30" xr:uid="{00000000-0005-0000-0000-00001D000000}"/>
    <cellStyle name="60% - Accent4 2" xfId="31" xr:uid="{00000000-0005-0000-0000-00001E000000}"/>
    <cellStyle name="60% - Accent4 3" xfId="32" xr:uid="{00000000-0005-0000-0000-00001F000000}"/>
    <cellStyle name="60% - Accent5 2" xfId="33" xr:uid="{00000000-0005-0000-0000-000020000000}"/>
    <cellStyle name="60% - Accent5 3" xfId="34" xr:uid="{00000000-0005-0000-0000-000021000000}"/>
    <cellStyle name="60% - Accent6 2" xfId="35" xr:uid="{00000000-0005-0000-0000-000022000000}"/>
    <cellStyle name="60% - Accent6 3" xfId="36" xr:uid="{00000000-0005-0000-0000-000023000000}"/>
    <cellStyle name="Accent1 2" xfId="37" xr:uid="{00000000-0005-0000-0000-000024000000}"/>
    <cellStyle name="Accent1 3" xfId="38" xr:uid="{00000000-0005-0000-0000-000025000000}"/>
    <cellStyle name="Accent2 2" xfId="39" xr:uid="{00000000-0005-0000-0000-000026000000}"/>
    <cellStyle name="Accent2 3" xfId="40" xr:uid="{00000000-0005-0000-0000-000027000000}"/>
    <cellStyle name="Accent3 2" xfId="41" xr:uid="{00000000-0005-0000-0000-000028000000}"/>
    <cellStyle name="Accent3 3" xfId="42" xr:uid="{00000000-0005-0000-0000-000029000000}"/>
    <cellStyle name="Accent4 2" xfId="43" xr:uid="{00000000-0005-0000-0000-00002A000000}"/>
    <cellStyle name="Accent4 3" xfId="44" xr:uid="{00000000-0005-0000-0000-00002B000000}"/>
    <cellStyle name="Accent5 2" xfId="45" xr:uid="{00000000-0005-0000-0000-00002C000000}"/>
    <cellStyle name="Accent5 3" xfId="46" xr:uid="{00000000-0005-0000-0000-00002D000000}"/>
    <cellStyle name="Accent6 2" xfId="47" xr:uid="{00000000-0005-0000-0000-00002E000000}"/>
    <cellStyle name="Accent6 3" xfId="48" xr:uid="{00000000-0005-0000-0000-00002F000000}"/>
    <cellStyle name="AutoFormat-Optionen" xfId="49" xr:uid="{00000000-0005-0000-0000-000030000000}"/>
    <cellStyle name="AutoFormat-Optionen 2" xfId="50" xr:uid="{00000000-0005-0000-0000-000031000000}"/>
    <cellStyle name="AutoFormat-Optionen 2 2" xfId="51" xr:uid="{00000000-0005-0000-0000-000032000000}"/>
    <cellStyle name="AutoFormat-Optionen 2 2 2" xfId="52" xr:uid="{00000000-0005-0000-0000-000033000000}"/>
    <cellStyle name="AutoFormat-Optionen 2 3" xfId="53" xr:uid="{00000000-0005-0000-0000-000034000000}"/>
    <cellStyle name="AutoFormat-Optionen 2 4" xfId="54" xr:uid="{00000000-0005-0000-0000-000035000000}"/>
    <cellStyle name="AutoFormat-Optionen 3" xfId="55" xr:uid="{00000000-0005-0000-0000-000036000000}"/>
    <cellStyle name="AutoFormat-Optionen 3 2" xfId="56" xr:uid="{00000000-0005-0000-0000-000037000000}"/>
    <cellStyle name="AutoFormat-Optionen 3 3" xfId="57" xr:uid="{00000000-0005-0000-0000-000038000000}"/>
    <cellStyle name="AutoFormat-Optionen 4" xfId="58" xr:uid="{00000000-0005-0000-0000-000039000000}"/>
    <cellStyle name="AutoFormat-Optionen 5" xfId="59" xr:uid="{00000000-0005-0000-0000-00003A000000}"/>
    <cellStyle name="Bad 2" xfId="60" xr:uid="{00000000-0005-0000-0000-00003B000000}"/>
    <cellStyle name="Bad 3" xfId="61" xr:uid="{00000000-0005-0000-0000-00003C000000}"/>
    <cellStyle name="Calculation 2" xfId="62" xr:uid="{00000000-0005-0000-0000-00003D000000}"/>
    <cellStyle name="Calculation 3" xfId="63" xr:uid="{00000000-0005-0000-0000-00003E000000}"/>
    <cellStyle name="Check Cell 2" xfId="64" xr:uid="{00000000-0005-0000-0000-00003F000000}"/>
    <cellStyle name="Check Cell 3" xfId="65" xr:uid="{00000000-0005-0000-0000-000040000000}"/>
    <cellStyle name="Explanatory Text 2" xfId="66" xr:uid="{00000000-0005-0000-0000-000041000000}"/>
    <cellStyle name="Explanatory Text 3" xfId="67" xr:uid="{00000000-0005-0000-0000-000042000000}"/>
    <cellStyle name="Good 2" xfId="68" xr:uid="{00000000-0005-0000-0000-000043000000}"/>
    <cellStyle name="Good 3" xfId="69" xr:uid="{00000000-0005-0000-0000-000044000000}"/>
    <cellStyle name="Grey" xfId="70" xr:uid="{00000000-0005-0000-0000-000045000000}"/>
    <cellStyle name="Heading 1 2" xfId="71" xr:uid="{00000000-0005-0000-0000-000046000000}"/>
    <cellStyle name="Heading 1 3" xfId="72" xr:uid="{00000000-0005-0000-0000-000047000000}"/>
    <cellStyle name="Heading 2 2" xfId="73" xr:uid="{00000000-0005-0000-0000-000048000000}"/>
    <cellStyle name="Heading 2 3" xfId="74" xr:uid="{00000000-0005-0000-0000-000049000000}"/>
    <cellStyle name="Heading 3 2" xfId="75" xr:uid="{00000000-0005-0000-0000-00004A000000}"/>
    <cellStyle name="Heading 3 3" xfId="76" xr:uid="{00000000-0005-0000-0000-00004B000000}"/>
    <cellStyle name="Heading 4 2" xfId="77" xr:uid="{00000000-0005-0000-0000-00004C000000}"/>
    <cellStyle name="Heading 4 3" xfId="78" xr:uid="{00000000-0005-0000-0000-00004D000000}"/>
    <cellStyle name="Hyperlink 2" xfId="79" xr:uid="{00000000-0005-0000-0000-00004E000000}"/>
    <cellStyle name="Input [yellow]" xfId="80" xr:uid="{00000000-0005-0000-0000-00004F000000}"/>
    <cellStyle name="Input 2" xfId="81" xr:uid="{00000000-0005-0000-0000-000050000000}"/>
    <cellStyle name="Input 3" xfId="82" xr:uid="{00000000-0005-0000-0000-000051000000}"/>
    <cellStyle name="Input 4" xfId="83" xr:uid="{00000000-0005-0000-0000-000052000000}"/>
    <cellStyle name="Input 5" xfId="84" xr:uid="{00000000-0005-0000-0000-000053000000}"/>
    <cellStyle name="Linked Cell 2" xfId="85" xr:uid="{00000000-0005-0000-0000-000054000000}"/>
    <cellStyle name="Linked Cell 3" xfId="86" xr:uid="{00000000-0005-0000-0000-000055000000}"/>
    <cellStyle name="Neutral 2" xfId="87" xr:uid="{00000000-0005-0000-0000-000056000000}"/>
    <cellStyle name="Neutral 3" xfId="88" xr:uid="{00000000-0005-0000-0000-000057000000}"/>
    <cellStyle name="Normal" xfId="0" builtinId="0"/>
    <cellStyle name="Normal - Style1" xfId="89" xr:uid="{00000000-0005-0000-0000-000059000000}"/>
    <cellStyle name="Normal - Style1 2" xfId="90" xr:uid="{00000000-0005-0000-0000-00005A000000}"/>
    <cellStyle name="Normal - Style1 2 2" xfId="91" xr:uid="{00000000-0005-0000-0000-00005B000000}"/>
    <cellStyle name="Normal - Style1 2 3" xfId="92" xr:uid="{00000000-0005-0000-0000-00005C000000}"/>
    <cellStyle name="Normal - Style1 3" xfId="93" xr:uid="{00000000-0005-0000-0000-00005D000000}"/>
    <cellStyle name="Normal - Style1 3 2" xfId="94" xr:uid="{00000000-0005-0000-0000-00005E000000}"/>
    <cellStyle name="Normal - Style1 3 3" xfId="95" xr:uid="{00000000-0005-0000-0000-00005F000000}"/>
    <cellStyle name="Normal - Style1 4" xfId="96" xr:uid="{00000000-0005-0000-0000-000060000000}"/>
    <cellStyle name="Normal - Style1 5" xfId="97" xr:uid="{00000000-0005-0000-0000-000061000000}"/>
    <cellStyle name="Normal - Style1 6" xfId="98" xr:uid="{00000000-0005-0000-0000-000062000000}"/>
    <cellStyle name="Normal 10" xfId="99" xr:uid="{00000000-0005-0000-0000-000063000000}"/>
    <cellStyle name="Normal 10 2" xfId="100" xr:uid="{00000000-0005-0000-0000-000064000000}"/>
    <cellStyle name="Normal 10 3" xfId="101" xr:uid="{00000000-0005-0000-0000-000065000000}"/>
    <cellStyle name="Normal 100" xfId="102" xr:uid="{00000000-0005-0000-0000-000066000000}"/>
    <cellStyle name="Normal 101" xfId="103" xr:uid="{00000000-0005-0000-0000-000067000000}"/>
    <cellStyle name="Normal 102" xfId="104" xr:uid="{00000000-0005-0000-0000-000068000000}"/>
    <cellStyle name="Normal 103" xfId="105" xr:uid="{00000000-0005-0000-0000-000069000000}"/>
    <cellStyle name="Normal 103 2" xfId="644" xr:uid="{FB59C97B-18EE-44BC-8856-2DD0AB665634}"/>
    <cellStyle name="Normal 104" xfId="106" xr:uid="{00000000-0005-0000-0000-00006A000000}"/>
    <cellStyle name="Normal 105" xfId="107" xr:uid="{00000000-0005-0000-0000-00006B000000}"/>
    <cellStyle name="Normal 105 2" xfId="645" xr:uid="{8A157440-FA0B-41A8-A46C-3DF432F06A78}"/>
    <cellStyle name="Normal 106" xfId="108" xr:uid="{00000000-0005-0000-0000-00006C000000}"/>
    <cellStyle name="Normal 107" xfId="109" xr:uid="{00000000-0005-0000-0000-00006D000000}"/>
    <cellStyle name="Normal 107 2" xfId="646" xr:uid="{225D4A14-899E-4E3F-9567-FE4A48EF82E3}"/>
    <cellStyle name="Normal 108" xfId="110" xr:uid="{00000000-0005-0000-0000-00006E000000}"/>
    <cellStyle name="Normal 108 2" xfId="111" xr:uid="{00000000-0005-0000-0000-00006F000000}"/>
    <cellStyle name="Normal 109" xfId="112" xr:uid="{00000000-0005-0000-0000-000070000000}"/>
    <cellStyle name="Normal 109 2" xfId="113" xr:uid="{00000000-0005-0000-0000-000071000000}"/>
    <cellStyle name="Normal 109 2 2" xfId="648" xr:uid="{75EF3BCD-DAFC-4D3C-B493-804DBD71501F}"/>
    <cellStyle name="Normal 109 3" xfId="647" xr:uid="{116BC274-A916-461C-A230-5D6FF36630F7}"/>
    <cellStyle name="Normal 11" xfId="114" xr:uid="{00000000-0005-0000-0000-000072000000}"/>
    <cellStyle name="Normal 11 2" xfId="115" xr:uid="{00000000-0005-0000-0000-000073000000}"/>
    <cellStyle name="Normal 11 3" xfId="116" xr:uid="{00000000-0005-0000-0000-000074000000}"/>
    <cellStyle name="Normal 110" xfId="117" xr:uid="{00000000-0005-0000-0000-000075000000}"/>
    <cellStyle name="Normal 110 2" xfId="649" xr:uid="{D9F78501-DE59-4AAB-BBF8-2FBF1837273D}"/>
    <cellStyle name="Normal 111" xfId="118" xr:uid="{00000000-0005-0000-0000-000076000000}"/>
    <cellStyle name="Normal 111 2" xfId="650" xr:uid="{5D78247D-E255-44B0-B33D-168759448582}"/>
    <cellStyle name="Normal 112" xfId="119" xr:uid="{00000000-0005-0000-0000-000077000000}"/>
    <cellStyle name="Normal 112 2" xfId="651" xr:uid="{A887DF0A-14C7-408F-B452-23385B061184}"/>
    <cellStyle name="Normal 113" xfId="120" xr:uid="{00000000-0005-0000-0000-000078000000}"/>
    <cellStyle name="Normal 113 2" xfId="652" xr:uid="{955ED2E9-2905-4B90-BDC2-D5F0A2C4F40F}"/>
    <cellStyle name="Normal 114" xfId="121" xr:uid="{00000000-0005-0000-0000-000079000000}"/>
    <cellStyle name="Normal 115" xfId="122" xr:uid="{00000000-0005-0000-0000-00007A000000}"/>
    <cellStyle name="Normal 115 2" xfId="653" xr:uid="{2FFC113E-E549-442B-8471-66F9B16C1484}"/>
    <cellStyle name="Normal 116" xfId="123" xr:uid="{00000000-0005-0000-0000-00007B000000}"/>
    <cellStyle name="Normal 116 2" xfId="654" xr:uid="{AA4890A3-C610-47B8-A7BE-20FE48A77627}"/>
    <cellStyle name="Normal 117" xfId="124" xr:uid="{00000000-0005-0000-0000-00007C000000}"/>
    <cellStyle name="Normal 12" xfId="125" xr:uid="{00000000-0005-0000-0000-00007D000000}"/>
    <cellStyle name="Normal 12 2" xfId="126" xr:uid="{00000000-0005-0000-0000-00007E000000}"/>
    <cellStyle name="Normal 12 3" xfId="127" xr:uid="{00000000-0005-0000-0000-00007F000000}"/>
    <cellStyle name="Normal 13" xfId="128" xr:uid="{00000000-0005-0000-0000-000080000000}"/>
    <cellStyle name="Normal 13 2" xfId="129" xr:uid="{00000000-0005-0000-0000-000081000000}"/>
    <cellStyle name="Normal 13 3" xfId="130" xr:uid="{00000000-0005-0000-0000-000082000000}"/>
    <cellStyle name="Normal 14" xfId="131" xr:uid="{00000000-0005-0000-0000-000083000000}"/>
    <cellStyle name="Normal 14 2" xfId="132" xr:uid="{00000000-0005-0000-0000-000084000000}"/>
    <cellStyle name="Normal 14 3" xfId="133" xr:uid="{00000000-0005-0000-0000-000085000000}"/>
    <cellStyle name="Normal 15" xfId="134" xr:uid="{00000000-0005-0000-0000-000086000000}"/>
    <cellStyle name="Normal 15 2" xfId="135" xr:uid="{00000000-0005-0000-0000-000087000000}"/>
    <cellStyle name="Normal 15 3" xfId="136" xr:uid="{00000000-0005-0000-0000-000088000000}"/>
    <cellStyle name="Normal 16" xfId="137" xr:uid="{00000000-0005-0000-0000-000089000000}"/>
    <cellStyle name="Normal 16 2" xfId="138" xr:uid="{00000000-0005-0000-0000-00008A000000}"/>
    <cellStyle name="Normal 16 3" xfId="139" xr:uid="{00000000-0005-0000-0000-00008B000000}"/>
    <cellStyle name="Normal 17" xfId="140" xr:uid="{00000000-0005-0000-0000-00008C000000}"/>
    <cellStyle name="Normal 17 2" xfId="141" xr:uid="{00000000-0005-0000-0000-00008D000000}"/>
    <cellStyle name="Normal 17 3" xfId="142" xr:uid="{00000000-0005-0000-0000-00008E000000}"/>
    <cellStyle name="Normal 18" xfId="143" xr:uid="{00000000-0005-0000-0000-00008F000000}"/>
    <cellStyle name="Normal 18 2" xfId="144" xr:uid="{00000000-0005-0000-0000-000090000000}"/>
    <cellStyle name="Normal 18 3" xfId="145" xr:uid="{00000000-0005-0000-0000-000091000000}"/>
    <cellStyle name="Normal 19" xfId="146" xr:uid="{00000000-0005-0000-0000-000092000000}"/>
    <cellStyle name="Normal 19 2" xfId="147" xr:uid="{00000000-0005-0000-0000-000093000000}"/>
    <cellStyle name="Normal 19 3" xfId="148" xr:uid="{00000000-0005-0000-0000-000094000000}"/>
    <cellStyle name="Normal 2" xfId="149" xr:uid="{00000000-0005-0000-0000-000095000000}"/>
    <cellStyle name="Normal 2 2" xfId="150" xr:uid="{00000000-0005-0000-0000-000096000000}"/>
    <cellStyle name="Normal 2 2 2" xfId="151" xr:uid="{00000000-0005-0000-0000-000097000000}"/>
    <cellStyle name="Normal 2 2 3" xfId="152" xr:uid="{00000000-0005-0000-0000-000098000000}"/>
    <cellStyle name="Normal 2 3" xfId="153" xr:uid="{00000000-0005-0000-0000-000099000000}"/>
    <cellStyle name="Normal 2 3 2" xfId="154" xr:uid="{00000000-0005-0000-0000-00009A000000}"/>
    <cellStyle name="Normal 2 3 2 2" xfId="657" xr:uid="{94423175-2242-41EC-BD8B-94AEC5357445}"/>
    <cellStyle name="Normal 2 3 3" xfId="656" xr:uid="{A145947B-BD7C-4F3C-B0EE-D2FC18A19C75}"/>
    <cellStyle name="Normal 2 4" xfId="155" xr:uid="{00000000-0005-0000-0000-00009B000000}"/>
    <cellStyle name="Normal 2 4 2" xfId="658" xr:uid="{F4624F55-16CC-484B-BA94-6DA491EED701}"/>
    <cellStyle name="Normal 2 5" xfId="156" xr:uid="{00000000-0005-0000-0000-00009C000000}"/>
    <cellStyle name="Normal 2 5 2" xfId="659" xr:uid="{3FE14D3E-85B3-488C-B0B3-06CF4BD86703}"/>
    <cellStyle name="Normal 2 6" xfId="655" xr:uid="{65D9427A-5CF1-4A2C-82E4-9908C8C86F23}"/>
    <cellStyle name="Normal 2_X260 FMA Tracker" xfId="157" xr:uid="{00000000-0005-0000-0000-00009D000000}"/>
    <cellStyle name="Normal 20" xfId="158" xr:uid="{00000000-0005-0000-0000-00009E000000}"/>
    <cellStyle name="Normal 20 2" xfId="159" xr:uid="{00000000-0005-0000-0000-00009F000000}"/>
    <cellStyle name="Normal 20 3" xfId="160" xr:uid="{00000000-0005-0000-0000-0000A0000000}"/>
    <cellStyle name="Normal 21" xfId="161" xr:uid="{00000000-0005-0000-0000-0000A1000000}"/>
    <cellStyle name="Normal 21 2" xfId="162" xr:uid="{00000000-0005-0000-0000-0000A2000000}"/>
    <cellStyle name="Normal 21 3" xfId="163" xr:uid="{00000000-0005-0000-0000-0000A3000000}"/>
    <cellStyle name="Normal 22" xfId="164" xr:uid="{00000000-0005-0000-0000-0000A4000000}"/>
    <cellStyle name="Normal 22 2" xfId="165" xr:uid="{00000000-0005-0000-0000-0000A5000000}"/>
    <cellStyle name="Normal 22 3" xfId="166" xr:uid="{00000000-0005-0000-0000-0000A6000000}"/>
    <cellStyle name="Normal 23" xfId="167" xr:uid="{00000000-0005-0000-0000-0000A7000000}"/>
    <cellStyle name="Normal 23 2" xfId="168" xr:uid="{00000000-0005-0000-0000-0000A8000000}"/>
    <cellStyle name="Normal 23 3" xfId="169" xr:uid="{00000000-0005-0000-0000-0000A9000000}"/>
    <cellStyle name="Normal 24" xfId="170" xr:uid="{00000000-0005-0000-0000-0000AA000000}"/>
    <cellStyle name="Normal 24 2" xfId="171" xr:uid="{00000000-0005-0000-0000-0000AB000000}"/>
    <cellStyle name="Normal 24 3" xfId="172" xr:uid="{00000000-0005-0000-0000-0000AC000000}"/>
    <cellStyle name="Normal 25" xfId="173" xr:uid="{00000000-0005-0000-0000-0000AD000000}"/>
    <cellStyle name="Normal 25 2" xfId="174" xr:uid="{00000000-0005-0000-0000-0000AE000000}"/>
    <cellStyle name="Normal 25 3" xfId="175" xr:uid="{00000000-0005-0000-0000-0000AF000000}"/>
    <cellStyle name="Normal 26" xfId="176" xr:uid="{00000000-0005-0000-0000-0000B0000000}"/>
    <cellStyle name="Normal 26 2" xfId="177" xr:uid="{00000000-0005-0000-0000-0000B1000000}"/>
    <cellStyle name="Normal 26 3" xfId="178" xr:uid="{00000000-0005-0000-0000-0000B2000000}"/>
    <cellStyle name="Normal 27" xfId="179" xr:uid="{00000000-0005-0000-0000-0000B3000000}"/>
    <cellStyle name="Normal 27 2" xfId="180" xr:uid="{00000000-0005-0000-0000-0000B4000000}"/>
    <cellStyle name="Normal 27 3" xfId="181" xr:uid="{00000000-0005-0000-0000-0000B5000000}"/>
    <cellStyle name="Normal 28" xfId="182" xr:uid="{00000000-0005-0000-0000-0000B6000000}"/>
    <cellStyle name="Normal 28 2" xfId="183" xr:uid="{00000000-0005-0000-0000-0000B7000000}"/>
    <cellStyle name="Normal 28 3" xfId="184" xr:uid="{00000000-0005-0000-0000-0000B8000000}"/>
    <cellStyle name="Normal 29" xfId="185" xr:uid="{00000000-0005-0000-0000-0000B9000000}"/>
    <cellStyle name="Normal 29 2" xfId="186" xr:uid="{00000000-0005-0000-0000-0000BA000000}"/>
    <cellStyle name="Normal 29 3" xfId="187" xr:uid="{00000000-0005-0000-0000-0000BB000000}"/>
    <cellStyle name="Normal 3" xfId="188" xr:uid="{00000000-0005-0000-0000-0000BC000000}"/>
    <cellStyle name="Normal 3 2" xfId="189" xr:uid="{00000000-0005-0000-0000-0000BD000000}"/>
    <cellStyle name="Normal 3 2 2" xfId="190" xr:uid="{00000000-0005-0000-0000-0000BE000000}"/>
    <cellStyle name="Normal 3 2 3" xfId="191" xr:uid="{00000000-0005-0000-0000-0000BF000000}"/>
    <cellStyle name="Normal 3 3" xfId="192" xr:uid="{00000000-0005-0000-0000-0000C0000000}"/>
    <cellStyle name="Normal 3 3 2" xfId="193" xr:uid="{00000000-0005-0000-0000-0000C1000000}"/>
    <cellStyle name="Normal 3 3 2 2" xfId="662" xr:uid="{B807283F-565D-4F17-9E2B-7F2C978A7521}"/>
    <cellStyle name="Normal 3 3 3" xfId="661" xr:uid="{5702FB2C-1DF6-458A-80EB-44CFFF3BB8B0}"/>
    <cellStyle name="Normal 3 4" xfId="194" xr:uid="{00000000-0005-0000-0000-0000C2000000}"/>
    <cellStyle name="Normal 3 4 2" xfId="663" xr:uid="{0E969B85-2C3C-4F19-A3A7-D000340AD954}"/>
    <cellStyle name="Normal 3 5" xfId="195" xr:uid="{00000000-0005-0000-0000-0000C3000000}"/>
    <cellStyle name="Normal 3 5 2" xfId="664" xr:uid="{3DDDC466-B97C-4471-95E7-99D55C4D0FB9}"/>
    <cellStyle name="Normal 3 6" xfId="660" xr:uid="{3BAD9EAC-AE82-48C6-8E47-85E89DBC3B39}"/>
    <cellStyle name="Normal 3_X260 FMA Tracker" xfId="196" xr:uid="{00000000-0005-0000-0000-0000C4000000}"/>
    <cellStyle name="Normal 30" xfId="197" xr:uid="{00000000-0005-0000-0000-0000C5000000}"/>
    <cellStyle name="Normal 30 2" xfId="198" xr:uid="{00000000-0005-0000-0000-0000C6000000}"/>
    <cellStyle name="Normal 30 3" xfId="199" xr:uid="{00000000-0005-0000-0000-0000C7000000}"/>
    <cellStyle name="Normal 31" xfId="200" xr:uid="{00000000-0005-0000-0000-0000C8000000}"/>
    <cellStyle name="Normal 31 2" xfId="201" xr:uid="{00000000-0005-0000-0000-0000C9000000}"/>
    <cellStyle name="Normal 31 3" xfId="202" xr:uid="{00000000-0005-0000-0000-0000CA000000}"/>
    <cellStyle name="Normal 32" xfId="203" xr:uid="{00000000-0005-0000-0000-0000CB000000}"/>
    <cellStyle name="Normal 32 2" xfId="204" xr:uid="{00000000-0005-0000-0000-0000CC000000}"/>
    <cellStyle name="Normal 32 3" xfId="205" xr:uid="{00000000-0005-0000-0000-0000CD000000}"/>
    <cellStyle name="Normal 33" xfId="206" xr:uid="{00000000-0005-0000-0000-0000CE000000}"/>
    <cellStyle name="Normal 33 2" xfId="207" xr:uid="{00000000-0005-0000-0000-0000CF000000}"/>
    <cellStyle name="Normal 33 3" xfId="208" xr:uid="{00000000-0005-0000-0000-0000D0000000}"/>
    <cellStyle name="Normal 34" xfId="209" xr:uid="{00000000-0005-0000-0000-0000D1000000}"/>
    <cellStyle name="Normal 34 2" xfId="210" xr:uid="{00000000-0005-0000-0000-0000D2000000}"/>
    <cellStyle name="Normal 34 3" xfId="211" xr:uid="{00000000-0005-0000-0000-0000D3000000}"/>
    <cellStyle name="Normal 35" xfId="212" xr:uid="{00000000-0005-0000-0000-0000D4000000}"/>
    <cellStyle name="Normal 35 2" xfId="213" xr:uid="{00000000-0005-0000-0000-0000D5000000}"/>
    <cellStyle name="Normal 35 3" xfId="214" xr:uid="{00000000-0005-0000-0000-0000D6000000}"/>
    <cellStyle name="Normal 36" xfId="215" xr:uid="{00000000-0005-0000-0000-0000D7000000}"/>
    <cellStyle name="Normal 36 2" xfId="216" xr:uid="{00000000-0005-0000-0000-0000D8000000}"/>
    <cellStyle name="Normal 36 3" xfId="217" xr:uid="{00000000-0005-0000-0000-0000D9000000}"/>
    <cellStyle name="Normal 37" xfId="218" xr:uid="{00000000-0005-0000-0000-0000DA000000}"/>
    <cellStyle name="Normal 37 2" xfId="219" xr:uid="{00000000-0005-0000-0000-0000DB000000}"/>
    <cellStyle name="Normal 37 3" xfId="220" xr:uid="{00000000-0005-0000-0000-0000DC000000}"/>
    <cellStyle name="Normal 38" xfId="221" xr:uid="{00000000-0005-0000-0000-0000DD000000}"/>
    <cellStyle name="Normal 38 2" xfId="222" xr:uid="{00000000-0005-0000-0000-0000DE000000}"/>
    <cellStyle name="Normal 38 3" xfId="223" xr:uid="{00000000-0005-0000-0000-0000DF000000}"/>
    <cellStyle name="Normal 39" xfId="224" xr:uid="{00000000-0005-0000-0000-0000E0000000}"/>
    <cellStyle name="Normal 39 2" xfId="225" xr:uid="{00000000-0005-0000-0000-0000E1000000}"/>
    <cellStyle name="Normal 39 3" xfId="226" xr:uid="{00000000-0005-0000-0000-0000E2000000}"/>
    <cellStyle name="Normal 4" xfId="227" xr:uid="{00000000-0005-0000-0000-0000E3000000}"/>
    <cellStyle name="Normal 4 2" xfId="228" xr:uid="{00000000-0005-0000-0000-0000E4000000}"/>
    <cellStyle name="Normal 4 2 2" xfId="229" xr:uid="{00000000-0005-0000-0000-0000E5000000}"/>
    <cellStyle name="Normal 4 2 3" xfId="230" xr:uid="{00000000-0005-0000-0000-0000E6000000}"/>
    <cellStyle name="Normal 4 3" xfId="231" xr:uid="{00000000-0005-0000-0000-0000E7000000}"/>
    <cellStyle name="Normal 4 3 2" xfId="232" xr:uid="{00000000-0005-0000-0000-0000E8000000}"/>
    <cellStyle name="Normal 4 3 2 2" xfId="667" xr:uid="{CEFD2C7A-6E6B-4254-A1F7-E1BDEABD6F30}"/>
    <cellStyle name="Normal 4 3 3" xfId="666" xr:uid="{A0B51857-7CE5-44FA-9949-D092E1DEE1A9}"/>
    <cellStyle name="Normal 4 4" xfId="233" xr:uid="{00000000-0005-0000-0000-0000E9000000}"/>
    <cellStyle name="Normal 4 4 2" xfId="668" xr:uid="{824396D8-C7EF-49E2-994F-6B97C8C8329F}"/>
    <cellStyle name="Normal 4 5" xfId="234" xr:uid="{00000000-0005-0000-0000-0000EA000000}"/>
    <cellStyle name="Normal 4 5 2" xfId="669" xr:uid="{D2B9DFD4-172E-416E-BD07-B2170FFD22DB}"/>
    <cellStyle name="Normal 4 6" xfId="665" xr:uid="{5B51C57A-F41B-432C-801F-075672C2623F}"/>
    <cellStyle name="Normal 4_X260 FMA Tracker" xfId="235" xr:uid="{00000000-0005-0000-0000-0000EB000000}"/>
    <cellStyle name="Normal 40" xfId="236" xr:uid="{00000000-0005-0000-0000-0000EC000000}"/>
    <cellStyle name="Normal 40 2" xfId="237" xr:uid="{00000000-0005-0000-0000-0000ED000000}"/>
    <cellStyle name="Normal 40 3" xfId="238" xr:uid="{00000000-0005-0000-0000-0000EE000000}"/>
    <cellStyle name="Normal 41" xfId="239" xr:uid="{00000000-0005-0000-0000-0000EF000000}"/>
    <cellStyle name="Normal 41 2" xfId="240" xr:uid="{00000000-0005-0000-0000-0000F0000000}"/>
    <cellStyle name="Normal 41 3" xfId="241" xr:uid="{00000000-0005-0000-0000-0000F1000000}"/>
    <cellStyle name="Normal 42" xfId="242" xr:uid="{00000000-0005-0000-0000-0000F2000000}"/>
    <cellStyle name="Normal 42 2" xfId="243" xr:uid="{00000000-0005-0000-0000-0000F3000000}"/>
    <cellStyle name="Normal 42 3" xfId="244" xr:uid="{00000000-0005-0000-0000-0000F4000000}"/>
    <cellStyle name="Normal 43" xfId="245" xr:uid="{00000000-0005-0000-0000-0000F5000000}"/>
    <cellStyle name="Normal 43 2" xfId="246" xr:uid="{00000000-0005-0000-0000-0000F6000000}"/>
    <cellStyle name="Normal 43 2 2" xfId="247" xr:uid="{00000000-0005-0000-0000-0000F7000000}"/>
    <cellStyle name="Normal 43 3" xfId="248" xr:uid="{00000000-0005-0000-0000-0000F8000000}"/>
    <cellStyle name="Normal 43 4" xfId="670" xr:uid="{D31EA112-C396-4AE6-BB3F-57134DEF208D}"/>
    <cellStyle name="Normal 44" xfId="249" xr:uid="{00000000-0005-0000-0000-0000F9000000}"/>
    <cellStyle name="Normal 44 2" xfId="250" xr:uid="{00000000-0005-0000-0000-0000FA000000}"/>
    <cellStyle name="Normal 44 2 2" xfId="251" xr:uid="{00000000-0005-0000-0000-0000FB000000}"/>
    <cellStyle name="Normal 44 3" xfId="252" xr:uid="{00000000-0005-0000-0000-0000FC000000}"/>
    <cellStyle name="Normal 45" xfId="253" xr:uid="{00000000-0005-0000-0000-0000FD000000}"/>
    <cellStyle name="Normal 45 2" xfId="254" xr:uid="{00000000-0005-0000-0000-0000FE000000}"/>
    <cellStyle name="Normal 45 2 2" xfId="255" xr:uid="{00000000-0005-0000-0000-0000FF000000}"/>
    <cellStyle name="Normal 45 3" xfId="256" xr:uid="{00000000-0005-0000-0000-000000010000}"/>
    <cellStyle name="Normal 46" xfId="257" xr:uid="{00000000-0005-0000-0000-000001010000}"/>
    <cellStyle name="Normal 46 2" xfId="258" xr:uid="{00000000-0005-0000-0000-000002010000}"/>
    <cellStyle name="Normal 46 2 2" xfId="259" xr:uid="{00000000-0005-0000-0000-000003010000}"/>
    <cellStyle name="Normal 46 2 2 2" xfId="672" xr:uid="{5FDD7F96-D0E1-469E-BC5C-621C6E1E3EC2}"/>
    <cellStyle name="Normal 46 2 3" xfId="671" xr:uid="{CE5FAACF-1C32-42A3-A7EF-C7C8C6B5736B}"/>
    <cellStyle name="Normal 46 3" xfId="260" xr:uid="{00000000-0005-0000-0000-000004010000}"/>
    <cellStyle name="Normal 46 3 2" xfId="673" xr:uid="{3E1797EB-DD02-47E6-8576-67AB4C1E5818}"/>
    <cellStyle name="Normal 46 4" xfId="261" xr:uid="{00000000-0005-0000-0000-000005010000}"/>
    <cellStyle name="Normal 46 4 2" xfId="674" xr:uid="{6C01753F-98C8-4322-88F1-E3A365D78831}"/>
    <cellStyle name="Normal 47" xfId="262" xr:uid="{00000000-0005-0000-0000-000006010000}"/>
    <cellStyle name="Normal 47 2" xfId="263" xr:uid="{00000000-0005-0000-0000-000007010000}"/>
    <cellStyle name="Normal 47 2 2" xfId="264" xr:uid="{00000000-0005-0000-0000-000008010000}"/>
    <cellStyle name="Normal 47 2 2 2" xfId="676" xr:uid="{245ABDB3-FE7D-4AB2-8466-7EF7B7DD829E}"/>
    <cellStyle name="Normal 47 2 3" xfId="675" xr:uid="{EB15A2A0-59EC-42AE-BADA-F9B29523D20B}"/>
    <cellStyle name="Normal 47 3" xfId="265" xr:uid="{00000000-0005-0000-0000-000009010000}"/>
    <cellStyle name="Normal 47 3 2" xfId="677" xr:uid="{97130879-D472-4E74-9A22-47CB8A430B3C}"/>
    <cellStyle name="Normal 47 4" xfId="266" xr:uid="{00000000-0005-0000-0000-00000A010000}"/>
    <cellStyle name="Normal 47 4 2" xfId="678" xr:uid="{0B1F9491-7414-49FC-B89B-261234662C8A}"/>
    <cellStyle name="Normal 48" xfId="267" xr:uid="{00000000-0005-0000-0000-00000B010000}"/>
    <cellStyle name="Normal 48 2" xfId="268" xr:uid="{00000000-0005-0000-0000-00000C010000}"/>
    <cellStyle name="Normal 48 2 2" xfId="269" xr:uid="{00000000-0005-0000-0000-00000D010000}"/>
    <cellStyle name="Normal 48 2 2 2" xfId="680" xr:uid="{38F5C619-BB27-4FA6-8FAE-6F07A03A6827}"/>
    <cellStyle name="Normal 48 2 3" xfId="679" xr:uid="{071AAE87-208C-41CE-9858-2AD993FFA322}"/>
    <cellStyle name="Normal 48 3" xfId="270" xr:uid="{00000000-0005-0000-0000-00000E010000}"/>
    <cellStyle name="Normal 48 3 2" xfId="681" xr:uid="{4B1C5404-5128-4B7D-ABDB-9D39C6E10D49}"/>
    <cellStyle name="Normal 48 4" xfId="271" xr:uid="{00000000-0005-0000-0000-00000F010000}"/>
    <cellStyle name="Normal 48 4 2" xfId="682" xr:uid="{500EB818-793A-425E-BF7E-40F01AF14595}"/>
    <cellStyle name="Normal 49" xfId="272" xr:uid="{00000000-0005-0000-0000-000010010000}"/>
    <cellStyle name="Normal 49 2" xfId="273" xr:uid="{00000000-0005-0000-0000-000011010000}"/>
    <cellStyle name="Normal 49 2 2" xfId="274" xr:uid="{00000000-0005-0000-0000-000012010000}"/>
    <cellStyle name="Normal 49 2 2 2" xfId="684" xr:uid="{205B7388-13F9-4F1D-8DFD-985341ACEEF4}"/>
    <cellStyle name="Normal 49 2 3" xfId="683" xr:uid="{0FB0E50C-D29C-43BD-8747-67D48A91BF3B}"/>
    <cellStyle name="Normal 49 3" xfId="275" xr:uid="{00000000-0005-0000-0000-000013010000}"/>
    <cellStyle name="Normal 49 3 2" xfId="685" xr:uid="{90B4B784-6049-4765-A97D-681A3E084F52}"/>
    <cellStyle name="Normal 49 4" xfId="276" xr:uid="{00000000-0005-0000-0000-000014010000}"/>
    <cellStyle name="Normal 49 4 2" xfId="686" xr:uid="{86490608-3FDE-4247-AC1A-A77719B94628}"/>
    <cellStyle name="Normal 5" xfId="277" xr:uid="{00000000-0005-0000-0000-000015010000}"/>
    <cellStyle name="Normal 5 2" xfId="278" xr:uid="{00000000-0005-0000-0000-000016010000}"/>
    <cellStyle name="Normal 5 3" xfId="279" xr:uid="{00000000-0005-0000-0000-000017010000}"/>
    <cellStyle name="Normal 50" xfId="280" xr:uid="{00000000-0005-0000-0000-000018010000}"/>
    <cellStyle name="Normal 50 2" xfId="281" xr:uid="{00000000-0005-0000-0000-000019010000}"/>
    <cellStyle name="Normal 50 2 2" xfId="282" xr:uid="{00000000-0005-0000-0000-00001A010000}"/>
    <cellStyle name="Normal 50 2 2 2" xfId="689" xr:uid="{675C5719-B28E-4283-811D-B158F0D49E0E}"/>
    <cellStyle name="Normal 50 2 3" xfId="688" xr:uid="{5E02AE47-1B82-492A-ABFA-B15C61AA44D4}"/>
    <cellStyle name="Normal 50 3" xfId="283" xr:uid="{00000000-0005-0000-0000-00001B010000}"/>
    <cellStyle name="Normal 50 3 2" xfId="690" xr:uid="{FFF22441-E4D0-435A-A11E-6B18D1596009}"/>
    <cellStyle name="Normal 50 4" xfId="284" xr:uid="{00000000-0005-0000-0000-00001C010000}"/>
    <cellStyle name="Normal 50 4 2" xfId="691" xr:uid="{30528340-A75B-40B0-A609-A82D60E645DD}"/>
    <cellStyle name="Normal 50 5" xfId="687" xr:uid="{E47535D5-F08A-4084-AAEB-909BA731BDB9}"/>
    <cellStyle name="Normal 51" xfId="285" xr:uid="{00000000-0005-0000-0000-00001D010000}"/>
    <cellStyle name="Normal 51 2" xfId="286" xr:uid="{00000000-0005-0000-0000-00001E010000}"/>
    <cellStyle name="Normal 51 3" xfId="287" xr:uid="{00000000-0005-0000-0000-00001F010000}"/>
    <cellStyle name="Normal 51 4" xfId="692" xr:uid="{2C758ADC-33A0-481A-821C-F466A3A57168}"/>
    <cellStyle name="Normal 52" xfId="288" xr:uid="{00000000-0005-0000-0000-000020010000}"/>
    <cellStyle name="Normal 52 2" xfId="289" xr:uid="{00000000-0005-0000-0000-000021010000}"/>
    <cellStyle name="Normal 52 3" xfId="290" xr:uid="{00000000-0005-0000-0000-000022010000}"/>
    <cellStyle name="Normal 53" xfId="291" xr:uid="{00000000-0005-0000-0000-000023010000}"/>
    <cellStyle name="Normal 53 2" xfId="292" xr:uid="{00000000-0005-0000-0000-000024010000}"/>
    <cellStyle name="Normal 53 3" xfId="293" xr:uid="{00000000-0005-0000-0000-000025010000}"/>
    <cellStyle name="Normal 54" xfId="294" xr:uid="{00000000-0005-0000-0000-000026010000}"/>
    <cellStyle name="Normal 54 2" xfId="295" xr:uid="{00000000-0005-0000-0000-000027010000}"/>
    <cellStyle name="Normal 54 3" xfId="296" xr:uid="{00000000-0005-0000-0000-000028010000}"/>
    <cellStyle name="Normal 55" xfId="297" xr:uid="{00000000-0005-0000-0000-000029010000}"/>
    <cellStyle name="Normal 55 2" xfId="298" xr:uid="{00000000-0005-0000-0000-00002A010000}"/>
    <cellStyle name="Normal 55 3" xfId="299" xr:uid="{00000000-0005-0000-0000-00002B010000}"/>
    <cellStyle name="Normal 56" xfId="300" xr:uid="{00000000-0005-0000-0000-00002C010000}"/>
    <cellStyle name="Normal 56 2" xfId="301" xr:uid="{00000000-0005-0000-0000-00002D010000}"/>
    <cellStyle name="Normal 56 3" xfId="302" xr:uid="{00000000-0005-0000-0000-00002E010000}"/>
    <cellStyle name="Normal 57" xfId="303" xr:uid="{00000000-0005-0000-0000-00002F010000}"/>
    <cellStyle name="Normal 57 2" xfId="304" xr:uid="{00000000-0005-0000-0000-000030010000}"/>
    <cellStyle name="Normal 57 3" xfId="305" xr:uid="{00000000-0005-0000-0000-000031010000}"/>
    <cellStyle name="Normal 58" xfId="306" xr:uid="{00000000-0005-0000-0000-000032010000}"/>
    <cellStyle name="Normal 58 2" xfId="307" xr:uid="{00000000-0005-0000-0000-000033010000}"/>
    <cellStyle name="Normal 58 3" xfId="308" xr:uid="{00000000-0005-0000-0000-000034010000}"/>
    <cellStyle name="Normal 59" xfId="309" xr:uid="{00000000-0005-0000-0000-000035010000}"/>
    <cellStyle name="Normal 59 2" xfId="310" xr:uid="{00000000-0005-0000-0000-000036010000}"/>
    <cellStyle name="Normal 59 3" xfId="311" xr:uid="{00000000-0005-0000-0000-000037010000}"/>
    <cellStyle name="Normal 6" xfId="312" xr:uid="{00000000-0005-0000-0000-000038010000}"/>
    <cellStyle name="Normal 6 2" xfId="313" xr:uid="{00000000-0005-0000-0000-000039010000}"/>
    <cellStyle name="Normal 6 3" xfId="314" xr:uid="{00000000-0005-0000-0000-00003A010000}"/>
    <cellStyle name="Normal 60" xfId="315" xr:uid="{00000000-0005-0000-0000-00003B010000}"/>
    <cellStyle name="Normal 60 2" xfId="316" xr:uid="{00000000-0005-0000-0000-00003C010000}"/>
    <cellStyle name="Normal 60 3" xfId="317" xr:uid="{00000000-0005-0000-0000-00003D010000}"/>
    <cellStyle name="Normal 61" xfId="318" xr:uid="{00000000-0005-0000-0000-00003E010000}"/>
    <cellStyle name="Normal 61 2" xfId="319" xr:uid="{00000000-0005-0000-0000-00003F010000}"/>
    <cellStyle name="Normal 61 3" xfId="320" xr:uid="{00000000-0005-0000-0000-000040010000}"/>
    <cellStyle name="Normal 62" xfId="321" xr:uid="{00000000-0005-0000-0000-000041010000}"/>
    <cellStyle name="Normal 62 2" xfId="322" xr:uid="{00000000-0005-0000-0000-000042010000}"/>
    <cellStyle name="Normal 62 3" xfId="323" xr:uid="{00000000-0005-0000-0000-000043010000}"/>
    <cellStyle name="Normal 63" xfId="324" xr:uid="{00000000-0005-0000-0000-000044010000}"/>
    <cellStyle name="Normal 64" xfId="325" xr:uid="{00000000-0005-0000-0000-000045010000}"/>
    <cellStyle name="Normal 65" xfId="326" xr:uid="{00000000-0005-0000-0000-000046010000}"/>
    <cellStyle name="Normal 66" xfId="327" xr:uid="{00000000-0005-0000-0000-000047010000}"/>
    <cellStyle name="Normal 67" xfId="328" xr:uid="{00000000-0005-0000-0000-000048010000}"/>
    <cellStyle name="Normal 68" xfId="329" xr:uid="{00000000-0005-0000-0000-000049010000}"/>
    <cellStyle name="Normal 69" xfId="330" xr:uid="{00000000-0005-0000-0000-00004A010000}"/>
    <cellStyle name="Normal 7" xfId="331" xr:uid="{00000000-0005-0000-0000-00004B010000}"/>
    <cellStyle name="Normal 7 2" xfId="332" xr:uid="{00000000-0005-0000-0000-00004C010000}"/>
    <cellStyle name="Normal 7 3" xfId="333" xr:uid="{00000000-0005-0000-0000-00004D010000}"/>
    <cellStyle name="Normal 70" xfId="334" xr:uid="{00000000-0005-0000-0000-00004E010000}"/>
    <cellStyle name="Normal 71" xfId="335" xr:uid="{00000000-0005-0000-0000-00004F010000}"/>
    <cellStyle name="Normal 72" xfId="336" xr:uid="{00000000-0005-0000-0000-000050010000}"/>
    <cellStyle name="Normal 73" xfId="337" xr:uid="{00000000-0005-0000-0000-000051010000}"/>
    <cellStyle name="Normal 74" xfId="338" xr:uid="{00000000-0005-0000-0000-000052010000}"/>
    <cellStyle name="Normal 75" xfId="339" xr:uid="{00000000-0005-0000-0000-000053010000}"/>
    <cellStyle name="Normal 76" xfId="340" xr:uid="{00000000-0005-0000-0000-000054010000}"/>
    <cellStyle name="Normal 77" xfId="341" xr:uid="{00000000-0005-0000-0000-000055010000}"/>
    <cellStyle name="Normal 78" xfId="342" xr:uid="{00000000-0005-0000-0000-000056010000}"/>
    <cellStyle name="Normal 79" xfId="343" xr:uid="{00000000-0005-0000-0000-000057010000}"/>
    <cellStyle name="Normal 8" xfId="344" xr:uid="{00000000-0005-0000-0000-000058010000}"/>
    <cellStyle name="Normal 8 2" xfId="345" xr:uid="{00000000-0005-0000-0000-000059010000}"/>
    <cellStyle name="Normal 8 3" xfId="346" xr:uid="{00000000-0005-0000-0000-00005A010000}"/>
    <cellStyle name="Normal 80" xfId="347" xr:uid="{00000000-0005-0000-0000-00005B010000}"/>
    <cellStyle name="Normal 81" xfId="348" xr:uid="{00000000-0005-0000-0000-00005C010000}"/>
    <cellStyle name="Normal 82" xfId="349" xr:uid="{00000000-0005-0000-0000-00005D010000}"/>
    <cellStyle name="Normal 83" xfId="350" xr:uid="{00000000-0005-0000-0000-00005E010000}"/>
    <cellStyle name="Normal 84" xfId="351" xr:uid="{00000000-0005-0000-0000-00005F010000}"/>
    <cellStyle name="Normal 85" xfId="352" xr:uid="{00000000-0005-0000-0000-000060010000}"/>
    <cellStyle name="Normal 86" xfId="353" xr:uid="{00000000-0005-0000-0000-000061010000}"/>
    <cellStyle name="Normal 87" xfId="354" xr:uid="{00000000-0005-0000-0000-000062010000}"/>
    <cellStyle name="Normal 88" xfId="355" xr:uid="{00000000-0005-0000-0000-000063010000}"/>
    <cellStyle name="Normal 89" xfId="356" xr:uid="{00000000-0005-0000-0000-000064010000}"/>
    <cellStyle name="Normal 9" xfId="357" xr:uid="{00000000-0005-0000-0000-000065010000}"/>
    <cellStyle name="Normal 9 2" xfId="358" xr:uid="{00000000-0005-0000-0000-000066010000}"/>
    <cellStyle name="Normal 9 3" xfId="359" xr:uid="{00000000-0005-0000-0000-000067010000}"/>
    <cellStyle name="Normal 90" xfId="360" xr:uid="{00000000-0005-0000-0000-000068010000}"/>
    <cellStyle name="Normal 91" xfId="361" xr:uid="{00000000-0005-0000-0000-000069010000}"/>
    <cellStyle name="Normal 92" xfId="362" xr:uid="{00000000-0005-0000-0000-00006A010000}"/>
    <cellStyle name="Normal 93" xfId="363" xr:uid="{00000000-0005-0000-0000-00006B010000}"/>
    <cellStyle name="Normal 94" xfId="364" xr:uid="{00000000-0005-0000-0000-00006C010000}"/>
    <cellStyle name="Normal 95" xfId="365" xr:uid="{00000000-0005-0000-0000-00006D010000}"/>
    <cellStyle name="Normal 96" xfId="366" xr:uid="{00000000-0005-0000-0000-00006E010000}"/>
    <cellStyle name="Normal 97" xfId="367" xr:uid="{00000000-0005-0000-0000-00006F010000}"/>
    <cellStyle name="Normal 98" xfId="368" xr:uid="{00000000-0005-0000-0000-000070010000}"/>
    <cellStyle name="Normal 99" xfId="369" xr:uid="{00000000-0005-0000-0000-000071010000}"/>
    <cellStyle name="Note 2" xfId="370" xr:uid="{00000000-0005-0000-0000-000072010000}"/>
    <cellStyle name="Note 3" xfId="371" xr:uid="{00000000-0005-0000-0000-000073010000}"/>
    <cellStyle name="Note 3 2" xfId="693" xr:uid="{59A41A69-C7D2-4971-B400-32E618CBC349}"/>
    <cellStyle name="Note 4" xfId="372" xr:uid="{00000000-0005-0000-0000-000074010000}"/>
    <cellStyle name="Output 2" xfId="373" xr:uid="{00000000-0005-0000-0000-000075010000}"/>
    <cellStyle name="Output 3" xfId="374" xr:uid="{00000000-0005-0000-0000-000076010000}"/>
    <cellStyle name="Percent [2]" xfId="375" xr:uid="{00000000-0005-0000-0000-000077010000}"/>
    <cellStyle name="Percent [2] 2" xfId="376" xr:uid="{00000000-0005-0000-0000-000078010000}"/>
    <cellStyle name="Percent [2] 2 2" xfId="377" xr:uid="{00000000-0005-0000-0000-000079010000}"/>
    <cellStyle name="Percent [2] 2 3" xfId="378" xr:uid="{00000000-0005-0000-0000-00007A010000}"/>
    <cellStyle name="Percent [2] 3" xfId="379" xr:uid="{00000000-0005-0000-0000-00007B010000}"/>
    <cellStyle name="Percent [2] 3 2" xfId="380" xr:uid="{00000000-0005-0000-0000-00007C010000}"/>
    <cellStyle name="Percent [2] 3 3" xfId="381" xr:uid="{00000000-0005-0000-0000-00007D010000}"/>
    <cellStyle name="Percent [2] 4" xfId="382" xr:uid="{00000000-0005-0000-0000-00007E010000}"/>
    <cellStyle name="Percent [2] 5" xfId="383" xr:uid="{00000000-0005-0000-0000-00007F010000}"/>
    <cellStyle name="Percent [2] 6" xfId="384" xr:uid="{00000000-0005-0000-0000-000080010000}"/>
    <cellStyle name="Percent 10" xfId="385" xr:uid="{00000000-0005-0000-0000-000081010000}"/>
    <cellStyle name="Percent 10 2" xfId="386" xr:uid="{00000000-0005-0000-0000-000082010000}"/>
    <cellStyle name="Percent 10 3" xfId="387" xr:uid="{00000000-0005-0000-0000-000083010000}"/>
    <cellStyle name="Percent 100" xfId="388" xr:uid="{00000000-0005-0000-0000-000084010000}"/>
    <cellStyle name="Percent 101" xfId="389" xr:uid="{00000000-0005-0000-0000-000085010000}"/>
    <cellStyle name="Percent 102" xfId="390" xr:uid="{00000000-0005-0000-0000-000086010000}"/>
    <cellStyle name="Percent 103" xfId="391" xr:uid="{00000000-0005-0000-0000-000087010000}"/>
    <cellStyle name="Percent 104" xfId="392" xr:uid="{00000000-0005-0000-0000-000088010000}"/>
    <cellStyle name="Percent 105" xfId="393" xr:uid="{00000000-0005-0000-0000-000089010000}"/>
    <cellStyle name="Percent 106" xfId="394" xr:uid="{00000000-0005-0000-0000-00008A010000}"/>
    <cellStyle name="Percent 107" xfId="395" xr:uid="{00000000-0005-0000-0000-00008B010000}"/>
    <cellStyle name="Percent 108" xfId="396" xr:uid="{00000000-0005-0000-0000-00008C010000}"/>
    <cellStyle name="Percent 109" xfId="397" xr:uid="{00000000-0005-0000-0000-00008D010000}"/>
    <cellStyle name="Percent 11" xfId="398" xr:uid="{00000000-0005-0000-0000-00008E010000}"/>
    <cellStyle name="Percent 11 2" xfId="399" xr:uid="{00000000-0005-0000-0000-00008F010000}"/>
    <cellStyle name="Percent 11 3" xfId="400" xr:uid="{00000000-0005-0000-0000-000090010000}"/>
    <cellStyle name="Percent 110" xfId="401" xr:uid="{00000000-0005-0000-0000-000091010000}"/>
    <cellStyle name="Percent 111" xfId="402" xr:uid="{00000000-0005-0000-0000-000092010000}"/>
    <cellStyle name="Percent 112" xfId="403" xr:uid="{00000000-0005-0000-0000-000093010000}"/>
    <cellStyle name="Percent 113" xfId="404" xr:uid="{00000000-0005-0000-0000-000094010000}"/>
    <cellStyle name="Percent 114" xfId="405" xr:uid="{00000000-0005-0000-0000-000095010000}"/>
    <cellStyle name="Percent 115" xfId="406" xr:uid="{00000000-0005-0000-0000-000096010000}"/>
    <cellStyle name="Percent 116" xfId="407" xr:uid="{00000000-0005-0000-0000-000097010000}"/>
    <cellStyle name="Percent 117" xfId="408" xr:uid="{00000000-0005-0000-0000-000098010000}"/>
    <cellStyle name="Percent 118" xfId="409" xr:uid="{00000000-0005-0000-0000-000099010000}"/>
    <cellStyle name="Percent 119" xfId="410" xr:uid="{00000000-0005-0000-0000-00009A010000}"/>
    <cellStyle name="Percent 12" xfId="411" xr:uid="{00000000-0005-0000-0000-00009B010000}"/>
    <cellStyle name="Percent 12 2" xfId="412" xr:uid="{00000000-0005-0000-0000-00009C010000}"/>
    <cellStyle name="Percent 12 3" xfId="413" xr:uid="{00000000-0005-0000-0000-00009D010000}"/>
    <cellStyle name="Percent 120" xfId="414" xr:uid="{00000000-0005-0000-0000-00009E010000}"/>
    <cellStyle name="Percent 121" xfId="415" xr:uid="{00000000-0005-0000-0000-00009F010000}"/>
    <cellStyle name="Percent 122" xfId="416" xr:uid="{00000000-0005-0000-0000-0000A0010000}"/>
    <cellStyle name="Percent 123" xfId="417" xr:uid="{00000000-0005-0000-0000-0000A1010000}"/>
    <cellStyle name="Percent 13" xfId="418" xr:uid="{00000000-0005-0000-0000-0000A2010000}"/>
    <cellStyle name="Percent 13 2" xfId="419" xr:uid="{00000000-0005-0000-0000-0000A3010000}"/>
    <cellStyle name="Percent 13 3" xfId="420" xr:uid="{00000000-0005-0000-0000-0000A4010000}"/>
    <cellStyle name="Percent 14" xfId="421" xr:uid="{00000000-0005-0000-0000-0000A5010000}"/>
    <cellStyle name="Percent 14 2" xfId="422" xr:uid="{00000000-0005-0000-0000-0000A6010000}"/>
    <cellStyle name="Percent 14 3" xfId="423" xr:uid="{00000000-0005-0000-0000-0000A7010000}"/>
    <cellStyle name="Percent 15" xfId="424" xr:uid="{00000000-0005-0000-0000-0000A8010000}"/>
    <cellStyle name="Percent 15 2" xfId="425" xr:uid="{00000000-0005-0000-0000-0000A9010000}"/>
    <cellStyle name="Percent 15 3" xfId="426" xr:uid="{00000000-0005-0000-0000-0000AA010000}"/>
    <cellStyle name="Percent 16" xfId="427" xr:uid="{00000000-0005-0000-0000-0000AB010000}"/>
    <cellStyle name="Percent 16 2" xfId="428" xr:uid="{00000000-0005-0000-0000-0000AC010000}"/>
    <cellStyle name="Percent 16 3" xfId="429" xr:uid="{00000000-0005-0000-0000-0000AD010000}"/>
    <cellStyle name="Percent 17" xfId="430" xr:uid="{00000000-0005-0000-0000-0000AE010000}"/>
    <cellStyle name="Percent 17 2" xfId="431" xr:uid="{00000000-0005-0000-0000-0000AF010000}"/>
    <cellStyle name="Percent 17 3" xfId="432" xr:uid="{00000000-0005-0000-0000-0000B0010000}"/>
    <cellStyle name="Percent 18" xfId="433" xr:uid="{00000000-0005-0000-0000-0000B1010000}"/>
    <cellStyle name="Percent 18 2" xfId="434" xr:uid="{00000000-0005-0000-0000-0000B2010000}"/>
    <cellStyle name="Percent 18 3" xfId="435" xr:uid="{00000000-0005-0000-0000-0000B3010000}"/>
    <cellStyle name="Percent 19" xfId="436" xr:uid="{00000000-0005-0000-0000-0000B4010000}"/>
    <cellStyle name="Percent 19 2" xfId="437" xr:uid="{00000000-0005-0000-0000-0000B5010000}"/>
    <cellStyle name="Percent 19 3" xfId="438" xr:uid="{00000000-0005-0000-0000-0000B6010000}"/>
    <cellStyle name="Percent 2" xfId="439" xr:uid="{00000000-0005-0000-0000-0000B7010000}"/>
    <cellStyle name="Percent 2 2" xfId="440" xr:uid="{00000000-0005-0000-0000-0000B8010000}"/>
    <cellStyle name="Percent 2 3" xfId="441" xr:uid="{00000000-0005-0000-0000-0000B9010000}"/>
    <cellStyle name="Percent 20" xfId="442" xr:uid="{00000000-0005-0000-0000-0000BA010000}"/>
    <cellStyle name="Percent 20 2" xfId="443" xr:uid="{00000000-0005-0000-0000-0000BB010000}"/>
    <cellStyle name="Percent 20 3" xfId="444" xr:uid="{00000000-0005-0000-0000-0000BC010000}"/>
    <cellStyle name="Percent 21" xfId="445" xr:uid="{00000000-0005-0000-0000-0000BD010000}"/>
    <cellStyle name="Percent 21 2" xfId="446" xr:uid="{00000000-0005-0000-0000-0000BE010000}"/>
    <cellStyle name="Percent 21 3" xfId="447" xr:uid="{00000000-0005-0000-0000-0000BF010000}"/>
    <cellStyle name="Percent 22" xfId="448" xr:uid="{00000000-0005-0000-0000-0000C0010000}"/>
    <cellStyle name="Percent 22 2" xfId="449" xr:uid="{00000000-0005-0000-0000-0000C1010000}"/>
    <cellStyle name="Percent 22 3" xfId="450" xr:uid="{00000000-0005-0000-0000-0000C2010000}"/>
    <cellStyle name="Percent 23" xfId="451" xr:uid="{00000000-0005-0000-0000-0000C3010000}"/>
    <cellStyle name="Percent 23 2" xfId="452" xr:uid="{00000000-0005-0000-0000-0000C4010000}"/>
    <cellStyle name="Percent 23 3" xfId="453" xr:uid="{00000000-0005-0000-0000-0000C5010000}"/>
    <cellStyle name="Percent 24" xfId="454" xr:uid="{00000000-0005-0000-0000-0000C6010000}"/>
    <cellStyle name="Percent 24 2" xfId="455" xr:uid="{00000000-0005-0000-0000-0000C7010000}"/>
    <cellStyle name="Percent 24 3" xfId="456" xr:uid="{00000000-0005-0000-0000-0000C8010000}"/>
    <cellStyle name="Percent 25" xfId="457" xr:uid="{00000000-0005-0000-0000-0000C9010000}"/>
    <cellStyle name="Percent 25 2" xfId="458" xr:uid="{00000000-0005-0000-0000-0000CA010000}"/>
    <cellStyle name="Percent 25 3" xfId="459" xr:uid="{00000000-0005-0000-0000-0000CB010000}"/>
    <cellStyle name="Percent 26" xfId="460" xr:uid="{00000000-0005-0000-0000-0000CC010000}"/>
    <cellStyle name="Percent 26 2" xfId="461" xr:uid="{00000000-0005-0000-0000-0000CD010000}"/>
    <cellStyle name="Percent 26 3" xfId="462" xr:uid="{00000000-0005-0000-0000-0000CE010000}"/>
    <cellStyle name="Percent 27" xfId="463" xr:uid="{00000000-0005-0000-0000-0000CF010000}"/>
    <cellStyle name="Percent 27 2" xfId="464" xr:uid="{00000000-0005-0000-0000-0000D0010000}"/>
    <cellStyle name="Percent 27 3" xfId="465" xr:uid="{00000000-0005-0000-0000-0000D1010000}"/>
    <cellStyle name="Percent 28" xfId="466" xr:uid="{00000000-0005-0000-0000-0000D2010000}"/>
    <cellStyle name="Percent 28 2" xfId="467" xr:uid="{00000000-0005-0000-0000-0000D3010000}"/>
    <cellStyle name="Percent 28 3" xfId="468" xr:uid="{00000000-0005-0000-0000-0000D4010000}"/>
    <cellStyle name="Percent 29" xfId="469" xr:uid="{00000000-0005-0000-0000-0000D5010000}"/>
    <cellStyle name="Percent 29 2" xfId="470" xr:uid="{00000000-0005-0000-0000-0000D6010000}"/>
    <cellStyle name="Percent 29 3" xfId="471" xr:uid="{00000000-0005-0000-0000-0000D7010000}"/>
    <cellStyle name="Percent 3" xfId="472" xr:uid="{00000000-0005-0000-0000-0000D8010000}"/>
    <cellStyle name="Percent 3 2" xfId="473" xr:uid="{00000000-0005-0000-0000-0000D9010000}"/>
    <cellStyle name="Percent 3 3" xfId="474" xr:uid="{00000000-0005-0000-0000-0000DA010000}"/>
    <cellStyle name="Percent 30" xfId="475" xr:uid="{00000000-0005-0000-0000-0000DB010000}"/>
    <cellStyle name="Percent 30 2" xfId="476" xr:uid="{00000000-0005-0000-0000-0000DC010000}"/>
    <cellStyle name="Percent 30 3" xfId="477" xr:uid="{00000000-0005-0000-0000-0000DD010000}"/>
    <cellStyle name="Percent 31" xfId="478" xr:uid="{00000000-0005-0000-0000-0000DE010000}"/>
    <cellStyle name="Percent 31 2" xfId="479" xr:uid="{00000000-0005-0000-0000-0000DF010000}"/>
    <cellStyle name="Percent 31 3" xfId="480" xr:uid="{00000000-0005-0000-0000-0000E0010000}"/>
    <cellStyle name="Percent 32" xfId="481" xr:uid="{00000000-0005-0000-0000-0000E1010000}"/>
    <cellStyle name="Percent 32 2" xfId="482" xr:uid="{00000000-0005-0000-0000-0000E2010000}"/>
    <cellStyle name="Percent 32 3" xfId="483" xr:uid="{00000000-0005-0000-0000-0000E3010000}"/>
    <cellStyle name="Percent 33" xfId="484" xr:uid="{00000000-0005-0000-0000-0000E4010000}"/>
    <cellStyle name="Percent 33 2" xfId="485" xr:uid="{00000000-0005-0000-0000-0000E5010000}"/>
    <cellStyle name="Percent 33 3" xfId="486" xr:uid="{00000000-0005-0000-0000-0000E6010000}"/>
    <cellStyle name="Percent 34" xfId="487" xr:uid="{00000000-0005-0000-0000-0000E7010000}"/>
    <cellStyle name="Percent 34 2" xfId="488" xr:uid="{00000000-0005-0000-0000-0000E8010000}"/>
    <cellStyle name="Percent 34 3" xfId="489" xr:uid="{00000000-0005-0000-0000-0000E9010000}"/>
    <cellStyle name="Percent 35" xfId="490" xr:uid="{00000000-0005-0000-0000-0000EA010000}"/>
    <cellStyle name="Percent 35 2" xfId="491" xr:uid="{00000000-0005-0000-0000-0000EB010000}"/>
    <cellStyle name="Percent 35 3" xfId="492" xr:uid="{00000000-0005-0000-0000-0000EC010000}"/>
    <cellStyle name="Percent 36" xfId="493" xr:uid="{00000000-0005-0000-0000-0000ED010000}"/>
    <cellStyle name="Percent 36 2" xfId="494" xr:uid="{00000000-0005-0000-0000-0000EE010000}"/>
    <cellStyle name="Percent 36 3" xfId="495" xr:uid="{00000000-0005-0000-0000-0000EF010000}"/>
    <cellStyle name="Percent 37" xfId="496" xr:uid="{00000000-0005-0000-0000-0000F0010000}"/>
    <cellStyle name="Percent 37 2" xfId="497" xr:uid="{00000000-0005-0000-0000-0000F1010000}"/>
    <cellStyle name="Percent 37 3" xfId="498" xr:uid="{00000000-0005-0000-0000-0000F2010000}"/>
    <cellStyle name="Percent 38" xfId="499" xr:uid="{00000000-0005-0000-0000-0000F3010000}"/>
    <cellStyle name="Percent 38 2" xfId="500" xr:uid="{00000000-0005-0000-0000-0000F4010000}"/>
    <cellStyle name="Percent 38 3" xfId="501" xr:uid="{00000000-0005-0000-0000-0000F5010000}"/>
    <cellStyle name="Percent 39" xfId="502" xr:uid="{00000000-0005-0000-0000-0000F6010000}"/>
    <cellStyle name="Percent 39 2" xfId="503" xr:uid="{00000000-0005-0000-0000-0000F7010000}"/>
    <cellStyle name="Percent 39 3" xfId="504" xr:uid="{00000000-0005-0000-0000-0000F8010000}"/>
    <cellStyle name="Percent 4" xfId="505" xr:uid="{00000000-0005-0000-0000-0000F9010000}"/>
    <cellStyle name="Percent 4 2" xfId="506" xr:uid="{00000000-0005-0000-0000-0000FA010000}"/>
    <cellStyle name="Percent 4 3" xfId="507" xr:uid="{00000000-0005-0000-0000-0000FB010000}"/>
    <cellStyle name="Percent 40" xfId="508" xr:uid="{00000000-0005-0000-0000-0000FC010000}"/>
    <cellStyle name="Percent 40 2" xfId="509" xr:uid="{00000000-0005-0000-0000-0000FD010000}"/>
    <cellStyle name="Percent 40 3" xfId="510" xr:uid="{00000000-0005-0000-0000-0000FE010000}"/>
    <cellStyle name="Percent 41" xfId="511" xr:uid="{00000000-0005-0000-0000-0000FF010000}"/>
    <cellStyle name="Percent 41 2" xfId="512" xr:uid="{00000000-0005-0000-0000-000000020000}"/>
    <cellStyle name="Percent 41 3" xfId="513" xr:uid="{00000000-0005-0000-0000-000001020000}"/>
    <cellStyle name="Percent 42" xfId="514" xr:uid="{00000000-0005-0000-0000-000002020000}"/>
    <cellStyle name="Percent 42 2" xfId="515" xr:uid="{00000000-0005-0000-0000-000003020000}"/>
    <cellStyle name="Percent 42 3" xfId="516" xr:uid="{00000000-0005-0000-0000-000004020000}"/>
    <cellStyle name="Percent 43" xfId="517" xr:uid="{00000000-0005-0000-0000-000005020000}"/>
    <cellStyle name="Percent 43 2" xfId="518" xr:uid="{00000000-0005-0000-0000-000006020000}"/>
    <cellStyle name="Percent 43 2 2" xfId="519" xr:uid="{00000000-0005-0000-0000-000007020000}"/>
    <cellStyle name="Percent 43 3" xfId="520" xr:uid="{00000000-0005-0000-0000-000008020000}"/>
    <cellStyle name="Percent 44" xfId="521" xr:uid="{00000000-0005-0000-0000-000009020000}"/>
    <cellStyle name="Percent 44 2" xfId="522" xr:uid="{00000000-0005-0000-0000-00000A020000}"/>
    <cellStyle name="Percent 44 2 2" xfId="523" xr:uid="{00000000-0005-0000-0000-00000B020000}"/>
    <cellStyle name="Percent 44 3" xfId="524" xr:uid="{00000000-0005-0000-0000-00000C020000}"/>
    <cellStyle name="Percent 45" xfId="525" xr:uid="{00000000-0005-0000-0000-00000D020000}"/>
    <cellStyle name="Percent 45 2" xfId="526" xr:uid="{00000000-0005-0000-0000-00000E020000}"/>
    <cellStyle name="Percent 45 2 2" xfId="527" xr:uid="{00000000-0005-0000-0000-00000F020000}"/>
    <cellStyle name="Percent 46" xfId="528" xr:uid="{00000000-0005-0000-0000-000010020000}"/>
    <cellStyle name="Percent 46 2" xfId="529" xr:uid="{00000000-0005-0000-0000-000011020000}"/>
    <cellStyle name="Percent 47" xfId="530" xr:uid="{00000000-0005-0000-0000-000012020000}"/>
    <cellStyle name="Percent 47 2" xfId="531" xr:uid="{00000000-0005-0000-0000-000013020000}"/>
    <cellStyle name="Percent 48" xfId="532" xr:uid="{00000000-0005-0000-0000-000014020000}"/>
    <cellStyle name="Percent 48 2" xfId="533" xr:uid="{00000000-0005-0000-0000-000015020000}"/>
    <cellStyle name="Percent 49" xfId="534" xr:uid="{00000000-0005-0000-0000-000016020000}"/>
    <cellStyle name="Percent 49 2" xfId="535" xr:uid="{00000000-0005-0000-0000-000017020000}"/>
    <cellStyle name="Percent 49 3" xfId="536" xr:uid="{00000000-0005-0000-0000-000018020000}"/>
    <cellStyle name="Percent 5" xfId="537" xr:uid="{00000000-0005-0000-0000-000019020000}"/>
    <cellStyle name="Percent 5 2" xfId="538" xr:uid="{00000000-0005-0000-0000-00001A020000}"/>
    <cellStyle name="Percent 5 3" xfId="539" xr:uid="{00000000-0005-0000-0000-00001B020000}"/>
    <cellStyle name="Percent 50" xfId="540" xr:uid="{00000000-0005-0000-0000-00001C020000}"/>
    <cellStyle name="Percent 50 2" xfId="541" xr:uid="{00000000-0005-0000-0000-00001D020000}"/>
    <cellStyle name="Percent 50 3" xfId="542" xr:uid="{00000000-0005-0000-0000-00001E020000}"/>
    <cellStyle name="Percent 51" xfId="543" xr:uid="{00000000-0005-0000-0000-00001F020000}"/>
    <cellStyle name="Percent 51 2" xfId="544" xr:uid="{00000000-0005-0000-0000-000020020000}"/>
    <cellStyle name="Percent 51 3" xfId="545" xr:uid="{00000000-0005-0000-0000-000021020000}"/>
    <cellStyle name="Percent 52" xfId="546" xr:uid="{00000000-0005-0000-0000-000022020000}"/>
    <cellStyle name="Percent 52 2" xfId="547" xr:uid="{00000000-0005-0000-0000-000023020000}"/>
    <cellStyle name="Percent 52 3" xfId="548" xr:uid="{00000000-0005-0000-0000-000024020000}"/>
    <cellStyle name="Percent 53" xfId="549" xr:uid="{00000000-0005-0000-0000-000025020000}"/>
    <cellStyle name="Percent 53 2" xfId="550" xr:uid="{00000000-0005-0000-0000-000026020000}"/>
    <cellStyle name="Percent 53 3" xfId="551" xr:uid="{00000000-0005-0000-0000-000027020000}"/>
    <cellStyle name="Percent 54" xfId="552" xr:uid="{00000000-0005-0000-0000-000028020000}"/>
    <cellStyle name="Percent 54 2" xfId="553" xr:uid="{00000000-0005-0000-0000-000029020000}"/>
    <cellStyle name="Percent 54 3" xfId="554" xr:uid="{00000000-0005-0000-0000-00002A020000}"/>
    <cellStyle name="Percent 55" xfId="555" xr:uid="{00000000-0005-0000-0000-00002B020000}"/>
    <cellStyle name="Percent 55 2" xfId="556" xr:uid="{00000000-0005-0000-0000-00002C020000}"/>
    <cellStyle name="Percent 55 3" xfId="557" xr:uid="{00000000-0005-0000-0000-00002D020000}"/>
    <cellStyle name="Percent 56" xfId="558" xr:uid="{00000000-0005-0000-0000-00002E020000}"/>
    <cellStyle name="Percent 56 2" xfId="559" xr:uid="{00000000-0005-0000-0000-00002F020000}"/>
    <cellStyle name="Percent 56 3" xfId="560" xr:uid="{00000000-0005-0000-0000-000030020000}"/>
    <cellStyle name="Percent 57" xfId="561" xr:uid="{00000000-0005-0000-0000-000031020000}"/>
    <cellStyle name="Percent 57 2" xfId="562" xr:uid="{00000000-0005-0000-0000-000032020000}"/>
    <cellStyle name="Percent 57 3" xfId="563" xr:uid="{00000000-0005-0000-0000-000033020000}"/>
    <cellStyle name="Percent 58" xfId="564" xr:uid="{00000000-0005-0000-0000-000034020000}"/>
    <cellStyle name="Percent 58 2" xfId="565" xr:uid="{00000000-0005-0000-0000-000035020000}"/>
    <cellStyle name="Percent 58 3" xfId="566" xr:uid="{00000000-0005-0000-0000-000036020000}"/>
    <cellStyle name="Percent 59" xfId="567" xr:uid="{00000000-0005-0000-0000-000037020000}"/>
    <cellStyle name="Percent 59 2" xfId="568" xr:uid="{00000000-0005-0000-0000-000038020000}"/>
    <cellStyle name="Percent 59 3" xfId="569" xr:uid="{00000000-0005-0000-0000-000039020000}"/>
    <cellStyle name="Percent 6" xfId="570" xr:uid="{00000000-0005-0000-0000-00003A020000}"/>
    <cellStyle name="Percent 6 2" xfId="571" xr:uid="{00000000-0005-0000-0000-00003B020000}"/>
    <cellStyle name="Percent 6 3" xfId="572" xr:uid="{00000000-0005-0000-0000-00003C020000}"/>
    <cellStyle name="Percent 60" xfId="573" xr:uid="{00000000-0005-0000-0000-00003D020000}"/>
    <cellStyle name="Percent 60 2" xfId="574" xr:uid="{00000000-0005-0000-0000-00003E020000}"/>
    <cellStyle name="Percent 60 3" xfId="575" xr:uid="{00000000-0005-0000-0000-00003F020000}"/>
    <cellStyle name="Percent 61" xfId="576" xr:uid="{00000000-0005-0000-0000-000040020000}"/>
    <cellStyle name="Percent 61 2" xfId="577" xr:uid="{00000000-0005-0000-0000-000041020000}"/>
    <cellStyle name="Percent 61 3" xfId="578" xr:uid="{00000000-0005-0000-0000-000042020000}"/>
    <cellStyle name="Percent 62" xfId="579" xr:uid="{00000000-0005-0000-0000-000043020000}"/>
    <cellStyle name="Percent 63" xfId="580" xr:uid="{00000000-0005-0000-0000-000044020000}"/>
    <cellStyle name="Percent 64" xfId="581" xr:uid="{00000000-0005-0000-0000-000045020000}"/>
    <cellStyle name="Percent 65" xfId="582" xr:uid="{00000000-0005-0000-0000-000046020000}"/>
    <cellStyle name="Percent 66" xfId="583" xr:uid="{00000000-0005-0000-0000-000047020000}"/>
    <cellStyle name="Percent 67" xfId="584" xr:uid="{00000000-0005-0000-0000-000048020000}"/>
    <cellStyle name="Percent 68" xfId="585" xr:uid="{00000000-0005-0000-0000-000049020000}"/>
    <cellStyle name="Percent 69" xfId="586" xr:uid="{00000000-0005-0000-0000-00004A020000}"/>
    <cellStyle name="Percent 7" xfId="587" xr:uid="{00000000-0005-0000-0000-00004B020000}"/>
    <cellStyle name="Percent 7 2" xfId="588" xr:uid="{00000000-0005-0000-0000-00004C020000}"/>
    <cellStyle name="Percent 7 3" xfId="589" xr:uid="{00000000-0005-0000-0000-00004D020000}"/>
    <cellStyle name="Percent 70" xfId="590" xr:uid="{00000000-0005-0000-0000-00004E020000}"/>
    <cellStyle name="Percent 71" xfId="591" xr:uid="{00000000-0005-0000-0000-00004F020000}"/>
    <cellStyle name="Percent 72" xfId="592" xr:uid="{00000000-0005-0000-0000-000050020000}"/>
    <cellStyle name="Percent 73" xfId="593" xr:uid="{00000000-0005-0000-0000-000051020000}"/>
    <cellStyle name="Percent 74" xfId="594" xr:uid="{00000000-0005-0000-0000-000052020000}"/>
    <cellStyle name="Percent 75" xfId="595" xr:uid="{00000000-0005-0000-0000-000053020000}"/>
    <cellStyle name="Percent 76" xfId="596" xr:uid="{00000000-0005-0000-0000-000054020000}"/>
    <cellStyle name="Percent 77" xfId="597" xr:uid="{00000000-0005-0000-0000-000055020000}"/>
    <cellStyle name="Percent 78" xfId="598" xr:uid="{00000000-0005-0000-0000-000056020000}"/>
    <cellStyle name="Percent 79" xfId="599" xr:uid="{00000000-0005-0000-0000-000057020000}"/>
    <cellStyle name="Percent 8" xfId="600" xr:uid="{00000000-0005-0000-0000-000058020000}"/>
    <cellStyle name="Percent 8 2" xfId="601" xr:uid="{00000000-0005-0000-0000-000059020000}"/>
    <cellStyle name="Percent 8 3" xfId="602" xr:uid="{00000000-0005-0000-0000-00005A020000}"/>
    <cellStyle name="Percent 80" xfId="603" xr:uid="{00000000-0005-0000-0000-00005B020000}"/>
    <cellStyle name="Percent 81" xfId="604" xr:uid="{00000000-0005-0000-0000-00005C020000}"/>
    <cellStyle name="Percent 82" xfId="605" xr:uid="{00000000-0005-0000-0000-00005D020000}"/>
    <cellStyle name="Percent 83" xfId="606" xr:uid="{00000000-0005-0000-0000-00005E020000}"/>
    <cellStyle name="Percent 84" xfId="607" xr:uid="{00000000-0005-0000-0000-00005F020000}"/>
    <cellStyle name="Percent 85" xfId="608" xr:uid="{00000000-0005-0000-0000-000060020000}"/>
    <cellStyle name="Percent 86" xfId="609" xr:uid="{00000000-0005-0000-0000-000061020000}"/>
    <cellStyle name="Percent 87" xfId="610" xr:uid="{00000000-0005-0000-0000-000062020000}"/>
    <cellStyle name="Percent 88" xfId="611" xr:uid="{00000000-0005-0000-0000-000063020000}"/>
    <cellStyle name="Percent 89" xfId="612" xr:uid="{00000000-0005-0000-0000-000064020000}"/>
    <cellStyle name="Percent 9" xfId="613" xr:uid="{00000000-0005-0000-0000-000065020000}"/>
    <cellStyle name="Percent 9 2" xfId="614" xr:uid="{00000000-0005-0000-0000-000066020000}"/>
    <cellStyle name="Percent 9 3" xfId="615" xr:uid="{00000000-0005-0000-0000-000067020000}"/>
    <cellStyle name="Percent 90" xfId="616" xr:uid="{00000000-0005-0000-0000-000068020000}"/>
    <cellStyle name="Percent 91" xfId="617" xr:uid="{00000000-0005-0000-0000-000069020000}"/>
    <cellStyle name="Percent 92" xfId="618" xr:uid="{00000000-0005-0000-0000-00006A020000}"/>
    <cellStyle name="Percent 93" xfId="619" xr:uid="{00000000-0005-0000-0000-00006B020000}"/>
    <cellStyle name="Percent 94" xfId="620" xr:uid="{00000000-0005-0000-0000-00006C020000}"/>
    <cellStyle name="Percent 95" xfId="621" xr:uid="{00000000-0005-0000-0000-00006D020000}"/>
    <cellStyle name="Percent 96" xfId="622" xr:uid="{00000000-0005-0000-0000-00006E020000}"/>
    <cellStyle name="Percent 97" xfId="623" xr:uid="{00000000-0005-0000-0000-00006F020000}"/>
    <cellStyle name="Percent 98" xfId="624" xr:uid="{00000000-0005-0000-0000-000070020000}"/>
    <cellStyle name="Percent 99" xfId="625" xr:uid="{00000000-0005-0000-0000-000071020000}"/>
    <cellStyle name="Title" xfId="626" builtinId="15" customBuiltin="1"/>
    <cellStyle name="Total 2" xfId="627" xr:uid="{00000000-0005-0000-0000-000073020000}"/>
    <cellStyle name="Total 3" xfId="628" xr:uid="{00000000-0005-0000-0000-000074020000}"/>
    <cellStyle name="Warning Text 2" xfId="629" xr:uid="{00000000-0005-0000-0000-000075020000}"/>
    <cellStyle name="Warning Text 3" xfId="630" xr:uid="{00000000-0005-0000-0000-000076020000}"/>
    <cellStyle name="weekly" xfId="631" xr:uid="{00000000-0005-0000-0000-000077020000}"/>
  </cellStyles>
  <dxfs count="1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 val="0"/>
        <i/>
        <color theme="0" tint="-0.24994659260841701"/>
      </font>
    </dxf>
    <dxf>
      <font>
        <b val="0"/>
        <i/>
        <color theme="0" tint="-0.24994659260841701"/>
      </font>
    </dxf>
    <dxf>
      <font>
        <b val="0"/>
        <i/>
        <color theme="0" tint="-0.499984740745262"/>
      </font>
    </dxf>
    <dxf>
      <font>
        <b val="0"/>
        <i/>
        <color theme="0" tint="-0.24994659260841701"/>
      </font>
    </dxf>
    <dxf>
      <font>
        <b val="0"/>
        <i/>
        <color theme="0" tint="-0.24994659260841701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B28"/>
  <sheetViews>
    <sheetView showGridLines="0" topLeftCell="A7" zoomScale="85" zoomScaleNormal="85" workbookViewId="0">
      <selection activeCell="B8" sqref="B8"/>
    </sheetView>
  </sheetViews>
  <sheetFormatPr defaultColWidth="9.33203125" defaultRowHeight="13.2"/>
  <cols>
    <col min="1" max="1" width="45.33203125" style="4" customWidth="1"/>
    <col min="2" max="2" width="78.6640625" style="4" customWidth="1"/>
    <col min="3" max="5" width="36.33203125" style="4" customWidth="1"/>
    <col min="6" max="6" width="23.33203125" style="4" customWidth="1"/>
    <col min="7" max="16" width="9.33203125" style="4"/>
    <col min="17" max="17" width="9.33203125" style="4" bestFit="1" customWidth="1"/>
    <col min="18" max="16384" width="9.33203125" style="4"/>
  </cols>
  <sheetData>
    <row r="1" spans="1:2" ht="30.6" thickBot="1">
      <c r="A1" s="119" t="s">
        <v>0</v>
      </c>
      <c r="B1" s="116"/>
    </row>
    <row r="2" spans="1:2" ht="30">
      <c r="A2" s="12" t="s">
        <v>1</v>
      </c>
      <c r="B2" s="12"/>
    </row>
    <row r="3" spans="1:2" ht="30">
      <c r="A3" s="12"/>
      <c r="B3" s="120" t="s">
        <v>2</v>
      </c>
    </row>
    <row r="4" spans="1:2" ht="21">
      <c r="A4" s="13" t="s">
        <v>3</v>
      </c>
      <c r="B4" s="13"/>
    </row>
    <row r="5" spans="1:2" ht="20.25" customHeight="1">
      <c r="A5" s="82" t="s">
        <v>4</v>
      </c>
      <c r="B5" s="84">
        <v>4181</v>
      </c>
    </row>
    <row r="6" spans="1:2" ht="20.399999999999999">
      <c r="A6" s="82" t="s">
        <v>5</v>
      </c>
      <c r="B6" s="84" t="s">
        <v>6</v>
      </c>
    </row>
    <row r="7" spans="1:2" ht="20.399999999999999">
      <c r="A7" s="82" t="s">
        <v>7</v>
      </c>
      <c r="B7" s="84" t="s">
        <v>140</v>
      </c>
    </row>
    <row r="8" spans="1:2" ht="20.399999999999999">
      <c r="A8" s="82" t="s">
        <v>8</v>
      </c>
      <c r="B8" s="160">
        <v>45967</v>
      </c>
    </row>
    <row r="9" spans="1:2" ht="20.399999999999999">
      <c r="A9" s="11"/>
      <c r="B9" s="11"/>
    </row>
    <row r="10" spans="1:2" ht="21">
      <c r="A10" s="13" t="s">
        <v>9</v>
      </c>
      <c r="B10" s="13"/>
    </row>
    <row r="11" spans="1:2" ht="20.399999999999999">
      <c r="A11" s="83" t="s">
        <v>10</v>
      </c>
      <c r="B11" s="84" t="s">
        <v>11</v>
      </c>
    </row>
    <row r="12" spans="1:2" ht="20.399999999999999">
      <c r="A12" s="83" t="s">
        <v>12</v>
      </c>
      <c r="B12" s="84" t="s">
        <v>13</v>
      </c>
    </row>
    <row r="13" spans="1:2" ht="20.399999999999999">
      <c r="A13" s="114" t="s">
        <v>14</v>
      </c>
      <c r="B13" s="84" t="s">
        <v>142</v>
      </c>
    </row>
    <row r="14" spans="1:2" ht="20.399999999999999">
      <c r="A14" s="82" t="s">
        <v>15</v>
      </c>
      <c r="B14" s="84" t="s">
        <v>16</v>
      </c>
    </row>
    <row r="15" spans="1:2" ht="20.399999999999999">
      <c r="A15" s="83" t="s">
        <v>17</v>
      </c>
      <c r="B15" s="84" t="s">
        <v>141</v>
      </c>
    </row>
    <row r="16" spans="1:2" ht="20.399999999999999">
      <c r="A16" s="11"/>
      <c r="B16" s="11"/>
    </row>
    <row r="17" spans="1:2" ht="21">
      <c r="A17" s="22" t="s">
        <v>18</v>
      </c>
      <c r="B17" s="13"/>
    </row>
    <row r="18" spans="1:2" ht="20.399999999999999">
      <c r="A18" s="83" t="s">
        <v>19</v>
      </c>
      <c r="B18" s="84" t="s">
        <v>20</v>
      </c>
    </row>
    <row r="19" spans="1:2" ht="20.399999999999999">
      <c r="A19" s="83" t="s">
        <v>21</v>
      </c>
      <c r="B19" s="84" t="s">
        <v>20</v>
      </c>
    </row>
    <row r="20" spans="1:2" ht="20.399999999999999">
      <c r="A20" s="115" t="s">
        <v>22</v>
      </c>
      <c r="B20" s="84" t="s">
        <v>20</v>
      </c>
    </row>
    <row r="21" spans="1:2" ht="20.399999999999999">
      <c r="A21" s="11"/>
      <c r="B21" s="11"/>
    </row>
    <row r="22" spans="1:2" ht="21">
      <c r="A22" s="22" t="s">
        <v>23</v>
      </c>
      <c r="B22" s="13"/>
    </row>
    <row r="23" spans="1:2" ht="20.399999999999999">
      <c r="A23" s="115" t="s">
        <v>24</v>
      </c>
      <c r="B23" s="84" t="s">
        <v>25</v>
      </c>
    </row>
    <row r="24" spans="1:2" ht="20.399999999999999">
      <c r="A24" s="83" t="s">
        <v>26</v>
      </c>
      <c r="B24" s="84" t="s">
        <v>27</v>
      </c>
    </row>
    <row r="25" spans="1:2" ht="20.399999999999999">
      <c r="A25" s="14"/>
      <c r="B25" s="14"/>
    </row>
    <row r="28" spans="1:2" ht="15">
      <c r="A28" s="8" t="s">
        <v>28</v>
      </c>
      <c r="B28" s="8"/>
    </row>
  </sheetData>
  <conditionalFormatting sqref="A5:A8">
    <cfRule type="cellIs" dxfId="16" priority="1" stopIfTrue="1" operator="equal">
      <formula>"&lt; POPULATE &gt;"</formula>
    </cfRule>
  </conditionalFormatting>
  <printOptions horizontalCentered="1" verticalCentered="1"/>
  <pageMargins left="0.35433070866141736" right="0.15748031496062992" top="0.78740157480314965" bottom="0.19685039370078741" header="0.39370078740157483" footer="0.11811023622047245"/>
  <pageSetup paperSize="8" fitToHeight="0" orientation="landscape" r:id="rId1"/>
  <headerFooter alignWithMargins="0">
    <oddFooter>&amp;LPrinted or downloaded copies are uncontrolled&amp;RPage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K45"/>
  <sheetViews>
    <sheetView showGridLines="0" zoomScaleNormal="100" zoomScaleSheetLayoutView="70" workbookViewId="0">
      <pane xSplit="1" ySplit="14" topLeftCell="B15" activePane="bottomRight" state="frozen"/>
      <selection pane="topRight" activeCell="A33" sqref="A33"/>
      <selection pane="bottomLeft" activeCell="A33" sqref="A33"/>
      <selection pane="bottomRight" activeCell="D20" sqref="D20"/>
    </sheetView>
  </sheetViews>
  <sheetFormatPr defaultColWidth="9.33203125" defaultRowHeight="13.2"/>
  <cols>
    <col min="1" max="1" width="5.5546875" style="4" customWidth="1"/>
    <col min="2" max="5" width="32.6640625" style="9" customWidth="1"/>
    <col min="6" max="6" width="11.6640625" style="4" bestFit="1" customWidth="1"/>
    <col min="7" max="7" width="16" style="4" customWidth="1"/>
    <col min="8" max="8" width="11.6640625" style="4" customWidth="1"/>
    <col min="9" max="9" width="15.44140625" style="4" customWidth="1"/>
    <col min="10" max="10" width="11.6640625" style="4" customWidth="1"/>
    <col min="11" max="11" width="29.33203125" style="4" customWidth="1"/>
    <col min="12" max="16384" width="9.33203125" style="4"/>
  </cols>
  <sheetData>
    <row r="1" spans="1:11" s="24" customFormat="1" ht="30" customHeight="1">
      <c r="A1" s="230" t="s">
        <v>29</v>
      </c>
      <c r="B1" s="230"/>
      <c r="C1" s="230"/>
      <c r="D1" s="230"/>
      <c r="E1" s="230"/>
      <c r="F1" s="16" t="str">
        <f t="array" aca="1" ref="F1" ca="1">MID(CELL("filename",A1),FIND("]",CELL("filename",A1))+1,256)</f>
        <v>ME (inc MP&amp;L)</v>
      </c>
      <c r="H1" s="80"/>
      <c r="I1" s="80"/>
      <c r="J1" s="80"/>
      <c r="K1" s="146" t="s">
        <v>30</v>
      </c>
    </row>
    <row r="2" spans="1:11" s="23" customFormat="1" ht="15.6">
      <c r="A2" s="52" t="s">
        <v>31</v>
      </c>
      <c r="B2" s="52"/>
      <c r="C2" s="52"/>
      <c r="D2" s="52"/>
      <c r="E2" s="52"/>
      <c r="F2" s="52"/>
      <c r="G2" s="59"/>
      <c r="H2" s="80"/>
      <c r="I2" s="80"/>
      <c r="J2" s="80"/>
      <c r="K2" s="36" t="s">
        <v>28</v>
      </c>
    </row>
    <row r="3" spans="1:11" s="38" customFormat="1" ht="16.2" thickBot="1">
      <c r="A3" s="28"/>
      <c r="B3" s="37"/>
      <c r="C3" s="37"/>
      <c r="D3" s="37"/>
      <c r="E3" s="37"/>
      <c r="F3" s="28"/>
      <c r="G3" s="28"/>
      <c r="H3" s="28"/>
      <c r="I3" s="28"/>
      <c r="J3" s="28"/>
      <c r="K3" s="28"/>
    </row>
    <row r="4" spans="1:11" s="28" customFormat="1" ht="15.75" customHeight="1">
      <c r="A4" s="214">
        <f>'DATA CONTROL'!B5</f>
        <v>4181</v>
      </c>
      <c r="B4" s="215"/>
      <c r="C4" s="85">
        <f>'DATA CONTROL'!B8</f>
        <v>45967</v>
      </c>
    </row>
    <row r="5" spans="1:11" s="28" customFormat="1" ht="15" customHeight="1">
      <c r="A5" s="210" t="s">
        <v>32</v>
      </c>
      <c r="B5" s="211"/>
      <c r="C5" s="121" t="str">
        <f>'DATA CONTROL'!B13</f>
        <v>ACCESS PANEL</v>
      </c>
    </row>
    <row r="6" spans="1:11" s="28" customFormat="1" ht="16.5" customHeight="1">
      <c r="A6" s="180" t="s">
        <v>33</v>
      </c>
      <c r="B6" s="181"/>
      <c r="C6" s="121" t="str">
        <f>'DATA CONTROL'!B6</f>
        <v>Sean Oakwood</v>
      </c>
    </row>
    <row r="7" spans="1:11" s="38" customFormat="1" ht="16.5" customHeight="1" thickBot="1">
      <c r="A7" s="239" t="s">
        <v>34</v>
      </c>
      <c r="B7" s="240"/>
      <c r="C7" s="122" t="str">
        <f>'DATA CONTROL'!B7</f>
        <v>MPYKA</v>
      </c>
      <c r="D7" s="28"/>
      <c r="F7" s="28"/>
      <c r="G7" s="28"/>
      <c r="H7" s="28"/>
      <c r="I7" s="28"/>
      <c r="J7" s="28"/>
      <c r="K7" s="28"/>
    </row>
    <row r="8" spans="1:11" s="38" customFormat="1" ht="16.5" customHeight="1">
      <c r="A8" s="212" t="s">
        <v>35</v>
      </c>
      <c r="B8" s="213"/>
      <c r="C8" s="123" t="str">
        <f>'DATA CONTROL'!B15</f>
        <v>MMINDA1</v>
      </c>
      <c r="D8" s="28"/>
      <c r="F8" s="28"/>
      <c r="G8" s="28"/>
      <c r="H8" s="28"/>
      <c r="I8" s="28"/>
      <c r="J8" s="28"/>
      <c r="K8" s="28"/>
    </row>
    <row r="9" spans="1:11" s="8" customFormat="1" ht="15" customHeight="1">
      <c r="A9" s="180" t="s">
        <v>36</v>
      </c>
      <c r="B9" s="181"/>
      <c r="C9" s="122" t="str">
        <f>'DATA CONTROL'!B11</f>
        <v>L463 30MY</v>
      </c>
      <c r="D9" s="28"/>
      <c r="F9" s="28"/>
      <c r="G9" s="28"/>
      <c r="H9" s="28"/>
      <c r="I9" s="28"/>
      <c r="J9" s="28"/>
      <c r="K9" s="28"/>
    </row>
    <row r="10" spans="1:11" s="8" customFormat="1" ht="15.6">
      <c r="A10" s="180" t="s">
        <v>37</v>
      </c>
      <c r="B10" s="181"/>
      <c r="C10" s="121" t="str">
        <f>'DATA CONTROL'!B12</f>
        <v>Y9250A</v>
      </c>
      <c r="D10" s="28"/>
      <c r="F10" s="28"/>
      <c r="G10" s="28"/>
      <c r="H10" s="28"/>
      <c r="I10" s="28"/>
      <c r="J10" s="28"/>
      <c r="K10" s="28"/>
    </row>
    <row r="11" spans="1:11" s="8" customFormat="1" ht="16.2" thickBot="1">
      <c r="A11" s="239" t="s">
        <v>38</v>
      </c>
      <c r="B11" s="240"/>
      <c r="C11" s="124" t="str">
        <f>'DATA CONTROL'!B14</f>
        <v xml:space="preserve">Z7B2-13A994-AAW </v>
      </c>
      <c r="D11" s="28"/>
      <c r="F11" s="28"/>
      <c r="G11" s="28"/>
      <c r="H11" s="28"/>
      <c r="I11" s="28"/>
      <c r="J11" s="28"/>
      <c r="K11" s="28"/>
    </row>
    <row r="12" spans="1:11" s="29" customFormat="1" ht="16.2" thickBot="1">
      <c r="A12" s="8"/>
      <c r="B12" s="30"/>
      <c r="C12" s="30"/>
      <c r="D12" s="30"/>
      <c r="E12" s="30"/>
      <c r="F12" s="8"/>
      <c r="G12" s="8"/>
      <c r="H12" s="8"/>
      <c r="I12" s="8"/>
      <c r="J12" s="8"/>
      <c r="K12" s="8"/>
    </row>
    <row r="13" spans="1:11" ht="23.4" thickBot="1">
      <c r="A13" s="237" t="s">
        <v>39</v>
      </c>
      <c r="B13" s="238"/>
      <c r="C13" s="238"/>
      <c r="D13" s="238"/>
      <c r="E13" s="238"/>
      <c r="F13" s="238"/>
      <c r="G13" s="238"/>
      <c r="H13" s="234" t="s">
        <v>40</v>
      </c>
      <c r="I13" s="235"/>
      <c r="J13" s="235"/>
      <c r="K13" s="236"/>
    </row>
    <row r="14" spans="1:11" ht="50.4" customHeight="1" thickBot="1">
      <c r="A14" s="154" t="s">
        <v>41</v>
      </c>
      <c r="B14" s="155" t="s">
        <v>42</v>
      </c>
      <c r="C14" s="156" t="s">
        <v>43</v>
      </c>
      <c r="D14" s="156" t="s">
        <v>44</v>
      </c>
      <c r="E14" s="156" t="s">
        <v>45</v>
      </c>
      <c r="F14" s="155" t="s">
        <v>46</v>
      </c>
      <c r="G14" s="156" t="s">
        <v>47</v>
      </c>
      <c r="H14" s="157" t="s">
        <v>48</v>
      </c>
      <c r="I14" s="157" t="s">
        <v>49</v>
      </c>
      <c r="J14" s="157" t="s">
        <v>50</v>
      </c>
      <c r="K14" s="157" t="s">
        <v>51</v>
      </c>
    </row>
    <row r="15" spans="1:11" s="5" customFormat="1" ht="13.2" customHeight="1">
      <c r="A15" s="48"/>
      <c r="B15" s="51"/>
      <c r="C15" s="51"/>
      <c r="D15" s="159"/>
      <c r="E15" s="169"/>
      <c r="F15" s="63"/>
      <c r="G15" s="158"/>
      <c r="H15" s="32"/>
      <c r="I15" s="18"/>
      <c r="J15" s="170"/>
      <c r="K15" s="170"/>
    </row>
    <row r="16" spans="1:11" s="31" customFormat="1">
      <c r="A16" s="17"/>
      <c r="B16" s="25"/>
      <c r="C16" s="25"/>
      <c r="D16" s="25"/>
      <c r="E16" s="60"/>
      <c r="F16" s="63"/>
      <c r="G16" s="63"/>
      <c r="H16" s="19"/>
      <c r="I16" s="19"/>
      <c r="J16" s="19"/>
      <c r="K16" s="92"/>
    </row>
    <row r="17" spans="1:11" s="31" customFormat="1">
      <c r="A17" s="161"/>
      <c r="B17" s="60"/>
      <c r="C17" s="60"/>
      <c r="D17" s="25"/>
      <c r="E17" s="60"/>
      <c r="F17" s="63"/>
      <c r="G17" s="63"/>
      <c r="H17" s="19"/>
      <c r="I17" s="19"/>
      <c r="J17" s="19"/>
      <c r="K17" s="19"/>
    </row>
    <row r="18" spans="1:11" s="31" customFormat="1">
      <c r="A18" s="162"/>
      <c r="B18" s="60"/>
      <c r="C18" s="60"/>
      <c r="D18" s="60"/>
      <c r="E18" s="60"/>
      <c r="F18" s="63"/>
      <c r="G18" s="63"/>
      <c r="H18" s="19"/>
      <c r="I18" s="19"/>
      <c r="J18" s="19"/>
      <c r="K18" s="19"/>
    </row>
    <row r="19" spans="1:11" s="31" customFormat="1">
      <c r="A19" s="49"/>
      <c r="B19" s="60"/>
      <c r="C19" s="26"/>
      <c r="D19" s="60"/>
      <c r="E19" s="26"/>
      <c r="F19" s="63"/>
      <c r="G19" s="108"/>
      <c r="H19" s="19"/>
      <c r="I19" s="19"/>
      <c r="J19" s="89"/>
      <c r="K19" s="57"/>
    </row>
    <row r="20" spans="1:11" s="31" customFormat="1">
      <c r="A20" s="49"/>
      <c r="B20" s="60"/>
      <c r="C20" s="26"/>
      <c r="D20" s="60"/>
      <c r="E20" s="26"/>
      <c r="F20" s="63"/>
      <c r="G20" s="108"/>
      <c r="H20" s="19"/>
      <c r="I20" s="19"/>
      <c r="J20" s="89"/>
      <c r="K20" s="57"/>
    </row>
    <row r="21" spans="1:11" s="31" customFormat="1">
      <c r="A21" s="49"/>
      <c r="B21" s="60"/>
      <c r="C21" s="26"/>
      <c r="D21" s="60"/>
      <c r="E21" s="26"/>
      <c r="F21" s="63"/>
      <c r="G21" s="108"/>
      <c r="H21" s="19"/>
      <c r="I21" s="19"/>
      <c r="J21" s="89"/>
      <c r="K21" s="57"/>
    </row>
    <row r="22" spans="1:11" s="31" customFormat="1">
      <c r="A22" s="49"/>
      <c r="B22" s="60"/>
      <c r="C22" s="26"/>
      <c r="D22" s="60"/>
      <c r="E22" s="26"/>
      <c r="F22" s="63"/>
      <c r="G22" s="108"/>
      <c r="H22" s="19"/>
      <c r="I22" s="19"/>
      <c r="J22" s="89"/>
      <c r="K22" s="57"/>
    </row>
    <row r="23" spans="1:11" s="31" customFormat="1">
      <c r="A23" s="49"/>
      <c r="B23" s="60"/>
      <c r="C23" s="26"/>
      <c r="D23" s="60"/>
      <c r="E23" s="26"/>
      <c r="F23" s="63"/>
      <c r="G23" s="108"/>
      <c r="H23" s="19"/>
      <c r="I23" s="19"/>
      <c r="J23" s="89"/>
      <c r="K23" s="57"/>
    </row>
    <row r="24" spans="1:11" s="31" customFormat="1">
      <c r="A24" s="49"/>
      <c r="B24" s="60"/>
      <c r="C24" s="26"/>
      <c r="D24" s="60"/>
      <c r="E24" s="26"/>
      <c r="F24" s="63"/>
      <c r="G24" s="108"/>
      <c r="H24" s="19"/>
      <c r="I24" s="19"/>
      <c r="J24" s="89"/>
      <c r="K24" s="57"/>
    </row>
    <row r="25" spans="1:11" s="5" customFormat="1">
      <c r="A25" s="49"/>
      <c r="B25" s="60"/>
      <c r="C25" s="26"/>
      <c r="D25" s="60"/>
      <c r="E25" s="26"/>
      <c r="F25" s="63"/>
      <c r="G25" s="108"/>
      <c r="H25" s="19"/>
      <c r="I25" s="19"/>
      <c r="J25" s="89"/>
      <c r="K25" s="57"/>
    </row>
    <row r="26" spans="1:11" s="31" customFormat="1">
      <c r="A26" s="49"/>
      <c r="B26" s="60"/>
      <c r="C26" s="26"/>
      <c r="D26" s="60"/>
      <c r="E26" s="26"/>
      <c r="F26" s="63"/>
      <c r="G26" s="108"/>
      <c r="H26" s="19"/>
      <c r="I26" s="19"/>
      <c r="J26" s="89"/>
      <c r="K26" s="57"/>
    </row>
    <row r="27" spans="1:11" s="31" customFormat="1">
      <c r="A27" s="49"/>
      <c r="B27" s="60"/>
      <c r="C27" s="26"/>
      <c r="D27" s="60"/>
      <c r="E27" s="26"/>
      <c r="F27" s="63"/>
      <c r="G27" s="108"/>
      <c r="H27" s="19"/>
      <c r="I27" s="19"/>
      <c r="J27" s="89"/>
      <c r="K27" s="57"/>
    </row>
    <row r="28" spans="1:11" s="31" customFormat="1">
      <c r="A28" s="49"/>
      <c r="B28" s="60"/>
      <c r="C28" s="26"/>
      <c r="D28" s="60"/>
      <c r="E28" s="26"/>
      <c r="F28" s="63"/>
      <c r="G28" s="108"/>
      <c r="H28" s="19"/>
      <c r="I28" s="19"/>
      <c r="J28" s="89"/>
      <c r="K28" s="57"/>
    </row>
    <row r="29" spans="1:11" s="31" customFormat="1">
      <c r="A29" s="49"/>
      <c r="B29" s="60"/>
      <c r="C29" s="26"/>
      <c r="D29" s="60"/>
      <c r="E29" s="26"/>
      <c r="F29" s="63"/>
      <c r="G29" s="108"/>
      <c r="H29" s="19"/>
      <c r="I29" s="19"/>
      <c r="J29" s="89"/>
      <c r="K29" s="57"/>
    </row>
    <row r="30" spans="1:11" s="31" customFormat="1">
      <c r="A30" s="49"/>
      <c r="B30" s="60"/>
      <c r="C30" s="26"/>
      <c r="D30" s="60"/>
      <c r="E30" s="26"/>
      <c r="F30" s="63"/>
      <c r="G30" s="108"/>
      <c r="H30" s="19"/>
      <c r="I30" s="19"/>
      <c r="J30" s="89"/>
      <c r="K30" s="57"/>
    </row>
    <row r="31" spans="1:11" s="31" customFormat="1">
      <c r="A31" s="49"/>
      <c r="B31" s="60"/>
      <c r="C31" s="26"/>
      <c r="D31" s="60"/>
      <c r="E31" s="26"/>
      <c r="F31" s="63"/>
      <c r="G31" s="108"/>
      <c r="H31" s="19"/>
      <c r="I31" s="19"/>
      <c r="J31" s="89"/>
      <c r="K31" s="57"/>
    </row>
    <row r="32" spans="1:11" s="31" customFormat="1">
      <c r="A32" s="49"/>
      <c r="B32" s="60"/>
      <c r="C32" s="26"/>
      <c r="D32" s="60"/>
      <c r="E32" s="26"/>
      <c r="F32" s="63"/>
      <c r="G32" s="108"/>
      <c r="H32" s="19"/>
      <c r="I32" s="19"/>
      <c r="J32" s="89"/>
      <c r="K32" s="57"/>
    </row>
    <row r="33" spans="1:11" s="31" customFormat="1">
      <c r="A33" s="49"/>
      <c r="B33" s="60"/>
      <c r="C33" s="26"/>
      <c r="D33" s="60"/>
      <c r="E33" s="26"/>
      <c r="F33" s="63"/>
      <c r="G33" s="108"/>
      <c r="H33" s="19"/>
      <c r="I33" s="19"/>
      <c r="J33" s="89"/>
      <c r="K33" s="57"/>
    </row>
    <row r="34" spans="1:11" s="31" customFormat="1">
      <c r="A34" s="49"/>
      <c r="B34" s="60"/>
      <c r="C34" s="26"/>
      <c r="D34" s="60"/>
      <c r="E34" s="26"/>
      <c r="F34" s="63"/>
      <c r="G34" s="108"/>
      <c r="H34" s="19"/>
      <c r="I34" s="19"/>
      <c r="J34" s="89"/>
      <c r="K34" s="57"/>
    </row>
    <row r="35" spans="1:11" s="31" customFormat="1">
      <c r="A35" s="49"/>
      <c r="B35" s="60"/>
      <c r="C35" s="26"/>
      <c r="D35" s="60"/>
      <c r="E35" s="26"/>
      <c r="F35" s="63"/>
      <c r="G35" s="108"/>
      <c r="H35" s="19"/>
      <c r="I35" s="19"/>
      <c r="J35" s="89"/>
      <c r="K35" s="57"/>
    </row>
    <row r="36" spans="1:11" s="31" customFormat="1">
      <c r="A36" s="49"/>
      <c r="B36" s="60"/>
      <c r="C36" s="26"/>
      <c r="D36" s="60"/>
      <c r="E36" s="26"/>
      <c r="F36" s="63"/>
      <c r="G36" s="108"/>
      <c r="H36" s="19"/>
      <c r="I36" s="19"/>
      <c r="J36" s="89"/>
      <c r="K36" s="57"/>
    </row>
    <row r="37" spans="1:11" s="31" customFormat="1">
      <c r="A37" s="49"/>
      <c r="B37" s="60"/>
      <c r="C37" s="26"/>
      <c r="D37" s="60"/>
      <c r="E37" s="26"/>
      <c r="F37" s="63"/>
      <c r="G37" s="108"/>
      <c r="H37" s="19"/>
      <c r="I37" s="19"/>
      <c r="J37" s="89"/>
      <c r="K37" s="57"/>
    </row>
    <row r="38" spans="1:11" s="31" customFormat="1">
      <c r="A38" s="49"/>
      <c r="B38" s="60"/>
      <c r="C38" s="26"/>
      <c r="D38" s="60"/>
      <c r="E38" s="26"/>
      <c r="F38" s="63"/>
      <c r="G38" s="108"/>
      <c r="H38" s="19"/>
      <c r="I38" s="19"/>
      <c r="J38" s="89"/>
      <c r="K38" s="57"/>
    </row>
    <row r="39" spans="1:11" s="31" customFormat="1">
      <c r="A39" s="49"/>
      <c r="B39" s="60"/>
      <c r="C39" s="26"/>
      <c r="D39" s="60"/>
      <c r="E39" s="26"/>
      <c r="F39" s="63"/>
      <c r="G39" s="108"/>
      <c r="H39" s="19"/>
      <c r="I39" s="19"/>
      <c r="J39" s="89"/>
      <c r="K39" s="57"/>
    </row>
    <row r="40" spans="1:11" s="31" customFormat="1">
      <c r="A40" s="49"/>
      <c r="B40" s="60"/>
      <c r="C40" s="26"/>
      <c r="D40" s="60"/>
      <c r="E40" s="26"/>
      <c r="F40" s="63"/>
      <c r="G40" s="108"/>
      <c r="H40" s="19"/>
      <c r="I40" s="19"/>
      <c r="J40" s="89"/>
      <c r="K40" s="57"/>
    </row>
    <row r="41" spans="1:11" s="31" customFormat="1">
      <c r="A41" s="49"/>
      <c r="B41" s="60"/>
      <c r="C41" s="26"/>
      <c r="D41" s="60"/>
      <c r="E41" s="26"/>
      <c r="F41" s="63"/>
      <c r="G41" s="108"/>
      <c r="H41" s="19"/>
      <c r="I41" s="19"/>
      <c r="J41" s="89"/>
      <c r="K41" s="57"/>
    </row>
    <row r="42" spans="1:11" s="31" customFormat="1">
      <c r="A42" s="49"/>
      <c r="B42" s="60"/>
      <c r="C42" s="26"/>
      <c r="D42" s="60"/>
      <c r="E42" s="26"/>
      <c r="F42" s="63"/>
      <c r="G42" s="108"/>
      <c r="H42" s="19"/>
      <c r="I42" s="19"/>
      <c r="J42" s="89"/>
      <c r="K42" s="57"/>
    </row>
    <row r="43" spans="1:11" s="31" customFormat="1">
      <c r="A43" s="49"/>
      <c r="B43" s="60"/>
      <c r="C43" s="26"/>
      <c r="D43" s="60"/>
      <c r="E43" s="26"/>
      <c r="F43" s="63"/>
      <c r="G43" s="108"/>
      <c r="H43" s="19"/>
      <c r="I43" s="19"/>
      <c r="J43" s="89"/>
      <c r="K43" s="57"/>
    </row>
    <row r="44" spans="1:11" s="31" customFormat="1" ht="13.8" thickBot="1">
      <c r="A44" s="50"/>
      <c r="B44" s="61"/>
      <c r="C44" s="27"/>
      <c r="D44" s="61"/>
      <c r="E44" s="27"/>
      <c r="F44" s="64"/>
      <c r="G44" s="109"/>
      <c r="H44" s="127"/>
      <c r="I44" s="21"/>
      <c r="J44" s="112"/>
      <c r="K44" s="58"/>
    </row>
    <row r="45" spans="1:11" ht="13.8" thickBot="1">
      <c r="A45" s="1"/>
      <c r="B45" s="10"/>
      <c r="C45" s="10"/>
      <c r="D45" s="10"/>
      <c r="E45" s="10"/>
      <c r="F45" s="2"/>
      <c r="G45" s="2"/>
      <c r="H45" s="110"/>
      <c r="I45" s="2"/>
      <c r="J45" s="111"/>
      <c r="K45" s="6"/>
    </row>
  </sheetData>
  <mergeCells count="11">
    <mergeCell ref="H13:K13"/>
    <mergeCell ref="A13:G13"/>
    <mergeCell ref="A1:E1"/>
    <mergeCell ref="A4:B4"/>
    <mergeCell ref="A11:B11"/>
    <mergeCell ref="A10:B10"/>
    <mergeCell ref="A9:B9"/>
    <mergeCell ref="A8:B8"/>
    <mergeCell ref="A7:B7"/>
    <mergeCell ref="A6:B6"/>
    <mergeCell ref="A5:B5"/>
  </mergeCells>
  <phoneticPr fontId="56" type="noConversion"/>
  <conditionalFormatting sqref="A4">
    <cfRule type="cellIs" dxfId="15" priority="4" stopIfTrue="1" operator="equal">
      <formula>"populate Data Control tab"</formula>
    </cfRule>
  </conditionalFormatting>
  <conditionalFormatting sqref="C4:C11">
    <cfRule type="cellIs" dxfId="14" priority="1" stopIfTrue="1" operator="equal">
      <formula>"populate Data Control tab"</formula>
    </cfRule>
  </conditionalFormatting>
  <dataValidations count="5">
    <dataValidation allowBlank="1" showInputMessage="1" showErrorMessage="1" errorTitle="Warning" error="HELLO" sqref="F61" xr:uid="{61E4AB11-BB1D-40A6-8472-2888736D7591}"/>
    <dataValidation errorStyle="information" allowBlank="1" showInputMessage="1" showErrorMessage="1" errorTitle="Info" error="HELLO" sqref="F8" xr:uid="{82E1064B-5496-4297-B675-8F0D24242926}"/>
    <dataValidation allowBlank="1" showInputMessage="1" showErrorMessage="1" prompt="Hello" sqref="E8" xr:uid="{A3DF679A-EB30-4B86-9917-443B564012EA}"/>
    <dataValidation allowBlank="1" showInputMessage="1" showErrorMessage="1" promptTitle="Warning" prompt="If you have added any additional product requirements to the SCSS for your programme, you must add an action into the DRBFM to review/update the core DFMEA to reflect the new additional requirements." sqref="B16:C44" xr:uid="{101FC17B-F138-44B6-9EAE-986B4E644917}"/>
    <dataValidation type="list" allowBlank="1" showInputMessage="1" showErrorMessage="1" sqref="H15" xr:uid="{CC831EF9-65B1-4BE9-8F88-E96437341A92}">
      <formula1>"Approved,Queried,Rejected"</formula1>
    </dataValidation>
  </dataValidations>
  <printOptions horizontalCentered="1"/>
  <pageMargins left="0.35433070866141736" right="0.15748031496062992" top="0.78740157480314965" bottom="0.19685039370078741" header="0.39370078740157483" footer="0.11811023622047245"/>
  <pageSetup paperSize="8" scale="89" fitToHeight="0" orientation="landscape" r:id="rId1"/>
  <headerFooter alignWithMargins="0">
    <oddFooter>&amp;LPrinted or downloaded copies are uncontrolled&amp;RPage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EA930D-F4D1-4961-ABD2-BD130EA643AA}">
          <x14:formula1>
            <xm:f>Dropdowns!$A$5:$A$7</xm:f>
          </x14:formula1>
          <xm:sqref>H16:H44</xm:sqref>
        </x14:dataValidation>
        <x14:dataValidation type="list" allowBlank="1" showInputMessage="1" showErrorMessage="1" xr:uid="{B4101AAB-82BB-41D6-9882-0897DA2AB50D}">
          <x14:formula1>
            <xm:f>Dropdowns!$A$15:$A$16</xm:f>
          </x14:formula1>
          <xm:sqref>I16:I44</xm:sqref>
        </x14:dataValidation>
        <x14:dataValidation type="list" allowBlank="1" showInputMessage="1" showErrorMessage="1" xr:uid="{96849F4D-C051-4295-B789-366139E87143}">
          <x14:formula1>
            <xm:f>Dropdowns!$A$9:$A$13</xm:f>
          </x14:formula1>
          <xm:sqref>F16:F44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N47"/>
  <sheetViews>
    <sheetView showGridLines="0" tabSelected="1" zoomScale="85" zoomScaleNormal="85" zoomScaleSheetLayoutView="70" workbookViewId="0">
      <pane xSplit="1" topLeftCell="B1" activePane="topRight" state="frozen"/>
      <selection activeCell="B17" sqref="B17"/>
      <selection pane="topRight" activeCell="A4" sqref="A4:B4"/>
    </sheetView>
  </sheetViews>
  <sheetFormatPr defaultColWidth="9.33203125" defaultRowHeight="13.2"/>
  <cols>
    <col min="1" max="1" width="5.5546875" style="4" customWidth="1"/>
    <col min="2" max="3" width="32.5546875" style="9" customWidth="1"/>
    <col min="4" max="4" width="5.5546875" style="9" customWidth="1"/>
    <col min="5" max="5" width="20.44140625" style="9" customWidth="1"/>
    <col min="6" max="6" width="32.6640625" style="9" customWidth="1"/>
    <col min="7" max="7" width="27.6640625" style="4" customWidth="1"/>
    <col min="8" max="9" width="25" style="4" customWidth="1"/>
    <col min="10" max="10" width="13.109375" style="4" customWidth="1"/>
    <col min="11" max="12" width="28.5546875" style="15" customWidth="1"/>
    <col min="13" max="13" width="16.33203125" style="4" customWidth="1"/>
    <col min="14" max="14" width="13.6640625" style="4" customWidth="1"/>
    <col min="15" max="16384" width="9.33203125" style="4"/>
  </cols>
  <sheetData>
    <row r="1" spans="1:14" s="24" customFormat="1" ht="30">
      <c r="A1" s="230" t="s">
        <v>29</v>
      </c>
      <c r="B1" s="230"/>
      <c r="C1" s="230"/>
      <c r="D1" s="230"/>
      <c r="E1" s="230"/>
      <c r="F1" s="230"/>
      <c r="G1" s="12" t="str" cm="1">
        <f t="array" aca="1" ref="G1" ca="1">MID(CELL("filename",A1),FIND("]",CELL("filename",A1))+1,256)</f>
        <v>Supplier (Make to Print)</v>
      </c>
      <c r="K1" s="41"/>
      <c r="L1" s="41"/>
      <c r="N1" s="146" t="s">
        <v>30</v>
      </c>
    </row>
    <row r="2" spans="1:14" s="23" customFormat="1" ht="15.6">
      <c r="A2" s="203" t="s">
        <v>31</v>
      </c>
      <c r="B2" s="203"/>
      <c r="C2" s="203"/>
      <c r="D2" s="203"/>
      <c r="E2" s="203"/>
      <c r="F2" s="203"/>
      <c r="G2" s="59"/>
      <c r="H2" s="59"/>
      <c r="I2" s="53"/>
      <c r="K2" s="35"/>
      <c r="L2" s="35"/>
      <c r="M2" s="35"/>
      <c r="N2" s="36" t="s">
        <v>28</v>
      </c>
    </row>
    <row r="3" spans="1:14" s="38" customFormat="1" ht="16.2" thickBot="1">
      <c r="A3" s="28"/>
      <c r="B3" s="37"/>
      <c r="C3" s="37"/>
      <c r="D3" s="37"/>
      <c r="E3" s="37"/>
      <c r="F3" s="37"/>
      <c r="G3" s="28"/>
      <c r="H3" s="28"/>
      <c r="K3" s="40"/>
      <c r="L3" s="40"/>
    </row>
    <row r="4" spans="1:14" s="28" customFormat="1" ht="15.75" customHeight="1">
      <c r="A4" s="214">
        <f>'DATA CONTROL'!B5</f>
        <v>4181</v>
      </c>
      <c r="B4" s="215"/>
      <c r="C4" s="85">
        <v>46210</v>
      </c>
      <c r="F4" s="188" t="s">
        <v>52</v>
      </c>
      <c r="G4" s="204" t="str">
        <f>'DATA CONTROL'!B18</f>
        <v>TBC</v>
      </c>
      <c r="H4" s="204"/>
      <c r="I4" s="205"/>
      <c r="J4" s="182" t="s">
        <v>53</v>
      </c>
      <c r="K4" s="183"/>
      <c r="L4" s="194" t="s">
        <v>54</v>
      </c>
      <c r="M4" s="174" t="s">
        <v>55</v>
      </c>
      <c r="N4" s="175"/>
    </row>
    <row r="5" spans="1:14" s="28" customFormat="1" ht="15.75" customHeight="1">
      <c r="A5" s="210" t="s">
        <v>32</v>
      </c>
      <c r="B5" s="211"/>
      <c r="C5" s="121" t="str">
        <f>'DATA CONTROL'!B13</f>
        <v>ACCESS PANEL</v>
      </c>
      <c r="F5" s="189"/>
      <c r="G5" s="206"/>
      <c r="H5" s="206"/>
      <c r="I5" s="207"/>
      <c r="J5" s="184"/>
      <c r="K5" s="185"/>
      <c r="L5" s="195"/>
      <c r="M5" s="176"/>
      <c r="N5" s="177"/>
    </row>
    <row r="6" spans="1:14" s="28" customFormat="1" ht="16.5" customHeight="1" thickBot="1">
      <c r="A6" s="180" t="s">
        <v>33</v>
      </c>
      <c r="B6" s="181"/>
      <c r="C6" s="121" t="str">
        <f>'DATA CONTROL'!B6</f>
        <v>Sean Oakwood</v>
      </c>
      <c r="F6" s="190"/>
      <c r="G6" s="208"/>
      <c r="H6" s="208"/>
      <c r="I6" s="209"/>
      <c r="J6" s="186"/>
      <c r="K6" s="187"/>
      <c r="L6" s="196"/>
      <c r="M6" s="178"/>
      <c r="N6" s="179"/>
    </row>
    <row r="7" spans="1:14" s="38" customFormat="1" ht="16.5" customHeight="1" thickBot="1">
      <c r="A7" s="180" t="s">
        <v>34</v>
      </c>
      <c r="B7" s="181"/>
      <c r="C7" s="122" t="s">
        <v>140</v>
      </c>
      <c r="F7" s="191" t="s">
        <v>56</v>
      </c>
      <c r="G7" s="200" t="s">
        <v>54</v>
      </c>
      <c r="H7" s="200"/>
      <c r="I7" s="175" t="s">
        <v>55</v>
      </c>
      <c r="J7" s="182" t="s">
        <v>57</v>
      </c>
      <c r="K7" s="183"/>
      <c r="L7" s="194" t="s">
        <v>54</v>
      </c>
      <c r="M7" s="174" t="s">
        <v>55</v>
      </c>
      <c r="N7" s="175"/>
    </row>
    <row r="8" spans="1:14" s="8" customFormat="1" ht="15.6">
      <c r="A8" s="212" t="s">
        <v>35</v>
      </c>
      <c r="B8" s="213"/>
      <c r="C8" s="123" t="s">
        <v>141</v>
      </c>
      <c r="F8" s="192"/>
      <c r="G8" s="201"/>
      <c r="H8" s="201"/>
      <c r="I8" s="177"/>
      <c r="J8" s="184"/>
      <c r="K8" s="185"/>
      <c r="L8" s="195"/>
      <c r="M8" s="176"/>
      <c r="N8" s="177"/>
    </row>
    <row r="9" spans="1:14" s="8" customFormat="1" ht="16.2" thickBot="1">
      <c r="A9" s="180" t="s">
        <v>36</v>
      </c>
      <c r="B9" s="181"/>
      <c r="C9" s="122" t="str">
        <f>'DATA CONTROL'!B11</f>
        <v>L463 30MY</v>
      </c>
      <c r="F9" s="193"/>
      <c r="G9" s="202"/>
      <c r="H9" s="202"/>
      <c r="I9" s="179"/>
      <c r="J9" s="186"/>
      <c r="K9" s="187"/>
      <c r="L9" s="196"/>
      <c r="M9" s="178"/>
      <c r="N9" s="179"/>
    </row>
    <row r="10" spans="1:14" s="8" customFormat="1" ht="15.75" customHeight="1">
      <c r="A10" s="180" t="s">
        <v>37</v>
      </c>
      <c r="B10" s="181"/>
      <c r="C10" s="121" t="str">
        <f>'DATA CONTROL'!B12</f>
        <v>Y9250A</v>
      </c>
      <c r="F10" s="197" t="s">
        <v>58</v>
      </c>
      <c r="G10" s="200" t="s">
        <v>143</v>
      </c>
      <c r="H10" s="200"/>
      <c r="I10" s="175" t="s">
        <v>55</v>
      </c>
      <c r="J10" s="182" t="s">
        <v>59</v>
      </c>
      <c r="K10" s="183"/>
      <c r="L10" s="194" t="s">
        <v>54</v>
      </c>
      <c r="M10" s="174" t="s">
        <v>55</v>
      </c>
      <c r="N10" s="175"/>
    </row>
    <row r="11" spans="1:14" s="29" customFormat="1" ht="15.6">
      <c r="A11" s="180" t="s">
        <v>38</v>
      </c>
      <c r="B11" s="181"/>
      <c r="C11" s="121" t="str">
        <f>'DATA CONTROL'!B14</f>
        <v xml:space="preserve">Z7B2-13A994-AAW </v>
      </c>
      <c r="F11" s="198"/>
      <c r="G11" s="201"/>
      <c r="H11" s="201"/>
      <c r="I11" s="177"/>
      <c r="J11" s="184"/>
      <c r="K11" s="185"/>
      <c r="L11" s="195"/>
      <c r="M11" s="176"/>
      <c r="N11" s="177"/>
    </row>
    <row r="12" spans="1:14" s="29" customFormat="1" ht="16.2" thickBot="1">
      <c r="A12" s="91"/>
      <c r="B12" s="113" t="s">
        <v>60</v>
      </c>
      <c r="C12" s="124" t="str">
        <f>'DATA CONTROL'!B20</f>
        <v>TBC</v>
      </c>
      <c r="F12" s="198"/>
      <c r="G12" s="201"/>
      <c r="H12" s="201"/>
      <c r="I12" s="177"/>
      <c r="J12" s="184"/>
      <c r="K12" s="185"/>
      <c r="L12" s="195"/>
      <c r="M12" s="176"/>
      <c r="N12" s="177"/>
    </row>
    <row r="13" spans="1:14" s="29" customFormat="1" ht="16.2" thickBot="1">
      <c r="F13" s="199"/>
      <c r="G13" s="202"/>
      <c r="H13" s="202"/>
      <c r="I13" s="179"/>
      <c r="J13" s="186"/>
      <c r="K13" s="187"/>
      <c r="L13" s="196"/>
      <c r="M13" s="178"/>
      <c r="N13" s="179"/>
    </row>
    <row r="14" spans="1:14" s="29" customFormat="1" ht="16.2" thickBot="1">
      <c r="A14" s="8"/>
      <c r="B14" s="30"/>
      <c r="C14" s="30"/>
      <c r="D14" s="30"/>
      <c r="E14" s="30"/>
      <c r="F14" s="30"/>
      <c r="G14" s="8"/>
      <c r="H14" s="8"/>
      <c r="I14" s="8"/>
      <c r="J14" s="8"/>
      <c r="K14" s="39"/>
      <c r="L14" s="39"/>
      <c r="M14" s="8"/>
      <c r="N14" s="8"/>
    </row>
    <row r="15" spans="1:14" ht="23.4" thickBot="1">
      <c r="A15" s="222" t="s">
        <v>39</v>
      </c>
      <c r="B15" s="223"/>
      <c r="C15" s="223"/>
      <c r="D15" s="223"/>
      <c r="E15" s="223"/>
      <c r="F15" s="223"/>
      <c r="G15" s="45" t="s">
        <v>61</v>
      </c>
      <c r="H15" s="62"/>
      <c r="I15" s="76"/>
      <c r="J15" s="46"/>
      <c r="K15" s="46"/>
      <c r="L15" s="46"/>
      <c r="M15" s="46"/>
      <c r="N15" s="77" t="s">
        <v>62</v>
      </c>
    </row>
    <row r="16" spans="1:14" ht="175.5" customHeight="1" thickBot="1">
      <c r="A16" s="47" t="s">
        <v>41</v>
      </c>
      <c r="B16" s="224" t="s">
        <v>44</v>
      </c>
      <c r="C16" s="225"/>
      <c r="D16" s="225"/>
      <c r="E16" s="144" t="s">
        <v>46</v>
      </c>
      <c r="F16" s="126" t="s">
        <v>45</v>
      </c>
      <c r="G16" s="72" t="s">
        <v>48</v>
      </c>
      <c r="H16" s="65" t="s">
        <v>51</v>
      </c>
      <c r="I16" s="65" t="s">
        <v>63</v>
      </c>
      <c r="J16" s="145" t="s">
        <v>64</v>
      </c>
      <c r="K16" s="73" t="s">
        <v>65</v>
      </c>
      <c r="L16" s="74" t="s">
        <v>66</v>
      </c>
      <c r="M16" s="78" t="s">
        <v>67</v>
      </c>
      <c r="N16" s="75" t="s">
        <v>68</v>
      </c>
    </row>
    <row r="17" spans="1:14" s="5" customFormat="1" ht="13.2" customHeight="1">
      <c r="A17" s="163">
        <v>1</v>
      </c>
      <c r="B17" s="226" t="s">
        <v>69</v>
      </c>
      <c r="C17" s="227"/>
      <c r="D17" s="228"/>
      <c r="E17" s="164"/>
      <c r="F17" s="165"/>
      <c r="G17" s="42"/>
      <c r="H17" s="18"/>
      <c r="I17" s="18"/>
      <c r="J17" s="18"/>
      <c r="K17" s="71"/>
      <c r="L17" s="71"/>
      <c r="M17" s="70"/>
      <c r="N17" s="79"/>
    </row>
    <row r="18" spans="1:14" s="5" customFormat="1" ht="13.2" customHeight="1">
      <c r="A18" s="161">
        <v>1.1000000000000001</v>
      </c>
      <c r="B18" s="229" t="s">
        <v>70</v>
      </c>
      <c r="C18" s="229"/>
      <c r="D18" s="229"/>
      <c r="E18" s="98" t="s">
        <v>71</v>
      </c>
      <c r="F18" s="60" t="s">
        <v>72</v>
      </c>
      <c r="G18" s="171"/>
      <c r="H18" s="70"/>
      <c r="I18" s="70"/>
      <c r="J18" s="70"/>
      <c r="K18" s="71"/>
      <c r="L18" s="71"/>
      <c r="M18" s="70"/>
      <c r="N18" s="79"/>
    </row>
    <row r="19" spans="1:14" s="5" customFormat="1" ht="13.2" customHeight="1">
      <c r="A19" s="17">
        <v>1.2</v>
      </c>
      <c r="B19" s="216" t="s">
        <v>70</v>
      </c>
      <c r="C19" s="217"/>
      <c r="D19" s="218"/>
      <c r="E19" s="172" t="s">
        <v>71</v>
      </c>
      <c r="F19" s="60" t="s">
        <v>73</v>
      </c>
      <c r="G19" s="171"/>
      <c r="H19" s="70"/>
      <c r="I19" s="70"/>
      <c r="J19" s="70"/>
      <c r="K19" s="71"/>
      <c r="L19" s="71"/>
      <c r="M19" s="70"/>
      <c r="N19" s="79"/>
    </row>
    <row r="20" spans="1:14" s="31" customFormat="1" ht="52.8">
      <c r="A20" s="17">
        <v>1.3</v>
      </c>
      <c r="B20" s="216" t="s">
        <v>74</v>
      </c>
      <c r="C20" s="217"/>
      <c r="D20" s="218"/>
      <c r="E20" s="172" t="s">
        <v>71</v>
      </c>
      <c r="F20" s="60" t="s">
        <v>75</v>
      </c>
      <c r="G20" s="43"/>
      <c r="H20" s="19"/>
      <c r="I20" s="19"/>
      <c r="J20" s="19"/>
      <c r="K20" s="20"/>
      <c r="L20" s="20"/>
      <c r="M20" s="19"/>
      <c r="N20" s="57"/>
    </row>
    <row r="21" spans="1:14" s="31" customFormat="1">
      <c r="A21" s="166">
        <v>2</v>
      </c>
      <c r="B21" s="219" t="s">
        <v>76</v>
      </c>
      <c r="C21" s="220"/>
      <c r="D21" s="221"/>
      <c r="E21" s="167"/>
      <c r="F21" s="168"/>
      <c r="G21" s="43"/>
      <c r="H21" s="19"/>
      <c r="I21" s="19"/>
      <c r="J21" s="19"/>
      <c r="K21" s="20"/>
      <c r="L21" s="20"/>
      <c r="M21" s="19"/>
      <c r="N21" s="57"/>
    </row>
    <row r="22" spans="1:14" s="31" customFormat="1" ht="26.4">
      <c r="A22" s="17">
        <v>2.1</v>
      </c>
      <c r="B22" s="216" t="s">
        <v>77</v>
      </c>
      <c r="C22" s="217"/>
      <c r="D22" s="218"/>
      <c r="E22" s="172" t="s">
        <v>78</v>
      </c>
      <c r="F22" s="60" t="s">
        <v>79</v>
      </c>
      <c r="G22" s="43"/>
      <c r="H22" s="19"/>
      <c r="I22" s="19"/>
      <c r="J22" s="19"/>
      <c r="K22" s="20"/>
      <c r="L22" s="20"/>
      <c r="M22" s="19"/>
      <c r="N22" s="57"/>
    </row>
    <row r="23" spans="1:14" s="31" customFormat="1" ht="39.6">
      <c r="A23" s="17">
        <v>2.2000000000000002</v>
      </c>
      <c r="B23" s="26" t="s">
        <v>80</v>
      </c>
      <c r="C23" s="173"/>
      <c r="D23" s="87"/>
      <c r="E23" s="172" t="s">
        <v>78</v>
      </c>
      <c r="F23" s="60" t="s">
        <v>81</v>
      </c>
      <c r="G23" s="43"/>
      <c r="H23" s="19"/>
      <c r="I23" s="19"/>
      <c r="J23" s="19"/>
      <c r="K23" s="20"/>
      <c r="L23" s="20"/>
      <c r="M23" s="19"/>
      <c r="N23" s="57"/>
    </row>
    <row r="24" spans="1:14" s="31" customFormat="1">
      <c r="A24" s="166">
        <v>3</v>
      </c>
      <c r="B24" s="219" t="s">
        <v>82</v>
      </c>
      <c r="C24" s="220"/>
      <c r="D24" s="221"/>
      <c r="E24" s="167"/>
      <c r="F24" s="168"/>
      <c r="G24" s="43"/>
      <c r="H24" s="19"/>
      <c r="I24" s="19"/>
      <c r="J24" s="19"/>
      <c r="K24" s="20"/>
      <c r="L24" s="20"/>
      <c r="M24" s="19"/>
      <c r="N24" s="57"/>
    </row>
    <row r="25" spans="1:14" s="31" customFormat="1">
      <c r="A25" s="17">
        <v>3.1</v>
      </c>
      <c r="B25" s="216" t="s">
        <v>82</v>
      </c>
      <c r="C25" s="217"/>
      <c r="D25" s="218"/>
      <c r="E25" s="172" t="s">
        <v>78</v>
      </c>
      <c r="F25" s="60" t="s">
        <v>83</v>
      </c>
      <c r="G25" s="43"/>
      <c r="H25" s="19"/>
      <c r="I25" s="19"/>
      <c r="J25" s="19"/>
      <c r="K25" s="20"/>
      <c r="L25" s="20"/>
      <c r="M25" s="19"/>
      <c r="N25" s="57"/>
    </row>
    <row r="26" spans="1:14" s="31" customFormat="1">
      <c r="A26" s="17">
        <v>3.2</v>
      </c>
      <c r="B26" s="216" t="s">
        <v>84</v>
      </c>
      <c r="C26" s="217"/>
      <c r="D26" s="218"/>
      <c r="E26" s="172" t="s">
        <v>85</v>
      </c>
      <c r="F26" s="60" t="s">
        <v>86</v>
      </c>
      <c r="G26" s="43"/>
      <c r="H26" s="19"/>
      <c r="I26" s="19"/>
      <c r="J26" s="19"/>
      <c r="K26" s="20"/>
      <c r="L26" s="20"/>
      <c r="M26" s="19"/>
      <c r="N26" s="57"/>
    </row>
    <row r="27" spans="1:14" s="5" customFormat="1">
      <c r="A27" s="166">
        <v>4</v>
      </c>
      <c r="B27" s="219" t="s">
        <v>87</v>
      </c>
      <c r="C27" s="220"/>
      <c r="D27" s="221"/>
      <c r="E27" s="167"/>
      <c r="F27" s="168"/>
      <c r="G27" s="43"/>
      <c r="H27" s="19"/>
      <c r="I27" s="19"/>
      <c r="J27" s="19"/>
      <c r="K27" s="20"/>
      <c r="L27" s="20"/>
      <c r="M27" s="19"/>
      <c r="N27" s="57"/>
    </row>
    <row r="28" spans="1:14" s="5" customFormat="1" ht="26.4">
      <c r="A28" s="17">
        <v>4.0999999999999996</v>
      </c>
      <c r="B28" s="216" t="s">
        <v>88</v>
      </c>
      <c r="C28" s="217"/>
      <c r="D28" s="218"/>
      <c r="E28" s="172" t="s">
        <v>89</v>
      </c>
      <c r="F28" s="25" t="s">
        <v>90</v>
      </c>
      <c r="G28" s="43"/>
      <c r="H28" s="19"/>
      <c r="I28" s="19"/>
      <c r="J28" s="19"/>
      <c r="K28" s="20"/>
      <c r="L28" s="20"/>
      <c r="M28" s="19"/>
      <c r="N28" s="57"/>
    </row>
    <row r="29" spans="1:14" s="5" customFormat="1" ht="13.2" customHeight="1">
      <c r="A29" s="17">
        <v>4.2</v>
      </c>
      <c r="B29" s="216" t="s">
        <v>91</v>
      </c>
      <c r="C29" s="217"/>
      <c r="D29" s="218"/>
      <c r="E29" s="172" t="s">
        <v>89</v>
      </c>
      <c r="F29" s="25" t="s">
        <v>92</v>
      </c>
      <c r="G29" s="43"/>
      <c r="H29" s="19"/>
      <c r="I29" s="19"/>
      <c r="J29" s="19"/>
      <c r="K29" s="20"/>
      <c r="L29" s="20"/>
      <c r="M29" s="19"/>
      <c r="N29" s="57"/>
    </row>
    <row r="30" spans="1:14" s="31" customFormat="1">
      <c r="A30" s="166">
        <v>5</v>
      </c>
      <c r="B30" s="219" t="s">
        <v>93</v>
      </c>
      <c r="C30" s="220"/>
      <c r="D30" s="221"/>
      <c r="E30" s="167"/>
      <c r="F30" s="168"/>
      <c r="G30" s="43"/>
      <c r="H30" s="19"/>
      <c r="I30" s="19"/>
      <c r="J30" s="19"/>
      <c r="K30" s="20"/>
      <c r="L30" s="20"/>
      <c r="M30" s="19"/>
      <c r="N30" s="57"/>
    </row>
    <row r="31" spans="1:14" s="31" customFormat="1" ht="39.6">
      <c r="A31" s="17">
        <v>5.0999999999999996</v>
      </c>
      <c r="B31" s="216" t="s">
        <v>94</v>
      </c>
      <c r="C31" s="217"/>
      <c r="D31" s="218"/>
      <c r="E31" s="172" t="s">
        <v>78</v>
      </c>
      <c r="F31" s="60" t="s">
        <v>95</v>
      </c>
      <c r="G31" s="43"/>
      <c r="H31" s="19"/>
      <c r="I31" s="19"/>
      <c r="J31" s="19"/>
      <c r="K31" s="20"/>
      <c r="L31" s="20"/>
      <c r="M31" s="19"/>
      <c r="N31" s="57"/>
    </row>
    <row r="32" spans="1:14" s="31" customFormat="1" ht="38.4" customHeight="1">
      <c r="A32" s="17">
        <v>5.2</v>
      </c>
      <c r="B32" s="216" t="s">
        <v>96</v>
      </c>
      <c r="C32" s="217"/>
      <c r="D32" s="218"/>
      <c r="E32" s="172" t="s">
        <v>71</v>
      </c>
      <c r="F32" s="60" t="s">
        <v>97</v>
      </c>
      <c r="G32" s="43"/>
      <c r="H32" s="19"/>
      <c r="I32" s="19"/>
      <c r="J32" s="19"/>
      <c r="K32" s="20"/>
      <c r="L32" s="20"/>
      <c r="M32" s="19"/>
      <c r="N32" s="57"/>
    </row>
    <row r="33" spans="1:14" s="31" customFormat="1">
      <c r="A33" s="166">
        <v>6</v>
      </c>
      <c r="B33" s="219" t="s">
        <v>98</v>
      </c>
      <c r="C33" s="220"/>
      <c r="D33" s="221"/>
      <c r="E33" s="167"/>
      <c r="F33" s="168"/>
      <c r="G33" s="43"/>
      <c r="H33" s="19"/>
      <c r="I33" s="19"/>
      <c r="J33" s="19"/>
      <c r="K33" s="20"/>
      <c r="L33" s="20"/>
      <c r="M33" s="19"/>
      <c r="N33" s="57"/>
    </row>
    <row r="34" spans="1:14" s="31" customFormat="1" ht="26.4">
      <c r="A34" s="17">
        <v>6.1</v>
      </c>
      <c r="B34" s="216" t="s">
        <v>99</v>
      </c>
      <c r="C34" s="217"/>
      <c r="D34" s="218"/>
      <c r="E34" s="172" t="s">
        <v>78</v>
      </c>
      <c r="F34" s="60" t="s">
        <v>100</v>
      </c>
      <c r="G34" s="43"/>
      <c r="H34" s="19"/>
      <c r="I34" s="19"/>
      <c r="J34" s="19"/>
      <c r="K34" s="20"/>
      <c r="L34" s="20"/>
      <c r="M34" s="19"/>
      <c r="N34" s="57"/>
    </row>
    <row r="35" spans="1:14" s="31" customFormat="1">
      <c r="A35" s="17">
        <v>6.2</v>
      </c>
      <c r="B35" s="216" t="s">
        <v>101</v>
      </c>
      <c r="C35" s="217"/>
      <c r="D35" s="218"/>
      <c r="E35" s="172" t="s">
        <v>78</v>
      </c>
      <c r="F35" s="60" t="s">
        <v>102</v>
      </c>
      <c r="G35" s="43"/>
      <c r="H35" s="19"/>
      <c r="I35" s="19"/>
      <c r="J35" s="19"/>
      <c r="K35" s="20"/>
      <c r="L35" s="20"/>
      <c r="M35" s="19"/>
      <c r="N35" s="57"/>
    </row>
    <row r="36" spans="1:14" s="31" customFormat="1" ht="26.4">
      <c r="A36" s="17">
        <v>6.3</v>
      </c>
      <c r="B36" s="216" t="s">
        <v>103</v>
      </c>
      <c r="C36" s="217"/>
      <c r="D36" s="218"/>
      <c r="E36" s="172" t="s">
        <v>78</v>
      </c>
      <c r="F36" s="60" t="s">
        <v>104</v>
      </c>
      <c r="G36" s="43"/>
      <c r="H36" s="19"/>
      <c r="I36" s="19"/>
      <c r="J36" s="19"/>
      <c r="K36" s="20"/>
      <c r="L36" s="20"/>
      <c r="M36" s="19"/>
      <c r="N36" s="57"/>
    </row>
    <row r="37" spans="1:14" s="31" customFormat="1">
      <c r="A37" s="17"/>
      <c r="B37" s="216"/>
      <c r="C37" s="217"/>
      <c r="D37" s="218"/>
      <c r="E37" s="87"/>
      <c r="F37" s="60"/>
      <c r="G37" s="43"/>
      <c r="H37" s="19"/>
      <c r="I37" s="19"/>
      <c r="J37" s="19"/>
      <c r="K37" s="20"/>
      <c r="L37" s="20"/>
      <c r="M37" s="19"/>
      <c r="N37" s="57"/>
    </row>
    <row r="38" spans="1:14" s="31" customFormat="1">
      <c r="A38" s="17"/>
      <c r="B38" s="216"/>
      <c r="C38" s="217"/>
      <c r="D38" s="218"/>
      <c r="E38" s="87"/>
      <c r="F38" s="60"/>
      <c r="G38" s="43"/>
      <c r="H38" s="19"/>
      <c r="I38" s="19"/>
      <c r="J38" s="19"/>
      <c r="K38" s="20"/>
      <c r="L38" s="20"/>
      <c r="M38" s="19"/>
      <c r="N38" s="57"/>
    </row>
    <row r="39" spans="1:14" s="31" customFormat="1">
      <c r="A39" s="17"/>
      <c r="B39" s="216"/>
      <c r="C39" s="217"/>
      <c r="D39" s="218"/>
      <c r="E39" s="87"/>
      <c r="F39" s="60"/>
      <c r="G39" s="43"/>
      <c r="H39" s="19"/>
      <c r="I39" s="19"/>
      <c r="J39" s="19"/>
      <c r="K39" s="20"/>
      <c r="L39" s="20"/>
      <c r="M39" s="19"/>
      <c r="N39" s="57"/>
    </row>
    <row r="40" spans="1:14" s="31" customFormat="1">
      <c r="A40" s="17"/>
      <c r="B40" s="216"/>
      <c r="C40" s="217"/>
      <c r="D40" s="218"/>
      <c r="E40" s="87"/>
      <c r="F40" s="60"/>
      <c r="G40" s="43"/>
      <c r="H40" s="19"/>
      <c r="I40" s="19"/>
      <c r="J40" s="19"/>
      <c r="K40" s="20"/>
      <c r="L40" s="20"/>
      <c r="M40" s="19"/>
      <c r="N40" s="57"/>
    </row>
    <row r="41" spans="1:14" s="31" customFormat="1">
      <c r="A41" s="17"/>
      <c r="B41" s="216"/>
      <c r="C41" s="217"/>
      <c r="D41" s="218"/>
      <c r="E41" s="87"/>
      <c r="F41" s="60"/>
      <c r="G41" s="43"/>
      <c r="H41" s="19"/>
      <c r="I41" s="19"/>
      <c r="J41" s="19"/>
      <c r="K41" s="20"/>
      <c r="L41" s="20"/>
      <c r="M41" s="19"/>
      <c r="N41" s="57"/>
    </row>
    <row r="42" spans="1:14" s="31" customFormat="1">
      <c r="A42" s="17"/>
      <c r="B42" s="216"/>
      <c r="C42" s="217"/>
      <c r="D42" s="218"/>
      <c r="E42" s="87"/>
      <c r="F42" s="60"/>
      <c r="G42" s="43"/>
      <c r="H42" s="19"/>
      <c r="I42" s="19"/>
      <c r="J42" s="19"/>
      <c r="K42" s="20"/>
      <c r="L42" s="20"/>
      <c r="M42" s="19"/>
      <c r="N42" s="57"/>
    </row>
    <row r="43" spans="1:14" s="31" customFormat="1">
      <c r="A43" s="17"/>
      <c r="B43" s="216"/>
      <c r="C43" s="217"/>
      <c r="D43" s="218"/>
      <c r="E43" s="87"/>
      <c r="F43" s="60"/>
      <c r="G43" s="43"/>
      <c r="H43" s="19"/>
      <c r="I43" s="19"/>
      <c r="J43" s="19"/>
      <c r="K43" s="20"/>
      <c r="L43" s="20"/>
      <c r="M43" s="19"/>
      <c r="N43" s="57"/>
    </row>
    <row r="44" spans="1:14" s="31" customFormat="1">
      <c r="A44" s="17"/>
      <c r="B44" s="216"/>
      <c r="C44" s="217"/>
      <c r="D44" s="218"/>
      <c r="E44" s="87"/>
      <c r="F44" s="60"/>
      <c r="G44" s="43"/>
      <c r="H44" s="19"/>
      <c r="I44" s="19"/>
      <c r="J44" s="19"/>
      <c r="K44" s="20"/>
      <c r="L44" s="20"/>
      <c r="M44" s="19"/>
      <c r="N44" s="57"/>
    </row>
    <row r="45" spans="1:14" s="31" customFormat="1">
      <c r="A45" s="17"/>
      <c r="B45" s="216"/>
      <c r="C45" s="217"/>
      <c r="D45" s="218"/>
      <c r="E45" s="87"/>
      <c r="F45" s="60"/>
      <c r="G45" s="43"/>
      <c r="H45" s="19"/>
      <c r="I45" s="19"/>
      <c r="J45" s="19"/>
      <c r="K45" s="20"/>
      <c r="L45" s="20"/>
      <c r="M45" s="19"/>
      <c r="N45" s="57"/>
    </row>
    <row r="46" spans="1:14" s="31" customFormat="1" ht="13.8" thickBot="1">
      <c r="A46" s="33"/>
      <c r="B46" s="231"/>
      <c r="C46" s="232"/>
      <c r="D46" s="233"/>
      <c r="E46" s="88"/>
      <c r="F46" s="61"/>
      <c r="G46" s="44"/>
      <c r="H46" s="21"/>
      <c r="I46" s="21"/>
      <c r="J46" s="21"/>
      <c r="K46" s="34"/>
      <c r="L46" s="34"/>
      <c r="M46" s="21"/>
      <c r="N46" s="58"/>
    </row>
    <row r="47" spans="1:14" ht="13.8" thickBot="1">
      <c r="A47" s="1"/>
      <c r="B47" s="10"/>
      <c r="C47" s="10"/>
      <c r="D47" s="10"/>
      <c r="E47" s="10"/>
      <c r="F47" s="10"/>
      <c r="G47" s="2"/>
      <c r="H47" s="2"/>
      <c r="I47" s="2"/>
      <c r="J47" s="2"/>
      <c r="K47" s="2"/>
      <c r="L47" s="2"/>
      <c r="M47" s="3"/>
      <c r="N47" s="7"/>
    </row>
  </sheetData>
  <mergeCells count="58">
    <mergeCell ref="A1:F1"/>
    <mergeCell ref="B39:D39"/>
    <mergeCell ref="B46:D46"/>
    <mergeCell ref="B40:D40"/>
    <mergeCell ref="B41:D41"/>
    <mergeCell ref="B42:D42"/>
    <mergeCell ref="B43:D43"/>
    <mergeCell ref="B44:D44"/>
    <mergeCell ref="B45:D45"/>
    <mergeCell ref="B35:D35"/>
    <mergeCell ref="B36:D36"/>
    <mergeCell ref="B37:D37"/>
    <mergeCell ref="B38:D38"/>
    <mergeCell ref="B31:D31"/>
    <mergeCell ref="B30:D30"/>
    <mergeCell ref="B33:D33"/>
    <mergeCell ref="B34:D34"/>
    <mergeCell ref="B27:D27"/>
    <mergeCell ref="A15:F15"/>
    <mergeCell ref="B24:D24"/>
    <mergeCell ref="B26:D26"/>
    <mergeCell ref="B16:D16"/>
    <mergeCell ref="B17:D17"/>
    <mergeCell ref="B25:D25"/>
    <mergeCell ref="B21:D21"/>
    <mergeCell ref="B20:D20"/>
    <mergeCell ref="B19:D19"/>
    <mergeCell ref="B18:D18"/>
    <mergeCell ref="B28:D28"/>
    <mergeCell ref="B29:D29"/>
    <mergeCell ref="B32:D32"/>
    <mergeCell ref="B22:D22"/>
    <mergeCell ref="A2:F2"/>
    <mergeCell ref="G4:I6"/>
    <mergeCell ref="G7:H9"/>
    <mergeCell ref="I7:I9"/>
    <mergeCell ref="J7:K9"/>
    <mergeCell ref="J4:K6"/>
    <mergeCell ref="A5:B5"/>
    <mergeCell ref="A9:B9"/>
    <mergeCell ref="A8:B8"/>
    <mergeCell ref="A4:B4"/>
    <mergeCell ref="A6:B6"/>
    <mergeCell ref="M10:N13"/>
    <mergeCell ref="M4:N6"/>
    <mergeCell ref="A10:B10"/>
    <mergeCell ref="I10:I13"/>
    <mergeCell ref="J10:K13"/>
    <mergeCell ref="M7:N9"/>
    <mergeCell ref="F4:F6"/>
    <mergeCell ref="F7:F9"/>
    <mergeCell ref="L10:L13"/>
    <mergeCell ref="L4:L6"/>
    <mergeCell ref="A11:B11"/>
    <mergeCell ref="F10:F13"/>
    <mergeCell ref="L7:L9"/>
    <mergeCell ref="G10:H13"/>
    <mergeCell ref="A7:B7"/>
  </mergeCells>
  <conditionalFormatting sqref="A4">
    <cfRule type="cellIs" dxfId="13" priority="2" stopIfTrue="1" operator="equal">
      <formula>"populate Data Control tab"</formula>
    </cfRule>
  </conditionalFormatting>
  <conditionalFormatting sqref="C4:C12">
    <cfRule type="cellIs" dxfId="12" priority="1" stopIfTrue="1" operator="equal">
      <formula>"populate Data Control tab"</formula>
    </cfRule>
  </conditionalFormatting>
  <conditionalFormatting sqref="G7">
    <cfRule type="cellIs" dxfId="11" priority="13" operator="equal">
      <formula>"&lt; enter name &gt;"</formula>
    </cfRule>
  </conditionalFormatting>
  <conditionalFormatting sqref="G10">
    <cfRule type="cellIs" dxfId="10" priority="15" operator="equal">
      <formula>"&lt; enter name &gt;"</formula>
    </cfRule>
  </conditionalFormatting>
  <conditionalFormatting sqref="I7:I13">
    <cfRule type="cellIs" dxfId="9" priority="14" operator="equal">
      <formula>"dd/mm/yyyy"</formula>
    </cfRule>
  </conditionalFormatting>
  <conditionalFormatting sqref="L4 L7">
    <cfRule type="cellIs" dxfId="8" priority="5" operator="equal">
      <formula>"&lt; enter name &gt;"</formula>
    </cfRule>
  </conditionalFormatting>
  <conditionalFormatting sqref="L10">
    <cfRule type="cellIs" dxfId="7" priority="19" operator="equal">
      <formula>"&lt; enter name &gt;"</formula>
    </cfRule>
  </conditionalFormatting>
  <conditionalFormatting sqref="M4">
    <cfRule type="cellIs" dxfId="6" priority="20" operator="equal">
      <formula>"dd/mm/yyyy"</formula>
    </cfRule>
  </conditionalFormatting>
  <conditionalFormatting sqref="M7">
    <cfRule type="cellIs" dxfId="5" priority="21" operator="equal">
      <formula>"dd/mm/yyyy"</formula>
    </cfRule>
  </conditionalFormatting>
  <conditionalFormatting sqref="M10">
    <cfRule type="cellIs" dxfId="4" priority="48" operator="equal">
      <formula>"dd/mm/yyyy"</formula>
    </cfRule>
  </conditionalFormatting>
  <printOptions horizontalCentered="1"/>
  <pageMargins left="0.35433070866141736" right="0.15748031496062992" top="0.78740157480314965" bottom="0.19685039370078741" header="0.39370078740157483" footer="0.11811023622047245"/>
  <pageSetup paperSize="8" scale="67" fitToHeight="0" orientation="landscape" r:id="rId1"/>
  <headerFooter alignWithMargins="0">
    <oddFooter>&amp;LPrinted or downloaded copies are uncontrolled&amp;RPage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98FAD53-054F-4CED-B992-E89BB72A428B}">
          <x14:formula1>
            <xm:f>Dropdowns!$B$9:$B$13</xm:f>
          </x14:formula1>
          <xm:sqref>E37:E46</xm:sqref>
        </x14:dataValidation>
        <x14:dataValidation type="list" allowBlank="1" showInputMessage="1" showErrorMessage="1" xr:uid="{762A05FB-EC24-4FD9-A7ED-EB19BCA8769D}">
          <x14:formula1>
            <xm:f>Dropdowns!$B$5:$B$7</xm:f>
          </x14:formula1>
          <xm:sqref>G17:G46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J41"/>
  <sheetViews>
    <sheetView zoomScale="75" zoomScaleNormal="75" workbookViewId="0">
      <selection activeCell="D35" sqref="D35:D36"/>
    </sheetView>
  </sheetViews>
  <sheetFormatPr defaultColWidth="9.33203125" defaultRowHeight="13.2"/>
  <cols>
    <col min="1" max="1" width="5.5546875" style="4" customWidth="1"/>
    <col min="2" max="5" width="32.6640625" style="9" customWidth="1"/>
    <col min="6" max="6" width="11.6640625" style="4" bestFit="1" customWidth="1"/>
    <col min="7" max="7" width="16" style="4" customWidth="1"/>
    <col min="8" max="9" width="11.6640625" style="4" customWidth="1"/>
    <col min="10" max="10" width="25" style="4" customWidth="1"/>
    <col min="11" max="16384" width="9.33203125" style="4"/>
  </cols>
  <sheetData>
    <row r="1" spans="1:10" s="24" customFormat="1" ht="30" customHeight="1">
      <c r="A1" s="12" t="s">
        <v>29</v>
      </c>
      <c r="B1" s="12"/>
      <c r="C1" s="12"/>
      <c r="D1" s="12"/>
      <c r="E1" s="12"/>
      <c r="F1" s="86" t="str">
        <f t="array" aca="1" ref="F1" ca="1">MID(CELL("filename",A1),FIND("]",CELL("filename",A1))+1,256)</f>
        <v xml:space="preserve">JLR Eng </v>
      </c>
      <c r="H1" s="80"/>
      <c r="I1" s="80"/>
      <c r="J1" s="146" t="s">
        <v>30</v>
      </c>
    </row>
    <row r="2" spans="1:10" s="23" customFormat="1" ht="15.6">
      <c r="A2" s="52" t="s">
        <v>31</v>
      </c>
      <c r="B2" s="52"/>
      <c r="C2" s="52"/>
      <c r="D2" s="52"/>
      <c r="E2" s="52"/>
      <c r="F2" s="52"/>
      <c r="G2" s="59"/>
      <c r="H2" s="80"/>
      <c r="I2" s="80"/>
      <c r="J2" s="36" t="s">
        <v>28</v>
      </c>
    </row>
    <row r="3" spans="1:10" s="38" customFormat="1" ht="16.2" thickBot="1">
      <c r="A3" s="28"/>
      <c r="B3" s="37"/>
      <c r="C3" s="37"/>
      <c r="D3" s="37"/>
      <c r="E3" s="37"/>
      <c r="F3" s="28"/>
      <c r="G3" s="28"/>
      <c r="H3" s="28"/>
      <c r="I3" s="28"/>
      <c r="J3" s="28"/>
    </row>
    <row r="4" spans="1:10" s="28" customFormat="1" ht="15.75" customHeight="1">
      <c r="A4" s="214">
        <f>'DATA CONTROL'!B5</f>
        <v>4181</v>
      </c>
      <c r="B4" s="215"/>
      <c r="C4" s="85">
        <f>'DATA CONTROL'!B8</f>
        <v>45967</v>
      </c>
    </row>
    <row r="5" spans="1:10" s="28" customFormat="1" ht="15" customHeight="1">
      <c r="A5" s="210" t="s">
        <v>32</v>
      </c>
      <c r="B5" s="211"/>
      <c r="C5" s="121" t="str">
        <f>'DATA CONTROL'!B13</f>
        <v>ACCESS PANEL</v>
      </c>
    </row>
    <row r="6" spans="1:10" s="28" customFormat="1" ht="16.5" customHeight="1">
      <c r="A6" s="180" t="s">
        <v>33</v>
      </c>
      <c r="B6" s="181"/>
      <c r="C6" s="121" t="str">
        <f>'DATA CONTROL'!B6</f>
        <v>Sean Oakwood</v>
      </c>
    </row>
    <row r="7" spans="1:10" s="38" customFormat="1" ht="16.5" customHeight="1" thickBot="1">
      <c r="A7" s="239" t="s">
        <v>34</v>
      </c>
      <c r="B7" s="240"/>
      <c r="C7" s="122" t="str">
        <f>'DATA CONTROL'!B7</f>
        <v>MPYKA</v>
      </c>
      <c r="D7" s="28"/>
      <c r="F7" s="28"/>
      <c r="G7" s="28"/>
      <c r="H7" s="28"/>
      <c r="I7" s="28"/>
      <c r="J7" s="28"/>
    </row>
    <row r="8" spans="1:10" s="38" customFormat="1" ht="16.5" customHeight="1">
      <c r="A8" s="212" t="s">
        <v>35</v>
      </c>
      <c r="B8" s="213"/>
      <c r="C8" s="123" t="str">
        <f>'DATA CONTROL'!B15</f>
        <v>MMINDA1</v>
      </c>
      <c r="D8" s="28"/>
      <c r="F8" s="28"/>
      <c r="G8" s="28"/>
      <c r="H8" s="28"/>
      <c r="I8" s="28"/>
      <c r="J8" s="28"/>
    </row>
    <row r="9" spans="1:10" s="8" customFormat="1" ht="15" customHeight="1">
      <c r="A9" s="180" t="s">
        <v>36</v>
      </c>
      <c r="B9" s="181"/>
      <c r="C9" s="122" t="str">
        <f>'DATA CONTROL'!B11</f>
        <v>L463 30MY</v>
      </c>
      <c r="D9" s="28"/>
      <c r="F9" s="28"/>
      <c r="G9" s="28"/>
      <c r="H9" s="28"/>
      <c r="I9" s="28"/>
      <c r="J9" s="28"/>
    </row>
    <row r="10" spans="1:10" s="8" customFormat="1" ht="15.6">
      <c r="A10" s="180" t="s">
        <v>37</v>
      </c>
      <c r="B10" s="181"/>
      <c r="C10" s="121" t="str">
        <f>'DATA CONTROL'!B12</f>
        <v>Y9250A</v>
      </c>
      <c r="D10" s="28"/>
      <c r="F10" s="28"/>
      <c r="G10" s="28"/>
      <c r="H10" s="28"/>
      <c r="I10" s="28"/>
      <c r="J10" s="28"/>
    </row>
    <row r="11" spans="1:10" s="8" customFormat="1" ht="16.2" thickBot="1">
      <c r="A11" s="239" t="s">
        <v>38</v>
      </c>
      <c r="B11" s="240"/>
      <c r="C11" s="124" t="str">
        <f>'DATA CONTROL'!B14</f>
        <v xml:space="preserve">Z7B2-13A994-AAW </v>
      </c>
      <c r="D11" s="28"/>
      <c r="F11" s="28"/>
      <c r="G11" s="28"/>
      <c r="H11" s="28"/>
      <c r="I11" s="28"/>
      <c r="J11" s="28"/>
    </row>
    <row r="12" spans="1:10" s="29" customFormat="1" ht="16.2" thickBot="1">
      <c r="A12" s="8"/>
      <c r="B12" s="30"/>
      <c r="C12" s="30"/>
      <c r="D12" s="30"/>
      <c r="E12" s="30"/>
      <c r="F12" s="8"/>
      <c r="G12" s="8"/>
      <c r="H12" s="8"/>
      <c r="I12" s="8"/>
      <c r="J12" s="8"/>
    </row>
    <row r="13" spans="1:10" ht="23.4" thickBot="1">
      <c r="A13" s="222" t="s">
        <v>39</v>
      </c>
      <c r="B13" s="223"/>
      <c r="C13" s="223"/>
      <c r="D13" s="223"/>
      <c r="E13" s="223"/>
      <c r="F13" s="223"/>
      <c r="G13" s="241"/>
      <c r="H13" s="242" t="s">
        <v>105</v>
      </c>
      <c r="I13" s="243"/>
      <c r="J13" s="244"/>
    </row>
    <row r="14" spans="1:10" ht="41.1" customHeight="1" thickBot="1">
      <c r="A14" s="47" t="s">
        <v>41</v>
      </c>
      <c r="B14" s="65" t="s">
        <v>42</v>
      </c>
      <c r="C14" s="117" t="s">
        <v>43</v>
      </c>
      <c r="D14" s="67" t="s">
        <v>44</v>
      </c>
      <c r="E14" s="65" t="s">
        <v>45</v>
      </c>
      <c r="F14" s="144" t="s">
        <v>46</v>
      </c>
      <c r="G14" s="66" t="s">
        <v>47</v>
      </c>
      <c r="H14" s="149" t="s">
        <v>48</v>
      </c>
      <c r="I14" s="147" t="s">
        <v>50</v>
      </c>
      <c r="J14" s="148" t="s">
        <v>51</v>
      </c>
    </row>
    <row r="15" spans="1:10" s="31" customFormat="1">
      <c r="A15" s="49"/>
      <c r="B15" s="60"/>
      <c r="C15" s="26"/>
      <c r="D15" s="60"/>
      <c r="E15" s="26"/>
      <c r="F15" s="63"/>
      <c r="G15" s="54"/>
      <c r="H15" s="43"/>
      <c r="I15" s="89"/>
      <c r="J15" s="57"/>
    </row>
    <row r="16" spans="1:10" s="31" customFormat="1">
      <c r="A16" s="49"/>
      <c r="B16" s="60"/>
      <c r="C16" s="26"/>
      <c r="D16" s="60"/>
      <c r="E16" s="26"/>
      <c r="F16" s="63"/>
      <c r="G16" s="54"/>
      <c r="H16" s="43"/>
      <c r="I16" s="89"/>
      <c r="J16" s="57"/>
    </row>
    <row r="17" spans="1:10" s="31" customFormat="1">
      <c r="A17" s="49"/>
      <c r="B17" s="60"/>
      <c r="C17" s="26"/>
      <c r="D17" s="60"/>
      <c r="E17" s="26"/>
      <c r="F17" s="63"/>
      <c r="G17" s="54"/>
      <c r="H17" s="43"/>
      <c r="I17" s="89"/>
      <c r="J17" s="57"/>
    </row>
    <row r="18" spans="1:10" s="31" customFormat="1">
      <c r="A18" s="49"/>
      <c r="B18" s="60"/>
      <c r="C18" s="26"/>
      <c r="D18" s="60"/>
      <c r="E18" s="26"/>
      <c r="F18" s="63"/>
      <c r="G18" s="54"/>
      <c r="H18" s="43"/>
      <c r="I18" s="89"/>
      <c r="J18" s="57"/>
    </row>
    <row r="19" spans="1:10" s="31" customFormat="1">
      <c r="A19" s="49"/>
      <c r="B19" s="60"/>
      <c r="C19" s="26"/>
      <c r="D19" s="60"/>
      <c r="E19" s="26"/>
      <c r="F19" s="63"/>
      <c r="G19" s="54"/>
      <c r="H19" s="43"/>
      <c r="I19" s="89"/>
      <c r="J19" s="57"/>
    </row>
    <row r="20" spans="1:10" s="31" customFormat="1">
      <c r="A20" s="49"/>
      <c r="B20" s="60"/>
      <c r="C20" s="26"/>
      <c r="D20" s="60"/>
      <c r="E20" s="26"/>
      <c r="F20" s="63"/>
      <c r="G20" s="54"/>
      <c r="H20" s="43"/>
      <c r="I20" s="89"/>
      <c r="J20" s="57"/>
    </row>
    <row r="21" spans="1:10" s="5" customFormat="1">
      <c r="A21" s="49"/>
      <c r="B21" s="60"/>
      <c r="C21" s="26"/>
      <c r="D21" s="60"/>
      <c r="E21" s="26"/>
      <c r="F21" s="63"/>
      <c r="G21" s="54"/>
      <c r="H21" s="43"/>
      <c r="I21" s="89"/>
      <c r="J21" s="57"/>
    </row>
    <row r="22" spans="1:10" s="31" customFormat="1">
      <c r="A22" s="49"/>
      <c r="B22" s="60"/>
      <c r="C22" s="26"/>
      <c r="D22" s="60"/>
      <c r="E22" s="26"/>
      <c r="F22" s="63"/>
      <c r="G22" s="54"/>
      <c r="H22" s="43"/>
      <c r="I22" s="89"/>
      <c r="J22" s="57"/>
    </row>
    <row r="23" spans="1:10" s="31" customFormat="1">
      <c r="A23" s="49"/>
      <c r="B23" s="60"/>
      <c r="C23" s="26"/>
      <c r="D23" s="60"/>
      <c r="E23" s="26"/>
      <c r="F23" s="63"/>
      <c r="G23" s="54"/>
      <c r="H23" s="43"/>
      <c r="I23" s="89"/>
      <c r="J23" s="57"/>
    </row>
    <row r="24" spans="1:10" s="31" customFormat="1">
      <c r="A24" s="49"/>
      <c r="B24" s="60"/>
      <c r="C24" s="26"/>
      <c r="D24" s="60"/>
      <c r="E24" s="26"/>
      <c r="F24" s="63"/>
      <c r="G24" s="54"/>
      <c r="H24" s="43"/>
      <c r="I24" s="89"/>
      <c r="J24" s="57"/>
    </row>
    <row r="25" spans="1:10" s="31" customFormat="1">
      <c r="A25" s="49"/>
      <c r="B25" s="60"/>
      <c r="C25" s="26"/>
      <c r="D25" s="60"/>
      <c r="E25" s="26"/>
      <c r="F25" s="63"/>
      <c r="G25" s="54"/>
      <c r="H25" s="43"/>
      <c r="I25" s="89"/>
      <c r="J25" s="57"/>
    </row>
    <row r="26" spans="1:10" s="31" customFormat="1">
      <c r="A26" s="49"/>
      <c r="B26" s="60"/>
      <c r="C26" s="26"/>
      <c r="D26" s="60"/>
      <c r="E26" s="26"/>
      <c r="F26" s="63"/>
      <c r="G26" s="54"/>
      <c r="H26" s="43"/>
      <c r="I26" s="89"/>
      <c r="J26" s="57"/>
    </row>
    <row r="27" spans="1:10" s="31" customFormat="1">
      <c r="A27" s="49"/>
      <c r="B27" s="60"/>
      <c r="C27" s="26"/>
      <c r="D27" s="60"/>
      <c r="E27" s="26"/>
      <c r="F27" s="63"/>
      <c r="G27" s="54"/>
      <c r="H27" s="43"/>
      <c r="I27" s="89"/>
      <c r="J27" s="57"/>
    </row>
    <row r="28" spans="1:10" s="31" customFormat="1">
      <c r="A28" s="49"/>
      <c r="B28" s="60"/>
      <c r="C28" s="26"/>
      <c r="D28" s="60"/>
      <c r="E28" s="26"/>
      <c r="F28" s="63"/>
      <c r="G28" s="54"/>
      <c r="H28" s="43"/>
      <c r="I28" s="89"/>
      <c r="J28" s="57"/>
    </row>
    <row r="29" spans="1:10" s="31" customFormat="1">
      <c r="A29" s="49"/>
      <c r="B29" s="60"/>
      <c r="C29" s="26"/>
      <c r="D29" s="60"/>
      <c r="E29" s="26"/>
      <c r="F29" s="63"/>
      <c r="G29" s="54"/>
      <c r="H29" s="43"/>
      <c r="I29" s="89"/>
      <c r="J29" s="57"/>
    </row>
    <row r="30" spans="1:10" s="31" customFormat="1">
      <c r="A30" s="49"/>
      <c r="B30" s="60"/>
      <c r="C30" s="26"/>
      <c r="D30" s="60"/>
      <c r="E30" s="26"/>
      <c r="F30" s="63"/>
      <c r="G30" s="54"/>
      <c r="H30" s="43"/>
      <c r="I30" s="89"/>
      <c r="J30" s="57"/>
    </row>
    <row r="31" spans="1:10" s="31" customFormat="1">
      <c r="A31" s="49"/>
      <c r="B31" s="60"/>
      <c r="C31" s="26"/>
      <c r="D31" s="60"/>
      <c r="E31" s="26"/>
      <c r="F31" s="63"/>
      <c r="G31" s="54"/>
      <c r="H31" s="43"/>
      <c r="I31" s="89"/>
      <c r="J31" s="57"/>
    </row>
    <row r="32" spans="1:10" s="31" customFormat="1">
      <c r="A32" s="49"/>
      <c r="B32" s="60"/>
      <c r="C32" s="26"/>
      <c r="D32" s="60"/>
      <c r="E32" s="26"/>
      <c r="F32" s="63"/>
      <c r="G32" s="54"/>
      <c r="H32" s="43"/>
      <c r="I32" s="89"/>
      <c r="J32" s="57"/>
    </row>
    <row r="33" spans="1:10" s="31" customFormat="1">
      <c r="A33" s="49"/>
      <c r="B33" s="60"/>
      <c r="C33" s="26"/>
      <c r="D33" s="60"/>
      <c r="E33" s="26"/>
      <c r="F33" s="63"/>
      <c r="G33" s="54"/>
      <c r="H33" s="43"/>
      <c r="I33" s="89"/>
      <c r="J33" s="57"/>
    </row>
    <row r="34" spans="1:10" s="31" customFormat="1">
      <c r="A34" s="49"/>
      <c r="B34" s="60"/>
      <c r="C34" s="26"/>
      <c r="D34" s="60"/>
      <c r="E34" s="26"/>
      <c r="F34" s="63"/>
      <c r="G34" s="54"/>
      <c r="H34" s="43"/>
      <c r="I34" s="89"/>
      <c r="J34" s="57"/>
    </row>
    <row r="35" spans="1:10" s="31" customFormat="1">
      <c r="A35" s="49"/>
      <c r="B35" s="60"/>
      <c r="C35" s="26"/>
      <c r="D35" s="60"/>
      <c r="E35" s="26"/>
      <c r="F35" s="63"/>
      <c r="G35" s="54"/>
      <c r="H35" s="43"/>
      <c r="I35" s="89"/>
      <c r="J35" s="57"/>
    </row>
    <row r="36" spans="1:10" s="31" customFormat="1">
      <c r="A36" s="49"/>
      <c r="B36" s="60"/>
      <c r="C36" s="26"/>
      <c r="D36" s="60"/>
      <c r="E36" s="26"/>
      <c r="F36" s="63"/>
      <c r="G36" s="54"/>
      <c r="H36" s="43"/>
      <c r="I36" s="89"/>
      <c r="J36" s="57"/>
    </row>
    <row r="37" spans="1:10" s="31" customFormat="1">
      <c r="A37" s="49"/>
      <c r="B37" s="60"/>
      <c r="C37" s="26"/>
      <c r="D37" s="60"/>
      <c r="E37" s="26"/>
      <c r="F37" s="63"/>
      <c r="G37" s="54"/>
      <c r="H37" s="43"/>
      <c r="I37" s="89"/>
      <c r="J37" s="57"/>
    </row>
    <row r="38" spans="1:10" s="31" customFormat="1">
      <c r="A38" s="49"/>
      <c r="B38" s="60"/>
      <c r="C38" s="26"/>
      <c r="D38" s="60"/>
      <c r="E38" s="26"/>
      <c r="F38" s="63"/>
      <c r="G38" s="54"/>
      <c r="H38" s="43"/>
      <c r="I38" s="89"/>
      <c r="J38" s="57"/>
    </row>
    <row r="39" spans="1:10" s="31" customFormat="1">
      <c r="A39" s="49"/>
      <c r="B39" s="60"/>
      <c r="C39" s="26"/>
      <c r="D39" s="60"/>
      <c r="E39" s="26"/>
      <c r="F39" s="63"/>
      <c r="G39" s="54"/>
      <c r="H39" s="43"/>
      <c r="I39" s="89"/>
      <c r="J39" s="57"/>
    </row>
    <row r="40" spans="1:10" s="31" customFormat="1" ht="13.8" thickBot="1">
      <c r="A40" s="50"/>
      <c r="B40" s="61"/>
      <c r="C40" s="27"/>
      <c r="D40" s="61"/>
      <c r="E40" s="27"/>
      <c r="F40" s="64"/>
      <c r="G40" s="55"/>
      <c r="H40" s="44"/>
      <c r="I40" s="90"/>
      <c r="J40" s="58"/>
    </row>
    <row r="41" spans="1:10" ht="13.8" thickBot="1">
      <c r="A41" s="1"/>
      <c r="B41" s="10"/>
      <c r="C41" s="10"/>
      <c r="D41" s="10"/>
      <c r="E41" s="10"/>
      <c r="F41" s="2"/>
      <c r="G41" s="2"/>
      <c r="H41" s="2"/>
      <c r="I41" s="2"/>
      <c r="J41" s="6"/>
    </row>
  </sheetData>
  <mergeCells count="10">
    <mergeCell ref="A4:B4"/>
    <mergeCell ref="A5:B5"/>
    <mergeCell ref="A6:B6"/>
    <mergeCell ref="A7:B7"/>
    <mergeCell ref="A8:B8"/>
    <mergeCell ref="A10:B10"/>
    <mergeCell ref="A11:B11"/>
    <mergeCell ref="A13:G13"/>
    <mergeCell ref="H13:J13"/>
    <mergeCell ref="A9:B9"/>
  </mergeCells>
  <conditionalFormatting sqref="A4">
    <cfRule type="cellIs" dxfId="3" priority="2" stopIfTrue="1" operator="equal">
      <formula>"populate Data Control tab"</formula>
    </cfRule>
  </conditionalFormatting>
  <conditionalFormatting sqref="C4:C11">
    <cfRule type="cellIs" dxfId="2" priority="1" stopIfTrue="1" operator="equal">
      <formula>"populate Data Control tab"</formula>
    </cfRule>
  </conditionalFormatting>
  <dataValidations count="1">
    <dataValidation allowBlank="1" showInputMessage="1" showErrorMessage="1" promptTitle="Warning" prompt="If you have added any additional product requirements to the SCSS for your programme, you must add an action into the DRBFM to review/update the core DFMEA to reflect the new additional requirements." sqref="B15:C40" xr:uid="{8D3D06BF-1481-4FA7-AF80-3671F2D9E8F6}"/>
  </dataValidations>
  <pageMargins left="0.39370078740157483" right="0.39370078740157483" top="0.35433070866141736" bottom="0.74803149606299213" header="0.19685039370078741" footer="0.31496062992125984"/>
  <pageSetup paperSize="9" scale="66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603E8B5-EFCD-437F-A25F-ED0D87BD5BC1}">
          <x14:formula1>
            <xm:f>Dropdowns!$D$5:$D$7</xm:f>
          </x14:formula1>
          <xm:sqref>H15:H40</xm:sqref>
        </x14:dataValidation>
        <x14:dataValidation type="list" allowBlank="1" showInputMessage="1" showErrorMessage="1" xr:uid="{04CD095A-610E-4936-8A9E-A56AE520C819}">
          <x14:formula1>
            <xm:f>Dropdowns!$D$9:$D$13</xm:f>
          </x14:formula1>
          <xm:sqref>F15:F40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H45"/>
  <sheetViews>
    <sheetView showGridLines="0" zoomScale="80" zoomScaleNormal="80" zoomScaleSheetLayoutView="70" workbookViewId="0">
      <pane xSplit="1" ySplit="14" topLeftCell="B15" activePane="bottomRight" state="frozen"/>
      <selection pane="topRight" activeCell="C5" sqref="C5:C11"/>
      <selection pane="bottomLeft" activeCell="C5" sqref="C5:C11"/>
      <selection pane="bottomRight" activeCell="D38" sqref="D38"/>
    </sheetView>
  </sheetViews>
  <sheetFormatPr defaultColWidth="9.33203125" defaultRowHeight="13.2"/>
  <cols>
    <col min="1" max="1" width="5.5546875" style="4" customWidth="1"/>
    <col min="2" max="5" width="32.6640625" style="9" customWidth="1"/>
    <col min="6" max="6" width="20.44140625" style="9" customWidth="1"/>
    <col min="7" max="7" width="11.6640625" style="4" customWidth="1"/>
    <col min="8" max="8" width="25" style="4" customWidth="1"/>
    <col min="9" max="16384" width="9.33203125" style="4"/>
  </cols>
  <sheetData>
    <row r="1" spans="1:8" s="24" customFormat="1" ht="30" customHeight="1">
      <c r="A1" s="230" t="s">
        <v>29</v>
      </c>
      <c r="B1" s="230"/>
      <c r="C1" s="230"/>
      <c r="D1" s="230"/>
      <c r="E1" s="230"/>
      <c r="F1" s="16"/>
      <c r="G1" s="86" t="str">
        <f t="array" aca="1" ref="G1" ca="1">MID(CELL("filename",A1),FIND("]",CELL("filename",A1))+1,256)</f>
        <v>Service</v>
      </c>
      <c r="H1" s="146" t="s">
        <v>30</v>
      </c>
    </row>
    <row r="2" spans="1:8" s="23" customFormat="1" ht="15.6">
      <c r="A2" s="52" t="s">
        <v>31</v>
      </c>
      <c r="B2" s="81"/>
      <c r="C2" s="81"/>
      <c r="D2" s="81"/>
      <c r="E2" s="81"/>
      <c r="F2" s="81"/>
      <c r="G2" s="80"/>
      <c r="H2" s="36" t="s">
        <v>28</v>
      </c>
    </row>
    <row r="3" spans="1:8" s="38" customFormat="1" ht="16.2" thickBot="1">
      <c r="A3" s="28"/>
      <c r="B3" s="37"/>
      <c r="C3" s="37"/>
      <c r="D3" s="37"/>
      <c r="E3" s="37"/>
      <c r="F3" s="37"/>
      <c r="G3" s="28"/>
      <c r="H3" s="28"/>
    </row>
    <row r="4" spans="1:8" s="28" customFormat="1" ht="15.75" customHeight="1">
      <c r="A4" s="214">
        <f>'DATA CONTROL'!B5</f>
        <v>4181</v>
      </c>
      <c r="B4" s="215"/>
      <c r="C4" s="85">
        <f>'DATA CONTROL'!B8</f>
        <v>45967</v>
      </c>
    </row>
    <row r="5" spans="1:8" s="28" customFormat="1" ht="15" customHeight="1">
      <c r="A5" s="210" t="s">
        <v>32</v>
      </c>
      <c r="B5" s="211"/>
      <c r="C5" s="121" t="str">
        <f>'DATA CONTROL'!B13</f>
        <v>ACCESS PANEL</v>
      </c>
    </row>
    <row r="6" spans="1:8" s="28" customFormat="1" ht="16.5" customHeight="1">
      <c r="A6" s="180" t="s">
        <v>33</v>
      </c>
      <c r="B6" s="181"/>
      <c r="C6" s="121" t="str">
        <f>'DATA CONTROL'!B6</f>
        <v>Sean Oakwood</v>
      </c>
    </row>
    <row r="7" spans="1:8" s="38" customFormat="1" ht="16.5" customHeight="1" thickBot="1">
      <c r="A7" s="239" t="s">
        <v>34</v>
      </c>
      <c r="B7" s="240"/>
      <c r="C7" s="122" t="str">
        <f>'DATA CONTROL'!B7</f>
        <v>MPYKA</v>
      </c>
      <c r="D7" s="28"/>
      <c r="G7" s="28"/>
      <c r="H7" s="28"/>
    </row>
    <row r="8" spans="1:8" s="38" customFormat="1" ht="16.5" customHeight="1">
      <c r="A8" s="212" t="s">
        <v>35</v>
      </c>
      <c r="B8" s="213"/>
      <c r="C8" s="123" t="str">
        <f>'DATA CONTROL'!B15</f>
        <v>MMINDA1</v>
      </c>
      <c r="D8" s="28"/>
      <c r="G8" s="28"/>
      <c r="H8" s="28"/>
    </row>
    <row r="9" spans="1:8" s="8" customFormat="1" ht="15" customHeight="1">
      <c r="A9" s="180" t="s">
        <v>36</v>
      </c>
      <c r="B9" s="181"/>
      <c r="C9" s="122" t="str">
        <f>'DATA CONTROL'!B11</f>
        <v>L463 30MY</v>
      </c>
      <c r="D9" s="28"/>
      <c r="G9" s="28"/>
      <c r="H9" s="28"/>
    </row>
    <row r="10" spans="1:8" s="8" customFormat="1" ht="15.6">
      <c r="A10" s="180" t="s">
        <v>37</v>
      </c>
      <c r="B10" s="181"/>
      <c r="C10" s="121" t="str">
        <f>'DATA CONTROL'!B12</f>
        <v>Y9250A</v>
      </c>
      <c r="D10" s="28"/>
      <c r="G10" s="28"/>
      <c r="H10" s="28"/>
    </row>
    <row r="11" spans="1:8" s="8" customFormat="1" ht="16.2" thickBot="1">
      <c r="A11" s="239" t="s">
        <v>38</v>
      </c>
      <c r="B11" s="240"/>
      <c r="C11" s="124" t="str">
        <f>'DATA CONTROL'!B14</f>
        <v xml:space="preserve">Z7B2-13A994-AAW </v>
      </c>
      <c r="D11" s="28"/>
      <c r="G11" s="28"/>
      <c r="H11" s="28"/>
    </row>
    <row r="12" spans="1:8" s="29" customFormat="1" ht="16.2" thickBot="1">
      <c r="A12" s="8"/>
      <c r="B12" s="30"/>
      <c r="C12" s="30"/>
      <c r="D12" s="30"/>
      <c r="E12" s="30"/>
      <c r="F12" s="30"/>
      <c r="G12" s="8"/>
      <c r="H12" s="8"/>
    </row>
    <row r="13" spans="1:8" ht="23.4" thickBot="1">
      <c r="A13" s="247" t="s">
        <v>39</v>
      </c>
      <c r="B13" s="248"/>
      <c r="C13" s="248"/>
      <c r="D13" s="248"/>
      <c r="E13" s="248"/>
      <c r="F13" s="107"/>
      <c r="G13" s="245" t="s">
        <v>40</v>
      </c>
      <c r="H13" s="246"/>
    </row>
    <row r="14" spans="1:8" ht="31.8" thickBot="1">
      <c r="A14" s="132" t="s">
        <v>41</v>
      </c>
      <c r="B14" s="105" t="s">
        <v>42</v>
      </c>
      <c r="C14" s="105" t="s">
        <v>43</v>
      </c>
      <c r="D14" s="106" t="s">
        <v>44</v>
      </c>
      <c r="E14" s="106" t="s">
        <v>45</v>
      </c>
      <c r="F14" s="144" t="s">
        <v>46</v>
      </c>
      <c r="G14" s="150" t="s">
        <v>48</v>
      </c>
      <c r="H14" s="101" t="s">
        <v>51</v>
      </c>
    </row>
    <row r="15" spans="1:8" s="5" customFormat="1">
      <c r="A15" s="104"/>
      <c r="B15" s="51"/>
      <c r="C15" s="51"/>
      <c r="D15" s="68"/>
      <c r="E15" s="69"/>
      <c r="F15" s="69"/>
      <c r="G15" s="42"/>
      <c r="H15" s="56"/>
    </row>
    <row r="16" spans="1:8" s="31" customFormat="1">
      <c r="A16" s="17"/>
      <c r="B16" s="25"/>
      <c r="C16" s="68"/>
      <c r="D16" s="25"/>
      <c r="E16" s="60"/>
      <c r="F16" s="60"/>
      <c r="G16" s="43"/>
      <c r="H16" s="57"/>
    </row>
    <row r="17" spans="1:8" s="31" customFormat="1">
      <c r="A17" s="17"/>
      <c r="B17" s="25"/>
      <c r="C17" s="68"/>
      <c r="D17" s="25"/>
      <c r="E17" s="60"/>
      <c r="F17" s="60"/>
      <c r="G17" s="43"/>
      <c r="H17" s="57"/>
    </row>
    <row r="18" spans="1:8" s="31" customFormat="1">
      <c r="A18" s="17"/>
      <c r="B18" s="25"/>
      <c r="C18" s="68"/>
      <c r="D18" s="25"/>
      <c r="E18" s="60"/>
      <c r="F18" s="60"/>
      <c r="G18" s="43"/>
      <c r="H18" s="57"/>
    </row>
    <row r="19" spans="1:8" s="31" customFormat="1">
      <c r="A19" s="17"/>
      <c r="B19" s="25"/>
      <c r="C19" s="68"/>
      <c r="D19" s="25"/>
      <c r="E19" s="60"/>
      <c r="F19" s="60"/>
      <c r="G19" s="43"/>
      <c r="H19" s="57"/>
    </row>
    <row r="20" spans="1:8" s="31" customFormat="1">
      <c r="A20" s="17"/>
      <c r="B20" s="25"/>
      <c r="C20" s="68"/>
      <c r="D20" s="25"/>
      <c r="E20" s="60"/>
      <c r="F20" s="60"/>
      <c r="G20" s="43"/>
      <c r="H20" s="57"/>
    </row>
    <row r="21" spans="1:8" s="31" customFormat="1">
      <c r="A21" s="17"/>
      <c r="B21" s="25"/>
      <c r="C21" s="68"/>
      <c r="D21" s="25"/>
      <c r="E21" s="60"/>
      <c r="F21" s="60"/>
      <c r="G21" s="43"/>
      <c r="H21" s="57"/>
    </row>
    <row r="22" spans="1:8" s="31" customFormat="1">
      <c r="A22" s="17"/>
      <c r="B22" s="25"/>
      <c r="C22" s="68"/>
      <c r="D22" s="25"/>
      <c r="E22" s="60"/>
      <c r="F22" s="60"/>
      <c r="G22" s="43"/>
      <c r="H22" s="57"/>
    </row>
    <row r="23" spans="1:8" s="31" customFormat="1">
      <c r="A23" s="17"/>
      <c r="B23" s="25"/>
      <c r="C23" s="68"/>
      <c r="D23" s="25"/>
      <c r="E23" s="60"/>
      <c r="F23" s="60"/>
      <c r="G23" s="43"/>
      <c r="H23" s="57"/>
    </row>
    <row r="24" spans="1:8" s="31" customFormat="1">
      <c r="A24" s="17"/>
      <c r="B24" s="25"/>
      <c r="C24" s="68"/>
      <c r="D24" s="25"/>
      <c r="E24" s="60"/>
      <c r="F24" s="60"/>
      <c r="G24" s="43"/>
      <c r="H24" s="57"/>
    </row>
    <row r="25" spans="1:8" s="5" customFormat="1">
      <c r="A25" s="17"/>
      <c r="B25" s="25"/>
      <c r="C25" s="68"/>
      <c r="D25" s="25"/>
      <c r="E25" s="60"/>
      <c r="F25" s="60"/>
      <c r="G25" s="43"/>
      <c r="H25" s="57"/>
    </row>
    <row r="26" spans="1:8" s="31" customFormat="1">
      <c r="A26" s="17"/>
      <c r="B26" s="25"/>
      <c r="C26" s="68"/>
      <c r="D26" s="25"/>
      <c r="E26" s="60"/>
      <c r="F26" s="60"/>
      <c r="G26" s="43"/>
      <c r="H26" s="57"/>
    </row>
    <row r="27" spans="1:8" s="31" customFormat="1">
      <c r="A27" s="17"/>
      <c r="B27" s="25"/>
      <c r="C27" s="68"/>
      <c r="D27" s="25"/>
      <c r="E27" s="60"/>
      <c r="F27" s="60"/>
      <c r="G27" s="43"/>
      <c r="H27" s="57"/>
    </row>
    <row r="28" spans="1:8" s="31" customFormat="1">
      <c r="A28" s="17"/>
      <c r="B28" s="25"/>
      <c r="C28" s="68"/>
      <c r="D28" s="25"/>
      <c r="E28" s="60"/>
      <c r="F28" s="60"/>
      <c r="G28" s="43"/>
      <c r="H28" s="57"/>
    </row>
    <row r="29" spans="1:8" s="31" customFormat="1">
      <c r="A29" s="17"/>
      <c r="B29" s="25"/>
      <c r="C29" s="68"/>
      <c r="D29" s="25"/>
      <c r="E29" s="60"/>
      <c r="F29" s="60"/>
      <c r="G29" s="43"/>
      <c r="H29" s="57"/>
    </row>
    <row r="30" spans="1:8" s="31" customFormat="1">
      <c r="A30" s="17"/>
      <c r="B30" s="25"/>
      <c r="C30" s="68"/>
      <c r="D30" s="25"/>
      <c r="E30" s="60"/>
      <c r="F30" s="60"/>
      <c r="G30" s="43"/>
      <c r="H30" s="57"/>
    </row>
    <row r="31" spans="1:8" s="31" customFormat="1">
      <c r="A31" s="17"/>
      <c r="B31" s="25"/>
      <c r="C31" s="68"/>
      <c r="D31" s="25"/>
      <c r="E31" s="60"/>
      <c r="F31" s="60"/>
      <c r="G31" s="43"/>
      <c r="H31" s="57"/>
    </row>
    <row r="32" spans="1:8" s="31" customFormat="1">
      <c r="A32" s="17"/>
      <c r="B32" s="25"/>
      <c r="C32" s="68"/>
      <c r="D32" s="25"/>
      <c r="E32" s="60"/>
      <c r="F32" s="60"/>
      <c r="G32" s="43"/>
      <c r="H32" s="57"/>
    </row>
    <row r="33" spans="1:8" s="31" customFormat="1">
      <c r="A33" s="17"/>
      <c r="B33" s="25"/>
      <c r="C33" s="68"/>
      <c r="D33" s="25"/>
      <c r="E33" s="60"/>
      <c r="F33" s="60"/>
      <c r="G33" s="43"/>
      <c r="H33" s="57"/>
    </row>
    <row r="34" spans="1:8" s="31" customFormat="1">
      <c r="A34" s="17"/>
      <c r="B34" s="25"/>
      <c r="C34" s="68"/>
      <c r="D34" s="25"/>
      <c r="E34" s="60"/>
      <c r="F34" s="60"/>
      <c r="G34" s="43"/>
      <c r="H34" s="57"/>
    </row>
    <row r="35" spans="1:8" s="31" customFormat="1">
      <c r="A35" s="17"/>
      <c r="B35" s="25"/>
      <c r="C35" s="68"/>
      <c r="D35" s="25"/>
      <c r="E35" s="60"/>
      <c r="F35" s="60"/>
      <c r="G35" s="43"/>
      <c r="H35" s="57"/>
    </row>
    <row r="36" spans="1:8" s="31" customFormat="1">
      <c r="A36" s="17"/>
      <c r="B36" s="25"/>
      <c r="C36" s="68"/>
      <c r="D36" s="25"/>
      <c r="E36" s="60"/>
      <c r="F36" s="60"/>
      <c r="G36" s="43"/>
      <c r="H36" s="57"/>
    </row>
    <row r="37" spans="1:8" s="31" customFormat="1">
      <c r="A37" s="17"/>
      <c r="B37" s="25"/>
      <c r="C37" s="68"/>
      <c r="D37" s="25"/>
      <c r="E37" s="60"/>
      <c r="F37" s="60"/>
      <c r="G37" s="43"/>
      <c r="H37" s="57"/>
    </row>
    <row r="38" spans="1:8" s="31" customFormat="1">
      <c r="A38" s="17"/>
      <c r="B38" s="25"/>
      <c r="C38" s="68"/>
      <c r="D38" s="25"/>
      <c r="E38" s="60"/>
      <c r="F38" s="60"/>
      <c r="G38" s="43"/>
      <c r="H38" s="57"/>
    </row>
    <row r="39" spans="1:8" s="31" customFormat="1">
      <c r="A39" s="17"/>
      <c r="B39" s="25"/>
      <c r="C39" s="68"/>
      <c r="D39" s="25"/>
      <c r="E39" s="60"/>
      <c r="F39" s="60"/>
      <c r="G39" s="43"/>
      <c r="H39" s="57"/>
    </row>
    <row r="40" spans="1:8" s="31" customFormat="1">
      <c r="A40" s="17"/>
      <c r="B40" s="25"/>
      <c r="C40" s="68"/>
      <c r="D40" s="25"/>
      <c r="E40" s="60"/>
      <c r="F40" s="60"/>
      <c r="G40" s="43"/>
      <c r="H40" s="57"/>
    </row>
    <row r="41" spans="1:8" s="31" customFormat="1">
      <c r="A41" s="17"/>
      <c r="B41" s="25"/>
      <c r="C41" s="68"/>
      <c r="D41" s="25"/>
      <c r="E41" s="60"/>
      <c r="F41" s="60"/>
      <c r="G41" s="43"/>
      <c r="H41" s="57"/>
    </row>
    <row r="42" spans="1:8" s="31" customFormat="1">
      <c r="A42" s="17"/>
      <c r="B42" s="25"/>
      <c r="C42" s="68"/>
      <c r="D42" s="25"/>
      <c r="E42" s="60"/>
      <c r="F42" s="60"/>
      <c r="G42" s="43"/>
      <c r="H42" s="57"/>
    </row>
    <row r="43" spans="1:8" s="31" customFormat="1">
      <c r="A43" s="17"/>
      <c r="B43" s="25"/>
      <c r="C43" s="68"/>
      <c r="D43" s="25"/>
      <c r="E43" s="60"/>
      <c r="F43" s="60"/>
      <c r="G43" s="43"/>
      <c r="H43" s="57"/>
    </row>
    <row r="44" spans="1:8" s="31" customFormat="1" ht="13.8" thickBot="1">
      <c r="A44" s="128"/>
      <c r="B44" s="129"/>
      <c r="C44" s="130"/>
      <c r="D44" s="129"/>
      <c r="E44" s="131"/>
      <c r="F44" s="131"/>
      <c r="G44" s="44"/>
      <c r="H44" s="58"/>
    </row>
    <row r="45" spans="1:8" ht="13.8" thickBot="1">
      <c r="A45" s="1"/>
      <c r="B45" s="10"/>
      <c r="C45" s="10"/>
      <c r="D45" s="10"/>
      <c r="E45" s="10"/>
      <c r="F45" s="10"/>
      <c r="G45" s="102"/>
      <c r="H45" s="103"/>
    </row>
  </sheetData>
  <mergeCells count="11">
    <mergeCell ref="A1:E1"/>
    <mergeCell ref="G13:H13"/>
    <mergeCell ref="A5:B5"/>
    <mergeCell ref="A4:B4"/>
    <mergeCell ref="A11:B11"/>
    <mergeCell ref="A10:B10"/>
    <mergeCell ref="A9:B9"/>
    <mergeCell ref="A8:B8"/>
    <mergeCell ref="A7:B7"/>
    <mergeCell ref="A6:B6"/>
    <mergeCell ref="A13:E13"/>
  </mergeCells>
  <conditionalFormatting sqref="A4">
    <cfRule type="cellIs" dxfId="1" priority="2" stopIfTrue="1" operator="equal">
      <formula>"populate Data Control tab"</formula>
    </cfRule>
  </conditionalFormatting>
  <conditionalFormatting sqref="C4:C11">
    <cfRule type="cellIs" dxfId="0" priority="1" stopIfTrue="1" operator="equal">
      <formula>"populate Data Control tab"</formula>
    </cfRule>
  </conditionalFormatting>
  <dataValidations count="1">
    <dataValidation allowBlank="1" showInputMessage="1" showErrorMessage="1" promptTitle="Warning" prompt="If you have added any additional product requirements to the SCSS for your programme, you must add an action into the DRBFM to review/update the core DFMEA to reflect the new additional requirements." sqref="B15:C44" xr:uid="{13E8BBCD-2EE2-4DC4-AEC6-2E69862B32EF}"/>
  </dataValidations>
  <printOptions horizontalCentered="1"/>
  <pageMargins left="0.19685039370078741" right="0.19685039370078741" top="0.39370078740157483" bottom="0.19685039370078741" header="0.19685039370078741" footer="0.11811023622047245"/>
  <pageSetup paperSize="8" fitToHeight="0" orientation="landscape" r:id="rId1"/>
  <headerFooter alignWithMargins="0">
    <oddFooter>&amp;LPrinted or downloaded copies are uncontrolled&amp;RPage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571B46C-CE3A-4060-BBA9-B14B3356E5E3}">
          <x14:formula1>
            <xm:f>Dropdowns!$E$5:$E$7</xm:f>
          </x14:formula1>
          <xm:sqref>G15:G44</xm:sqref>
        </x14:dataValidation>
        <x14:dataValidation type="list" allowBlank="1" showInputMessage="1" showErrorMessage="1" xr:uid="{00A17641-BE5A-46DB-ADC3-5BC61F771AC9}">
          <x14:formula1>
            <xm:f>Dropdowns!$E$9:$E$13</xm:f>
          </x14:formula1>
          <xm:sqref>F15:F44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D11"/>
  <sheetViews>
    <sheetView workbookViewId="0">
      <selection activeCell="G15" sqref="G15"/>
    </sheetView>
  </sheetViews>
  <sheetFormatPr defaultColWidth="8.6640625" defaultRowHeight="13.2"/>
  <cols>
    <col min="1" max="1" width="7.44140625" style="93" customWidth="1"/>
    <col min="2" max="2" width="12" style="93" customWidth="1"/>
    <col min="3" max="3" width="73.5546875" style="80" customWidth="1"/>
    <col min="4" max="4" width="16.6640625" style="93" customWidth="1"/>
    <col min="5" max="16384" width="8.6640625" style="80"/>
  </cols>
  <sheetData>
    <row r="1" spans="1:4" ht="33.6" customHeight="1">
      <c r="A1" s="100" t="s">
        <v>106</v>
      </c>
      <c r="B1" s="100" t="s">
        <v>107</v>
      </c>
      <c r="C1" s="100" t="s">
        <v>108</v>
      </c>
      <c r="D1" s="100" t="s">
        <v>109</v>
      </c>
    </row>
    <row r="2" spans="1:4" ht="47.1" customHeight="1">
      <c r="A2" s="94">
        <v>1</v>
      </c>
      <c r="B2" s="99">
        <v>43396</v>
      </c>
      <c r="C2" s="96" t="s">
        <v>110</v>
      </c>
      <c r="D2" s="98" t="s">
        <v>111</v>
      </c>
    </row>
    <row r="3" spans="1:4" ht="47.1" customHeight="1">
      <c r="A3" s="94">
        <v>1.1000000000000001</v>
      </c>
      <c r="B3" s="97">
        <v>43642</v>
      </c>
      <c r="C3" s="96" t="s">
        <v>112</v>
      </c>
      <c r="D3" s="98" t="s">
        <v>111</v>
      </c>
    </row>
    <row r="4" spans="1:4" ht="47.1" customHeight="1">
      <c r="A4" s="94">
        <v>2</v>
      </c>
      <c r="B4" s="97">
        <v>44099</v>
      </c>
      <c r="C4" s="95" t="s">
        <v>113</v>
      </c>
      <c r="D4" s="94" t="s">
        <v>114</v>
      </c>
    </row>
    <row r="5" spans="1:4" ht="47.1" customHeight="1">
      <c r="A5" s="94">
        <v>2.1</v>
      </c>
      <c r="B5" s="97">
        <v>44314</v>
      </c>
      <c r="C5" s="95" t="s">
        <v>112</v>
      </c>
      <c r="D5" s="94" t="s">
        <v>115</v>
      </c>
    </row>
    <row r="6" spans="1:4" ht="75.599999999999994" customHeight="1">
      <c r="A6" s="94">
        <v>3</v>
      </c>
      <c r="B6" s="97">
        <v>44538</v>
      </c>
      <c r="C6" s="96" t="s">
        <v>116</v>
      </c>
      <c r="D6" s="94" t="s">
        <v>117</v>
      </c>
    </row>
    <row r="7" spans="1:4" ht="47.1" customHeight="1">
      <c r="A7" s="94">
        <v>3.1</v>
      </c>
      <c r="B7" s="97">
        <v>44565</v>
      </c>
      <c r="C7" s="95" t="s">
        <v>118</v>
      </c>
      <c r="D7" s="94" t="s">
        <v>117</v>
      </c>
    </row>
    <row r="8" spans="1:4" ht="47.1" customHeight="1">
      <c r="A8" s="94">
        <v>3.2</v>
      </c>
      <c r="B8" s="97">
        <v>44749</v>
      </c>
      <c r="C8" s="96" t="s">
        <v>119</v>
      </c>
      <c r="D8" s="98" t="s">
        <v>120</v>
      </c>
    </row>
    <row r="9" spans="1:4" s="118" customFormat="1" ht="89.1" customHeight="1">
      <c r="A9" s="98">
        <v>4</v>
      </c>
      <c r="B9" s="99">
        <v>45056</v>
      </c>
      <c r="C9" s="96" t="s">
        <v>121</v>
      </c>
      <c r="D9" s="98" t="s">
        <v>122</v>
      </c>
    </row>
    <row r="10" spans="1:4" ht="85.5" customHeight="1">
      <c r="A10" s="98">
        <v>4.0999999999999996</v>
      </c>
      <c r="B10" s="99">
        <v>45216</v>
      </c>
      <c r="C10" s="125" t="s">
        <v>123</v>
      </c>
      <c r="D10" s="98" t="s">
        <v>124</v>
      </c>
    </row>
    <row r="11" spans="1:4" ht="84.9" customHeight="1">
      <c r="A11" s="151">
        <v>5</v>
      </c>
      <c r="B11" s="152">
        <v>45365</v>
      </c>
      <c r="C11" s="153" t="s">
        <v>125</v>
      </c>
      <c r="D11" s="98" t="s">
        <v>124</v>
      </c>
    </row>
  </sheetData>
  <pageMargins left="0.70866141732283472" right="0.70866141732283472" top="0.74803149606299213" bottom="0.74803149606299213" header="0.31496062992125984" footer="0.31496062992125984"/>
  <pageSetup paperSize="9" scale="81" orientation="portrait" r:id="rId1"/>
  <headerFooter>
    <oddHeader>&amp;C&amp;A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E20"/>
  <sheetViews>
    <sheetView topLeftCell="A2" zoomScale="90" zoomScaleNormal="90" workbookViewId="0">
      <selection activeCell="F15" sqref="F15"/>
    </sheetView>
  </sheetViews>
  <sheetFormatPr defaultColWidth="8.6640625" defaultRowHeight="13.2"/>
  <cols>
    <col min="1" max="5" width="12" style="133" customWidth="1"/>
    <col min="6" max="16384" width="8.6640625" style="133"/>
  </cols>
  <sheetData>
    <row r="1" spans="1:5" ht="27.6" customHeight="1" thickBot="1">
      <c r="A1" s="249" t="s">
        <v>126</v>
      </c>
      <c r="B1" s="249"/>
      <c r="C1" s="249"/>
      <c r="D1" s="249"/>
      <c r="E1" s="249"/>
    </row>
    <row r="2" spans="1:5" s="80" customFormat="1" ht="40.200000000000003" thickBot="1">
      <c r="A2" s="143" t="s">
        <v>127</v>
      </c>
      <c r="B2" s="143" t="s">
        <v>128</v>
      </c>
      <c r="C2" s="143" t="s">
        <v>129</v>
      </c>
      <c r="D2" s="143" t="s">
        <v>130</v>
      </c>
      <c r="E2" s="143" t="s">
        <v>131</v>
      </c>
    </row>
    <row r="3" spans="1:5" s="80" customFormat="1" ht="13.8" thickBot="1">
      <c r="A3" s="250" t="s">
        <v>132</v>
      </c>
      <c r="B3" s="251"/>
      <c r="C3" s="251"/>
      <c r="D3" s="251"/>
      <c r="E3" s="252"/>
    </row>
    <row r="4" spans="1:5" s="80" customFormat="1" ht="21" customHeight="1">
      <c r="A4" s="141" t="s">
        <v>48</v>
      </c>
      <c r="B4" s="141" t="s">
        <v>48</v>
      </c>
      <c r="C4" s="141" t="s">
        <v>48</v>
      </c>
      <c r="D4" s="141" t="s">
        <v>48</v>
      </c>
      <c r="E4" s="141" t="s">
        <v>48</v>
      </c>
    </row>
    <row r="5" spans="1:5">
      <c r="A5" s="134" t="s">
        <v>133</v>
      </c>
      <c r="B5" s="134" t="s">
        <v>133</v>
      </c>
      <c r="C5" s="134" t="s">
        <v>133</v>
      </c>
      <c r="D5" s="134" t="s">
        <v>133</v>
      </c>
      <c r="E5" s="134" t="s">
        <v>133</v>
      </c>
    </row>
    <row r="6" spans="1:5">
      <c r="A6" s="134" t="s">
        <v>134</v>
      </c>
      <c r="B6" s="134" t="s">
        <v>134</v>
      </c>
      <c r="C6" s="134" t="s">
        <v>134</v>
      </c>
      <c r="D6" s="134" t="s">
        <v>134</v>
      </c>
      <c r="E6" s="134" t="s">
        <v>134</v>
      </c>
    </row>
    <row r="7" spans="1:5" ht="13.8" thickBot="1">
      <c r="A7" s="142" t="s">
        <v>135</v>
      </c>
      <c r="B7" s="142" t="s">
        <v>135</v>
      </c>
      <c r="C7" s="142" t="s">
        <v>135</v>
      </c>
      <c r="D7" s="142" t="s">
        <v>135</v>
      </c>
      <c r="E7" s="142" t="s">
        <v>135</v>
      </c>
    </row>
    <row r="8" spans="1:5" s="80" customFormat="1" ht="39.6">
      <c r="A8" s="141" t="s">
        <v>136</v>
      </c>
      <c r="B8" s="141" t="s">
        <v>136</v>
      </c>
      <c r="C8" s="141" t="s">
        <v>136</v>
      </c>
      <c r="D8" s="141" t="s">
        <v>136</v>
      </c>
      <c r="E8" s="141" t="s">
        <v>136</v>
      </c>
    </row>
    <row r="9" spans="1:5">
      <c r="A9" s="135">
        <v>1</v>
      </c>
      <c r="B9" s="135">
        <v>1</v>
      </c>
      <c r="C9" s="135">
        <v>1</v>
      </c>
      <c r="D9" s="135">
        <v>1</v>
      </c>
      <c r="E9" s="135">
        <v>1</v>
      </c>
    </row>
    <row r="10" spans="1:5">
      <c r="A10" s="135">
        <v>5</v>
      </c>
      <c r="B10" s="135">
        <v>5</v>
      </c>
      <c r="C10" s="135">
        <v>5</v>
      </c>
      <c r="D10" s="135">
        <v>5</v>
      </c>
      <c r="E10" s="135">
        <v>5</v>
      </c>
    </row>
    <row r="11" spans="1:5">
      <c r="A11" s="135">
        <v>6</v>
      </c>
      <c r="B11" s="135">
        <v>6</v>
      </c>
      <c r="C11" s="135">
        <v>6</v>
      </c>
      <c r="D11" s="135">
        <v>6</v>
      </c>
      <c r="E11" s="135">
        <v>6</v>
      </c>
    </row>
    <row r="12" spans="1:5">
      <c r="A12" s="135">
        <v>8</v>
      </c>
      <c r="B12" s="135">
        <v>8</v>
      </c>
      <c r="C12" s="135">
        <v>8</v>
      </c>
      <c r="D12" s="135">
        <v>8</v>
      </c>
      <c r="E12" s="135">
        <v>8</v>
      </c>
    </row>
    <row r="13" spans="1:5" ht="13.8" thickBot="1">
      <c r="A13" s="136">
        <v>10</v>
      </c>
      <c r="B13" s="136">
        <v>10</v>
      </c>
      <c r="C13" s="136">
        <v>10</v>
      </c>
      <c r="D13" s="136">
        <v>10</v>
      </c>
      <c r="E13" s="136">
        <v>10</v>
      </c>
    </row>
    <row r="14" spans="1:5" ht="26.4">
      <c r="A14" s="137" t="s">
        <v>64</v>
      </c>
      <c r="B14" s="137" t="s">
        <v>64</v>
      </c>
      <c r="C14" s="137" t="s">
        <v>64</v>
      </c>
      <c r="D14" s="138"/>
      <c r="E14" s="138"/>
    </row>
    <row r="15" spans="1:5">
      <c r="A15" s="134" t="s">
        <v>137</v>
      </c>
      <c r="B15" s="139" t="s">
        <v>138</v>
      </c>
      <c r="C15" s="139" t="s">
        <v>138</v>
      </c>
      <c r="D15" s="138"/>
      <c r="E15" s="138"/>
    </row>
    <row r="16" spans="1:5">
      <c r="A16" s="135" t="s">
        <v>139</v>
      </c>
      <c r="B16" s="139"/>
      <c r="C16" s="139"/>
      <c r="D16" s="138"/>
      <c r="E16" s="138"/>
    </row>
    <row r="17" spans="1:5" ht="13.8" thickBot="1">
      <c r="A17" s="136"/>
      <c r="B17" s="140"/>
      <c r="C17" s="139"/>
      <c r="D17" s="138"/>
      <c r="E17" s="138"/>
    </row>
    <row r="18" spans="1:5" ht="39.6">
      <c r="B18" s="137" t="s">
        <v>66</v>
      </c>
      <c r="C18" s="137" t="s">
        <v>66</v>
      </c>
    </row>
    <row r="19" spans="1:5">
      <c r="B19" s="139" t="s">
        <v>138</v>
      </c>
      <c r="C19" s="139" t="s">
        <v>138</v>
      </c>
    </row>
    <row r="20" spans="1:5" ht="13.8" thickBot="1">
      <c r="B20" s="140"/>
      <c r="C20" s="140"/>
    </row>
  </sheetData>
  <mergeCells count="2">
    <mergeCell ref="A1:E1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07BDC5259AD94DB177CBDCEFE54F8C" ma:contentTypeVersion="20" ma:contentTypeDescription="Create a new document." ma:contentTypeScope="" ma:versionID="06f421f6e962908d565d7b6566e43e14">
  <xsd:schema xmlns:xsd="http://www.w3.org/2001/XMLSchema" xmlns:xs="http://www.w3.org/2001/XMLSchema" xmlns:p="http://schemas.microsoft.com/office/2006/metadata/properties" xmlns:ns2="c2d75ae2-8cad-4a44-8048-741eaed44336" xmlns:ns3="67ddb062-64c7-497e-a1c1-2ec52e8a1034" targetNamespace="http://schemas.microsoft.com/office/2006/metadata/properties" ma:root="true" ma:fieldsID="763d26f79d69579d8e39d69445050aec" ns2:_="" ns3:_="">
    <xsd:import namespace="c2d75ae2-8cad-4a44-8048-741eaed44336"/>
    <xsd:import namespace="67ddb062-64c7-497e-a1c1-2ec52e8a10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3:TaxKeywordTaxHTField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Program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d75ae2-8cad-4a44-8048-741eaed443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1a9981d-741d-4dde-8b20-345ed49743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Programme" ma:index="26" nillable="true" ma:displayName="Programme" ma:format="Dropdown" ma:internalName="Program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db062-64c7-497e-a1c1-2ec52e8a10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f4fcafc-27fc-4e5d-8a55-5ff765b33d8f}" ma:internalName="TaxCatchAll" ma:readOnly="false" ma:showField="CatchAllData" ma:web="67ddb062-64c7-497e-a1c1-2ec52e8a10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KeywordTaxHTField" ma:index="22" nillable="true" ma:taxonomy="true" ma:internalName="TaxKeywordTaxHTField" ma:taxonomyFieldName="TaxKeyword" ma:displayName="Enterprise Keywords" ma:readOnly="false" ma:fieldId="{23f27201-bee3-471e-b2e7-b64fd8b7ca38}" ma:taxonomyMulti="true" ma:sspId="f1a9981d-741d-4dde-8b20-345ed497435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>
  <LongProp xmlns="" name="n8842fbf44284d17b0e5de552104aaf7"><![CDATA[Body Engineering|061d8459-b605-4b94-afba-9b975ec5fa4b;#Chassis Engineering|d8fdb349-1027-4db7-9a53-435c91e9863c;#Electrical|ecd30165-de13-4621-98d7-7671d30b4888;#Powertrain|415e96d9-5da1-41a2-8e22-4cc499a5cb7b;#Advanced Manufacturing Engineering|78b3bbfb-38a4-4970-96d6-ea7dff567204;#Marketing Sales and Service|3617296b-c237-41b7-9e55-0214083b70db;#STA|48b0e8a3-9f93-4a0a-b0c3-039f9c50e7a7]]></LongProp>
  <LongProp xmlns="" name="DocumentSummary"><![CDATA[<p>Template for cascading special characteristics from JLR PD, following analysis using tools such as DFMEA, to required recipients internal and external to JLR.</p><p><strong>SCSS - this document will become&nbsp;compulsory</strong><font face="Arial"><span class="Apple-converted-space"><font color="#222222" size="2"><strong>&nbsp;from </strong></font></span><font color="#222222" size="2"><strong>2021 MY programmes and onward.</strong> Prior to 2021 MY programmes then either this document or JLR-TMP-18040 / JLR-PSF-003&nbsp;are acceptable.</font></font></p><br>]]></LongProp>
  <LongProp xmlns="" name="WorkflowChangePath"><![CDATA[931fc03d-db95-4743-8099-f5d9160977f0,9;931fc03d-db95-4743-8099-f5d9160977f0,12;cdc4ed74-8e2a-432a-89c1-eccdc32d4d8b,15;b53d064c-433c-47e1-82c8-0b9ae8fe0154,51;b53d064c-433c-47e1-82c8-0b9ae8fe0154,54;cdc4ed74-8e2a-432a-89c1-eccdc32d4d8b,57;859333f9-61be-4354-a645-d946361d07b4,93;859333f9-61be-4354-a645-d946361d07b4,93;859333f9-61be-4354-a645-d946361d07b4,96;859333f9-61be-4354-a645-d946361d07b4,102;859333f9-61be-4354-a645-d946361d07b4,102;859333f9-61be-4354-a645-d946361d07b4,105;]]></LongProp>
  <LongProp xmlns="" name="RelatedFunctions"><![CDATA[496;#Body Engineering|061d8459-b605-4b94-afba-9b975ec5fa4b;#441;##Chassis Engineering|d8fdb349-1027-4db7-9a53-435c91e9863c;#444;##Electrical|ecd30165-de13-4621-98d7-7671d30b4888;#476;##Powertrain|415e96d9-5da1-41a2-8e22-4cc499a5cb7b;#1206;##Advanced Manufacturing Engineering|78b3bbfb-38a4-4970-96d6-ea7dff567204;#1905;##Marketing Sales and Service|3617296b-c237-41b7-9e55-0214083b70db;#1467;##STA|48b0e8a3-9f93-4a0a-b0c3-039f9c50e7a7]]></LongProp>
</LongProperti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ddb062-64c7-497e-a1c1-2ec52e8a1034" xsi:nil="true"/>
    <SharedWithUsers xmlns="67ddb062-64c7-497e-a1c1-2ec52e8a1034">
      <UserInfo>
        <DisplayName>Pui Tung Lam</DisplayName>
        <AccountId>5061</AccountId>
        <AccountType/>
      </UserInfo>
      <UserInfo>
        <DisplayName>Chris Bonham</DisplayName>
        <AccountId>1329</AccountId>
        <AccountType/>
      </UserInfo>
      <UserInfo>
        <DisplayName>Filipe Pinheiro</DisplayName>
        <AccountId>1495</AccountId>
        <AccountType/>
      </UserInfo>
      <UserInfo>
        <DisplayName>George Rabelo De Morais</DisplayName>
        <AccountId>1540</AccountId>
        <AccountType/>
      </UserInfo>
      <UserInfo>
        <DisplayName>Ian Stevens</DisplayName>
        <AccountId>1802</AccountId>
        <AccountType/>
      </UserInfo>
      <UserInfo>
        <DisplayName>Alan Gilbert</DisplayName>
        <AccountId>4047</AccountId>
        <AccountType/>
      </UserInfo>
      <UserInfo>
        <DisplayName>Paramjit Singh</DisplayName>
        <AccountId>481</AccountId>
        <AccountType/>
      </UserInfo>
      <UserInfo>
        <DisplayName>Caroline Abid</DisplayName>
        <AccountId>1809</AccountId>
        <AccountType/>
      </UserInfo>
      <UserInfo>
        <DisplayName>Martin Wardley</DisplayName>
        <AccountId>3152</AccountId>
        <AccountType/>
      </UserInfo>
      <UserInfo>
        <DisplayName>David Holloway</DisplayName>
        <AccountId>1804</AccountId>
        <AccountType/>
      </UserInfo>
      <UserInfo>
        <DisplayName>Brian Sorbie</DisplayName>
        <AccountId>844</AccountId>
        <AccountType/>
      </UserInfo>
      <UserInfo>
        <DisplayName>Abdul Aziz</DisplayName>
        <AccountId>2103</AccountId>
        <AccountType/>
      </UserInfo>
      <UserInfo>
        <DisplayName>Agnieszka Ciołek</DisplayName>
        <AccountId>6007</AccountId>
        <AccountType/>
      </UserInfo>
      <UserInfo>
        <DisplayName>Clare Hynds</DisplayName>
        <AccountId>1171</AccountId>
        <AccountType/>
      </UserInfo>
    </SharedWithUsers>
    <lcf76f155ced4ddcb4097134ff3c332f xmlns="c2d75ae2-8cad-4a44-8048-741eaed44336">
      <Terms xmlns="http://schemas.microsoft.com/office/infopath/2007/PartnerControls"/>
    </lcf76f155ced4ddcb4097134ff3c332f>
    <TaxKeywordTaxHTField xmlns="67ddb062-64c7-497e-a1c1-2ec52e8a1034">
      <Terms xmlns="http://schemas.microsoft.com/office/infopath/2007/PartnerControls"/>
    </TaxKeywordTaxHTField>
    <Programme xmlns="c2d75ae2-8cad-4a44-8048-741eaed44336" xsi:nil="true"/>
  </documentManagement>
</p:properties>
</file>

<file path=customXml/itemProps1.xml><?xml version="1.0" encoding="utf-8"?>
<ds:datastoreItem xmlns:ds="http://schemas.openxmlformats.org/officeDocument/2006/customXml" ds:itemID="{9A1AEDD5-4222-4418-82D9-A7DAB02A68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d75ae2-8cad-4a44-8048-741eaed44336"/>
    <ds:schemaRef ds:uri="67ddb062-64c7-497e-a1c1-2ec52e8a10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4691A5-C925-4391-931D-112A6F2596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F29D1F-A6FC-4BCB-A1BA-70E810233D17}">
  <ds:schemaRefs>
    <ds:schemaRef ds:uri="http://schemas.microsoft.com/office/2006/metadata/longProperties"/>
    <ds:schemaRef ds:uri=""/>
  </ds:schemaRefs>
</ds:datastoreItem>
</file>

<file path=customXml/itemProps4.xml><?xml version="1.0" encoding="utf-8"?>
<ds:datastoreItem xmlns:ds="http://schemas.openxmlformats.org/officeDocument/2006/customXml" ds:itemID="{9593608B-9893-47B0-973B-BC5F0C4AC954}">
  <ds:schemaRefs>
    <ds:schemaRef ds:uri="http://schemas.microsoft.com/office/2006/metadata/properties"/>
    <ds:schemaRef ds:uri="http://schemas.microsoft.com/office/infopath/2007/PartnerControls"/>
    <ds:schemaRef ds:uri="67ddb062-64c7-497e-a1c1-2ec52e8a1034"/>
    <ds:schemaRef ds:uri="c2d75ae2-8cad-4a44-8048-741eaed4433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CONTROL</vt:lpstr>
      <vt:lpstr>ME (inc MP&amp;L)</vt:lpstr>
      <vt:lpstr>Supplier (Make to Print)</vt:lpstr>
      <vt:lpstr>JLR Eng </vt:lpstr>
      <vt:lpstr>Service</vt:lpstr>
      <vt:lpstr>Revision History</vt:lpstr>
      <vt:lpstr>Dropdowns</vt:lpstr>
    </vt:vector>
  </TitlesOfParts>
  <Manager/>
  <Company>Ford Motor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JLR-TMP-46598 SCSS Template 5.0.xlsx</dc:title>
  <dc:subject/>
  <dc:creator>pcouch2</dc:creator>
  <cp:keywords/>
  <dc:description/>
  <cp:lastModifiedBy>Marton Minda</cp:lastModifiedBy>
  <cp:revision/>
  <dcterms:created xsi:type="dcterms:W3CDTF">2005-12-20T09:58:25Z</dcterms:created>
  <dcterms:modified xsi:type="dcterms:W3CDTF">2026-07-10T11:39:39Z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0x0101006C07BDC5259AD94DB177CBDCEFE54F8C</vt:lpwstr>
  </property>
  <property fmtid="{D5CDD505-2E9C-101B-9397-08002B2CF9AE}" pid="3" name="ContentLanguage">
    <vt:lpwstr>English</vt:lpwstr>
  </property>
  <property fmtid="{D5CDD505-2E9C-101B-9397-08002B2CF9AE}" pid="4" name="DocumentOwners">
    <vt:lpwstr>1204;#Quality Engineering|06092d81-683e-4f8d-ac3d-4553a3cf1e88</vt:lpwstr>
  </property>
  <property fmtid="{D5CDD505-2E9C-101B-9397-08002B2CF9AE}" pid="5" name="WorkingVersion">
    <vt:lpwstr>1</vt:lpwstr>
  </property>
  <property fmtid="{D5CDD505-2E9C-101B-9397-08002B2CF9AE}" pid="6" name="AccessLevels">
    <vt:lpwstr>;#Anyone with CDSID;#</vt:lpwstr>
  </property>
  <property fmtid="{D5CDD505-2E9C-101B-9397-08002B2CF9AE}" pid="7" name="p573a9c741dc417bb2ac17c62f0d7fec">
    <vt:lpwstr>Quality Engineering|06092d81-683e-4f8d-ac3d-4553a3cf1e88</vt:lpwstr>
  </property>
  <property fmtid="{D5CDD505-2E9C-101B-9397-08002B2CF9AE}" pid="8" name="DocumentApproversString">
    <vt:lpwstr/>
  </property>
  <property fmtid="{D5CDD505-2E9C-101B-9397-08002B2CF9AE}" pid="9" name="jbce69f76f6c458484ca80c299864b6c">
    <vt:lpwstr/>
  </property>
  <property fmtid="{D5CDD505-2E9C-101B-9397-08002B2CF9AE}" pid="10" name="RelatedFunctions">
    <vt:lpwstr>496;#Body Engineering|061d8459-b605-4b94-afba-9b975ec5fa4b;#441;##Chassis Engineering|d8fdb349-1027-4db7-9a53-435c91e9863c;#444;##Electrical|ecd30165-de13-4621-98d7-7671d30b4888;#476;##Powertrain|415e96d9-5da1-41a2-8e22-4cc499a5cb7b;#1206;##Advanced Manuf</vt:lpwstr>
  </property>
  <property fmtid="{D5CDD505-2E9C-101B-9397-08002B2CF9AE}" pid="11" name="PolicyType">
    <vt:lpwstr>Operational</vt:lpwstr>
  </property>
  <property fmtid="{D5CDD505-2E9C-101B-9397-08002B2CF9AE}" pid="12" name="l5334508f5e044ed9486fe21a075889a">
    <vt:lpwstr/>
  </property>
  <property fmtid="{D5CDD505-2E9C-101B-9397-08002B2CF9AE}" pid="13" name="DocumentReviewers">
    <vt:lpwstr>536;#Greaves, Nigel (N.T.);#3367;#Clark, Duncan (D.);#23;#Daniels, Caroline (C.J.);#3395;#Healy, Nick (N.)</vt:lpwstr>
  </property>
  <property fmtid="{D5CDD505-2E9C-101B-9397-08002B2CF9AE}" pid="14" name="display_urn:schemas-microsoft-com:office:office#DocumentAuthor">
    <vt:lpwstr>Maxineanu, Cristian (C.)</vt:lpwstr>
  </property>
  <property fmtid="{D5CDD505-2E9C-101B-9397-08002B2CF9AE}" pid="15" name="RelatedPolicies">
    <vt:lpwstr/>
  </property>
  <property fmtid="{D5CDD505-2E9C-101B-9397-08002B2CF9AE}" pid="16" name="display_urn:schemas-microsoft-com:office:office#DocumentReviewers">
    <vt:lpwstr>Greaves, Nigel (N.T.);Clark, Duncan (D.);Daniels, Caroline (C.J.);Healy, Nick (N.)</vt:lpwstr>
  </property>
  <property fmtid="{D5CDD505-2E9C-101B-9397-08002B2CF9AE}" pid="17" name="DocumentApprovers">
    <vt:lpwstr/>
  </property>
  <property fmtid="{D5CDD505-2E9C-101B-9397-08002B2CF9AE}" pid="18" name="DocumentContentOwner">
    <vt:lpwstr>1524</vt:lpwstr>
  </property>
  <property fmtid="{D5CDD505-2E9C-101B-9397-08002B2CF9AE}" pid="19" name="SubType">
    <vt:lpwstr>Template</vt:lpwstr>
  </property>
  <property fmtid="{D5CDD505-2E9C-101B-9397-08002B2CF9AE}" pid="20" name="ReviewDate">
    <vt:lpwstr>2019-01-12T00:00:00Z</vt:lpwstr>
  </property>
  <property fmtid="{D5CDD505-2E9C-101B-9397-08002B2CF9AE}" pid="21" name="n8842fbf44284d17b0e5de552104aaf7">
    <vt:lpwstr>Body Engineering|061d8459-b605-4b94-afba-9b975ec5fa4b;#Chassis Engineering|d8fdb349-1027-4db7-9a53-435c91e9863c;#Electrical|ecd30165-de13-4621-98d7-7671d30b4888;#Powertrain|415e96d9-5da1-41a2-8e22-4cc499a5cb7b;#Advanced Manufacturing Engineering|78b3bbfb-</vt:lpwstr>
  </property>
  <property fmtid="{D5CDD505-2E9C-101B-9397-08002B2CF9AE}" pid="22" name="RelatedKeyWorkSystems">
    <vt:lpwstr>3381;#12.12 Manage Engineering ＆ Launch Quality|d56a2396-65dc-4617-8a4f-68232da7f453;#3374;##12.06 Create and Deliver Commodities (CCDS)|9b7dd28b-8dda-4610-a636-bef0af233f87</vt:lpwstr>
  </property>
  <property fmtid="{D5CDD505-2E9C-101B-9397-08002B2CF9AE}" pid="23" name="RelatedBusinessPriorities">
    <vt:lpwstr>23;#Quality|c1d8dda5-73cd-4316-b338-0d35e71c6856;#22;##More Great Products Faster|03056e49-481c-45fa-b866-7b580761f0d4</vt:lpwstr>
  </property>
  <property fmtid="{D5CDD505-2E9C-101B-9397-08002B2CF9AE}" pid="24" name="display_urn:schemas-microsoft-com:office:office#DocumentApprovers">
    <vt:lpwstr>Bridges, Jonathan (J.)</vt:lpwstr>
  </property>
  <property fmtid="{D5CDD505-2E9C-101B-9397-08002B2CF9AE}" pid="25" name="DocumentAuthor">
    <vt:lpwstr>36255</vt:lpwstr>
  </property>
  <property fmtid="{D5CDD505-2E9C-101B-9397-08002B2CF9AE}" pid="26" name="ApplicableSites">
    <vt:lpwstr>;#All UK sites;#</vt:lpwstr>
  </property>
  <property fmtid="{D5CDD505-2E9C-101B-9397-08002B2CF9AE}" pid="27" name="DocumentReady">
    <vt:lpwstr>1</vt:lpwstr>
  </property>
  <property fmtid="{D5CDD505-2E9C-101B-9397-08002B2CF9AE}" pid="28" name="ComplianceStatus">
    <vt:lpwstr>JLR Way compliant</vt:lpwstr>
  </property>
  <property fmtid="{D5CDD505-2E9C-101B-9397-08002B2CF9AE}" pid="29" name="DocumentReference">
    <vt:lpwstr>JLR-TMP-46598</vt:lpwstr>
  </property>
  <property fmtid="{D5CDD505-2E9C-101B-9397-08002B2CF9AE}" pid="30" name="DocumentSummary">
    <vt:lpwstr>&lt;p&gt;Template for cascading special characteristics from JLR PD, following analysis using tools such as DFMEA, to required recipients internal and external to JLR.&lt;/p&gt;&lt;p&gt;&lt;strong&gt;SCSS - this document will become&amp;nbsp;compulsory&lt;/strong&gt;&lt;font face="Arial"&gt;&lt;sp</vt:lpwstr>
  </property>
  <property fmtid="{D5CDD505-2E9C-101B-9397-08002B2CF9AE}" pid="31" name="of61fea281d5434f8b92ac0a7fa77a43">
    <vt:lpwstr>12.12 Manage Engineering ＆ Launch Quality|d56a2396-65dc-4617-8a4f-68232da7f453;#12.06 Create and Deliver Commodities (CCDS)|9b7dd28b-8dda-4610-a636-bef0af233f87</vt:lpwstr>
  </property>
  <property fmtid="{D5CDD505-2E9C-101B-9397-08002B2CF9AE}" pid="32" name="aa45e664c19f4984ae512c95e2c99bac">
    <vt:lpwstr>Quality|c1d8dda5-73cd-4316-b338-0d35e71c6856;#More Great Products Faster|03056e49-481c-45fa-b866-7b580761f0d4</vt:lpwstr>
  </property>
  <property fmtid="{D5CDD505-2E9C-101B-9397-08002B2CF9AE}" pid="33" name="a17442c2a02145a2907b3a4e0f07e5a2">
    <vt:lpwstr>All|ff20392c-f58a-4878-bc07-3294c3236521</vt:lpwstr>
  </property>
  <property fmtid="{D5CDD505-2E9C-101B-9397-08002B2CF9AE}" pid="34" name="RelatedRegions">
    <vt:lpwstr>648;#All|ff20392c-f58a-4878-bc07-3294c3236521</vt:lpwstr>
  </property>
  <property fmtid="{D5CDD505-2E9C-101B-9397-08002B2CF9AE}" pid="35" name="WorkingInstructionType">
    <vt:lpwstr>Template</vt:lpwstr>
  </property>
  <property fmtid="{D5CDD505-2E9C-101B-9397-08002B2CF9AE}" pid="36" name="display_urn:schemas-microsoft-com:office:office#DocumentContentOwner">
    <vt:lpwstr>Lloyd, David (D.J.)</vt:lpwstr>
  </property>
  <property fmtid="{D5CDD505-2E9C-101B-9397-08002B2CF9AE}" pid="37" name="RelatedTopics">
    <vt:lpwstr/>
  </property>
  <property fmtid="{D5CDD505-2E9C-101B-9397-08002B2CF9AE}" pid="38" name="TaxCatchAll">
    <vt:lpwstr/>
  </property>
  <property fmtid="{D5CDD505-2E9C-101B-9397-08002B2CF9AE}" pid="39" name="ApprovingFunction">
    <vt:lpwstr>387;#Quality|8eef3349-3fbd-4213-867b-090b1256e2de</vt:lpwstr>
  </property>
  <property fmtid="{D5CDD505-2E9C-101B-9397-08002B2CF9AE}" pid="40" name="cf433fb806414c1d854ab57603b41329">
    <vt:lpwstr>Quality|8eef3349-3fbd-4213-867b-090b1256e2de</vt:lpwstr>
  </property>
  <property fmtid="{D5CDD505-2E9C-101B-9397-08002B2CF9AE}" pid="41" name="DocumentStatus">
    <vt:lpwstr>Approved</vt:lpwstr>
  </property>
  <property fmtid="{D5CDD505-2E9C-101B-9397-08002B2CF9AE}" pid="42" name="WorkflowChangePath">
    <vt:lpwstr>931fc03d-db95-4743-8099-f5d9160977f0,9;931fc03d-db95-4743-8099-f5d9160977f0,12;cdc4ed74-8e2a-432a-89c1-eccdc32d4d8b,15;b53d064c-433c-47e1-82c8-0b9ae8fe0154,51;b53d064c-433c-47e1-82c8-0b9ae8fe0154,54;cdc4ed74-8e2a-432a-89c1-eccdc32d4d8b,57;859333f9-61be-43</vt:lpwstr>
  </property>
  <property fmtid="{D5CDD505-2E9C-101B-9397-08002B2CF9AE}" pid="43" name="DatePublished">
    <vt:lpwstr>2018-03-06T09:24:35Z</vt:lpwstr>
  </property>
  <property fmtid="{D5CDD505-2E9C-101B-9397-08002B2CF9AE}" pid="44" name="PublishedVersion">
    <vt:lpwstr>1</vt:lpwstr>
  </property>
  <property fmtid="{D5CDD505-2E9C-101B-9397-08002B2CF9AE}" pid="45" name="PersistReviewDate">
    <vt:lpwstr>1</vt:lpwstr>
  </property>
  <property fmtid="{D5CDD505-2E9C-101B-9397-08002B2CF9AE}" pid="46" name="fa2edfbc4bd54f5daa2bdbccf446cdae">
    <vt:lpwstr/>
  </property>
  <property fmtid="{D5CDD505-2E9C-101B-9397-08002B2CF9AE}" pid="47" name="PublishedDocumentUrl">
    <vt:lpwstr>&lt;a href="/sites/jlrway/wi/Documents/Template/SCSS%20Master%20v2.xls"&gt;SCSS Master v2.xls&lt;/a&gt;</vt:lpwstr>
  </property>
  <property fmtid="{D5CDD505-2E9C-101B-9397-08002B2CF9AE}" pid="48" name="DocumentContentOwnerText">
    <vt:lpwstr/>
  </property>
  <property fmtid="{D5CDD505-2E9C-101B-9397-08002B2CF9AE}" pid="49" name="RetentionSuspended">
    <vt:lpwstr>0</vt:lpwstr>
  </property>
  <property fmtid="{D5CDD505-2E9C-101B-9397-08002B2CF9AE}" pid="50" name="SPPGuid">
    <vt:lpwstr/>
  </property>
  <property fmtid="{D5CDD505-2E9C-101B-9397-08002B2CF9AE}" pid="51" name="ParentDocumentReference">
    <vt:lpwstr/>
  </property>
  <property fmtid="{D5CDD505-2E9C-101B-9397-08002B2CF9AE}" pid="52" name="gb9cd096587b405d8fabe5771bc7e394">
    <vt:lpwstr/>
  </property>
  <property fmtid="{D5CDD505-2E9C-101B-9397-08002B2CF9AE}" pid="53" name="f8f94e19fc5440d0b83a424959612cbe">
    <vt:lpwstr/>
  </property>
  <property fmtid="{D5CDD505-2E9C-101B-9397-08002B2CF9AE}" pid="54" name="DocumentType">
    <vt:lpwstr/>
  </property>
  <property fmtid="{D5CDD505-2E9C-101B-9397-08002B2CF9AE}" pid="55" name="IsPartial">
    <vt:lpwstr/>
  </property>
  <property fmtid="{D5CDD505-2E9C-101B-9397-08002B2CF9AE}" pid="56" name="ContentAudience">
    <vt:lpwstr/>
  </property>
  <property fmtid="{D5CDD505-2E9C-101B-9397-08002B2CF9AE}" pid="57" name="DocumentTypeHash">
    <vt:lpwstr/>
  </property>
  <property fmtid="{D5CDD505-2E9C-101B-9397-08002B2CF9AE}" pid="58" name="DocumentAuthorText">
    <vt:lpwstr/>
  </property>
  <property fmtid="{D5CDD505-2E9C-101B-9397-08002B2CF9AE}" pid="59" name="LegacyDocumentReference">
    <vt:lpwstr/>
  </property>
  <property fmtid="{D5CDD505-2E9C-101B-9397-08002B2CF9AE}" pid="60" name="RelatedDocumentReferences">
    <vt:lpwstr>JLR-HTG-46599|JLR-Q-005|JLR-Q-006</vt:lpwstr>
  </property>
  <property fmtid="{D5CDD505-2E9C-101B-9397-08002B2CF9AE}" pid="61" name="AlsoSeeDocumentReferences">
    <vt:lpwstr/>
  </property>
  <property fmtid="{D5CDD505-2E9C-101B-9397-08002B2CF9AE}" pid="62" name="SynchronizationStatus">
    <vt:lpwstr/>
  </property>
  <property fmtid="{D5CDD505-2E9C-101B-9397-08002B2CF9AE}" pid="63" name="RelatedDocumentsStatus">
    <vt:lpwstr/>
  </property>
  <property fmtid="{D5CDD505-2E9C-101B-9397-08002B2CF9AE}" pid="64" name="SAPSourceSystem">
    <vt:lpwstr/>
  </property>
  <property fmtid="{D5CDD505-2E9C-101B-9397-08002B2CF9AE}" pid="65" name="RelatedProcesses">
    <vt:lpwstr/>
  </property>
  <property fmtid="{D5CDD505-2E9C-101B-9397-08002B2CF9AE}" pid="66" name="RelatedRoles">
    <vt:lpwstr/>
  </property>
  <property fmtid="{D5CDD505-2E9C-101B-9397-08002B2CF9AE}" pid="67" name="display_urn:schemas-microsoft-com:office:office#Editor">
    <vt:lpwstr>Maxineanu, Cristian (C.)</vt:lpwstr>
  </property>
  <property fmtid="{D5CDD505-2E9C-101B-9397-08002B2CF9AE}" pid="68" name="k7ab7f0d3705407585ad49050a0045ae">
    <vt:lpwstr/>
  </property>
  <property fmtid="{D5CDD505-2E9C-101B-9397-08002B2CF9AE}" pid="69" name="Order">
    <vt:lpwstr>4659800.00000000</vt:lpwstr>
  </property>
  <property fmtid="{D5CDD505-2E9C-101B-9397-08002B2CF9AE}" pid="70" name="ResourceTypes">
    <vt:lpwstr/>
  </property>
  <property fmtid="{D5CDD505-2E9C-101B-9397-08002B2CF9AE}" pid="71" name="PrimaryPolicyCommitment">
    <vt:lpwstr/>
  </property>
  <property fmtid="{D5CDD505-2E9C-101B-9397-08002B2CF9AE}" pid="72" name="RelatedWaiverDocuments">
    <vt:lpwstr/>
  </property>
  <property fmtid="{D5CDD505-2E9C-101B-9397-08002B2CF9AE}" pid="73" name="ArisProcessRequested">
    <vt:lpwstr>0</vt:lpwstr>
  </property>
  <property fmtid="{D5CDD505-2E9C-101B-9397-08002B2CF9AE}" pid="74" name="SecondaryPolicyCommitment">
    <vt:lpwstr/>
  </property>
  <property fmtid="{D5CDD505-2E9C-101B-9397-08002B2CF9AE}" pid="75" name="o72d03a6b0124fcd9116ffac64a96c16">
    <vt:lpwstr/>
  </property>
  <property fmtid="{D5CDD505-2E9C-101B-9397-08002B2CF9AE}" pid="76" name="RelatedProcedureDocuments">
    <vt:lpwstr/>
  </property>
  <property fmtid="{D5CDD505-2E9C-101B-9397-08002B2CF9AE}" pid="77" name="ArisProcessMapLink">
    <vt:lpwstr/>
  </property>
  <property fmtid="{D5CDD505-2E9C-101B-9397-08002B2CF9AE}" pid="78" name="display_urn:schemas-microsoft-com:office:office#Author">
    <vt:lpwstr>Kong, Kenny (H.L.K.)</vt:lpwstr>
  </property>
  <property fmtid="{D5CDD505-2E9C-101B-9397-08002B2CF9AE}" pid="79" name="xd_ProgID">
    <vt:lpwstr/>
  </property>
  <property fmtid="{D5CDD505-2E9C-101B-9397-08002B2CF9AE}" pid="80" name="TemplateUrl">
    <vt:lpwstr/>
  </property>
  <property fmtid="{D5CDD505-2E9C-101B-9397-08002B2CF9AE}" pid="81" name="_CopySource">
    <vt:lpwstr>https://jlrway.sp.jlrint.com/sites/jlrway/User Staging Content/HKONG1/SCSS Master v2.1.xls</vt:lpwstr>
  </property>
  <property fmtid="{D5CDD505-2E9C-101B-9397-08002B2CF9AE}" pid="82" name="RelatedDownload">
    <vt:lpwstr/>
  </property>
  <property fmtid="{D5CDD505-2E9C-101B-9397-08002B2CF9AE}" pid="83" name="Approver">
    <vt:lpwstr/>
  </property>
  <property fmtid="{D5CDD505-2E9C-101B-9397-08002B2CF9AE}" pid="84" name="ArchiveD">
    <vt:lpwstr/>
  </property>
  <property fmtid="{D5CDD505-2E9C-101B-9397-08002B2CF9AE}" pid="85" name="Function">
    <vt:lpwstr/>
  </property>
  <property fmtid="{D5CDD505-2E9C-101B-9397-08002B2CF9AE}" pid="86" name="SendEmai">
    <vt:lpwstr/>
  </property>
  <property fmtid="{D5CDD505-2E9C-101B-9397-08002B2CF9AE}" pid="87" name="DocumentComments">
    <vt:lpwstr/>
  </property>
  <property fmtid="{D5CDD505-2E9C-101B-9397-08002B2CF9AE}" pid="88" name="BlankApp">
    <vt:lpwstr/>
  </property>
  <property fmtid="{D5CDD505-2E9C-101B-9397-08002B2CF9AE}" pid="89" name="JLRAssetType">
    <vt:lpwstr>AttachmentDraft</vt:lpwstr>
  </property>
  <property fmtid="{D5CDD505-2E9C-101B-9397-08002B2CF9AE}" pid="90" name="JLROwningLocation_Note">
    <vt:lpwstr/>
  </property>
  <property fmtid="{D5CDD505-2E9C-101B-9397-08002B2CF9AE}" pid="91" name="JLRAssetContent">
    <vt:lpwstr/>
  </property>
  <property fmtid="{D5CDD505-2E9C-101B-9397-08002B2CF9AE}" pid="92" name="JLRAssetMaxUIVersion">
    <vt:lpwstr>0</vt:lpwstr>
  </property>
  <property fmtid="{D5CDD505-2E9C-101B-9397-08002B2CF9AE}" pid="93" name="JLRDocumentStatus">
    <vt:lpwstr>Active</vt:lpwstr>
  </property>
  <property fmtid="{D5CDD505-2E9C-101B-9397-08002B2CF9AE}" pid="94" name="JLROwningFunction_Note">
    <vt:lpwstr/>
  </property>
  <property fmtid="{D5CDD505-2E9C-101B-9397-08002B2CF9AE}" pid="95" name="$Resources:core,Signoff_Status;">
    <vt:lpwstr/>
  </property>
  <property fmtid="{D5CDD505-2E9C-101B-9397-08002B2CF9AE}" pid="96" name="JLRAssociatedDocumentId">
    <vt:lpwstr/>
  </property>
  <property fmtid="{D5CDD505-2E9C-101B-9397-08002B2CF9AE}" pid="97" name="JLRIssueLevel">
    <vt:lpwstr/>
  </property>
  <property fmtid="{D5CDD505-2E9C-101B-9397-08002B2CF9AE}" pid="98" name="JLRAssetCategory">
    <vt:lpwstr/>
  </property>
  <property fmtid="{D5CDD505-2E9C-101B-9397-08002B2CF9AE}" pid="99" name="JLRAssetUIVersion">
    <vt:lpwstr>5632.00000000000</vt:lpwstr>
  </property>
  <property fmtid="{D5CDD505-2E9C-101B-9397-08002B2CF9AE}" pid="100" name="JLRAssetsDescription">
    <vt:lpwstr/>
  </property>
  <property fmtid="{D5CDD505-2E9C-101B-9397-08002B2CF9AE}" pid="101" name="JLRMarkToPublish">
    <vt:lpwstr>1</vt:lpwstr>
  </property>
  <property fmtid="{D5CDD505-2E9C-101B-9397-08002B2CF9AE}" pid="102" name="JLRAssociatedDocumentUrl">
    <vt:lpwstr/>
  </property>
  <property fmtid="{D5CDD505-2E9C-101B-9397-08002B2CF9AE}" pid="103" name="JLRMasterLanguage">
    <vt:lpwstr>en-gb</vt:lpwstr>
  </property>
  <property fmtid="{D5CDD505-2E9C-101B-9397-08002B2CF9AE}" pid="104" name="JLROwningFunction">
    <vt:lpwstr/>
  </property>
  <property fmtid="{D5CDD505-2E9C-101B-9397-08002B2CF9AE}" pid="105" name="JLROwningLocation">
    <vt:lpwstr/>
  </property>
  <property fmtid="{D5CDD505-2E9C-101B-9397-08002B2CF9AE}" pid="106" name="display_urn:schemas-microsoft-com:office:office#SharedWithUsers">
    <vt:lpwstr>Pui Tung Lam;Chris Bonham;Filipe Pinheiro;George Rabelo De Morais;Ian Stevens;Alan Gilbert;Paramjit Singh;Caroline Abid;Martin Wardley;David Holloway;Brian Sorbie</vt:lpwstr>
  </property>
  <property fmtid="{D5CDD505-2E9C-101B-9397-08002B2CF9AE}" pid="107" name="SharedWithUsers">
    <vt:lpwstr>5061;#Pui Tung Lam;#1329;#Chris Bonham;#1495;#Filipe Pinheiro;#1540;#George Rabelo De Morais;#1802;#Ian Stevens;#4047;#Alan Gilbert;#481;#Paramjit Singh;#1809;#Caroline Abid;#3152;#Martin Wardley;#1804;#David Holloway;#844;#Brian Sorbie</vt:lpwstr>
  </property>
  <property fmtid="{D5CDD505-2E9C-101B-9397-08002B2CF9AE}" pid="108" name="JLRAssetHasBeenUsed">
    <vt:lpwstr>0</vt:lpwstr>
  </property>
  <property fmtid="{D5CDD505-2E9C-101B-9397-08002B2CF9AE}" pid="109" name="MediaServiceImageTags">
    <vt:lpwstr/>
  </property>
  <property fmtid="{D5CDD505-2E9C-101B-9397-08002B2CF9AE}" pid="110" name="lcf76f155ced4ddcb4097134ff3c332f">
    <vt:lpwstr/>
  </property>
  <property fmtid="{D5CDD505-2E9C-101B-9397-08002B2CF9AE}" pid="111" name="Sign-off status">
    <vt:lpwstr/>
  </property>
  <property fmtid="{D5CDD505-2E9C-101B-9397-08002B2CF9AE}" pid="112" name="MSIP_Label_289eaf13-f528-470e-bf6b-38b666617431_Enabled">
    <vt:lpwstr>true</vt:lpwstr>
  </property>
  <property fmtid="{D5CDD505-2E9C-101B-9397-08002B2CF9AE}" pid="113" name="MSIP_Label_289eaf13-f528-470e-bf6b-38b666617431_SetDate">
    <vt:lpwstr>2024-12-05T07:48:14Z</vt:lpwstr>
  </property>
  <property fmtid="{D5CDD505-2E9C-101B-9397-08002B2CF9AE}" pid="114" name="MSIP_Label_289eaf13-f528-470e-bf6b-38b666617431_Method">
    <vt:lpwstr>Standard</vt:lpwstr>
  </property>
  <property fmtid="{D5CDD505-2E9C-101B-9397-08002B2CF9AE}" pid="115" name="MSIP_Label_289eaf13-f528-470e-bf6b-38b666617431_Name">
    <vt:lpwstr>Proprietary</vt:lpwstr>
  </property>
  <property fmtid="{D5CDD505-2E9C-101B-9397-08002B2CF9AE}" pid="116" name="MSIP_Label_289eaf13-f528-470e-bf6b-38b666617431_SiteId">
    <vt:lpwstr>4c087f80-1e07-4f72-9e41-d7d9748d0f4c</vt:lpwstr>
  </property>
  <property fmtid="{D5CDD505-2E9C-101B-9397-08002B2CF9AE}" pid="117" name="MSIP_Label_289eaf13-f528-470e-bf6b-38b666617431_ActionId">
    <vt:lpwstr>97072cd4-6d27-4677-9761-59d8c6daae0b</vt:lpwstr>
  </property>
  <property fmtid="{D5CDD505-2E9C-101B-9397-08002B2CF9AE}" pid="118" name="MSIP_Label_289eaf13-f528-470e-bf6b-38b666617431_ContentBits">
    <vt:lpwstr>0</vt:lpwstr>
  </property>
  <property fmtid="{D5CDD505-2E9C-101B-9397-08002B2CF9AE}" pid="119" name="TaxKeyword">
    <vt:lpwstr/>
  </property>
</Properties>
</file>