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PP-TF20(推荐)" sheetId="2" state="visible" r:id="rId2"/>
    <sheet xmlns:r="http://schemas.openxmlformats.org/officeDocument/2006/relationships" name="ABS(备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  <numFmt numFmtId="171" formatCode="yyyy-mm-dd h:mm:ss"/>
    <numFmt numFmtId="172" formatCode="0.0"/>
    <numFmt numFmtId="173" formatCode="0.000"/>
  </numFmts>
  <fonts count="28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  <font>
      <b val="1"/>
      <sz val="14"/>
    </font>
    <font>
      <color rgb="00555555"/>
      <sz val="10"/>
    </font>
    <font>
      <b val="1"/>
      <color rgb="00C00000"/>
      <sz val="10"/>
    </font>
    <font>
      <b val="1"/>
      <color rgb="00FFFFFF"/>
    </font>
    <font>
      <b val="1"/>
      <color rgb="00000000"/>
    </font>
    <font>
      <color rgb="00000000"/>
    </font>
    <font>
      <b val="1"/>
      <sz val="11"/>
    </font>
    <font>
      <b val="1"/>
    </font>
    <font>
      <b val="1"/>
      <color rgb="00C00000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86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6" borderId="65" applyAlignment="1" pivotButton="0" quotePrefix="0" xfId="0">
      <alignment horizontal="center" vertical="center" wrapText="1"/>
    </xf>
    <xf numFmtId="0" fontId="22" fillId="0" borderId="65" applyAlignment="1" pivotButton="0" quotePrefix="0" xfId="0">
      <alignment horizontal="center" vertical="center"/>
    </xf>
    <xf numFmtId="0" fontId="23" fillId="0" borderId="65" applyAlignment="1" pivotButton="0" quotePrefix="0" xfId="0">
      <alignment horizontal="center" vertical="center"/>
    </xf>
    <xf numFmtId="172" fontId="23" fillId="0" borderId="65" applyAlignment="1" pivotButton="0" quotePrefix="0" xfId="0">
      <alignment horizontal="center" vertical="center"/>
    </xf>
    <xf numFmtId="173" fontId="22" fillId="7" borderId="65" applyAlignment="1" pivotButton="0" quotePrefix="0" xfId="0">
      <alignment horizontal="center" vertical="center"/>
    </xf>
    <xf numFmtId="173" fontId="23" fillId="0" borderId="65" applyAlignment="1" pivotButton="0" quotePrefix="0" xfId="0">
      <alignment horizontal="center" vertical="center"/>
    </xf>
    <xf numFmtId="2" fontId="23" fillId="0" borderId="65" applyAlignment="1" pivotButton="0" quotePrefix="0" xfId="0">
      <alignment horizontal="center" vertical="center"/>
    </xf>
    <xf numFmtId="0" fontId="24" fillId="0" borderId="0" pivotButton="0" quotePrefix="0" xfId="0"/>
    <xf numFmtId="0" fontId="22" fillId="7" borderId="65" applyAlignment="1" pivotButton="0" quotePrefix="0" xfId="0">
      <alignment horizontal="center" vertical="center"/>
    </xf>
    <xf numFmtId="0" fontId="25" fillId="0" borderId="65" applyAlignment="1" pivotButton="0" quotePrefix="0" xfId="0">
      <alignment horizontal="center" vertical="center"/>
    </xf>
    <xf numFmtId="173" fontId="25" fillId="0" borderId="65" applyAlignment="1" pivotButton="0" quotePrefix="0" xfId="0">
      <alignment horizontal="center" vertical="center"/>
    </xf>
    <xf numFmtId="173" fontId="22" fillId="0" borderId="65" applyAlignment="1" pivotButton="0" quotePrefix="0" xfId="0">
      <alignment horizontal="center" vertical="center"/>
    </xf>
    <xf numFmtId="0" fontId="26" fillId="8" borderId="0" pivotButton="0" quotePrefix="0" xfId="0"/>
    <xf numFmtId="0" fontId="27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1" fontId="5" fillId="2" borderId="8" applyAlignment="1" applyProtection="1" pivotButton="0" quotePrefix="0" xfId="0">
      <alignment horizontal="center" vertical="center" wrapText="1"/>
      <protection locked="1" hidden="1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4" customWidth="1" style="189" min="2" max="2"/>
    <col width="15" customWidth="1" style="189" min="3" max="3"/>
    <col width="15" customWidth="1" style="189" min="4" max="4"/>
    <col width="15" customWidth="1" style="189" min="5" max="5"/>
    <col width="15" customWidth="1" style="189" min="6" max="6"/>
    <col width="15" customWidth="1" style="189" min="7" max="7"/>
    <col width="15" customWidth="1" style="189" min="8" max="8"/>
  </cols>
  <sheetData>
    <row r="2">
      <c r="B2" s="190" t="inlineStr">
        <is>
          <t>Z7B2-13A994-A-PIA-01 塑料件  报价汇总</t>
        </is>
      </c>
    </row>
    <row r="3">
      <c r="B3" s="191" t="inlineStr">
        <is>
          <t>年产量 10,945 件 ×8年生命周期 = 总采购 87,560 件 ｜ 1穴 ｜ 成品0.450kg+15%水口=耗料0.5175kg ｜ 报价日 2026-06-22</t>
        </is>
      </c>
    </row>
    <row r="4">
      <c r="B4" s="192" t="inlineStr">
        <is>
          <t>⚠ 产品资料仅3张图(材料/3D),无STP/技协/BOM;以下含大量估值,逐项见底部 call-out。</t>
        </is>
      </c>
    </row>
    <row r="5"/>
    <row r="6" ht="30" customHeight="1" s="189">
      <c r="B6" s="193" t="inlineStr">
        <is>
          <t>方案</t>
        </is>
      </c>
      <c r="C6" s="193" t="inlineStr">
        <is>
          <t>材料牌号</t>
        </is>
      </c>
      <c r="D6" s="193" t="inlineStr">
        <is>
          <t>单价(元/kg)</t>
        </is>
      </c>
      <c r="E6" s="193" t="inlineStr">
        <is>
          <t>含税单价(元)</t>
        </is>
      </c>
      <c r="F6" s="193" t="inlineStr">
        <is>
          <t>未税单价(元)</t>
        </is>
      </c>
      <c r="G6" s="193" t="inlineStr">
        <is>
          <t>年产值含税(万元)</t>
        </is>
      </c>
      <c r="H6" s="193" t="inlineStr">
        <is>
          <t>年产值未税(万元)</t>
        </is>
      </c>
    </row>
    <row r="7">
      <c r="B7" s="194" t="inlineStr">
        <is>
          <t>PP-TF20 (推荐)</t>
        </is>
      </c>
      <c r="C7" s="195" t="inlineStr">
        <is>
          <t>Borealis Borcycle MG2503SY</t>
        </is>
      </c>
      <c r="D7" s="196" t="n">
        <v>9.1</v>
      </c>
      <c r="E7" s="197" t="n">
        <v>13.31</v>
      </c>
      <c r="F7" s="198" t="n">
        <v>11.779</v>
      </c>
      <c r="G7" s="199" t="n">
        <v>14.57</v>
      </c>
      <c r="H7" s="199" t="n">
        <v>12.89</v>
      </c>
    </row>
    <row r="8">
      <c r="B8" s="194" t="inlineStr">
        <is>
          <t>ABS (备选)</t>
        </is>
      </c>
      <c r="C8" s="195" t="inlineStr">
        <is>
          <t>Magnum 3325</t>
        </is>
      </c>
      <c r="D8" s="196" t="n">
        <v>14</v>
      </c>
      <c r="E8" s="197" t="n">
        <v>16.854</v>
      </c>
      <c r="F8" s="198" t="n">
        <v>14.915</v>
      </c>
      <c r="G8" s="199" t="n">
        <v>18.45</v>
      </c>
      <c r="H8" s="199" t="n">
        <v>16.32</v>
      </c>
    </row>
    <row r="9"/>
    <row r="10">
      <c r="B10" s="200" t="inlineStr">
        <is>
          <t>单件成本拆解(元/件)</t>
        </is>
      </c>
    </row>
    <row r="11">
      <c r="B11" s="201" t="inlineStr">
        <is>
          <t>项目</t>
        </is>
      </c>
      <c r="C11" s="201" t="inlineStr">
        <is>
          <t>PP-TF20</t>
        </is>
      </c>
      <c r="D11" s="201" t="inlineStr">
        <is>
          <t>ABS</t>
        </is>
      </c>
    </row>
    <row r="12">
      <c r="B12" s="195" t="inlineStr">
        <is>
          <t>材料费</t>
        </is>
      </c>
      <c r="C12" s="198" t="n">
        <v>4.756</v>
      </c>
      <c r="D12" s="198" t="n">
        <v>7.317</v>
      </c>
    </row>
    <row r="13">
      <c r="B13" s="195" t="inlineStr">
        <is>
          <t>模具摊销</t>
        </is>
      </c>
      <c r="C13" s="198" t="n">
        <v>2.284</v>
      </c>
      <c r="D13" s="198" t="n">
        <v>2.284</v>
      </c>
    </row>
    <row r="14">
      <c r="B14" s="195" t="inlineStr">
        <is>
          <t>人工费</t>
        </is>
      </c>
      <c r="C14" s="198" t="n">
        <v>0.711</v>
      </c>
      <c r="D14" s="198" t="n">
        <v>0.711</v>
      </c>
    </row>
    <row r="15">
      <c r="B15" s="195" t="inlineStr">
        <is>
          <t>折旧</t>
        </is>
      </c>
      <c r="C15" s="198" t="n">
        <v>0.137</v>
      </c>
      <c r="D15" s="198" t="n">
        <v>0.172</v>
      </c>
    </row>
    <row r="16">
      <c r="B16" s="195" t="inlineStr">
        <is>
          <t>能耗</t>
        </is>
      </c>
      <c r="C16" s="198" t="n">
        <v>0.8080000000000001</v>
      </c>
      <c r="D16" s="198" t="n">
        <v>1.077</v>
      </c>
    </row>
    <row r="17">
      <c r="B17" s="195" t="inlineStr">
        <is>
          <t>废品费</t>
        </is>
      </c>
      <c r="C17" s="198" t="n">
        <v>0.08699999999999999</v>
      </c>
      <c r="D17" s="198" t="n">
        <v>0.116</v>
      </c>
    </row>
    <row r="18">
      <c r="B18" s="195" t="inlineStr">
        <is>
          <t>管理费</t>
        </is>
      </c>
      <c r="C18" s="198" t="n">
        <v>0.344</v>
      </c>
      <c r="D18" s="198" t="n">
        <v>0.437</v>
      </c>
    </row>
    <row r="19">
      <c r="B19" s="195" t="inlineStr">
        <is>
          <t>成本价(含运输1.29+包装0.8)</t>
        </is>
      </c>
      <c r="C19" s="198" t="n">
        <v>11.218</v>
      </c>
      <c r="D19" s="198" t="n">
        <v>14.204</v>
      </c>
    </row>
    <row r="20">
      <c r="B20" s="202" t="inlineStr">
        <is>
          <t>未税报价</t>
        </is>
      </c>
      <c r="C20" s="203" t="n">
        <v>11.779</v>
      </c>
      <c r="D20" s="198" t="n">
        <v>14.915</v>
      </c>
    </row>
    <row r="21">
      <c r="B21" s="202" t="inlineStr">
        <is>
          <t>含税总价</t>
        </is>
      </c>
      <c r="C21" s="203" t="n">
        <v>13.31</v>
      </c>
      <c r="D21" s="204" t="n">
        <v>16.854</v>
      </c>
    </row>
    <row r="22"/>
    <row r="23">
      <c r="B23" s="205" t="inlineStr">
        <is>
          <t>★ 估值项 call-out（待确认 — 资料极少，全部为深远自有口径估算）</t>
        </is>
      </c>
    </row>
    <row r="24" ht="30" customHeight="1" s="189">
      <c r="B24" s="206" t="inlineStr">
        <is>
          <t>1. 材料单价: PP-TF20=9.1元/kg(同Lucid地板PP-T20口径,Borcycle为再生PP,实际或有出入); ABS Magnum3325=14元/kg(ABS大类经验值)。两者均【待询价确认】。</t>
        </is>
      </c>
    </row>
    <row r="25" ht="30" customHeight="1" s="189">
      <c r="B25" s="206" t="inlineStr">
        <is>
          <t>2. 模具费: 20万元/副,1穴,寿命30万模 —— 纯估值【待外部询价】。低产量下模具摊销占比大(≈2.28元/件),此项最敏感。</t>
        </is>
      </c>
    </row>
    <row r="26" ht="30" customHeight="1" s="189">
      <c r="B26" s="206" t="inlineStr">
        <is>
          <t>3. 耗料: 图给"净用量0.450kg"=成品净重(不含水口,客户确认);按冷流道大件加15%水口→耗料0.5175kg。水口比例15%为估值【待确认】,比例每±5%材料费约±0.2~0.35元/件。</t>
        </is>
      </c>
    </row>
    <row r="27" ht="30" customHeight="1" s="189">
      <c r="B27" s="206" t="inlineStr">
        <is>
          <t>4. 穴数: 取3D图标注"1 CAV TOOL"假设,1穴(低产量经济合理)。</t>
        </is>
      </c>
    </row>
    <row r="28" ht="30" customHeight="1" s="189">
      <c r="B28" s="206" t="inlineStr">
        <is>
          <t>5. 机台吨位: 投影面积按外形488.82×328.19约70%估≈1120cm²反算; PP→450T、ABS→650T(ABS型腔压力高)。投影面积无STP实测,【待核】。</t>
        </is>
      </c>
    </row>
    <row r="29" ht="30" customHeight="1" s="189">
      <c r="B29" s="206" t="inlineStr">
        <is>
          <t>6. 成型周期: 40s/模(0.45kg大件经验估),【待确认】。</t>
        </is>
      </c>
    </row>
    <row r="30" ht="30" customHeight="1" s="189">
      <c r="B30" s="206" t="inlineStr">
        <is>
          <t>7. 机台参数(设备价/功率): 450T=68万/150KW、650T=85万/200KW —— 取自cavity_optimizer估值锚点,【待真实参数校准】。</t>
        </is>
      </c>
    </row>
    <row r="31" ht="30" customHeight="1" s="189">
      <c r="B31" s="206" t="inlineStr">
        <is>
          <t>8. 运输1.29元 + 包装0.8元: 沿用金榕模板默认值;本件外形较大(488mm),实际或更高,【待确认】。</t>
        </is>
      </c>
    </row>
    <row r="32" ht="30" customHeight="1" s="189">
      <c r="B32" s="206" t="inlineStr">
        <is>
          <t>9. 利润率5%、废品率1%、稼动率75%、电价1元/KWh、增值税13%: 沿用金榕模板默认口径。低产量件利润率5%偏低,可酌情上调。</t>
        </is>
      </c>
    </row>
    <row r="33" ht="30" customHeight="1" s="189">
      <c r="B33" s="206" t="inlineStr">
        <is>
          <t>10. 外观判定: 3D为货舱/地板托盘类内饰/半隐藏件,无皮纹信息→普通钢+1%废品率;若为外观件需上调模具钢与废品率。【待技协确认】。</t>
        </is>
      </c>
    </row>
    <row r="34" ht="30" customHeight="1" s="189">
      <c r="B34" s="206" t="inlineStr">
        <is>
          <t>11. 材料二选一: 图给ABS(原)与PP-TF20(供应商推荐)两种,本表两方案并列;最终以客户确认材料为准。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workbookViewId="0">
      <selection activeCell="A1" sqref="A1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207" t="n"/>
      <c r="B2" s="208" t="inlineStr">
        <is>
          <t>上海金榕汽车零部件股份有限公司</t>
        </is>
      </c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10" t="n"/>
    </row>
    <row r="3" ht="30.95" customHeight="1" s="189">
      <c r="A3" s="207" t="n"/>
      <c r="B3" s="211" t="inlineStr">
        <is>
          <t>供应商产品报价表</t>
        </is>
      </c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12" t="n"/>
    </row>
    <row r="4" ht="27.95" customHeight="1" s="189">
      <c r="A4" s="207" t="n"/>
      <c r="B4" s="167" t="inlineStr">
        <is>
          <t>供应商商务信息</t>
        </is>
      </c>
      <c r="C4" s="101" t="inlineStr">
        <is>
          <t>供应商名称</t>
        </is>
      </c>
      <c r="D4" s="213" t="n"/>
      <c r="E4" s="103" t="inlineStr">
        <is>
          <t>杭州深远工贸有限公司</t>
        </is>
      </c>
      <c r="F4" s="214" t="n"/>
      <c r="G4" s="3" t="inlineStr">
        <is>
          <t>年销售额
（万元）</t>
        </is>
      </c>
      <c r="H4" s="103" t="n">
        <v>3000</v>
      </c>
      <c r="I4" s="215" t="n"/>
      <c r="J4" s="215" t="n"/>
      <c r="K4" s="214" t="n"/>
      <c r="L4" s="167" t="inlineStr">
        <is>
          <t>报价产品商务信息</t>
        </is>
      </c>
      <c r="M4" s="101" t="inlineStr">
        <is>
          <t>Z7B2-13A994-A-PIA-01 塑料件</t>
        </is>
      </c>
      <c r="N4" s="213" t="n"/>
      <c r="O4" s="106" t="inlineStr">
        <is>
          <t>Z7B2-13A994-A-PIA-01 塑料件</t>
        </is>
      </c>
      <c r="P4" s="214" t="n"/>
      <c r="Q4" s="216" t="n">
        <v>46195</v>
      </c>
      <c r="R4" s="217" t="n">
        <v>46195</v>
      </c>
      <c r="S4" s="214" t="n"/>
      <c r="T4" s="102" t="inlineStr">
        <is>
          <t>成品重量KG</t>
        </is>
      </c>
      <c r="U4" s="105" t="n">
        <v>0.45</v>
      </c>
    </row>
    <row r="5" ht="27.95" customHeight="1" s="189">
      <c r="A5" s="207" t="n"/>
      <c r="B5" s="218" t="n"/>
      <c r="C5" s="109" t="inlineStr">
        <is>
          <t>公司法人</t>
        </is>
      </c>
      <c r="D5" s="219" t="n"/>
      <c r="E5" s="111" t="inlineStr">
        <is>
          <t>许燊</t>
        </is>
      </c>
      <c r="F5" s="220" t="n"/>
      <c r="G5" s="8" t="inlineStr">
        <is>
          <t>年纳税额
（万元）</t>
        </is>
      </c>
      <c r="H5" s="111" t="n">
        <v>120</v>
      </c>
      <c r="I5" s="221" t="n"/>
      <c r="J5" s="221" t="n"/>
      <c r="K5" s="220" t="n"/>
      <c r="L5" s="218" t="n"/>
      <c r="M5" s="109" t="inlineStr">
        <is>
          <t>零件号</t>
        </is>
      </c>
      <c r="N5" s="219" t="n"/>
      <c r="O5" s="114" t="inlineStr">
        <is>
          <t>Z7B2-13A994-A-PIA-01</t>
        </is>
      </c>
      <c r="P5" s="220" t="n"/>
      <c r="Q5" s="110" t="inlineStr">
        <is>
          <t>OTS时间</t>
        </is>
      </c>
      <c r="R5" s="222" t="inlineStr">
        <is>
          <t>必填项</t>
        </is>
      </c>
      <c r="S5" s="220" t="n"/>
      <c r="T5" s="110" t="inlineStr">
        <is>
          <t>毛坯重量KG</t>
        </is>
      </c>
      <c r="U5" s="113" t="n">
        <v>0.5175</v>
      </c>
    </row>
    <row r="6" ht="27.95" customHeight="1" s="189">
      <c r="A6" s="207" t="n"/>
      <c r="B6" s="218" t="n"/>
      <c r="C6" s="109" t="inlineStr">
        <is>
          <t>企业规模</t>
        </is>
      </c>
      <c r="D6" s="219" t="n"/>
      <c r="E6" s="111" t="inlineStr">
        <is>
          <t>80人</t>
        </is>
      </c>
      <c r="F6" s="220" t="n"/>
      <c r="G6" s="8" t="inlineStr">
        <is>
          <t>注册资本
（万元）</t>
        </is>
      </c>
      <c r="H6" s="111" t="n">
        <v>50</v>
      </c>
      <c r="I6" s="221" t="n"/>
      <c r="J6" s="221" t="n"/>
      <c r="K6" s="220" t="n"/>
      <c r="L6" s="218" t="n"/>
      <c r="M6" s="117" t="inlineStr">
        <is>
          <t>总采购量
（万件）</t>
        </is>
      </c>
      <c r="N6" s="219" t="n"/>
      <c r="O6" s="115" t="n">
        <v>8.756</v>
      </c>
      <c r="P6" s="220" t="n"/>
      <c r="Q6" s="110" t="inlineStr">
        <is>
          <t>OTS时间</t>
        </is>
      </c>
      <c r="R6" s="222" t="inlineStr">
        <is>
          <t>必填项</t>
        </is>
      </c>
      <c r="S6" s="220" t="n"/>
      <c r="T6" s="8" t="inlineStr">
        <is>
          <t xml:space="preserve">工价（元/h)
一键修正
</t>
        </is>
      </c>
      <c r="U6" s="11" t="n"/>
    </row>
    <row r="7" ht="27.95" customHeight="1" s="189">
      <c r="A7" s="207" t="n"/>
      <c r="B7" s="218" t="n"/>
      <c r="C7" s="109" t="inlineStr">
        <is>
          <t>业务联系人</t>
        </is>
      </c>
      <c r="D7" s="219" t="n"/>
      <c r="E7" s="111" t="inlineStr">
        <is>
          <t>陈思远</t>
        </is>
      </c>
      <c r="F7" s="220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21" t="n"/>
      <c r="J7" s="221" t="n"/>
      <c r="K7" s="220" t="n"/>
      <c r="L7" s="218" t="n"/>
      <c r="M7" s="109" t="n">
        <v>8</v>
      </c>
      <c r="N7" s="219" t="n"/>
      <c r="O7" s="115" t="n"/>
      <c r="P7" s="220" t="n"/>
      <c r="Q7" s="110" t="inlineStr">
        <is>
          <t>PPAP时间</t>
        </is>
      </c>
      <c r="R7" s="222" t="inlineStr">
        <is>
          <t>必填项</t>
        </is>
      </c>
      <c r="S7" s="220" t="n"/>
      <c r="T7" s="8" t="inlineStr">
        <is>
          <t>能耗单价
￥/Kwh</t>
        </is>
      </c>
      <c r="U7" s="113" t="n">
        <v>1</v>
      </c>
    </row>
    <row r="8" ht="27.95" customHeight="1" s="189">
      <c r="A8" s="207" t="n"/>
      <c r="B8" s="223" t="n"/>
      <c r="C8" s="118" t="inlineStr">
        <is>
          <t>联系电话</t>
        </is>
      </c>
      <c r="D8" s="224" t="n"/>
      <c r="E8" s="120" t="n">
        <v>13735526664</v>
      </c>
      <c r="F8" s="225" t="n"/>
      <c r="G8" s="119" t="inlineStr">
        <is>
          <t>主营业务</t>
        </is>
      </c>
      <c r="H8" s="120" t="inlineStr">
        <is>
          <t>塑料制品制造销售</t>
        </is>
      </c>
      <c r="I8" s="226" t="n"/>
      <c r="J8" s="226" t="n"/>
      <c r="K8" s="225" t="n"/>
      <c r="L8" s="223" t="n"/>
      <c r="M8" s="123" t="inlineStr">
        <is>
          <t>综合
废品率</t>
        </is>
      </c>
      <c r="N8" s="224" t="n"/>
      <c r="O8" s="125" t="n">
        <v>0.01</v>
      </c>
      <c r="P8" s="225" t="n"/>
      <c r="Q8" s="119" t="inlineStr">
        <is>
          <t>SOP时间</t>
        </is>
      </c>
      <c r="R8" s="227" t="inlineStr">
        <is>
          <t>必填项</t>
        </is>
      </c>
      <c r="S8" s="225" t="n"/>
      <c r="T8" s="15" t="inlineStr">
        <is>
          <t>年生产天数</t>
        </is>
      </c>
      <c r="U8" s="122" t="n">
        <v>300</v>
      </c>
    </row>
    <row r="9" ht="24.95" customHeight="1" s="189">
      <c r="A9" s="207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207" t="n"/>
      <c r="B10" s="228" t="n"/>
      <c r="C10" s="229" t="n"/>
      <c r="D10" s="19" t="n">
        <v>1</v>
      </c>
      <c r="E10" s="20" t="inlineStr">
        <is>
          <t>PP-TF20</t>
        </is>
      </c>
      <c r="F10" s="21" t="inlineStr">
        <is>
          <t>供应商推荐 Borealis Borcycle
牌号: MG2503SY</t>
        </is>
      </c>
      <c r="G10" s="22" t="inlineStr">
        <is>
          <t>kg</t>
        </is>
      </c>
      <c r="H10" s="22" t="n">
        <v>0.5175</v>
      </c>
      <c r="I10" s="23" t="n">
        <v>0.01</v>
      </c>
      <c r="J10" s="22" t="n">
        <v>9.1</v>
      </c>
      <c r="K10" s="230">
        <f>IF(J10="","",J10*H10*(1+I10))</f>
        <v/>
      </c>
      <c r="L10" s="228" t="n"/>
      <c r="M10" s="229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31">
        <f>IF(T10="","",T10*R10*(1+S10))</f>
        <v/>
      </c>
    </row>
    <row r="11" ht="24.95" customHeight="1" s="189">
      <c r="A11" s="207" t="n"/>
      <c r="B11" s="228" t="n"/>
      <c r="C11" s="229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32">
        <f>IF(J11="","",J11*H11*(1+I11))</f>
        <v/>
      </c>
      <c r="L11" s="228" t="n"/>
      <c r="M11" s="229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33">
        <f>IF(T11="","",T11*R11*(1+S11))</f>
        <v/>
      </c>
    </row>
    <row r="12" ht="24.95" customHeight="1" s="189">
      <c r="A12" s="207" t="n"/>
      <c r="B12" s="228" t="n"/>
      <c r="C12" s="229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32">
        <f>IF(J12="","",J12*H12*(1+I12))</f>
        <v/>
      </c>
      <c r="L12" s="228" t="n"/>
      <c r="M12" s="229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33">
        <f>IF(T12="","",T12*R12*(1+S12))</f>
        <v/>
      </c>
    </row>
    <row r="13" ht="24.95" customHeight="1" s="189">
      <c r="A13" s="207" t="n"/>
      <c r="B13" s="228" t="n"/>
      <c r="C13" s="229" t="n"/>
      <c r="D13" s="109" t="n">
        <v>4</v>
      </c>
      <c r="E13" s="29" t="n"/>
      <c r="F13" s="29" t="n"/>
      <c r="G13" s="30" t="n"/>
      <c r="I13" s="36" t="n"/>
      <c r="J13" s="115" t="n"/>
      <c r="K13" s="232">
        <f>IF(J13="","",J13*G13*(1+I13))</f>
        <v/>
      </c>
      <c r="L13" s="228" t="n"/>
      <c r="M13" s="229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33">
        <f>IF(T13="","",T13*R13*(1+S13))</f>
        <v/>
      </c>
    </row>
    <row r="14" ht="24.95" customHeight="1" s="189">
      <c r="A14" s="207" t="n"/>
      <c r="B14" s="228" t="n"/>
      <c r="C14" s="229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32">
        <f>IF(J14="","",J14*H14*(1+I14))</f>
        <v/>
      </c>
      <c r="L14" s="228" t="n"/>
      <c r="M14" s="229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33">
        <f>IF(T14="","",T14*R14*(1+S14))</f>
        <v/>
      </c>
    </row>
    <row r="15" ht="24.95" customHeight="1" s="189">
      <c r="A15" s="207" t="n"/>
      <c r="B15" s="228" t="n"/>
      <c r="C15" s="229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32">
        <f>IF(J15="","",J15*H15*(1+I15))</f>
        <v/>
      </c>
      <c r="L15" s="228" t="n"/>
      <c r="M15" s="229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33">
        <f>IF(T15="","",T15*R15*(1+S15))</f>
        <v/>
      </c>
    </row>
    <row r="16" ht="24.95" customHeight="1" s="189">
      <c r="A16" s="207" t="n"/>
      <c r="B16" s="228" t="n"/>
      <c r="C16" s="229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32">
        <f>IF(J16="","",J16*H16*(1+I16))</f>
        <v/>
      </c>
      <c r="L16" s="228" t="n"/>
      <c r="M16" s="229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33">
        <f>IF(T16="","",T16*R16*(1+S16))</f>
        <v/>
      </c>
    </row>
    <row r="17" ht="24.95" customHeight="1" s="189">
      <c r="A17" s="207" t="n"/>
      <c r="B17" s="228" t="n"/>
      <c r="C17" s="229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32">
        <f>IF(J17="","",J17*H17*(1+I17))</f>
        <v/>
      </c>
      <c r="L17" s="228" t="n"/>
      <c r="M17" s="229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33">
        <f>IF(T17="","",T17*R17*(1+S17))</f>
        <v/>
      </c>
    </row>
    <row r="18" ht="24.95" customHeight="1" s="189">
      <c r="A18" s="207" t="n"/>
      <c r="B18" s="228" t="n"/>
      <c r="C18" s="229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32">
        <f>IF(J18="","",J18*H18*(1+I18))</f>
        <v/>
      </c>
      <c r="L18" s="228" t="n"/>
      <c r="M18" s="229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33">
        <f>IF(T18="","",T18*R18*(1+S18))</f>
        <v/>
      </c>
    </row>
    <row r="19" ht="24.95" customHeight="1" s="189">
      <c r="A19" s="207" t="n"/>
      <c r="B19" s="228" t="n"/>
      <c r="C19" s="229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32">
        <f>IF(J19="","",J19*H19*(1+I19))</f>
        <v/>
      </c>
      <c r="L19" s="228" t="n"/>
      <c r="M19" s="229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33">
        <f>IF(T19="","",T19*R19*(1+S19))</f>
        <v/>
      </c>
    </row>
    <row r="20" ht="24.95" customHeight="1" s="189">
      <c r="A20" s="207" t="n"/>
      <c r="B20" s="228" t="n"/>
      <c r="C20" s="229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32">
        <f>IF(J20="","",J20*H20*(1+I20))</f>
        <v/>
      </c>
      <c r="L20" s="228" t="n"/>
      <c r="M20" s="229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33">
        <f>IF(T20="","",T20*R20*(1+S20))</f>
        <v/>
      </c>
    </row>
    <row r="21" ht="24.95" customHeight="1" s="189">
      <c r="A21" s="207" t="n"/>
      <c r="B21" s="228" t="n"/>
      <c r="C21" s="229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32">
        <f>IF(J21="","",J21*H21*(1+I21))</f>
        <v/>
      </c>
      <c r="L21" s="228" t="n"/>
      <c r="M21" s="229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33">
        <f>IF(T21="","",T21*R21*(1+S21))</f>
        <v/>
      </c>
    </row>
    <row r="22" ht="24.95" customHeight="1" s="189">
      <c r="A22" s="207" t="n"/>
      <c r="B22" s="228" t="n"/>
      <c r="C22" s="229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32">
        <f>IF(J22="","",J22*H22*(1+I22))</f>
        <v/>
      </c>
      <c r="L22" s="228" t="n"/>
      <c r="M22" s="229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33">
        <f>IF(T22="","",T22*R22*(1+S22))</f>
        <v/>
      </c>
    </row>
    <row r="23" ht="24.95" customHeight="1" s="189">
      <c r="A23" s="207" t="n"/>
      <c r="B23" s="228" t="n"/>
      <c r="C23" s="229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32">
        <f>IF(J23="","",J23*H23*(1+I23))</f>
        <v/>
      </c>
      <c r="L23" s="228" t="n"/>
      <c r="M23" s="229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33">
        <f>IF(T23="","",T23*R23*(1+S23))</f>
        <v/>
      </c>
    </row>
    <row r="24" ht="24.95" customHeight="1" s="189">
      <c r="A24" s="207" t="n"/>
      <c r="B24" s="228" t="n"/>
      <c r="C24" s="229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32">
        <f>IF(J24="","",J24*H24*(1+I24))</f>
        <v/>
      </c>
      <c r="L24" s="228" t="n"/>
      <c r="M24" s="229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33">
        <f>IF(T24="","",T24*R24*(1+S24))</f>
        <v/>
      </c>
    </row>
    <row r="25" ht="24.95" customHeight="1" s="189">
      <c r="A25" s="207" t="n"/>
      <c r="B25" s="228" t="n"/>
      <c r="C25" s="229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32">
        <f>IF(J25="","",J25*H25*(1+I25))</f>
        <v/>
      </c>
      <c r="L25" s="228" t="n"/>
      <c r="M25" s="229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33">
        <f>IF(T25="","",T25*R25*(1+S25))</f>
        <v/>
      </c>
    </row>
    <row r="26" ht="24.95" customHeight="1" s="189">
      <c r="A26" s="207" t="n"/>
      <c r="B26" s="228" t="n"/>
      <c r="C26" s="229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32">
        <f>IF(J26="","",J26*H26*(1+I26))</f>
        <v/>
      </c>
      <c r="L26" s="228" t="n"/>
      <c r="M26" s="229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33">
        <f>IF(T26="","",T26*R26*(1+S26))</f>
        <v/>
      </c>
    </row>
    <row r="27" ht="24.95" customHeight="1" s="189">
      <c r="A27" s="207" t="n"/>
      <c r="B27" s="234" t="n"/>
      <c r="C27" s="235" t="n"/>
      <c r="D27" s="118" t="n"/>
      <c r="E27" s="43" t="n"/>
      <c r="F27" s="43" t="n"/>
      <c r="G27" s="43" t="n"/>
      <c r="H27" s="119" t="inlineStr">
        <is>
          <t>材料费合计</t>
        </is>
      </c>
      <c r="I27" s="224" t="n"/>
      <c r="J27" s="236" t="n"/>
      <c r="K27" s="237">
        <f>SUM(K10:K26)</f>
        <v/>
      </c>
      <c r="L27" s="234" t="n"/>
      <c r="M27" s="235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24" t="n"/>
      <c r="U27" s="237">
        <f>SUM(U10:U26)</f>
        <v/>
      </c>
    </row>
    <row r="28" ht="24.95" customHeight="1" s="189">
      <c r="A28" s="207" t="n"/>
      <c r="B28" s="170" t="inlineStr">
        <is>
          <t>三</t>
        </is>
      </c>
      <c r="C28" s="176" t="inlineStr">
        <is>
          <t xml:space="preserve"> 模具费用,刀夹具费用</t>
        </is>
      </c>
      <c r="D28" s="238" t="inlineStr">
        <is>
          <t>模具费用,刀夹具费用分摊</t>
        </is>
      </c>
      <c r="E28" s="239" t="n"/>
      <c r="F28" s="239" t="n"/>
      <c r="G28" s="239" t="n"/>
      <c r="H28" s="239" t="n"/>
      <c r="I28" s="239" t="n"/>
      <c r="J28" s="239" t="n"/>
      <c r="K28" s="240" t="n"/>
      <c r="L28" s="182" t="inlineStr">
        <is>
          <t>四</t>
        </is>
      </c>
      <c r="M28" s="176" t="inlineStr">
        <is>
          <t>实验检测费、开发费、样件费</t>
        </is>
      </c>
      <c r="N28" s="238" t="inlineStr">
        <is>
          <t>批量生产主要检测工序检测单件分摊费</t>
        </is>
      </c>
      <c r="O28" s="239" t="n"/>
      <c r="P28" s="239" t="n"/>
      <c r="Q28" s="239" t="n"/>
      <c r="R28" s="239" t="n"/>
      <c r="S28" s="239" t="n"/>
      <c r="T28" s="239" t="n"/>
      <c r="U28" s="240" t="n"/>
    </row>
    <row r="29" ht="24.95" customHeight="1" s="189">
      <c r="A29" s="207" t="n"/>
      <c r="B29" s="228" t="n"/>
      <c r="C29" s="229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28" t="n"/>
      <c r="M29" s="229" t="n"/>
      <c r="N29" s="241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207" t="n"/>
      <c r="B30" s="228" t="n"/>
      <c r="C30" s="229" t="n"/>
      <c r="D30" s="19" t="n">
        <v>1</v>
      </c>
      <c r="E30" s="52" t="inlineStr">
        <is>
          <t>Z7B2-13A994-A-PIA-01 塑料件</t>
        </is>
      </c>
      <c r="F30" s="53" t="n">
        <v>20</v>
      </c>
      <c r="G30" s="53" t="n">
        <v>1</v>
      </c>
      <c r="H30" s="53" t="n">
        <v>30</v>
      </c>
      <c r="I30" s="53" t="n">
        <v>8.756</v>
      </c>
      <c r="J30" s="242" t="n"/>
      <c r="K30" s="243">
        <f>IF(E30="","",IF(J30="",F30/I30,F30/J30))</f>
        <v/>
      </c>
      <c r="L30" s="228" t="n"/>
      <c r="M30" s="229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31">
        <f>IF(O30="","",IF(T30="",P30/S30,P30/T30))</f>
        <v/>
      </c>
    </row>
    <row r="31" ht="24.95" customHeight="1" s="189">
      <c r="A31" s="207" t="n"/>
      <c r="B31" s="228" t="n"/>
      <c r="C31" s="229" t="n"/>
      <c r="D31" s="109" t="n">
        <v>2</v>
      </c>
      <c r="E31" s="111" t="n"/>
      <c r="F31" s="111" t="n"/>
      <c r="G31" s="111" t="n"/>
      <c r="H31" s="111" t="n"/>
      <c r="I31" s="111" t="n"/>
      <c r="J31" s="244" t="n"/>
      <c r="K31" s="245">
        <f>IF(E31="","",IF(J31="",F31/I31,F31/J31))</f>
        <v/>
      </c>
      <c r="L31" s="228" t="n"/>
      <c r="M31" s="229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33">
        <f>IF(O31="","",IF(T31="",P31/S31,P31/T31))</f>
        <v/>
      </c>
    </row>
    <row r="32" ht="24.95" customHeight="1" s="189">
      <c r="A32" s="207" t="n"/>
      <c r="B32" s="228" t="n"/>
      <c r="C32" s="229" t="n"/>
      <c r="D32" s="109" t="n">
        <v>3</v>
      </c>
      <c r="E32" s="111" t="n"/>
      <c r="F32" s="111" t="n"/>
      <c r="G32" s="111" t="n"/>
      <c r="H32" s="111" t="n"/>
      <c r="I32" s="111" t="n"/>
      <c r="J32" s="244" t="n"/>
      <c r="K32" s="245">
        <f>IF(E32="","",IF(J32="",F32/I32,F32/J32))</f>
        <v/>
      </c>
      <c r="L32" s="228" t="n"/>
      <c r="M32" s="229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33">
        <f>IF(O32="","",IF(T32="",P32/S32,P32/T32))</f>
        <v/>
      </c>
    </row>
    <row r="33" ht="24.95" customHeight="1" s="189">
      <c r="A33" s="207" t="n"/>
      <c r="B33" s="228" t="n"/>
      <c r="C33" s="229" t="n"/>
      <c r="D33" s="109" t="n">
        <v>5</v>
      </c>
      <c r="E33" s="111" t="n"/>
      <c r="F33" s="111" t="n"/>
      <c r="G33" s="111" t="n"/>
      <c r="H33" s="111" t="n"/>
      <c r="I33" s="111" t="n"/>
      <c r="J33" s="244" t="n"/>
      <c r="K33" s="245">
        <f>IF(E33="","",IF(J33="",F33/I33,F33/J33))</f>
        <v/>
      </c>
      <c r="L33" s="228" t="n"/>
      <c r="M33" s="229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33">
        <f>IF(O33="","",IF(T33="",P33/S33,P33/T33))</f>
        <v/>
      </c>
    </row>
    <row r="34" ht="24.95" customHeight="1" s="189">
      <c r="A34" s="207" t="n"/>
      <c r="B34" s="228" t="n"/>
      <c r="C34" s="229" t="n"/>
      <c r="D34" s="109" t="n">
        <v>6</v>
      </c>
      <c r="E34" s="111" t="n"/>
      <c r="F34" s="111" t="n"/>
      <c r="G34" s="111" t="n"/>
      <c r="H34" s="111" t="n"/>
      <c r="I34" s="111" t="n"/>
      <c r="J34" s="244" t="n"/>
      <c r="K34" s="245">
        <f>IF(E34="","",IF(J34="",F34/I34,F34/J34))</f>
        <v/>
      </c>
      <c r="L34" s="228" t="n"/>
      <c r="M34" s="229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33">
        <f>IF(O34="","",IF(T34="",P34/S34,P34/T34))</f>
        <v/>
      </c>
    </row>
    <row r="35" ht="24.95" customHeight="1" s="189">
      <c r="A35" s="207" t="n"/>
      <c r="B35" s="228" t="n"/>
      <c r="C35" s="229" t="n"/>
      <c r="D35" s="109" t="n">
        <v>7</v>
      </c>
      <c r="E35" s="111" t="n"/>
      <c r="F35" s="111" t="n"/>
      <c r="G35" s="111" t="n"/>
      <c r="H35" s="111" t="n"/>
      <c r="I35" s="111" t="n"/>
      <c r="J35" s="244" t="n"/>
      <c r="K35" s="245">
        <f>IF(E35="","",IF(J35="",F35/I35,F35/J35))</f>
        <v/>
      </c>
      <c r="L35" s="228" t="n"/>
      <c r="M35" s="229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33">
        <f>IF(O35="","",IF(T35="",P35/S35,P35/T35))</f>
        <v/>
      </c>
    </row>
    <row r="36" ht="24.95" customHeight="1" s="189">
      <c r="A36" s="207" t="n"/>
      <c r="B36" s="228" t="n"/>
      <c r="C36" s="229" t="n"/>
      <c r="D36" s="109" t="n">
        <v>8</v>
      </c>
      <c r="E36" s="111" t="n"/>
      <c r="F36" s="111" t="n"/>
      <c r="G36" s="111" t="n"/>
      <c r="H36" s="111" t="n"/>
      <c r="I36" s="111" t="n"/>
      <c r="J36" s="244" t="n"/>
      <c r="K36" s="245">
        <f>IF(E36="","",IF(J36="",F36/I36,F36/J36))</f>
        <v/>
      </c>
      <c r="L36" s="228" t="n"/>
      <c r="M36" s="229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33">
        <f>IF(O36="","",IF(T36="",P36/S36,P36/T36))</f>
        <v/>
      </c>
    </row>
    <row r="37" ht="24.95" customHeight="1" s="189">
      <c r="A37" s="207" t="n"/>
      <c r="B37" s="228" t="n"/>
      <c r="C37" s="229" t="n"/>
      <c r="D37" s="109" t="n">
        <v>9</v>
      </c>
      <c r="E37" s="111" t="n"/>
      <c r="F37" s="111" t="n"/>
      <c r="G37" s="111" t="n"/>
      <c r="H37" s="111" t="n"/>
      <c r="I37" s="111" t="n"/>
      <c r="J37" s="244" t="n"/>
      <c r="K37" s="245">
        <f>IF(E37="","",IF(J37="",F37/I37,F37/J37))</f>
        <v/>
      </c>
      <c r="L37" s="228" t="n"/>
      <c r="M37" s="229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33">
        <f>IF(O37="","",IF(T37="",P37/S37,P37/T37))</f>
        <v/>
      </c>
    </row>
    <row r="38" ht="24.95" customHeight="1" s="189">
      <c r="A38" s="207" t="n"/>
      <c r="B38" s="228" t="n"/>
      <c r="C38" s="229" t="n"/>
      <c r="D38" s="109" t="n">
        <v>10</v>
      </c>
      <c r="E38" s="111" t="n"/>
      <c r="F38" s="111" t="n"/>
      <c r="G38" s="111" t="n"/>
      <c r="H38" s="111" t="n"/>
      <c r="I38" s="111" t="n"/>
      <c r="J38" s="244" t="n"/>
      <c r="K38" s="245">
        <f>IF(E38="","",IF(J38="",F38/I38,F38/J38))</f>
        <v/>
      </c>
      <c r="L38" s="228" t="n"/>
      <c r="M38" s="229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33">
        <f>IF(O38="","",IF(T38="",P38/S38,P38/T38))</f>
        <v/>
      </c>
    </row>
    <row r="39" ht="24.95" customHeight="1" s="189">
      <c r="A39" s="207" t="n"/>
      <c r="B39" s="228" t="n"/>
      <c r="C39" s="229" t="n"/>
      <c r="D39" s="109" t="n">
        <v>11</v>
      </c>
      <c r="E39" s="111" t="n"/>
      <c r="F39" s="111" t="n"/>
      <c r="G39" s="111" t="n"/>
      <c r="H39" s="111" t="n"/>
      <c r="I39" s="111" t="n"/>
      <c r="J39" s="244" t="n"/>
      <c r="K39" s="245">
        <f>IF(E39="","",IF(J39="",F39/I39,F39/J39))</f>
        <v/>
      </c>
      <c r="L39" s="228" t="n"/>
      <c r="M39" s="229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33">
        <f>IF(O39="","",IF(T39="",P39/S39,P39/T39))</f>
        <v/>
      </c>
    </row>
    <row r="40" ht="24.95" customHeight="1" s="189">
      <c r="A40" s="207" t="n"/>
      <c r="B40" s="234" t="n"/>
      <c r="C40" s="235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24" t="n"/>
      <c r="J40" s="63" t="n"/>
      <c r="K40" s="246">
        <f>SUM(K30:K39)</f>
        <v/>
      </c>
      <c r="L40" s="234" t="n"/>
      <c r="M40" s="235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37">
        <f>SUM(U30:U39)</f>
        <v/>
      </c>
    </row>
    <row r="41" ht="33.95" customHeight="1" s="189">
      <c r="A41" s="207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47" t="n"/>
      <c r="N41" s="132" t="inlineStr">
        <is>
          <t>人力费用</t>
        </is>
      </c>
      <c r="O41" s="247" t="n"/>
      <c r="P41" s="69" t="inlineStr">
        <is>
          <t>设备费用
（万元）</t>
        </is>
      </c>
      <c r="Q41" s="248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207" t="n"/>
      <c r="B42" s="228" t="n"/>
      <c r="C42" s="229" t="n"/>
      <c r="D42" s="19" t="n">
        <v>1</v>
      </c>
      <c r="E42" s="53" t="inlineStr">
        <is>
          <t>450T</t>
        </is>
      </c>
      <c r="F42" s="53" t="n">
        <v>40</v>
      </c>
      <c r="G42" s="249">
        <f>IF(E42="","",12/H42*L42)</f>
        <v/>
      </c>
      <c r="H42" s="250">
        <f>IF(E42="","",F42/3600)</f>
        <v/>
      </c>
      <c r="I42" s="53" t="n">
        <v>2</v>
      </c>
      <c r="J42" s="251" t="n">
        <v>24</v>
      </c>
      <c r="K42" s="252">
        <f>IF(E42="","",H42*I42/L42)</f>
        <v/>
      </c>
      <c r="L42" s="134" t="n">
        <v>0.75</v>
      </c>
      <c r="M42" s="253" t="n"/>
      <c r="N42" s="254">
        <f>IF(F42="","",IF(E42="","",J42*K42))</f>
        <v/>
      </c>
      <c r="O42" s="255" t="n"/>
      <c r="P42" s="53" t="n">
        <v>68</v>
      </c>
      <c r="Q42" s="58">
        <f>IF(E42="","","10年2班折90%")</f>
        <v/>
      </c>
      <c r="R42" s="252">
        <f>IF(E42="","",P42*0.9/10/$U$8/22*H42*10000/L42)</f>
        <v/>
      </c>
      <c r="S42" s="256" t="n">
        <v>150</v>
      </c>
      <c r="T42" s="23" t="n">
        <v>0.45</v>
      </c>
      <c r="U42" s="231">
        <f>IF(S42="","",S42*T42*$U$7*H42/((L42+(1-L42)/1.4)))</f>
        <v/>
      </c>
    </row>
    <row r="43" ht="24.95" customHeight="1" s="189">
      <c r="A43" s="207" t="n"/>
      <c r="B43" s="228" t="n"/>
      <c r="C43" s="229" t="n"/>
      <c r="D43" s="109" t="n">
        <v>2</v>
      </c>
      <c r="E43" s="111" t="n"/>
      <c r="F43" s="53" t="n"/>
      <c r="G43" s="249">
        <f>IF(E43="","",12/H43*L43)</f>
        <v/>
      </c>
      <c r="H43" s="250">
        <f>IF(E43="","",F43/3600)</f>
        <v/>
      </c>
      <c r="I43" s="111" t="n"/>
      <c r="J43" s="257" t="n"/>
      <c r="K43" s="252">
        <f>IF(E43="","",H43*I43/L43)</f>
        <v/>
      </c>
      <c r="L43" s="137" t="n"/>
      <c r="M43" s="220" t="n"/>
      <c r="N43" s="254">
        <f>IF(F43="","",IF(E43="","",J43*K43))</f>
        <v/>
      </c>
      <c r="O43" s="255" t="n"/>
      <c r="P43" s="111" t="n"/>
      <c r="Q43" s="62">
        <f>IF(E43="","","10年2班折90%")</f>
        <v/>
      </c>
      <c r="R43" s="252">
        <f>IF(E43="","",P43*0.9/10/$U$8/22*H43*10000/L43)</f>
        <v/>
      </c>
      <c r="S43" s="258" t="n"/>
      <c r="T43" s="36" t="n"/>
      <c r="U43" s="231">
        <f>IF(S43="","",S43*T43*$U$7*H43/((L43+(1-L43)/1.4)))</f>
        <v/>
      </c>
    </row>
    <row r="44" ht="24.95" customHeight="1" s="189">
      <c r="A44" s="207" t="n"/>
      <c r="B44" s="228" t="n"/>
      <c r="C44" s="229" t="n"/>
      <c r="D44" s="109" t="n">
        <v>3</v>
      </c>
      <c r="E44" s="111" t="n"/>
      <c r="F44" s="111" t="n"/>
      <c r="G44" s="249">
        <f>IF(E44="","",12/H44*L44)</f>
        <v/>
      </c>
      <c r="H44" s="250">
        <f>IF(E44="","",F44/3600)</f>
        <v/>
      </c>
      <c r="I44" s="111" t="n"/>
      <c r="J44" s="257" t="n"/>
      <c r="K44" s="252">
        <f>IF(E44="","",H44*I44/L44)</f>
        <v/>
      </c>
      <c r="L44" s="137" t="n"/>
      <c r="M44" s="220" t="n"/>
      <c r="N44" s="254">
        <f>IF(F44="","",IF(E44="","",J44*K44))</f>
        <v/>
      </c>
      <c r="O44" s="255" t="n"/>
      <c r="P44" s="111" t="n"/>
      <c r="Q44" s="62">
        <f>IF(E44="","","10年2班折90%")</f>
        <v/>
      </c>
      <c r="R44" s="252">
        <f>IF(E44="","",P44*0.9/10/$U$8/22*H44*10000/L44)</f>
        <v/>
      </c>
      <c r="S44" s="258" t="n"/>
      <c r="T44" s="36" t="n"/>
      <c r="U44" s="231">
        <f>IF(S44="","",S44*T44*$U$7*H44/((L44+(1-L44)/1.4)))</f>
        <v/>
      </c>
    </row>
    <row r="45" ht="24.95" customHeight="1" s="189">
      <c r="A45" s="207" t="n"/>
      <c r="B45" s="228" t="n"/>
      <c r="C45" s="229" t="n"/>
      <c r="D45" s="109" t="n">
        <v>4</v>
      </c>
      <c r="E45" s="111" t="n"/>
      <c r="F45" s="111" t="n"/>
      <c r="G45" s="249">
        <f>IF(E45="","",12/H45*L45)</f>
        <v/>
      </c>
      <c r="H45" s="250">
        <f>IF(E45="","",F45/3600)</f>
        <v/>
      </c>
      <c r="I45" s="111" t="n"/>
      <c r="J45" s="257" t="n"/>
      <c r="K45" s="252">
        <f>IF(E45="","",H45*I45/L45)</f>
        <v/>
      </c>
      <c r="L45" s="137" t="n"/>
      <c r="M45" s="220" t="n"/>
      <c r="N45" s="254">
        <f>IF(F45="","",IF(E45="","",J45*K45))</f>
        <v/>
      </c>
      <c r="O45" s="255" t="n"/>
      <c r="P45" s="111" t="n"/>
      <c r="Q45" s="62">
        <f>IF(E45="","","10年2班折90%")</f>
        <v/>
      </c>
      <c r="R45" s="252">
        <f>IF(E45="","",P45*0.9/10/$U$8/22*H45*10000/L45)</f>
        <v/>
      </c>
      <c r="S45" s="258" t="n"/>
      <c r="T45" s="36" t="n"/>
      <c r="U45" s="231">
        <f>IF(S45="","",S45*T45*$U$7*H45/((L45+(1-L45)/1.4)))</f>
        <v/>
      </c>
    </row>
    <row r="46" ht="24.95" customHeight="1" s="189">
      <c r="A46" s="207" t="n"/>
      <c r="B46" s="228" t="n"/>
      <c r="C46" s="229" t="n"/>
      <c r="D46" s="109" t="n">
        <v>5</v>
      </c>
      <c r="E46" s="111" t="n"/>
      <c r="F46" s="111" t="n"/>
      <c r="G46" s="249">
        <f>IF(E46="","",12/H46*L46)</f>
        <v/>
      </c>
      <c r="H46" s="250">
        <f>IF(E46="","",F46/3600)</f>
        <v/>
      </c>
      <c r="I46" s="111" t="n"/>
      <c r="J46" s="257" t="n"/>
      <c r="K46" s="252">
        <f>IF(E46="","",H46*I46/L46)</f>
        <v/>
      </c>
      <c r="L46" s="137" t="n"/>
      <c r="M46" s="220" t="n"/>
      <c r="N46" s="254">
        <f>IF(F46="","",IF(E46="","",J46*K46))</f>
        <v/>
      </c>
      <c r="O46" s="255" t="n"/>
      <c r="P46" s="111" t="n"/>
      <c r="Q46" s="62">
        <f>IF(E46="","","10年2班折90%")</f>
        <v/>
      </c>
      <c r="R46" s="252">
        <f>IF(E46="","",P46*0.9/10/$U$8/22*H46*10000/L46)</f>
        <v/>
      </c>
      <c r="S46" s="258" t="n"/>
      <c r="T46" s="36" t="n"/>
      <c r="U46" s="231">
        <f>IF(S46="","",S46*T46*$U$7*H46/((L46+(1-L46)/1.4)))</f>
        <v/>
      </c>
    </row>
    <row r="47" ht="24.95" customHeight="1" s="189">
      <c r="A47" s="207" t="n"/>
      <c r="B47" s="228" t="n"/>
      <c r="C47" s="229" t="n"/>
      <c r="D47" s="109" t="n">
        <v>6</v>
      </c>
      <c r="E47" s="111" t="n"/>
      <c r="F47" s="111" t="n"/>
      <c r="G47" s="249">
        <f>IF(E47="","",12/H47*L47)</f>
        <v/>
      </c>
      <c r="H47" s="250">
        <f>IF(E47="","",F47/3600)</f>
        <v/>
      </c>
      <c r="I47" s="111" t="n"/>
      <c r="J47" s="257" t="n"/>
      <c r="K47" s="252">
        <f>IF(E47="","",H47*I47/L47)</f>
        <v/>
      </c>
      <c r="L47" s="137" t="n"/>
      <c r="M47" s="220" t="n"/>
      <c r="N47" s="254">
        <f>IF(F47="","",IF(E47="","",J47*K47))</f>
        <v/>
      </c>
      <c r="O47" s="255" t="n"/>
      <c r="P47" s="111" t="n"/>
      <c r="Q47" s="62">
        <f>IF(E47="","","10年2班折90%")</f>
        <v/>
      </c>
      <c r="R47" s="252">
        <f>IF(E47="","",P47*0.9/10/$U$8/22*H47*10000/L47)</f>
        <v/>
      </c>
      <c r="S47" s="258" t="n"/>
      <c r="T47" s="36" t="n"/>
      <c r="U47" s="231">
        <f>IF(S47="","",S47*T47*$U$7*H47/((L47+(1-L47)/1.4)))</f>
        <v/>
      </c>
    </row>
    <row r="48" ht="24.95" customHeight="1" s="189">
      <c r="A48" s="207" t="n"/>
      <c r="B48" s="228" t="n"/>
      <c r="C48" s="229" t="n"/>
      <c r="D48" s="109" t="n">
        <v>7</v>
      </c>
      <c r="E48" s="111" t="n"/>
      <c r="F48" s="111" t="n"/>
      <c r="G48" s="249">
        <f>IF(E48="","",12/H48*L48)</f>
        <v/>
      </c>
      <c r="H48" s="250">
        <f>IF(E48="","",F48/3600)</f>
        <v/>
      </c>
      <c r="I48" s="111" t="n"/>
      <c r="J48" s="257" t="n"/>
      <c r="K48" s="252">
        <f>IF(E48="","",H48*I48/L48)</f>
        <v/>
      </c>
      <c r="L48" s="137" t="n"/>
      <c r="M48" s="220" t="n"/>
      <c r="N48" s="254">
        <f>IF(F48="","",IF(E48="","",J48*K48))</f>
        <v/>
      </c>
      <c r="O48" s="255" t="n"/>
      <c r="P48" s="111" t="n"/>
      <c r="Q48" s="62">
        <f>IF(E48="","","10年2班折90%")</f>
        <v/>
      </c>
      <c r="R48" s="252">
        <f>IF(E48="","",P48*0.9/10/$U$8/22*H48*10000/L48)</f>
        <v/>
      </c>
      <c r="S48" s="258" t="n"/>
      <c r="T48" s="36" t="n"/>
      <c r="U48" s="231">
        <f>IF(S48="","",S48*T48*$U$7*H48/((L48+(1-L48)/1.4)))</f>
        <v/>
      </c>
    </row>
    <row r="49" ht="24.95" customHeight="1" s="189">
      <c r="A49" s="207" t="n"/>
      <c r="B49" s="228" t="n"/>
      <c r="C49" s="229" t="n"/>
      <c r="D49" s="109" t="n">
        <v>8</v>
      </c>
      <c r="E49" s="111" t="n"/>
      <c r="F49" s="111" t="n"/>
      <c r="G49" s="249">
        <f>IF(E49="","",12/H49*L49)</f>
        <v/>
      </c>
      <c r="H49" s="250">
        <f>IF(E49="","",F49/3600)</f>
        <v/>
      </c>
      <c r="I49" s="111" t="n"/>
      <c r="J49" s="257" t="n"/>
      <c r="K49" s="252">
        <f>IF(E49="","",H49*I49/L49)</f>
        <v/>
      </c>
      <c r="L49" s="137" t="n"/>
      <c r="M49" s="220" t="n"/>
      <c r="N49" s="254">
        <f>IF(F49="","",IF(E49="","",J49*K49))</f>
        <v/>
      </c>
      <c r="O49" s="255" t="n"/>
      <c r="P49" s="111" t="n"/>
      <c r="Q49" s="62">
        <f>IF(E49="","","10年2班折90%")</f>
        <v/>
      </c>
      <c r="R49" s="252">
        <f>IF(E49="","",P49*0.9/10/$U$8/22*H49*10000/L49)</f>
        <v/>
      </c>
      <c r="S49" s="258" t="n"/>
      <c r="T49" s="36" t="n"/>
      <c r="U49" s="231">
        <f>IF(S49="","",S49*T49*$U$7*H49/((L49+(1-L49)/1.4)))</f>
        <v/>
      </c>
    </row>
    <row r="50" ht="24.95" customHeight="1" s="189">
      <c r="A50" s="207" t="n"/>
      <c r="B50" s="228" t="n"/>
      <c r="C50" s="229" t="n"/>
      <c r="D50" s="109" t="n">
        <v>9</v>
      </c>
      <c r="E50" s="111" t="n"/>
      <c r="F50" s="111" t="n"/>
      <c r="G50" s="249">
        <f>IF(E50="","",12/H50*L50)</f>
        <v/>
      </c>
      <c r="H50" s="250">
        <f>IF(E50="","",F50/3600)</f>
        <v/>
      </c>
      <c r="I50" s="111" t="n"/>
      <c r="J50" s="257" t="n"/>
      <c r="K50" s="252">
        <f>IF(E50="","",H50*I50/L50)</f>
        <v/>
      </c>
      <c r="L50" s="137" t="n"/>
      <c r="M50" s="220" t="n"/>
      <c r="N50" s="254">
        <f>IF(F50="","",IF(E50="","",J50*K50))</f>
        <v/>
      </c>
      <c r="O50" s="255" t="n"/>
      <c r="P50" s="111" t="n"/>
      <c r="Q50" s="62">
        <f>IF(E50="","","10年2班折90%")</f>
        <v/>
      </c>
      <c r="R50" s="252">
        <f>IF(E50="","",P50*0.9/10/$U$8/22*H50*10000/L50)</f>
        <v/>
      </c>
      <c r="S50" s="258" t="n"/>
      <c r="T50" s="36" t="n"/>
      <c r="U50" s="231">
        <f>IF(S50="","",S50*T50*$U$7*H50/((L50+(1-L50)/1.4)))</f>
        <v/>
      </c>
    </row>
    <row r="51" ht="24.95" customHeight="1" s="189">
      <c r="A51" s="207" t="n"/>
      <c r="B51" s="228" t="n"/>
      <c r="C51" s="229" t="n"/>
      <c r="D51" s="109" t="n">
        <v>10</v>
      </c>
      <c r="E51" s="111" t="n"/>
      <c r="F51" s="111" t="n"/>
      <c r="G51" s="249">
        <f>IF(E51="","",12/H51*L51)</f>
        <v/>
      </c>
      <c r="H51" s="250">
        <f>IF(E51="","",F51/3600)</f>
        <v/>
      </c>
      <c r="I51" s="111" t="n"/>
      <c r="J51" s="257" t="n"/>
      <c r="K51" s="252">
        <f>IF(E51="","",H51*I51/L51)</f>
        <v/>
      </c>
      <c r="L51" s="137" t="n"/>
      <c r="M51" s="220" t="n"/>
      <c r="N51" s="254">
        <f>IF(F51="","",IF(E51="","",J51*K51))</f>
        <v/>
      </c>
      <c r="O51" s="255" t="n"/>
      <c r="P51" s="111" t="n"/>
      <c r="Q51" s="62">
        <f>IF(E51="","","10年2班折90%")</f>
        <v/>
      </c>
      <c r="R51" s="252">
        <f>IF(E51="","",P51*0.9/10/$U$8/22*H51*10000/L51)</f>
        <v/>
      </c>
      <c r="S51" s="258" t="n"/>
      <c r="T51" s="36" t="n"/>
      <c r="U51" s="231">
        <f>IF(S51="","",S51*T51*$U$7*H51/((L51+(1-L51)/1.4)))</f>
        <v/>
      </c>
    </row>
    <row r="52" ht="24.95" customHeight="1" s="189">
      <c r="A52" s="207" t="n"/>
      <c r="B52" s="228" t="n"/>
      <c r="C52" s="229" t="n"/>
      <c r="D52" s="109" t="n">
        <v>11</v>
      </c>
      <c r="E52" s="111" t="n"/>
      <c r="F52" s="111" t="n"/>
      <c r="G52" s="249">
        <f>IF(E52="","",12/H52*L52)</f>
        <v/>
      </c>
      <c r="H52" s="250">
        <f>IF(E52="","",F52/3600)</f>
        <v/>
      </c>
      <c r="I52" s="111" t="n"/>
      <c r="J52" s="257" t="n"/>
      <c r="K52" s="252">
        <f>IF(E52="","",H52*I52/L52)</f>
        <v/>
      </c>
      <c r="L52" s="137" t="n"/>
      <c r="M52" s="220" t="n"/>
      <c r="N52" s="254">
        <f>IF(F52="","",IF(E52="","",J52*K52))</f>
        <v/>
      </c>
      <c r="O52" s="255" t="n"/>
      <c r="P52" s="111" t="n"/>
      <c r="Q52" s="62">
        <f>IF(E52="","","10年2班折90%")</f>
        <v/>
      </c>
      <c r="R52" s="252">
        <f>IF(E52="","",P52*0.9/10/$U$8/22*H52*10000/L52)</f>
        <v/>
      </c>
      <c r="S52" s="258" t="n"/>
      <c r="T52" s="36" t="n"/>
      <c r="U52" s="231">
        <f>IF(S52="","",S52*T52*$U$7*H52/((L52+(1-L52)/1.4)))</f>
        <v/>
      </c>
    </row>
    <row r="53" ht="24.95" customHeight="1" s="189">
      <c r="A53" s="207" t="n"/>
      <c r="B53" s="228" t="n"/>
      <c r="C53" s="229" t="n"/>
      <c r="D53" s="109" t="n">
        <v>12</v>
      </c>
      <c r="E53" s="111" t="n"/>
      <c r="F53" s="111" t="n"/>
      <c r="G53" s="249">
        <f>IF(E53="","",12/H53*L53)</f>
        <v/>
      </c>
      <c r="H53" s="250">
        <f>IF(E53="","",F53/3600)</f>
        <v/>
      </c>
      <c r="I53" s="111" t="n"/>
      <c r="J53" s="257" t="n"/>
      <c r="K53" s="252">
        <f>IF(E53="","",H53*I53/L53)</f>
        <v/>
      </c>
      <c r="L53" s="137" t="n"/>
      <c r="M53" s="220" t="n"/>
      <c r="N53" s="254">
        <f>IF(F53="","",IF(E53="","",J53*K53))</f>
        <v/>
      </c>
      <c r="O53" s="255" t="n"/>
      <c r="P53" s="111" t="n"/>
      <c r="Q53" s="62">
        <f>IF(E53="","","10年2班折90%")</f>
        <v/>
      </c>
      <c r="R53" s="252">
        <f>IF(E53="","",P53*0.9/10/$U$8/22*H53*10000/L53)</f>
        <v/>
      </c>
      <c r="S53" s="258" t="n"/>
      <c r="T53" s="36" t="n"/>
      <c r="U53" s="231">
        <f>IF(S53="","",S53*T53*$U$7*H53/((L53+(1-L53)/1.4)))</f>
        <v/>
      </c>
    </row>
    <row r="54" ht="24.95" customHeight="1" s="189">
      <c r="A54" s="207" t="n"/>
      <c r="B54" s="228" t="n"/>
      <c r="C54" s="229" t="n"/>
      <c r="D54" s="109" t="n">
        <v>13</v>
      </c>
      <c r="E54" s="111" t="n"/>
      <c r="F54" s="111" t="n"/>
      <c r="G54" s="249">
        <f>IF(E54="","",12/H54*L54)</f>
        <v/>
      </c>
      <c r="H54" s="250">
        <f>IF(E54="","",F54/3600)</f>
        <v/>
      </c>
      <c r="I54" s="111" t="n"/>
      <c r="J54" s="257" t="n"/>
      <c r="K54" s="252">
        <f>IF(E54="","",H54*I54/L54)</f>
        <v/>
      </c>
      <c r="L54" s="137" t="n"/>
      <c r="M54" s="220" t="n"/>
      <c r="N54" s="254">
        <f>IF(F54="","",IF(E54="","",J54*K54))</f>
        <v/>
      </c>
      <c r="O54" s="255" t="n"/>
      <c r="P54" s="111" t="n"/>
      <c r="Q54" s="62">
        <f>IF(E54="","","10年2班折90%")</f>
        <v/>
      </c>
      <c r="R54" s="252">
        <f>IF(E54="","",P54*0.9/10/$U$8/22*H54*10000/L54)</f>
        <v/>
      </c>
      <c r="S54" s="258" t="n"/>
      <c r="T54" s="36" t="n"/>
      <c r="U54" s="231">
        <f>IF(S54="","",S54*T54*$U$7*H54/((L54+(1-L54)/1.4)))</f>
        <v/>
      </c>
    </row>
    <row r="55" ht="24.95" customHeight="1" s="189">
      <c r="A55" s="207" t="n"/>
      <c r="B55" s="228" t="n"/>
      <c r="C55" s="229" t="n"/>
      <c r="D55" s="109" t="n">
        <v>14</v>
      </c>
      <c r="E55" s="111" t="n"/>
      <c r="F55" s="111" t="n"/>
      <c r="G55" s="249">
        <f>IF(E55="","",12/H55*L55)</f>
        <v/>
      </c>
      <c r="H55" s="250">
        <f>IF(E55="","",F55/3600)</f>
        <v/>
      </c>
      <c r="I55" s="111" t="n"/>
      <c r="J55" s="257" t="n"/>
      <c r="K55" s="252">
        <f>IF(E55="","",H55*I55/L55)</f>
        <v/>
      </c>
      <c r="L55" s="137" t="n"/>
      <c r="M55" s="220" t="n"/>
      <c r="N55" s="254">
        <f>IF(F55="","",IF(E55="","",J55*K55))</f>
        <v/>
      </c>
      <c r="O55" s="255" t="n"/>
      <c r="P55" s="111" t="n"/>
      <c r="Q55" s="62">
        <f>IF(E55="","","10年2班折90%")</f>
        <v/>
      </c>
      <c r="R55" s="252">
        <f>IF(E55="","",P55*0.9/10/$U$8/22*H55*10000/L55)</f>
        <v/>
      </c>
      <c r="S55" s="258" t="n"/>
      <c r="T55" s="36" t="n"/>
      <c r="U55" s="231">
        <f>IF(S55="","",S55*T55*$U$7*H55/((L55+(1-L55)/1.4)))</f>
        <v/>
      </c>
    </row>
    <row r="56" ht="24.95" customHeight="1" s="189">
      <c r="A56" s="207" t="n"/>
      <c r="B56" s="228" t="n"/>
      <c r="C56" s="229" t="n"/>
      <c r="D56" s="109" t="n">
        <v>15</v>
      </c>
      <c r="E56" s="111" t="n"/>
      <c r="F56" s="111" t="n"/>
      <c r="G56" s="249">
        <f>IF(E56="","",12/H56*L56)</f>
        <v/>
      </c>
      <c r="H56" s="250">
        <f>IF(E56="","",F56/3600)</f>
        <v/>
      </c>
      <c r="I56" s="111" t="n"/>
      <c r="J56" s="257" t="n"/>
      <c r="K56" s="252">
        <f>IF(E56="","",H56*I56/L56)</f>
        <v/>
      </c>
      <c r="L56" s="137" t="n"/>
      <c r="M56" s="220" t="n"/>
      <c r="N56" s="254">
        <f>IF(F56="","",IF(E56="","",J56*K56))</f>
        <v/>
      </c>
      <c r="O56" s="255" t="n"/>
      <c r="P56" s="111" t="n"/>
      <c r="Q56" s="62">
        <f>IF(E56="","","10年2班折90%")</f>
        <v/>
      </c>
      <c r="R56" s="252">
        <f>IF(E56="","",P56*0.9/10/$U$8/22*H56*10000/L56)</f>
        <v/>
      </c>
      <c r="S56" s="258" t="n"/>
      <c r="T56" s="36" t="n"/>
      <c r="U56" s="231">
        <f>IF(S56="","",S56*T56*$U$7*H56/((L56+(1-L56)/1.4)))</f>
        <v/>
      </c>
    </row>
    <row r="57" ht="24.95" customHeight="1" s="189">
      <c r="A57" s="207" t="n"/>
      <c r="B57" s="228" t="n"/>
      <c r="C57" s="229" t="n"/>
      <c r="D57" s="109" t="n">
        <v>16</v>
      </c>
      <c r="E57" s="111" t="n"/>
      <c r="F57" s="111" t="n"/>
      <c r="G57" s="249">
        <f>IF(E57="","",12/H57*L57)</f>
        <v/>
      </c>
      <c r="H57" s="250">
        <f>IF(E57="","",F57/3600)</f>
        <v/>
      </c>
      <c r="I57" s="111" t="n"/>
      <c r="J57" s="257" t="n"/>
      <c r="K57" s="252">
        <f>IF(E57="","",H57*I57/L57)</f>
        <v/>
      </c>
      <c r="L57" s="137" t="n"/>
      <c r="M57" s="220" t="n"/>
      <c r="N57" s="254">
        <f>IF(F57="","",IF(E57="","",J57*K57))</f>
        <v/>
      </c>
      <c r="O57" s="255" t="n"/>
      <c r="P57" s="111" t="n"/>
      <c r="Q57" s="62">
        <f>IF(E57="","","10年2班折90%")</f>
        <v/>
      </c>
      <c r="R57" s="252">
        <f>IF(E57="","",P57*0.9/10/$U$8/22*H57*10000/L57)</f>
        <v/>
      </c>
      <c r="S57" s="258" t="n"/>
      <c r="T57" s="36" t="n"/>
      <c r="U57" s="231">
        <f>IF(S57="","",S57*T57*$U$7*H57/((L57+(1-L57)/1.4)))</f>
        <v/>
      </c>
    </row>
    <row r="58" ht="24.95" customHeight="1" s="189">
      <c r="A58" s="207" t="n"/>
      <c r="B58" s="234" t="n"/>
      <c r="C58" s="235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24" t="n"/>
      <c r="N58" s="259">
        <f>SUM(N42:O57)</f>
        <v/>
      </c>
      <c r="O58" s="224" t="n"/>
      <c r="P58" s="81" t="n"/>
      <c r="Q58" s="82" t="inlineStr">
        <is>
          <t>折旧合计</t>
        </is>
      </c>
      <c r="R58" s="260">
        <f>SUM(R42:R57)</f>
        <v/>
      </c>
      <c r="S58" s="84" t="n"/>
      <c r="T58" s="162" t="inlineStr">
        <is>
          <t>能耗合计</t>
        </is>
      </c>
      <c r="U58" s="261">
        <f>SUM(U42:U57)</f>
        <v/>
      </c>
    </row>
    <row r="59" ht="24.95" customHeight="1" s="189">
      <c r="A59" s="207" t="n"/>
      <c r="B59" s="19" t="inlineStr">
        <is>
          <t>六</t>
        </is>
      </c>
      <c r="C59" s="139" t="inlineStr">
        <is>
          <t>直接工资</t>
        </is>
      </c>
      <c r="D59" s="255" t="n"/>
      <c r="E59" s="262">
        <f>IF(U6="",N58,U6*K58)</f>
        <v/>
      </c>
      <c r="F59" s="141" t="inlineStr">
        <is>
          <t>"计算依据：=N58  or U6*K58</t>
        </is>
      </c>
      <c r="G59" s="263" t="n"/>
      <c r="H59" s="263" t="n"/>
      <c r="I59" s="263" t="n"/>
      <c r="J59" s="263" t="n"/>
      <c r="K59" s="263" t="n"/>
      <c r="L59" s="263" t="n"/>
      <c r="M59" s="263" t="n"/>
      <c r="N59" s="263" t="n"/>
      <c r="O59" s="263" t="n"/>
      <c r="P59" s="213" t="n"/>
      <c r="Q59" s="143" t="inlineStr">
        <is>
          <t>其它费用</t>
        </is>
      </c>
      <c r="R59" s="264" t="n"/>
      <c r="S59" s="264" t="n"/>
      <c r="T59" s="264" t="n"/>
      <c r="U59" s="265" t="n"/>
    </row>
    <row r="60" ht="24.95" customHeight="1" s="189">
      <c r="A60" s="207" t="n"/>
      <c r="B60" s="109" t="inlineStr">
        <is>
          <t>七</t>
        </is>
      </c>
      <c r="C60" s="110" t="inlineStr">
        <is>
          <t>废品费用</t>
        </is>
      </c>
      <c r="D60" s="219" t="n"/>
      <c r="E60" s="266">
        <f>(K27+K40+U40+R58+U58+E59+U27)*O8</f>
        <v/>
      </c>
      <c r="F60" s="147" t="inlineStr">
        <is>
          <t>计算依据：=(K27+K40+U40+R58+U58+E59+U27)*O8</t>
        </is>
      </c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19" t="n"/>
      <c r="Q60" s="149" t="inlineStr">
        <is>
          <t>废料处理收益</t>
        </is>
      </c>
      <c r="R60" s="268" t="n"/>
      <c r="S60" s="269" t="n"/>
      <c r="T60" s="270" t="n"/>
      <c r="U60" s="271" t="n"/>
    </row>
    <row r="61" ht="24.95" customHeight="1" s="189">
      <c r="A61" s="207" t="n"/>
      <c r="B61" s="109" t="inlineStr">
        <is>
          <t>八</t>
        </is>
      </c>
      <c r="C61" s="110" t="inlineStr">
        <is>
          <t>管理费用</t>
        </is>
      </c>
      <c r="D61" s="219" t="n"/>
      <c r="E61" s="266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67" t="n"/>
      <c r="H61" s="267" t="n"/>
      <c r="I61" s="267" t="n"/>
      <c r="J61" s="267" t="n"/>
      <c r="K61" s="267" t="n"/>
      <c r="L61" s="267" t="n"/>
      <c r="M61" s="267" t="n"/>
      <c r="N61" s="267" t="n"/>
      <c r="O61" s="267" t="n"/>
      <c r="P61" s="219" t="n"/>
      <c r="Q61" s="153" t="inlineStr">
        <is>
          <t>模具总费万元</t>
        </is>
      </c>
      <c r="R61" s="267" t="n"/>
      <c r="S61" s="113" t="n"/>
      <c r="T61" s="221" t="n"/>
      <c r="U61" s="272" t="n"/>
    </row>
    <row r="62" ht="24.95" customHeight="1" s="189">
      <c r="A62" s="207" t="n"/>
      <c r="B62" s="109" t="inlineStr">
        <is>
          <t>九</t>
        </is>
      </c>
      <c r="C62" s="110" t="inlineStr">
        <is>
          <t>运输费用</t>
        </is>
      </c>
      <c r="D62" s="219" t="n"/>
      <c r="E62" s="273" t="n">
        <v>1.29</v>
      </c>
      <c r="F62" s="147" t="inlineStr">
        <is>
          <t>计算依据：=按国内公路运输距离、零担、拼货、整车，最终分摊到每个零件费用</t>
        </is>
      </c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19" t="n"/>
      <c r="Q62" s="153" t="inlineStr">
        <is>
          <t>实验总费万元</t>
        </is>
      </c>
      <c r="R62" s="267" t="n"/>
      <c r="S62" s="113" t="n"/>
      <c r="T62" s="221" t="n"/>
      <c r="U62" s="272" t="n"/>
    </row>
    <row r="63" ht="24.95" customHeight="1" s="189">
      <c r="A63" s="207" t="n"/>
      <c r="B63" s="109" t="inlineStr">
        <is>
          <t>十</t>
        </is>
      </c>
      <c r="C63" s="110" t="inlineStr">
        <is>
          <t>包装费用</t>
        </is>
      </c>
      <c r="D63" s="219" t="n"/>
      <c r="E63" s="274" t="n">
        <v>0.8</v>
      </c>
      <c r="F63" s="147" t="inlineStr">
        <is>
          <t>计算依据：=按照甲方包装规范要求，分摊到每个零件的包装成本</t>
        </is>
      </c>
      <c r="G63" s="267" t="n"/>
      <c r="H63" s="267" t="n"/>
      <c r="I63" s="267" t="n"/>
      <c r="J63" s="267" t="n"/>
      <c r="K63" s="267" t="n"/>
      <c r="L63" s="267" t="n"/>
      <c r="M63" s="267" t="n"/>
      <c r="N63" s="267" t="n"/>
      <c r="O63" s="267" t="n"/>
      <c r="P63" s="219" t="n"/>
      <c r="Q63" s="156" t="n"/>
      <c r="R63" s="275" t="n"/>
      <c r="S63" s="276" t="n"/>
      <c r="T63" s="277" t="n"/>
      <c r="U63" s="278" t="n"/>
    </row>
    <row r="64" ht="24.95" customHeight="1" s="189">
      <c r="A64" s="207" t="n"/>
      <c r="B64" s="109" t="inlineStr">
        <is>
          <t>十一</t>
        </is>
      </c>
      <c r="C64" s="110" t="inlineStr">
        <is>
          <t>成本价</t>
        </is>
      </c>
      <c r="D64" s="219" t="n"/>
      <c r="E64" s="279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67" t="n"/>
      <c r="H64" s="267" t="n"/>
      <c r="I64" s="267" t="n"/>
      <c r="J64" s="267" t="n"/>
      <c r="K64" s="267" t="n"/>
      <c r="L64" s="267" t="n"/>
      <c r="M64" s="267" t="n"/>
      <c r="N64" s="267" t="n"/>
      <c r="O64" s="267" t="n"/>
      <c r="P64" s="219" t="n"/>
      <c r="Q64" s="161" t="inlineStr">
        <is>
          <t>产品报价备注说明</t>
        </is>
      </c>
      <c r="R64" s="239" t="n"/>
      <c r="S64" s="239" t="n"/>
      <c r="T64" s="239" t="n"/>
      <c r="U64" s="240" t="n"/>
    </row>
    <row r="65" ht="24.95" customHeight="1" s="189">
      <c r="A65" s="207" t="n"/>
      <c r="B65" s="109" t="inlineStr">
        <is>
          <t>十二</t>
        </is>
      </c>
      <c r="C65" s="110" t="inlineStr">
        <is>
          <t>利润率</t>
        </is>
      </c>
      <c r="D65" s="219" t="n"/>
      <c r="E65" s="92" t="n">
        <v>0.05</v>
      </c>
      <c r="F65" s="147" t="inlineStr">
        <is>
          <t>计算依据：=根据公司要求可选择任意%比</t>
        </is>
      </c>
      <c r="G65" s="267" t="n"/>
      <c r="H65" s="267" t="n"/>
      <c r="I65" s="267" t="n"/>
      <c r="J65" s="267" t="n"/>
      <c r="K65" s="267" t="n"/>
      <c r="L65" s="267" t="n"/>
      <c r="M65" s="267" t="n"/>
      <c r="N65" s="267" t="n"/>
      <c r="O65" s="267" t="n"/>
      <c r="P65" s="219" t="n"/>
      <c r="Q65" s="188" t="n"/>
      <c r="R65" s="280" t="n"/>
      <c r="S65" s="280" t="n"/>
      <c r="T65" s="280" t="n"/>
      <c r="U65" s="281" t="n"/>
    </row>
    <row r="66" ht="24.95" customHeight="1" s="189">
      <c r="A66" s="207" t="n"/>
      <c r="B66" s="109" t="inlineStr">
        <is>
          <t>十三</t>
        </is>
      </c>
      <c r="C66" s="110" t="inlineStr">
        <is>
          <t>利润</t>
        </is>
      </c>
      <c r="D66" s="219" t="n"/>
      <c r="E66" s="266">
        <f>E64*E65</f>
        <v/>
      </c>
      <c r="F66" s="147" t="inlineStr">
        <is>
          <t>计算依据：=E64*E65</t>
        </is>
      </c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19" t="n"/>
      <c r="Q66" s="280" t="n"/>
      <c r="R66" s="280" t="n"/>
      <c r="S66" s="280" t="n"/>
      <c r="T66" s="280" t="n"/>
      <c r="U66" s="281" t="n"/>
    </row>
    <row r="67" ht="24.95" customHeight="1" s="189">
      <c r="A67" s="207" t="n"/>
      <c r="B67" s="109" t="inlineStr">
        <is>
          <t>十四</t>
        </is>
      </c>
      <c r="C67" s="110" t="inlineStr">
        <is>
          <t>未税报价</t>
        </is>
      </c>
      <c r="D67" s="219" t="n"/>
      <c r="E67" s="266">
        <f>E64+E66</f>
        <v/>
      </c>
      <c r="F67" s="147" t="inlineStr">
        <is>
          <t>计算依据：=E64+E66</t>
        </is>
      </c>
      <c r="G67" s="267" t="n"/>
      <c r="H67" s="267" t="n"/>
      <c r="I67" s="267" t="n"/>
      <c r="J67" s="267" t="n"/>
      <c r="K67" s="267" t="n"/>
      <c r="L67" s="267" t="n"/>
      <c r="M67" s="267" t="n"/>
      <c r="N67" s="267" t="n"/>
      <c r="O67" s="267" t="n"/>
      <c r="P67" s="219" t="n"/>
      <c r="Q67" s="280" t="n"/>
      <c r="R67" s="280" t="n"/>
      <c r="S67" s="280" t="n"/>
      <c r="T67" s="280" t="n"/>
      <c r="U67" s="281" t="n"/>
    </row>
    <row r="68" ht="24.95" customHeight="1" s="189">
      <c r="A68" s="207" t="n"/>
      <c r="B68" s="109" t="inlineStr">
        <is>
          <t>十五</t>
        </is>
      </c>
      <c r="C68" s="110" t="inlineStr">
        <is>
          <t>增值税13%</t>
        </is>
      </c>
      <c r="D68" s="219" t="n"/>
      <c r="E68" s="266">
        <f>E67*0.13</f>
        <v/>
      </c>
      <c r="F68" s="147" t="inlineStr">
        <is>
          <t>计算依据：税率13%，费用=E67*0.13</t>
        </is>
      </c>
      <c r="G68" s="267" t="n"/>
      <c r="H68" s="267" t="n"/>
      <c r="I68" s="267" t="n"/>
      <c r="J68" s="267" t="n"/>
      <c r="K68" s="267" t="n"/>
      <c r="L68" s="267" t="n"/>
      <c r="M68" s="267" t="n"/>
      <c r="N68" s="267" t="n"/>
      <c r="O68" s="267" t="n"/>
      <c r="P68" s="219" t="n"/>
      <c r="Q68" s="280" t="n"/>
      <c r="R68" s="280" t="n"/>
      <c r="S68" s="280" t="n"/>
      <c r="T68" s="280" t="n"/>
      <c r="U68" s="281" t="n"/>
    </row>
    <row r="69" ht="24.95" customHeight="1" s="189">
      <c r="A69" s="207" t="n"/>
      <c r="B69" s="79" t="inlineStr">
        <is>
          <t>十六</t>
        </is>
      </c>
      <c r="C69" s="162" t="inlineStr">
        <is>
          <t>含税总价</t>
        </is>
      </c>
      <c r="D69" s="282" t="n"/>
      <c r="E69" s="283">
        <f>E67+E68</f>
        <v/>
      </c>
      <c r="F69" s="164" t="inlineStr">
        <is>
          <t>计算依据：=E67+E68各项的总和</t>
        </is>
      </c>
      <c r="G69" s="275" t="n"/>
      <c r="H69" s="275" t="n"/>
      <c r="I69" s="275" t="n"/>
      <c r="J69" s="275" t="n"/>
      <c r="K69" s="275" t="n"/>
      <c r="L69" s="275" t="n"/>
      <c r="M69" s="275" t="n"/>
      <c r="N69" s="275" t="n"/>
      <c r="O69" s="275" t="n"/>
      <c r="P69" s="282" t="n"/>
      <c r="Q69" s="284" t="n"/>
      <c r="R69" s="284" t="n"/>
      <c r="S69" s="284" t="n"/>
      <c r="T69" s="284" t="n"/>
      <c r="U69" s="285" t="n"/>
    </row>
  </sheetData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workbookViewId="0">
      <selection activeCell="A1" sqref="A1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207" t="n"/>
      <c r="B2" s="208" t="inlineStr">
        <is>
          <t>上海金榕汽车零部件股份有限公司</t>
        </is>
      </c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10" t="n"/>
    </row>
    <row r="3" ht="30.95" customHeight="1" s="189">
      <c r="A3" s="207" t="n"/>
      <c r="B3" s="211" t="inlineStr">
        <is>
          <t>供应商产品报价表</t>
        </is>
      </c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12" t="n"/>
    </row>
    <row r="4" ht="27.95" customHeight="1" s="189">
      <c r="A4" s="207" t="n"/>
      <c r="B4" s="167" t="inlineStr">
        <is>
          <t>供应商商务信息</t>
        </is>
      </c>
      <c r="C4" s="101" t="inlineStr">
        <is>
          <t>供应商名称</t>
        </is>
      </c>
      <c r="D4" s="213" t="n"/>
      <c r="E4" s="103" t="inlineStr">
        <is>
          <t>杭州深远工贸有限公司</t>
        </is>
      </c>
      <c r="F4" s="214" t="n"/>
      <c r="G4" s="3" t="inlineStr">
        <is>
          <t>年销售额
（万元）</t>
        </is>
      </c>
      <c r="H4" s="103" t="n">
        <v>3000</v>
      </c>
      <c r="I4" s="215" t="n"/>
      <c r="J4" s="215" t="n"/>
      <c r="K4" s="214" t="n"/>
      <c r="L4" s="167" t="inlineStr">
        <is>
          <t>报价产品商务信息</t>
        </is>
      </c>
      <c r="M4" s="101" t="inlineStr">
        <is>
          <t>Z7B2-13A994-A-PIA-01 塑料件</t>
        </is>
      </c>
      <c r="N4" s="213" t="n"/>
      <c r="O4" s="106" t="inlineStr">
        <is>
          <t>Z7B2-13A994-A-PIA-01 塑料件</t>
        </is>
      </c>
      <c r="P4" s="214" t="n"/>
      <c r="Q4" s="216" t="n">
        <v>46195</v>
      </c>
      <c r="R4" s="217" t="n">
        <v>46195</v>
      </c>
      <c r="S4" s="214" t="n"/>
      <c r="T4" s="102" t="inlineStr">
        <is>
          <t>成品重量KG</t>
        </is>
      </c>
      <c r="U4" s="105" t="n">
        <v>0.45</v>
      </c>
    </row>
    <row r="5" ht="27.95" customHeight="1" s="189">
      <c r="A5" s="207" t="n"/>
      <c r="B5" s="218" t="n"/>
      <c r="C5" s="109" t="inlineStr">
        <is>
          <t>公司法人</t>
        </is>
      </c>
      <c r="D5" s="219" t="n"/>
      <c r="E5" s="111" t="inlineStr">
        <is>
          <t>许燊</t>
        </is>
      </c>
      <c r="F5" s="220" t="n"/>
      <c r="G5" s="8" t="inlineStr">
        <is>
          <t>年纳税额
（万元）</t>
        </is>
      </c>
      <c r="H5" s="111" t="n">
        <v>120</v>
      </c>
      <c r="I5" s="221" t="n"/>
      <c r="J5" s="221" t="n"/>
      <c r="K5" s="220" t="n"/>
      <c r="L5" s="218" t="n"/>
      <c r="M5" s="109" t="inlineStr">
        <is>
          <t>零件号</t>
        </is>
      </c>
      <c r="N5" s="219" t="n"/>
      <c r="O5" s="114" t="inlineStr">
        <is>
          <t>Z7B2-13A994-A-PIA-01</t>
        </is>
      </c>
      <c r="P5" s="220" t="n"/>
      <c r="Q5" s="110" t="inlineStr">
        <is>
          <t>OTS时间</t>
        </is>
      </c>
      <c r="R5" s="222" t="inlineStr">
        <is>
          <t>必填项</t>
        </is>
      </c>
      <c r="S5" s="220" t="n"/>
      <c r="T5" s="110" t="inlineStr">
        <is>
          <t>毛坯重量KG</t>
        </is>
      </c>
      <c r="U5" s="113" t="n">
        <v>0.5175</v>
      </c>
    </row>
    <row r="6" ht="27.95" customHeight="1" s="189">
      <c r="A6" s="207" t="n"/>
      <c r="B6" s="218" t="n"/>
      <c r="C6" s="109" t="inlineStr">
        <is>
          <t>企业规模</t>
        </is>
      </c>
      <c r="D6" s="219" t="n"/>
      <c r="E6" s="111" t="inlineStr">
        <is>
          <t>80人</t>
        </is>
      </c>
      <c r="F6" s="220" t="n"/>
      <c r="G6" s="8" t="inlineStr">
        <is>
          <t>注册资本
（万元）</t>
        </is>
      </c>
      <c r="H6" s="111" t="n">
        <v>50</v>
      </c>
      <c r="I6" s="221" t="n"/>
      <c r="J6" s="221" t="n"/>
      <c r="K6" s="220" t="n"/>
      <c r="L6" s="218" t="n"/>
      <c r="M6" s="117" t="inlineStr">
        <is>
          <t>总采购量
（万件）</t>
        </is>
      </c>
      <c r="N6" s="219" t="n"/>
      <c r="O6" s="115" t="n">
        <v>8.756</v>
      </c>
      <c r="P6" s="220" t="n"/>
      <c r="Q6" s="110" t="inlineStr">
        <is>
          <t>OTS时间</t>
        </is>
      </c>
      <c r="R6" s="222" t="inlineStr">
        <is>
          <t>必填项</t>
        </is>
      </c>
      <c r="S6" s="220" t="n"/>
      <c r="T6" s="8" t="inlineStr">
        <is>
          <t xml:space="preserve">工价（元/h)
一键修正
</t>
        </is>
      </c>
      <c r="U6" s="11" t="n"/>
    </row>
    <row r="7" ht="27.95" customHeight="1" s="189">
      <c r="A7" s="207" t="n"/>
      <c r="B7" s="218" t="n"/>
      <c r="C7" s="109" t="inlineStr">
        <is>
          <t>业务联系人</t>
        </is>
      </c>
      <c r="D7" s="219" t="n"/>
      <c r="E7" s="111" t="inlineStr">
        <is>
          <t>陈思远</t>
        </is>
      </c>
      <c r="F7" s="220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21" t="n"/>
      <c r="J7" s="221" t="n"/>
      <c r="K7" s="220" t="n"/>
      <c r="L7" s="218" t="n"/>
      <c r="M7" s="109" t="n">
        <v>8</v>
      </c>
      <c r="N7" s="219" t="n"/>
      <c r="O7" s="115" t="n"/>
      <c r="P7" s="220" t="n"/>
      <c r="Q7" s="110" t="inlineStr">
        <is>
          <t>PPAP时间</t>
        </is>
      </c>
      <c r="R7" s="222" t="inlineStr">
        <is>
          <t>必填项</t>
        </is>
      </c>
      <c r="S7" s="220" t="n"/>
      <c r="T7" s="8" t="inlineStr">
        <is>
          <t>能耗单价
￥/Kwh</t>
        </is>
      </c>
      <c r="U7" s="113" t="n">
        <v>1</v>
      </c>
    </row>
    <row r="8" ht="27.95" customHeight="1" s="189">
      <c r="A8" s="207" t="n"/>
      <c r="B8" s="223" t="n"/>
      <c r="C8" s="118" t="inlineStr">
        <is>
          <t>联系电话</t>
        </is>
      </c>
      <c r="D8" s="224" t="n"/>
      <c r="E8" s="120" t="n">
        <v>13735526664</v>
      </c>
      <c r="F8" s="225" t="n"/>
      <c r="G8" s="119" t="inlineStr">
        <is>
          <t>主营业务</t>
        </is>
      </c>
      <c r="H8" s="120" t="inlineStr">
        <is>
          <t>塑料制品制造销售</t>
        </is>
      </c>
      <c r="I8" s="226" t="n"/>
      <c r="J8" s="226" t="n"/>
      <c r="K8" s="225" t="n"/>
      <c r="L8" s="223" t="n"/>
      <c r="M8" s="123" t="inlineStr">
        <is>
          <t>综合
废品率</t>
        </is>
      </c>
      <c r="N8" s="224" t="n"/>
      <c r="O8" s="125" t="n">
        <v>0.01</v>
      </c>
      <c r="P8" s="225" t="n"/>
      <c r="Q8" s="119" t="inlineStr">
        <is>
          <t>SOP时间</t>
        </is>
      </c>
      <c r="R8" s="227" t="inlineStr">
        <is>
          <t>必填项</t>
        </is>
      </c>
      <c r="S8" s="225" t="n"/>
      <c r="T8" s="15" t="inlineStr">
        <is>
          <t>年生产天数</t>
        </is>
      </c>
      <c r="U8" s="122" t="n">
        <v>300</v>
      </c>
    </row>
    <row r="9" ht="24.95" customHeight="1" s="189">
      <c r="A9" s="207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207" t="n"/>
      <c r="B10" s="228" t="n"/>
      <c r="C10" s="229" t="n"/>
      <c r="D10" s="19" t="n">
        <v>1</v>
      </c>
      <c r="E10" s="20" t="inlineStr">
        <is>
          <t>ABS</t>
        </is>
      </c>
      <c r="F10" s="21" t="inlineStr">
        <is>
          <t>Magnum 3325</t>
        </is>
      </c>
      <c r="G10" s="22" t="inlineStr">
        <is>
          <t>kg</t>
        </is>
      </c>
      <c r="H10" s="22" t="n">
        <v>0.5175</v>
      </c>
      <c r="I10" s="23" t="n">
        <v>0.01</v>
      </c>
      <c r="J10" s="22" t="n">
        <v>14</v>
      </c>
      <c r="K10" s="230">
        <f>IF(J10="","",J10*H10*(1+I10))</f>
        <v/>
      </c>
      <c r="L10" s="228" t="n"/>
      <c r="M10" s="229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31">
        <f>IF(T10="","",T10*R10*(1+S10))</f>
        <v/>
      </c>
    </row>
    <row r="11" ht="24.95" customHeight="1" s="189">
      <c r="A11" s="207" t="n"/>
      <c r="B11" s="228" t="n"/>
      <c r="C11" s="229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32">
        <f>IF(J11="","",J11*H11*(1+I11))</f>
        <v/>
      </c>
      <c r="L11" s="228" t="n"/>
      <c r="M11" s="229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33">
        <f>IF(T11="","",T11*R11*(1+S11))</f>
        <v/>
      </c>
    </row>
    <row r="12" ht="24.95" customHeight="1" s="189">
      <c r="A12" s="207" t="n"/>
      <c r="B12" s="228" t="n"/>
      <c r="C12" s="229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32">
        <f>IF(J12="","",J12*H12*(1+I12))</f>
        <v/>
      </c>
      <c r="L12" s="228" t="n"/>
      <c r="M12" s="229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33">
        <f>IF(T12="","",T12*R12*(1+S12))</f>
        <v/>
      </c>
    </row>
    <row r="13" ht="24.95" customHeight="1" s="189">
      <c r="A13" s="207" t="n"/>
      <c r="B13" s="228" t="n"/>
      <c r="C13" s="229" t="n"/>
      <c r="D13" s="109" t="n">
        <v>4</v>
      </c>
      <c r="E13" s="29" t="n"/>
      <c r="F13" s="29" t="n"/>
      <c r="G13" s="30" t="n"/>
      <c r="I13" s="36" t="n"/>
      <c r="J13" s="115" t="n"/>
      <c r="K13" s="232">
        <f>IF(J13="","",J13*G13*(1+I13))</f>
        <v/>
      </c>
      <c r="L13" s="228" t="n"/>
      <c r="M13" s="229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33">
        <f>IF(T13="","",T13*R13*(1+S13))</f>
        <v/>
      </c>
    </row>
    <row r="14" ht="24.95" customHeight="1" s="189">
      <c r="A14" s="207" t="n"/>
      <c r="B14" s="228" t="n"/>
      <c r="C14" s="229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32">
        <f>IF(J14="","",J14*H14*(1+I14))</f>
        <v/>
      </c>
      <c r="L14" s="228" t="n"/>
      <c r="M14" s="229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33">
        <f>IF(T14="","",T14*R14*(1+S14))</f>
        <v/>
      </c>
    </row>
    <row r="15" ht="24.95" customHeight="1" s="189">
      <c r="A15" s="207" t="n"/>
      <c r="B15" s="228" t="n"/>
      <c r="C15" s="229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32">
        <f>IF(J15="","",J15*H15*(1+I15))</f>
        <v/>
      </c>
      <c r="L15" s="228" t="n"/>
      <c r="M15" s="229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33">
        <f>IF(T15="","",T15*R15*(1+S15))</f>
        <v/>
      </c>
    </row>
    <row r="16" ht="24.95" customHeight="1" s="189">
      <c r="A16" s="207" t="n"/>
      <c r="B16" s="228" t="n"/>
      <c r="C16" s="229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32">
        <f>IF(J16="","",J16*H16*(1+I16))</f>
        <v/>
      </c>
      <c r="L16" s="228" t="n"/>
      <c r="M16" s="229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33">
        <f>IF(T16="","",T16*R16*(1+S16))</f>
        <v/>
      </c>
    </row>
    <row r="17" ht="24.95" customHeight="1" s="189">
      <c r="A17" s="207" t="n"/>
      <c r="B17" s="228" t="n"/>
      <c r="C17" s="229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32">
        <f>IF(J17="","",J17*H17*(1+I17))</f>
        <v/>
      </c>
      <c r="L17" s="228" t="n"/>
      <c r="M17" s="229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33">
        <f>IF(T17="","",T17*R17*(1+S17))</f>
        <v/>
      </c>
    </row>
    <row r="18" ht="24.95" customHeight="1" s="189">
      <c r="A18" s="207" t="n"/>
      <c r="B18" s="228" t="n"/>
      <c r="C18" s="229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32">
        <f>IF(J18="","",J18*H18*(1+I18))</f>
        <v/>
      </c>
      <c r="L18" s="228" t="n"/>
      <c r="M18" s="229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33">
        <f>IF(T18="","",T18*R18*(1+S18))</f>
        <v/>
      </c>
    </row>
    <row r="19" ht="24.95" customHeight="1" s="189">
      <c r="A19" s="207" t="n"/>
      <c r="B19" s="228" t="n"/>
      <c r="C19" s="229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32">
        <f>IF(J19="","",J19*H19*(1+I19))</f>
        <v/>
      </c>
      <c r="L19" s="228" t="n"/>
      <c r="M19" s="229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33">
        <f>IF(T19="","",T19*R19*(1+S19))</f>
        <v/>
      </c>
    </row>
    <row r="20" ht="24.95" customHeight="1" s="189">
      <c r="A20" s="207" t="n"/>
      <c r="B20" s="228" t="n"/>
      <c r="C20" s="229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32">
        <f>IF(J20="","",J20*H20*(1+I20))</f>
        <v/>
      </c>
      <c r="L20" s="228" t="n"/>
      <c r="M20" s="229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33">
        <f>IF(T20="","",T20*R20*(1+S20))</f>
        <v/>
      </c>
    </row>
    <row r="21" ht="24.95" customHeight="1" s="189">
      <c r="A21" s="207" t="n"/>
      <c r="B21" s="228" t="n"/>
      <c r="C21" s="229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32">
        <f>IF(J21="","",J21*H21*(1+I21))</f>
        <v/>
      </c>
      <c r="L21" s="228" t="n"/>
      <c r="M21" s="229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33">
        <f>IF(T21="","",T21*R21*(1+S21))</f>
        <v/>
      </c>
    </row>
    <row r="22" ht="24.95" customHeight="1" s="189">
      <c r="A22" s="207" t="n"/>
      <c r="B22" s="228" t="n"/>
      <c r="C22" s="229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32">
        <f>IF(J22="","",J22*H22*(1+I22))</f>
        <v/>
      </c>
      <c r="L22" s="228" t="n"/>
      <c r="M22" s="229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33">
        <f>IF(T22="","",T22*R22*(1+S22))</f>
        <v/>
      </c>
    </row>
    <row r="23" ht="24.95" customHeight="1" s="189">
      <c r="A23" s="207" t="n"/>
      <c r="B23" s="228" t="n"/>
      <c r="C23" s="229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32">
        <f>IF(J23="","",J23*H23*(1+I23))</f>
        <v/>
      </c>
      <c r="L23" s="228" t="n"/>
      <c r="M23" s="229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33">
        <f>IF(T23="","",T23*R23*(1+S23))</f>
        <v/>
      </c>
    </row>
    <row r="24" ht="24.95" customHeight="1" s="189">
      <c r="A24" s="207" t="n"/>
      <c r="B24" s="228" t="n"/>
      <c r="C24" s="229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32">
        <f>IF(J24="","",J24*H24*(1+I24))</f>
        <v/>
      </c>
      <c r="L24" s="228" t="n"/>
      <c r="M24" s="229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33">
        <f>IF(T24="","",T24*R24*(1+S24))</f>
        <v/>
      </c>
    </row>
    <row r="25" ht="24.95" customHeight="1" s="189">
      <c r="A25" s="207" t="n"/>
      <c r="B25" s="228" t="n"/>
      <c r="C25" s="229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32">
        <f>IF(J25="","",J25*H25*(1+I25))</f>
        <v/>
      </c>
      <c r="L25" s="228" t="n"/>
      <c r="M25" s="229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33">
        <f>IF(T25="","",T25*R25*(1+S25))</f>
        <v/>
      </c>
    </row>
    <row r="26" ht="24.95" customHeight="1" s="189">
      <c r="A26" s="207" t="n"/>
      <c r="B26" s="228" t="n"/>
      <c r="C26" s="229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32">
        <f>IF(J26="","",J26*H26*(1+I26))</f>
        <v/>
      </c>
      <c r="L26" s="228" t="n"/>
      <c r="M26" s="229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33">
        <f>IF(T26="","",T26*R26*(1+S26))</f>
        <v/>
      </c>
    </row>
    <row r="27" ht="24.95" customHeight="1" s="189">
      <c r="A27" s="207" t="n"/>
      <c r="B27" s="234" t="n"/>
      <c r="C27" s="235" t="n"/>
      <c r="D27" s="118" t="n"/>
      <c r="E27" s="43" t="n"/>
      <c r="F27" s="43" t="n"/>
      <c r="G27" s="43" t="n"/>
      <c r="H27" s="119" t="inlineStr">
        <is>
          <t>材料费合计</t>
        </is>
      </c>
      <c r="I27" s="224" t="n"/>
      <c r="J27" s="236" t="n"/>
      <c r="K27" s="237">
        <f>SUM(K10:K26)</f>
        <v/>
      </c>
      <c r="L27" s="234" t="n"/>
      <c r="M27" s="235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24" t="n"/>
      <c r="U27" s="237">
        <f>SUM(U10:U26)</f>
        <v/>
      </c>
    </row>
    <row r="28" ht="24.95" customHeight="1" s="189">
      <c r="A28" s="207" t="n"/>
      <c r="B28" s="170" t="inlineStr">
        <is>
          <t>三</t>
        </is>
      </c>
      <c r="C28" s="176" t="inlineStr">
        <is>
          <t xml:space="preserve"> 模具费用,刀夹具费用</t>
        </is>
      </c>
      <c r="D28" s="238" t="inlineStr">
        <is>
          <t>模具费用,刀夹具费用分摊</t>
        </is>
      </c>
      <c r="E28" s="239" t="n"/>
      <c r="F28" s="239" t="n"/>
      <c r="G28" s="239" t="n"/>
      <c r="H28" s="239" t="n"/>
      <c r="I28" s="239" t="n"/>
      <c r="J28" s="239" t="n"/>
      <c r="K28" s="240" t="n"/>
      <c r="L28" s="182" t="inlineStr">
        <is>
          <t>四</t>
        </is>
      </c>
      <c r="M28" s="176" t="inlineStr">
        <is>
          <t>实验检测费、开发费、样件费</t>
        </is>
      </c>
      <c r="N28" s="238" t="inlineStr">
        <is>
          <t>批量生产主要检测工序检测单件分摊费</t>
        </is>
      </c>
      <c r="O28" s="239" t="n"/>
      <c r="P28" s="239" t="n"/>
      <c r="Q28" s="239" t="n"/>
      <c r="R28" s="239" t="n"/>
      <c r="S28" s="239" t="n"/>
      <c r="T28" s="239" t="n"/>
      <c r="U28" s="240" t="n"/>
    </row>
    <row r="29" ht="24.95" customHeight="1" s="189">
      <c r="A29" s="207" t="n"/>
      <c r="B29" s="228" t="n"/>
      <c r="C29" s="229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28" t="n"/>
      <c r="M29" s="229" t="n"/>
      <c r="N29" s="241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207" t="n"/>
      <c r="B30" s="228" t="n"/>
      <c r="C30" s="229" t="n"/>
      <c r="D30" s="19" t="n">
        <v>1</v>
      </c>
      <c r="E30" s="52" t="inlineStr">
        <is>
          <t>Z7B2-13A994-A-PIA-01 塑料件</t>
        </is>
      </c>
      <c r="F30" s="53" t="n">
        <v>20</v>
      </c>
      <c r="G30" s="53" t="n">
        <v>1</v>
      </c>
      <c r="H30" s="53" t="n">
        <v>30</v>
      </c>
      <c r="I30" s="53" t="n">
        <v>8.756</v>
      </c>
      <c r="J30" s="242" t="n"/>
      <c r="K30" s="243">
        <f>IF(E30="","",IF(J30="",F30/I30,F30/J30))</f>
        <v/>
      </c>
      <c r="L30" s="228" t="n"/>
      <c r="M30" s="229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31">
        <f>IF(O30="","",IF(T30="",P30/S30,P30/T30))</f>
        <v/>
      </c>
    </row>
    <row r="31" ht="24.95" customHeight="1" s="189">
      <c r="A31" s="207" t="n"/>
      <c r="B31" s="228" t="n"/>
      <c r="C31" s="229" t="n"/>
      <c r="D31" s="109" t="n">
        <v>2</v>
      </c>
      <c r="E31" s="111" t="n"/>
      <c r="F31" s="111" t="n"/>
      <c r="G31" s="111" t="n"/>
      <c r="H31" s="111" t="n"/>
      <c r="I31" s="111" t="n"/>
      <c r="J31" s="244" t="n"/>
      <c r="K31" s="245">
        <f>IF(E31="","",IF(J31="",F31/I31,F31/J31))</f>
        <v/>
      </c>
      <c r="L31" s="228" t="n"/>
      <c r="M31" s="229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33">
        <f>IF(O31="","",IF(T31="",P31/S31,P31/T31))</f>
        <v/>
      </c>
    </row>
    <row r="32" ht="24.95" customHeight="1" s="189">
      <c r="A32" s="207" t="n"/>
      <c r="B32" s="228" t="n"/>
      <c r="C32" s="229" t="n"/>
      <c r="D32" s="109" t="n">
        <v>3</v>
      </c>
      <c r="E32" s="111" t="n"/>
      <c r="F32" s="111" t="n"/>
      <c r="G32" s="111" t="n"/>
      <c r="H32" s="111" t="n"/>
      <c r="I32" s="111" t="n"/>
      <c r="J32" s="244" t="n"/>
      <c r="K32" s="245">
        <f>IF(E32="","",IF(J32="",F32/I32,F32/J32))</f>
        <v/>
      </c>
      <c r="L32" s="228" t="n"/>
      <c r="M32" s="229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33">
        <f>IF(O32="","",IF(T32="",P32/S32,P32/T32))</f>
        <v/>
      </c>
    </row>
    <row r="33" ht="24.95" customHeight="1" s="189">
      <c r="A33" s="207" t="n"/>
      <c r="B33" s="228" t="n"/>
      <c r="C33" s="229" t="n"/>
      <c r="D33" s="109" t="n">
        <v>5</v>
      </c>
      <c r="E33" s="111" t="n"/>
      <c r="F33" s="111" t="n"/>
      <c r="G33" s="111" t="n"/>
      <c r="H33" s="111" t="n"/>
      <c r="I33" s="111" t="n"/>
      <c r="J33" s="244" t="n"/>
      <c r="K33" s="245">
        <f>IF(E33="","",IF(J33="",F33/I33,F33/J33))</f>
        <v/>
      </c>
      <c r="L33" s="228" t="n"/>
      <c r="M33" s="229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33">
        <f>IF(O33="","",IF(T33="",P33/S33,P33/T33))</f>
        <v/>
      </c>
    </row>
    <row r="34" ht="24.95" customHeight="1" s="189">
      <c r="A34" s="207" t="n"/>
      <c r="B34" s="228" t="n"/>
      <c r="C34" s="229" t="n"/>
      <c r="D34" s="109" t="n">
        <v>6</v>
      </c>
      <c r="E34" s="111" t="n"/>
      <c r="F34" s="111" t="n"/>
      <c r="G34" s="111" t="n"/>
      <c r="H34" s="111" t="n"/>
      <c r="I34" s="111" t="n"/>
      <c r="J34" s="244" t="n"/>
      <c r="K34" s="245">
        <f>IF(E34="","",IF(J34="",F34/I34,F34/J34))</f>
        <v/>
      </c>
      <c r="L34" s="228" t="n"/>
      <c r="M34" s="229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33">
        <f>IF(O34="","",IF(T34="",P34/S34,P34/T34))</f>
        <v/>
      </c>
    </row>
    <row r="35" ht="24.95" customHeight="1" s="189">
      <c r="A35" s="207" t="n"/>
      <c r="B35" s="228" t="n"/>
      <c r="C35" s="229" t="n"/>
      <c r="D35" s="109" t="n">
        <v>7</v>
      </c>
      <c r="E35" s="111" t="n"/>
      <c r="F35" s="111" t="n"/>
      <c r="G35" s="111" t="n"/>
      <c r="H35" s="111" t="n"/>
      <c r="I35" s="111" t="n"/>
      <c r="J35" s="244" t="n"/>
      <c r="K35" s="245">
        <f>IF(E35="","",IF(J35="",F35/I35,F35/J35))</f>
        <v/>
      </c>
      <c r="L35" s="228" t="n"/>
      <c r="M35" s="229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33">
        <f>IF(O35="","",IF(T35="",P35/S35,P35/T35))</f>
        <v/>
      </c>
    </row>
    <row r="36" ht="24.95" customHeight="1" s="189">
      <c r="A36" s="207" t="n"/>
      <c r="B36" s="228" t="n"/>
      <c r="C36" s="229" t="n"/>
      <c r="D36" s="109" t="n">
        <v>8</v>
      </c>
      <c r="E36" s="111" t="n"/>
      <c r="F36" s="111" t="n"/>
      <c r="G36" s="111" t="n"/>
      <c r="H36" s="111" t="n"/>
      <c r="I36" s="111" t="n"/>
      <c r="J36" s="244" t="n"/>
      <c r="K36" s="245">
        <f>IF(E36="","",IF(J36="",F36/I36,F36/J36))</f>
        <v/>
      </c>
      <c r="L36" s="228" t="n"/>
      <c r="M36" s="229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33">
        <f>IF(O36="","",IF(T36="",P36/S36,P36/T36))</f>
        <v/>
      </c>
    </row>
    <row r="37" ht="24.95" customHeight="1" s="189">
      <c r="A37" s="207" t="n"/>
      <c r="B37" s="228" t="n"/>
      <c r="C37" s="229" t="n"/>
      <c r="D37" s="109" t="n">
        <v>9</v>
      </c>
      <c r="E37" s="111" t="n"/>
      <c r="F37" s="111" t="n"/>
      <c r="G37" s="111" t="n"/>
      <c r="H37" s="111" t="n"/>
      <c r="I37" s="111" t="n"/>
      <c r="J37" s="244" t="n"/>
      <c r="K37" s="245">
        <f>IF(E37="","",IF(J37="",F37/I37,F37/J37))</f>
        <v/>
      </c>
      <c r="L37" s="228" t="n"/>
      <c r="M37" s="229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33">
        <f>IF(O37="","",IF(T37="",P37/S37,P37/T37))</f>
        <v/>
      </c>
    </row>
    <row r="38" ht="24.95" customHeight="1" s="189">
      <c r="A38" s="207" t="n"/>
      <c r="B38" s="228" t="n"/>
      <c r="C38" s="229" t="n"/>
      <c r="D38" s="109" t="n">
        <v>10</v>
      </c>
      <c r="E38" s="111" t="n"/>
      <c r="F38" s="111" t="n"/>
      <c r="G38" s="111" t="n"/>
      <c r="H38" s="111" t="n"/>
      <c r="I38" s="111" t="n"/>
      <c r="J38" s="244" t="n"/>
      <c r="K38" s="245">
        <f>IF(E38="","",IF(J38="",F38/I38,F38/J38))</f>
        <v/>
      </c>
      <c r="L38" s="228" t="n"/>
      <c r="M38" s="229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33">
        <f>IF(O38="","",IF(T38="",P38/S38,P38/T38))</f>
        <v/>
      </c>
    </row>
    <row r="39" ht="24.95" customHeight="1" s="189">
      <c r="A39" s="207" t="n"/>
      <c r="B39" s="228" t="n"/>
      <c r="C39" s="229" t="n"/>
      <c r="D39" s="109" t="n">
        <v>11</v>
      </c>
      <c r="E39" s="111" t="n"/>
      <c r="F39" s="111" t="n"/>
      <c r="G39" s="111" t="n"/>
      <c r="H39" s="111" t="n"/>
      <c r="I39" s="111" t="n"/>
      <c r="J39" s="244" t="n"/>
      <c r="K39" s="245">
        <f>IF(E39="","",IF(J39="",F39/I39,F39/J39))</f>
        <v/>
      </c>
      <c r="L39" s="228" t="n"/>
      <c r="M39" s="229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33">
        <f>IF(O39="","",IF(T39="",P39/S39,P39/T39))</f>
        <v/>
      </c>
    </row>
    <row r="40" ht="24.95" customHeight="1" s="189">
      <c r="A40" s="207" t="n"/>
      <c r="B40" s="234" t="n"/>
      <c r="C40" s="235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24" t="n"/>
      <c r="J40" s="63" t="n"/>
      <c r="K40" s="246">
        <f>SUM(K30:K39)</f>
        <v/>
      </c>
      <c r="L40" s="234" t="n"/>
      <c r="M40" s="235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37">
        <f>SUM(U30:U39)</f>
        <v/>
      </c>
    </row>
    <row r="41" ht="33.95" customHeight="1" s="189">
      <c r="A41" s="207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47" t="n"/>
      <c r="N41" s="132" t="inlineStr">
        <is>
          <t>人力费用</t>
        </is>
      </c>
      <c r="O41" s="247" t="n"/>
      <c r="P41" s="69" t="inlineStr">
        <is>
          <t>设备费用
（万元）</t>
        </is>
      </c>
      <c r="Q41" s="248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207" t="n"/>
      <c r="B42" s="228" t="n"/>
      <c r="C42" s="229" t="n"/>
      <c r="D42" s="19" t="n">
        <v>1</v>
      </c>
      <c r="E42" s="53" t="inlineStr">
        <is>
          <t>650T</t>
        </is>
      </c>
      <c r="F42" s="53" t="n">
        <v>40</v>
      </c>
      <c r="G42" s="249">
        <f>IF(E42="","",12/H42*L42)</f>
        <v/>
      </c>
      <c r="H42" s="250">
        <f>IF(E42="","",F42/3600)</f>
        <v/>
      </c>
      <c r="I42" s="53" t="n">
        <v>2</v>
      </c>
      <c r="J42" s="251" t="n">
        <v>24</v>
      </c>
      <c r="K42" s="252">
        <f>IF(E42="","",H42*I42/L42)</f>
        <v/>
      </c>
      <c r="L42" s="134" t="n">
        <v>0.75</v>
      </c>
      <c r="M42" s="253" t="n"/>
      <c r="N42" s="254">
        <f>IF(F42="","",IF(E42="","",J42*K42))</f>
        <v/>
      </c>
      <c r="O42" s="255" t="n"/>
      <c r="P42" s="53" t="n">
        <v>85</v>
      </c>
      <c r="Q42" s="58">
        <f>IF(E42="","","10年2班折90%")</f>
        <v/>
      </c>
      <c r="R42" s="252">
        <f>IF(E42="","",P42*0.9/10/$U$8/22*H42*10000/L42)</f>
        <v/>
      </c>
      <c r="S42" s="256" t="n">
        <v>200</v>
      </c>
      <c r="T42" s="23" t="n">
        <v>0.45</v>
      </c>
      <c r="U42" s="231">
        <f>IF(S42="","",S42*T42*$U$7*H42/((L42+(1-L42)/1.4)))</f>
        <v/>
      </c>
    </row>
    <row r="43" ht="24.95" customHeight="1" s="189">
      <c r="A43" s="207" t="n"/>
      <c r="B43" s="228" t="n"/>
      <c r="C43" s="229" t="n"/>
      <c r="D43" s="109" t="n">
        <v>2</v>
      </c>
      <c r="E43" s="111" t="n"/>
      <c r="F43" s="53" t="n"/>
      <c r="G43" s="249">
        <f>IF(E43="","",12/H43*L43)</f>
        <v/>
      </c>
      <c r="H43" s="250">
        <f>IF(E43="","",F43/3600)</f>
        <v/>
      </c>
      <c r="I43" s="111" t="n"/>
      <c r="J43" s="257" t="n"/>
      <c r="K43" s="252">
        <f>IF(E43="","",H43*I43/L43)</f>
        <v/>
      </c>
      <c r="L43" s="137" t="n"/>
      <c r="M43" s="220" t="n"/>
      <c r="N43" s="254">
        <f>IF(F43="","",IF(E43="","",J43*K43))</f>
        <v/>
      </c>
      <c r="O43" s="255" t="n"/>
      <c r="P43" s="111" t="n"/>
      <c r="Q43" s="62">
        <f>IF(E43="","","10年2班折90%")</f>
        <v/>
      </c>
      <c r="R43" s="252">
        <f>IF(E43="","",P43*0.9/10/$U$8/22*H43*10000/L43)</f>
        <v/>
      </c>
      <c r="S43" s="258" t="n"/>
      <c r="T43" s="36" t="n"/>
      <c r="U43" s="231">
        <f>IF(S43="","",S43*T43*$U$7*H43/((L43+(1-L43)/1.4)))</f>
        <v/>
      </c>
    </row>
    <row r="44" ht="24.95" customHeight="1" s="189">
      <c r="A44" s="207" t="n"/>
      <c r="B44" s="228" t="n"/>
      <c r="C44" s="229" t="n"/>
      <c r="D44" s="109" t="n">
        <v>3</v>
      </c>
      <c r="E44" s="111" t="n"/>
      <c r="F44" s="111" t="n"/>
      <c r="G44" s="249">
        <f>IF(E44="","",12/H44*L44)</f>
        <v/>
      </c>
      <c r="H44" s="250">
        <f>IF(E44="","",F44/3600)</f>
        <v/>
      </c>
      <c r="I44" s="111" t="n"/>
      <c r="J44" s="257" t="n"/>
      <c r="K44" s="252">
        <f>IF(E44="","",H44*I44/L44)</f>
        <v/>
      </c>
      <c r="L44" s="137" t="n"/>
      <c r="M44" s="220" t="n"/>
      <c r="N44" s="254">
        <f>IF(F44="","",IF(E44="","",J44*K44))</f>
        <v/>
      </c>
      <c r="O44" s="255" t="n"/>
      <c r="P44" s="111" t="n"/>
      <c r="Q44" s="62">
        <f>IF(E44="","","10年2班折90%")</f>
        <v/>
      </c>
      <c r="R44" s="252">
        <f>IF(E44="","",P44*0.9/10/$U$8/22*H44*10000/L44)</f>
        <v/>
      </c>
      <c r="S44" s="258" t="n"/>
      <c r="T44" s="36" t="n"/>
      <c r="U44" s="231">
        <f>IF(S44="","",S44*T44*$U$7*H44/((L44+(1-L44)/1.4)))</f>
        <v/>
      </c>
    </row>
    <row r="45" ht="24.95" customHeight="1" s="189">
      <c r="A45" s="207" t="n"/>
      <c r="B45" s="228" t="n"/>
      <c r="C45" s="229" t="n"/>
      <c r="D45" s="109" t="n">
        <v>4</v>
      </c>
      <c r="E45" s="111" t="n"/>
      <c r="F45" s="111" t="n"/>
      <c r="G45" s="249">
        <f>IF(E45="","",12/H45*L45)</f>
        <v/>
      </c>
      <c r="H45" s="250">
        <f>IF(E45="","",F45/3600)</f>
        <v/>
      </c>
      <c r="I45" s="111" t="n"/>
      <c r="J45" s="257" t="n"/>
      <c r="K45" s="252">
        <f>IF(E45="","",H45*I45/L45)</f>
        <v/>
      </c>
      <c r="L45" s="137" t="n"/>
      <c r="M45" s="220" t="n"/>
      <c r="N45" s="254">
        <f>IF(F45="","",IF(E45="","",J45*K45))</f>
        <v/>
      </c>
      <c r="O45" s="255" t="n"/>
      <c r="P45" s="111" t="n"/>
      <c r="Q45" s="62">
        <f>IF(E45="","","10年2班折90%")</f>
        <v/>
      </c>
      <c r="R45" s="252">
        <f>IF(E45="","",P45*0.9/10/$U$8/22*H45*10000/L45)</f>
        <v/>
      </c>
      <c r="S45" s="258" t="n"/>
      <c r="T45" s="36" t="n"/>
      <c r="U45" s="231">
        <f>IF(S45="","",S45*T45*$U$7*H45/((L45+(1-L45)/1.4)))</f>
        <v/>
      </c>
    </row>
    <row r="46" ht="24.95" customHeight="1" s="189">
      <c r="A46" s="207" t="n"/>
      <c r="B46" s="228" t="n"/>
      <c r="C46" s="229" t="n"/>
      <c r="D46" s="109" t="n">
        <v>5</v>
      </c>
      <c r="E46" s="111" t="n"/>
      <c r="F46" s="111" t="n"/>
      <c r="G46" s="249">
        <f>IF(E46="","",12/H46*L46)</f>
        <v/>
      </c>
      <c r="H46" s="250">
        <f>IF(E46="","",F46/3600)</f>
        <v/>
      </c>
      <c r="I46" s="111" t="n"/>
      <c r="J46" s="257" t="n"/>
      <c r="K46" s="252">
        <f>IF(E46="","",H46*I46/L46)</f>
        <v/>
      </c>
      <c r="L46" s="137" t="n"/>
      <c r="M46" s="220" t="n"/>
      <c r="N46" s="254">
        <f>IF(F46="","",IF(E46="","",J46*K46))</f>
        <v/>
      </c>
      <c r="O46" s="255" t="n"/>
      <c r="P46" s="111" t="n"/>
      <c r="Q46" s="62">
        <f>IF(E46="","","10年2班折90%")</f>
        <v/>
      </c>
      <c r="R46" s="252">
        <f>IF(E46="","",P46*0.9/10/$U$8/22*H46*10000/L46)</f>
        <v/>
      </c>
      <c r="S46" s="258" t="n"/>
      <c r="T46" s="36" t="n"/>
      <c r="U46" s="231">
        <f>IF(S46="","",S46*T46*$U$7*H46/((L46+(1-L46)/1.4)))</f>
        <v/>
      </c>
    </row>
    <row r="47" ht="24.95" customHeight="1" s="189">
      <c r="A47" s="207" t="n"/>
      <c r="B47" s="228" t="n"/>
      <c r="C47" s="229" t="n"/>
      <c r="D47" s="109" t="n">
        <v>6</v>
      </c>
      <c r="E47" s="111" t="n"/>
      <c r="F47" s="111" t="n"/>
      <c r="G47" s="249">
        <f>IF(E47="","",12/H47*L47)</f>
        <v/>
      </c>
      <c r="H47" s="250">
        <f>IF(E47="","",F47/3600)</f>
        <v/>
      </c>
      <c r="I47" s="111" t="n"/>
      <c r="J47" s="257" t="n"/>
      <c r="K47" s="252">
        <f>IF(E47="","",H47*I47/L47)</f>
        <v/>
      </c>
      <c r="L47" s="137" t="n"/>
      <c r="M47" s="220" t="n"/>
      <c r="N47" s="254">
        <f>IF(F47="","",IF(E47="","",J47*K47))</f>
        <v/>
      </c>
      <c r="O47" s="255" t="n"/>
      <c r="P47" s="111" t="n"/>
      <c r="Q47" s="62">
        <f>IF(E47="","","10年2班折90%")</f>
        <v/>
      </c>
      <c r="R47" s="252">
        <f>IF(E47="","",P47*0.9/10/$U$8/22*H47*10000/L47)</f>
        <v/>
      </c>
      <c r="S47" s="258" t="n"/>
      <c r="T47" s="36" t="n"/>
      <c r="U47" s="231">
        <f>IF(S47="","",S47*T47*$U$7*H47/((L47+(1-L47)/1.4)))</f>
        <v/>
      </c>
    </row>
    <row r="48" ht="24.95" customHeight="1" s="189">
      <c r="A48" s="207" t="n"/>
      <c r="B48" s="228" t="n"/>
      <c r="C48" s="229" t="n"/>
      <c r="D48" s="109" t="n">
        <v>7</v>
      </c>
      <c r="E48" s="111" t="n"/>
      <c r="F48" s="111" t="n"/>
      <c r="G48" s="249">
        <f>IF(E48="","",12/H48*L48)</f>
        <v/>
      </c>
      <c r="H48" s="250">
        <f>IF(E48="","",F48/3600)</f>
        <v/>
      </c>
      <c r="I48" s="111" t="n"/>
      <c r="J48" s="257" t="n"/>
      <c r="K48" s="252">
        <f>IF(E48="","",H48*I48/L48)</f>
        <v/>
      </c>
      <c r="L48" s="137" t="n"/>
      <c r="M48" s="220" t="n"/>
      <c r="N48" s="254">
        <f>IF(F48="","",IF(E48="","",J48*K48))</f>
        <v/>
      </c>
      <c r="O48" s="255" t="n"/>
      <c r="P48" s="111" t="n"/>
      <c r="Q48" s="62">
        <f>IF(E48="","","10年2班折90%")</f>
        <v/>
      </c>
      <c r="R48" s="252">
        <f>IF(E48="","",P48*0.9/10/$U$8/22*H48*10000/L48)</f>
        <v/>
      </c>
      <c r="S48" s="258" t="n"/>
      <c r="T48" s="36" t="n"/>
      <c r="U48" s="231">
        <f>IF(S48="","",S48*T48*$U$7*H48/((L48+(1-L48)/1.4)))</f>
        <v/>
      </c>
    </row>
    <row r="49" ht="24.95" customHeight="1" s="189">
      <c r="A49" s="207" t="n"/>
      <c r="B49" s="228" t="n"/>
      <c r="C49" s="229" t="n"/>
      <c r="D49" s="109" t="n">
        <v>8</v>
      </c>
      <c r="E49" s="111" t="n"/>
      <c r="F49" s="111" t="n"/>
      <c r="G49" s="249">
        <f>IF(E49="","",12/H49*L49)</f>
        <v/>
      </c>
      <c r="H49" s="250">
        <f>IF(E49="","",F49/3600)</f>
        <v/>
      </c>
      <c r="I49" s="111" t="n"/>
      <c r="J49" s="257" t="n"/>
      <c r="K49" s="252">
        <f>IF(E49="","",H49*I49/L49)</f>
        <v/>
      </c>
      <c r="L49" s="137" t="n"/>
      <c r="M49" s="220" t="n"/>
      <c r="N49" s="254">
        <f>IF(F49="","",IF(E49="","",J49*K49))</f>
        <v/>
      </c>
      <c r="O49" s="255" t="n"/>
      <c r="P49" s="111" t="n"/>
      <c r="Q49" s="62">
        <f>IF(E49="","","10年2班折90%")</f>
        <v/>
      </c>
      <c r="R49" s="252">
        <f>IF(E49="","",P49*0.9/10/$U$8/22*H49*10000/L49)</f>
        <v/>
      </c>
      <c r="S49" s="258" t="n"/>
      <c r="T49" s="36" t="n"/>
      <c r="U49" s="231">
        <f>IF(S49="","",S49*T49*$U$7*H49/((L49+(1-L49)/1.4)))</f>
        <v/>
      </c>
    </row>
    <row r="50" ht="24.95" customHeight="1" s="189">
      <c r="A50" s="207" t="n"/>
      <c r="B50" s="228" t="n"/>
      <c r="C50" s="229" t="n"/>
      <c r="D50" s="109" t="n">
        <v>9</v>
      </c>
      <c r="E50" s="111" t="n"/>
      <c r="F50" s="111" t="n"/>
      <c r="G50" s="249">
        <f>IF(E50="","",12/H50*L50)</f>
        <v/>
      </c>
      <c r="H50" s="250">
        <f>IF(E50="","",F50/3600)</f>
        <v/>
      </c>
      <c r="I50" s="111" t="n"/>
      <c r="J50" s="257" t="n"/>
      <c r="K50" s="252">
        <f>IF(E50="","",H50*I50/L50)</f>
        <v/>
      </c>
      <c r="L50" s="137" t="n"/>
      <c r="M50" s="220" t="n"/>
      <c r="N50" s="254">
        <f>IF(F50="","",IF(E50="","",J50*K50))</f>
        <v/>
      </c>
      <c r="O50" s="255" t="n"/>
      <c r="P50" s="111" t="n"/>
      <c r="Q50" s="62">
        <f>IF(E50="","","10年2班折90%")</f>
        <v/>
      </c>
      <c r="R50" s="252">
        <f>IF(E50="","",P50*0.9/10/$U$8/22*H50*10000/L50)</f>
        <v/>
      </c>
      <c r="S50" s="258" t="n"/>
      <c r="T50" s="36" t="n"/>
      <c r="U50" s="231">
        <f>IF(S50="","",S50*T50*$U$7*H50/((L50+(1-L50)/1.4)))</f>
        <v/>
      </c>
    </row>
    <row r="51" ht="24.95" customHeight="1" s="189">
      <c r="A51" s="207" t="n"/>
      <c r="B51" s="228" t="n"/>
      <c r="C51" s="229" t="n"/>
      <c r="D51" s="109" t="n">
        <v>10</v>
      </c>
      <c r="E51" s="111" t="n"/>
      <c r="F51" s="111" t="n"/>
      <c r="G51" s="249">
        <f>IF(E51="","",12/H51*L51)</f>
        <v/>
      </c>
      <c r="H51" s="250">
        <f>IF(E51="","",F51/3600)</f>
        <v/>
      </c>
      <c r="I51" s="111" t="n"/>
      <c r="J51" s="257" t="n"/>
      <c r="K51" s="252">
        <f>IF(E51="","",H51*I51/L51)</f>
        <v/>
      </c>
      <c r="L51" s="137" t="n"/>
      <c r="M51" s="220" t="n"/>
      <c r="N51" s="254">
        <f>IF(F51="","",IF(E51="","",J51*K51))</f>
        <v/>
      </c>
      <c r="O51" s="255" t="n"/>
      <c r="P51" s="111" t="n"/>
      <c r="Q51" s="62">
        <f>IF(E51="","","10年2班折90%")</f>
        <v/>
      </c>
      <c r="R51" s="252">
        <f>IF(E51="","",P51*0.9/10/$U$8/22*H51*10000/L51)</f>
        <v/>
      </c>
      <c r="S51" s="258" t="n"/>
      <c r="T51" s="36" t="n"/>
      <c r="U51" s="231">
        <f>IF(S51="","",S51*T51*$U$7*H51/((L51+(1-L51)/1.4)))</f>
        <v/>
      </c>
    </row>
    <row r="52" ht="24.95" customHeight="1" s="189">
      <c r="A52" s="207" t="n"/>
      <c r="B52" s="228" t="n"/>
      <c r="C52" s="229" t="n"/>
      <c r="D52" s="109" t="n">
        <v>11</v>
      </c>
      <c r="E52" s="111" t="n"/>
      <c r="F52" s="111" t="n"/>
      <c r="G52" s="249">
        <f>IF(E52="","",12/H52*L52)</f>
        <v/>
      </c>
      <c r="H52" s="250">
        <f>IF(E52="","",F52/3600)</f>
        <v/>
      </c>
      <c r="I52" s="111" t="n"/>
      <c r="J52" s="257" t="n"/>
      <c r="K52" s="252">
        <f>IF(E52="","",H52*I52/L52)</f>
        <v/>
      </c>
      <c r="L52" s="137" t="n"/>
      <c r="M52" s="220" t="n"/>
      <c r="N52" s="254">
        <f>IF(F52="","",IF(E52="","",J52*K52))</f>
        <v/>
      </c>
      <c r="O52" s="255" t="n"/>
      <c r="P52" s="111" t="n"/>
      <c r="Q52" s="62">
        <f>IF(E52="","","10年2班折90%")</f>
        <v/>
      </c>
      <c r="R52" s="252">
        <f>IF(E52="","",P52*0.9/10/$U$8/22*H52*10000/L52)</f>
        <v/>
      </c>
      <c r="S52" s="258" t="n"/>
      <c r="T52" s="36" t="n"/>
      <c r="U52" s="231">
        <f>IF(S52="","",S52*T52*$U$7*H52/((L52+(1-L52)/1.4)))</f>
        <v/>
      </c>
    </row>
    <row r="53" ht="24.95" customHeight="1" s="189">
      <c r="A53" s="207" t="n"/>
      <c r="B53" s="228" t="n"/>
      <c r="C53" s="229" t="n"/>
      <c r="D53" s="109" t="n">
        <v>12</v>
      </c>
      <c r="E53" s="111" t="n"/>
      <c r="F53" s="111" t="n"/>
      <c r="G53" s="249">
        <f>IF(E53="","",12/H53*L53)</f>
        <v/>
      </c>
      <c r="H53" s="250">
        <f>IF(E53="","",F53/3600)</f>
        <v/>
      </c>
      <c r="I53" s="111" t="n"/>
      <c r="J53" s="257" t="n"/>
      <c r="K53" s="252">
        <f>IF(E53="","",H53*I53/L53)</f>
        <v/>
      </c>
      <c r="L53" s="137" t="n"/>
      <c r="M53" s="220" t="n"/>
      <c r="N53" s="254">
        <f>IF(F53="","",IF(E53="","",J53*K53))</f>
        <v/>
      </c>
      <c r="O53" s="255" t="n"/>
      <c r="P53" s="111" t="n"/>
      <c r="Q53" s="62">
        <f>IF(E53="","","10年2班折90%")</f>
        <v/>
      </c>
      <c r="R53" s="252">
        <f>IF(E53="","",P53*0.9/10/$U$8/22*H53*10000/L53)</f>
        <v/>
      </c>
      <c r="S53" s="258" t="n"/>
      <c r="T53" s="36" t="n"/>
      <c r="U53" s="231">
        <f>IF(S53="","",S53*T53*$U$7*H53/((L53+(1-L53)/1.4)))</f>
        <v/>
      </c>
    </row>
    <row r="54" ht="24.95" customHeight="1" s="189">
      <c r="A54" s="207" t="n"/>
      <c r="B54" s="228" t="n"/>
      <c r="C54" s="229" t="n"/>
      <c r="D54" s="109" t="n">
        <v>13</v>
      </c>
      <c r="E54" s="111" t="n"/>
      <c r="F54" s="111" t="n"/>
      <c r="G54" s="249">
        <f>IF(E54="","",12/H54*L54)</f>
        <v/>
      </c>
      <c r="H54" s="250">
        <f>IF(E54="","",F54/3600)</f>
        <v/>
      </c>
      <c r="I54" s="111" t="n"/>
      <c r="J54" s="257" t="n"/>
      <c r="K54" s="252">
        <f>IF(E54="","",H54*I54/L54)</f>
        <v/>
      </c>
      <c r="L54" s="137" t="n"/>
      <c r="M54" s="220" t="n"/>
      <c r="N54" s="254">
        <f>IF(F54="","",IF(E54="","",J54*K54))</f>
        <v/>
      </c>
      <c r="O54" s="255" t="n"/>
      <c r="P54" s="111" t="n"/>
      <c r="Q54" s="62">
        <f>IF(E54="","","10年2班折90%")</f>
        <v/>
      </c>
      <c r="R54" s="252">
        <f>IF(E54="","",P54*0.9/10/$U$8/22*H54*10000/L54)</f>
        <v/>
      </c>
      <c r="S54" s="258" t="n"/>
      <c r="T54" s="36" t="n"/>
      <c r="U54" s="231">
        <f>IF(S54="","",S54*T54*$U$7*H54/((L54+(1-L54)/1.4)))</f>
        <v/>
      </c>
    </row>
    <row r="55" ht="24.95" customHeight="1" s="189">
      <c r="A55" s="207" t="n"/>
      <c r="B55" s="228" t="n"/>
      <c r="C55" s="229" t="n"/>
      <c r="D55" s="109" t="n">
        <v>14</v>
      </c>
      <c r="E55" s="111" t="n"/>
      <c r="F55" s="111" t="n"/>
      <c r="G55" s="249">
        <f>IF(E55="","",12/H55*L55)</f>
        <v/>
      </c>
      <c r="H55" s="250">
        <f>IF(E55="","",F55/3600)</f>
        <v/>
      </c>
      <c r="I55" s="111" t="n"/>
      <c r="J55" s="257" t="n"/>
      <c r="K55" s="252">
        <f>IF(E55="","",H55*I55/L55)</f>
        <v/>
      </c>
      <c r="L55" s="137" t="n"/>
      <c r="M55" s="220" t="n"/>
      <c r="N55" s="254">
        <f>IF(F55="","",IF(E55="","",J55*K55))</f>
        <v/>
      </c>
      <c r="O55" s="255" t="n"/>
      <c r="P55" s="111" t="n"/>
      <c r="Q55" s="62">
        <f>IF(E55="","","10年2班折90%")</f>
        <v/>
      </c>
      <c r="R55" s="252">
        <f>IF(E55="","",P55*0.9/10/$U$8/22*H55*10000/L55)</f>
        <v/>
      </c>
      <c r="S55" s="258" t="n"/>
      <c r="T55" s="36" t="n"/>
      <c r="U55" s="231">
        <f>IF(S55="","",S55*T55*$U$7*H55/((L55+(1-L55)/1.4)))</f>
        <v/>
      </c>
    </row>
    <row r="56" ht="24.95" customHeight="1" s="189">
      <c r="A56" s="207" t="n"/>
      <c r="B56" s="228" t="n"/>
      <c r="C56" s="229" t="n"/>
      <c r="D56" s="109" t="n">
        <v>15</v>
      </c>
      <c r="E56" s="111" t="n"/>
      <c r="F56" s="111" t="n"/>
      <c r="G56" s="249">
        <f>IF(E56="","",12/H56*L56)</f>
        <v/>
      </c>
      <c r="H56" s="250">
        <f>IF(E56="","",F56/3600)</f>
        <v/>
      </c>
      <c r="I56" s="111" t="n"/>
      <c r="J56" s="257" t="n"/>
      <c r="K56" s="252">
        <f>IF(E56="","",H56*I56/L56)</f>
        <v/>
      </c>
      <c r="L56" s="137" t="n"/>
      <c r="M56" s="220" t="n"/>
      <c r="N56" s="254">
        <f>IF(F56="","",IF(E56="","",J56*K56))</f>
        <v/>
      </c>
      <c r="O56" s="255" t="n"/>
      <c r="P56" s="111" t="n"/>
      <c r="Q56" s="62">
        <f>IF(E56="","","10年2班折90%")</f>
        <v/>
      </c>
      <c r="R56" s="252">
        <f>IF(E56="","",P56*0.9/10/$U$8/22*H56*10000/L56)</f>
        <v/>
      </c>
      <c r="S56" s="258" t="n"/>
      <c r="T56" s="36" t="n"/>
      <c r="U56" s="231">
        <f>IF(S56="","",S56*T56*$U$7*H56/((L56+(1-L56)/1.4)))</f>
        <v/>
      </c>
    </row>
    <row r="57" ht="24.95" customHeight="1" s="189">
      <c r="A57" s="207" t="n"/>
      <c r="B57" s="228" t="n"/>
      <c r="C57" s="229" t="n"/>
      <c r="D57" s="109" t="n">
        <v>16</v>
      </c>
      <c r="E57" s="111" t="n"/>
      <c r="F57" s="111" t="n"/>
      <c r="G57" s="249">
        <f>IF(E57="","",12/H57*L57)</f>
        <v/>
      </c>
      <c r="H57" s="250">
        <f>IF(E57="","",F57/3600)</f>
        <v/>
      </c>
      <c r="I57" s="111" t="n"/>
      <c r="J57" s="257" t="n"/>
      <c r="K57" s="252">
        <f>IF(E57="","",H57*I57/L57)</f>
        <v/>
      </c>
      <c r="L57" s="137" t="n"/>
      <c r="M57" s="220" t="n"/>
      <c r="N57" s="254">
        <f>IF(F57="","",IF(E57="","",J57*K57))</f>
        <v/>
      </c>
      <c r="O57" s="255" t="n"/>
      <c r="P57" s="111" t="n"/>
      <c r="Q57" s="62">
        <f>IF(E57="","","10年2班折90%")</f>
        <v/>
      </c>
      <c r="R57" s="252">
        <f>IF(E57="","",P57*0.9/10/$U$8/22*H57*10000/L57)</f>
        <v/>
      </c>
      <c r="S57" s="258" t="n"/>
      <c r="T57" s="36" t="n"/>
      <c r="U57" s="231">
        <f>IF(S57="","",S57*T57*$U$7*H57/((L57+(1-L57)/1.4)))</f>
        <v/>
      </c>
    </row>
    <row r="58" ht="24.95" customHeight="1" s="189">
      <c r="A58" s="207" t="n"/>
      <c r="B58" s="234" t="n"/>
      <c r="C58" s="235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24" t="n"/>
      <c r="N58" s="259">
        <f>SUM(N42:O57)</f>
        <v/>
      </c>
      <c r="O58" s="224" t="n"/>
      <c r="P58" s="81" t="n"/>
      <c r="Q58" s="82" t="inlineStr">
        <is>
          <t>折旧合计</t>
        </is>
      </c>
      <c r="R58" s="260">
        <f>SUM(R42:R57)</f>
        <v/>
      </c>
      <c r="S58" s="84" t="n"/>
      <c r="T58" s="162" t="inlineStr">
        <is>
          <t>能耗合计</t>
        </is>
      </c>
      <c r="U58" s="261">
        <f>SUM(U42:U57)</f>
        <v/>
      </c>
    </row>
    <row r="59" ht="24.95" customHeight="1" s="189">
      <c r="A59" s="207" t="n"/>
      <c r="B59" s="19" t="inlineStr">
        <is>
          <t>六</t>
        </is>
      </c>
      <c r="C59" s="139" t="inlineStr">
        <is>
          <t>直接工资</t>
        </is>
      </c>
      <c r="D59" s="255" t="n"/>
      <c r="E59" s="262">
        <f>IF(U6="",N58,U6*K58)</f>
        <v/>
      </c>
      <c r="F59" s="141" t="inlineStr">
        <is>
          <t>"计算依据：=N58  or U6*K58</t>
        </is>
      </c>
      <c r="G59" s="263" t="n"/>
      <c r="H59" s="263" t="n"/>
      <c r="I59" s="263" t="n"/>
      <c r="J59" s="263" t="n"/>
      <c r="K59" s="263" t="n"/>
      <c r="L59" s="263" t="n"/>
      <c r="M59" s="263" t="n"/>
      <c r="N59" s="263" t="n"/>
      <c r="O59" s="263" t="n"/>
      <c r="P59" s="213" t="n"/>
      <c r="Q59" s="143" t="inlineStr">
        <is>
          <t>其它费用</t>
        </is>
      </c>
      <c r="R59" s="264" t="n"/>
      <c r="S59" s="264" t="n"/>
      <c r="T59" s="264" t="n"/>
      <c r="U59" s="265" t="n"/>
    </row>
    <row r="60" ht="24.95" customHeight="1" s="189">
      <c r="A60" s="207" t="n"/>
      <c r="B60" s="109" t="inlineStr">
        <is>
          <t>七</t>
        </is>
      </c>
      <c r="C60" s="110" t="inlineStr">
        <is>
          <t>废品费用</t>
        </is>
      </c>
      <c r="D60" s="219" t="n"/>
      <c r="E60" s="266">
        <f>(K27+K40+U40+R58+U58+E59+U27)*O8</f>
        <v/>
      </c>
      <c r="F60" s="147" t="inlineStr">
        <is>
          <t>计算依据：=(K27+K40+U40+R58+U58+E59+U27)*O8</t>
        </is>
      </c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19" t="n"/>
      <c r="Q60" s="149" t="inlineStr">
        <is>
          <t>废料处理收益</t>
        </is>
      </c>
      <c r="R60" s="268" t="n"/>
      <c r="S60" s="269" t="n"/>
      <c r="T60" s="270" t="n"/>
      <c r="U60" s="271" t="n"/>
    </row>
    <row r="61" ht="24.95" customHeight="1" s="189">
      <c r="A61" s="207" t="n"/>
      <c r="B61" s="109" t="inlineStr">
        <is>
          <t>八</t>
        </is>
      </c>
      <c r="C61" s="110" t="inlineStr">
        <is>
          <t>管理费用</t>
        </is>
      </c>
      <c r="D61" s="219" t="n"/>
      <c r="E61" s="266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67" t="n"/>
      <c r="H61" s="267" t="n"/>
      <c r="I61" s="267" t="n"/>
      <c r="J61" s="267" t="n"/>
      <c r="K61" s="267" t="n"/>
      <c r="L61" s="267" t="n"/>
      <c r="M61" s="267" t="n"/>
      <c r="N61" s="267" t="n"/>
      <c r="O61" s="267" t="n"/>
      <c r="P61" s="219" t="n"/>
      <c r="Q61" s="153" t="inlineStr">
        <is>
          <t>模具总费万元</t>
        </is>
      </c>
      <c r="R61" s="267" t="n"/>
      <c r="S61" s="113" t="n"/>
      <c r="T61" s="221" t="n"/>
      <c r="U61" s="272" t="n"/>
    </row>
    <row r="62" ht="24.95" customHeight="1" s="189">
      <c r="A62" s="207" t="n"/>
      <c r="B62" s="109" t="inlineStr">
        <is>
          <t>九</t>
        </is>
      </c>
      <c r="C62" s="110" t="inlineStr">
        <is>
          <t>运输费用</t>
        </is>
      </c>
      <c r="D62" s="219" t="n"/>
      <c r="E62" s="273" t="n">
        <v>1.29</v>
      </c>
      <c r="F62" s="147" t="inlineStr">
        <is>
          <t>计算依据：=按国内公路运输距离、零担、拼货、整车，最终分摊到每个零件费用</t>
        </is>
      </c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19" t="n"/>
      <c r="Q62" s="153" t="inlineStr">
        <is>
          <t>实验总费万元</t>
        </is>
      </c>
      <c r="R62" s="267" t="n"/>
      <c r="S62" s="113" t="n"/>
      <c r="T62" s="221" t="n"/>
      <c r="U62" s="272" t="n"/>
    </row>
    <row r="63" ht="24.95" customHeight="1" s="189">
      <c r="A63" s="207" t="n"/>
      <c r="B63" s="109" t="inlineStr">
        <is>
          <t>十</t>
        </is>
      </c>
      <c r="C63" s="110" t="inlineStr">
        <is>
          <t>包装费用</t>
        </is>
      </c>
      <c r="D63" s="219" t="n"/>
      <c r="E63" s="274" t="n">
        <v>0.8</v>
      </c>
      <c r="F63" s="147" t="inlineStr">
        <is>
          <t>计算依据：=按照甲方包装规范要求，分摊到每个零件的包装成本</t>
        </is>
      </c>
      <c r="G63" s="267" t="n"/>
      <c r="H63" s="267" t="n"/>
      <c r="I63" s="267" t="n"/>
      <c r="J63" s="267" t="n"/>
      <c r="K63" s="267" t="n"/>
      <c r="L63" s="267" t="n"/>
      <c r="M63" s="267" t="n"/>
      <c r="N63" s="267" t="n"/>
      <c r="O63" s="267" t="n"/>
      <c r="P63" s="219" t="n"/>
      <c r="Q63" s="156" t="n"/>
      <c r="R63" s="275" t="n"/>
      <c r="S63" s="276" t="n"/>
      <c r="T63" s="277" t="n"/>
      <c r="U63" s="278" t="n"/>
    </row>
    <row r="64" ht="24.95" customHeight="1" s="189">
      <c r="A64" s="207" t="n"/>
      <c r="B64" s="109" t="inlineStr">
        <is>
          <t>十一</t>
        </is>
      </c>
      <c r="C64" s="110" t="inlineStr">
        <is>
          <t>成本价</t>
        </is>
      </c>
      <c r="D64" s="219" t="n"/>
      <c r="E64" s="279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67" t="n"/>
      <c r="H64" s="267" t="n"/>
      <c r="I64" s="267" t="n"/>
      <c r="J64" s="267" t="n"/>
      <c r="K64" s="267" t="n"/>
      <c r="L64" s="267" t="n"/>
      <c r="M64" s="267" t="n"/>
      <c r="N64" s="267" t="n"/>
      <c r="O64" s="267" t="n"/>
      <c r="P64" s="219" t="n"/>
      <c r="Q64" s="161" t="inlineStr">
        <is>
          <t>产品报价备注说明</t>
        </is>
      </c>
      <c r="R64" s="239" t="n"/>
      <c r="S64" s="239" t="n"/>
      <c r="T64" s="239" t="n"/>
      <c r="U64" s="240" t="n"/>
    </row>
    <row r="65" ht="24.95" customHeight="1" s="189">
      <c r="A65" s="207" t="n"/>
      <c r="B65" s="109" t="inlineStr">
        <is>
          <t>十二</t>
        </is>
      </c>
      <c r="C65" s="110" t="inlineStr">
        <is>
          <t>利润率</t>
        </is>
      </c>
      <c r="D65" s="219" t="n"/>
      <c r="E65" s="92" t="n">
        <v>0.05</v>
      </c>
      <c r="F65" s="147" t="inlineStr">
        <is>
          <t>计算依据：=根据公司要求可选择任意%比</t>
        </is>
      </c>
      <c r="G65" s="267" t="n"/>
      <c r="H65" s="267" t="n"/>
      <c r="I65" s="267" t="n"/>
      <c r="J65" s="267" t="n"/>
      <c r="K65" s="267" t="n"/>
      <c r="L65" s="267" t="n"/>
      <c r="M65" s="267" t="n"/>
      <c r="N65" s="267" t="n"/>
      <c r="O65" s="267" t="n"/>
      <c r="P65" s="219" t="n"/>
      <c r="Q65" s="188" t="n"/>
      <c r="R65" s="280" t="n"/>
      <c r="S65" s="280" t="n"/>
      <c r="T65" s="280" t="n"/>
      <c r="U65" s="281" t="n"/>
    </row>
    <row r="66" ht="24.95" customHeight="1" s="189">
      <c r="A66" s="207" t="n"/>
      <c r="B66" s="109" t="inlineStr">
        <is>
          <t>十三</t>
        </is>
      </c>
      <c r="C66" s="110" t="inlineStr">
        <is>
          <t>利润</t>
        </is>
      </c>
      <c r="D66" s="219" t="n"/>
      <c r="E66" s="266">
        <f>E64*E65</f>
        <v/>
      </c>
      <c r="F66" s="147" t="inlineStr">
        <is>
          <t>计算依据：=E64*E65</t>
        </is>
      </c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19" t="n"/>
      <c r="Q66" s="280" t="n"/>
      <c r="R66" s="280" t="n"/>
      <c r="S66" s="280" t="n"/>
      <c r="T66" s="280" t="n"/>
      <c r="U66" s="281" t="n"/>
    </row>
    <row r="67" ht="24.95" customHeight="1" s="189">
      <c r="A67" s="207" t="n"/>
      <c r="B67" s="109" t="inlineStr">
        <is>
          <t>十四</t>
        </is>
      </c>
      <c r="C67" s="110" t="inlineStr">
        <is>
          <t>未税报价</t>
        </is>
      </c>
      <c r="D67" s="219" t="n"/>
      <c r="E67" s="266">
        <f>E64+E66</f>
        <v/>
      </c>
      <c r="F67" s="147" t="inlineStr">
        <is>
          <t>计算依据：=E64+E66</t>
        </is>
      </c>
      <c r="G67" s="267" t="n"/>
      <c r="H67" s="267" t="n"/>
      <c r="I67" s="267" t="n"/>
      <c r="J67" s="267" t="n"/>
      <c r="K67" s="267" t="n"/>
      <c r="L67" s="267" t="n"/>
      <c r="M67" s="267" t="n"/>
      <c r="N67" s="267" t="n"/>
      <c r="O67" s="267" t="n"/>
      <c r="P67" s="219" t="n"/>
      <c r="Q67" s="280" t="n"/>
      <c r="R67" s="280" t="n"/>
      <c r="S67" s="280" t="n"/>
      <c r="T67" s="280" t="n"/>
      <c r="U67" s="281" t="n"/>
    </row>
    <row r="68" ht="24.95" customHeight="1" s="189">
      <c r="A68" s="207" t="n"/>
      <c r="B68" s="109" t="inlineStr">
        <is>
          <t>十五</t>
        </is>
      </c>
      <c r="C68" s="110" t="inlineStr">
        <is>
          <t>增值税13%</t>
        </is>
      </c>
      <c r="D68" s="219" t="n"/>
      <c r="E68" s="266">
        <f>E67*0.13</f>
        <v/>
      </c>
      <c r="F68" s="147" t="inlineStr">
        <is>
          <t>计算依据：税率13%，费用=E67*0.13</t>
        </is>
      </c>
      <c r="G68" s="267" t="n"/>
      <c r="H68" s="267" t="n"/>
      <c r="I68" s="267" t="n"/>
      <c r="J68" s="267" t="n"/>
      <c r="K68" s="267" t="n"/>
      <c r="L68" s="267" t="n"/>
      <c r="M68" s="267" t="n"/>
      <c r="N68" s="267" t="n"/>
      <c r="O68" s="267" t="n"/>
      <c r="P68" s="219" t="n"/>
      <c r="Q68" s="280" t="n"/>
      <c r="R68" s="280" t="n"/>
      <c r="S68" s="280" t="n"/>
      <c r="T68" s="280" t="n"/>
      <c r="U68" s="281" t="n"/>
    </row>
    <row r="69" ht="24.95" customHeight="1" s="189">
      <c r="A69" s="207" t="n"/>
      <c r="B69" s="79" t="inlineStr">
        <is>
          <t>十六</t>
        </is>
      </c>
      <c r="C69" s="162" t="inlineStr">
        <is>
          <t>含税总价</t>
        </is>
      </c>
      <c r="D69" s="282" t="n"/>
      <c r="E69" s="283">
        <f>E67+E68</f>
        <v/>
      </c>
      <c r="F69" s="164" t="inlineStr">
        <is>
          <t>计算依据：=E67+E68各项的总和</t>
        </is>
      </c>
      <c r="G69" s="275" t="n"/>
      <c r="H69" s="275" t="n"/>
      <c r="I69" s="275" t="n"/>
      <c r="J69" s="275" t="n"/>
      <c r="K69" s="275" t="n"/>
      <c r="L69" s="275" t="n"/>
      <c r="M69" s="275" t="n"/>
      <c r="N69" s="275" t="n"/>
      <c r="O69" s="275" t="n"/>
      <c r="P69" s="282" t="n"/>
      <c r="Q69" s="284" t="n"/>
      <c r="R69" s="284" t="n"/>
      <c r="S69" s="284" t="n"/>
      <c r="T69" s="284" t="n"/>
      <c r="U69" s="285" t="n"/>
    </row>
  </sheetData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2025-11-10T15:53:00Z</dcterms:created>
  <dcterms:modified xmlns:dcterms="http://purl.org/dc/terms/" xmlns:xsi="http://www.w3.org/2001/XMLSchema-instance" xsi:type="dcterms:W3CDTF">2026-06-22T07:43:28Z</dcterms:modified>
  <cp:lastModifiedBy>Windows 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18702106EBE4428581D52A478BD53529_13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