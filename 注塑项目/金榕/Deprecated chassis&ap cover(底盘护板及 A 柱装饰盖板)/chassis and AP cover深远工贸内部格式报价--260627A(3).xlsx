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未报价 chassis&amp;ap cover(底盘护板及 A 柱装饰盖板)/"/>
    </mc:Choice>
  </mc:AlternateContent>
  <xr:revisionPtr revIDLastSave="0" documentId="13_ncr:1_{AFD38BE9-C88B-824D-8175-1905D38FC24F}" xr6:coauthVersionLast="47" xr6:coauthVersionMax="47" xr10:uidLastSave="{00000000-0000-0000-0000-000000000000}"/>
  <bookViews>
    <workbookView xWindow="800" yWindow="660" windowWidth="22920" windowHeight="12580" tabRatio="566" activeTab="1" xr2:uid="{00000000-000D-0000-FFFF-FFFF00000000}"/>
  </bookViews>
  <sheets>
    <sheet name="Sheet1" sheetId="1" r:id="rId1"/>
    <sheet name="Sheet1 (2)" sheetId="2" r:id="rId2"/>
  </sheets>
  <externalReferences>
    <externalReference r:id="rId3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2" l="1"/>
  <c r="AI4" i="2"/>
  <c r="AC7" i="2"/>
  <c r="AC4" i="2"/>
  <c r="BB5" i="1"/>
  <c r="BA5" i="1"/>
  <c r="AZ5" i="1"/>
  <c r="AY5" i="1"/>
  <c r="AX5" i="1"/>
  <c r="AW5" i="1"/>
  <c r="AV5" i="1"/>
  <c r="AU5" i="1"/>
  <c r="AT5" i="1"/>
  <c r="AS5" i="1"/>
  <c r="AQ5" i="1"/>
  <c r="AP5" i="1"/>
  <c r="AL5" i="1"/>
  <c r="AK5" i="1"/>
  <c r="AI5" i="1"/>
  <c r="AH5" i="1"/>
  <c r="AF5" i="1"/>
  <c r="AD5" i="1"/>
  <c r="AC5" i="1"/>
  <c r="AB5" i="1"/>
  <c r="AA5" i="1"/>
  <c r="Z5" i="1"/>
  <c r="V5" i="1"/>
  <c r="S5" i="1"/>
  <c r="M5" i="1"/>
  <c r="BB4" i="1"/>
  <c r="BA4" i="1"/>
  <c r="AZ4" i="1"/>
  <c r="AY4" i="1"/>
  <c r="AX4" i="1"/>
  <c r="AW4" i="1"/>
  <c r="AV4" i="1"/>
  <c r="AU4" i="1"/>
  <c r="AT4" i="1"/>
  <c r="AS4" i="1"/>
  <c r="AQ4" i="1"/>
  <c r="AP4" i="1"/>
  <c r="AL4" i="1"/>
  <c r="AK4" i="1"/>
  <c r="AI4" i="1"/>
  <c r="AH4" i="1"/>
  <c r="AF4" i="1"/>
  <c r="AD4" i="1"/>
  <c r="AC4" i="1"/>
  <c r="AB4" i="1"/>
  <c r="AA4" i="1"/>
  <c r="Z4" i="1"/>
  <c r="V4" i="1"/>
  <c r="S4" i="1"/>
  <c r="M4" i="1"/>
  <c r="BB9" i="2"/>
  <c r="BA9" i="2"/>
  <c r="AZ9" i="2"/>
  <c r="AY9" i="2"/>
  <c r="AX9" i="2"/>
  <c r="AW9" i="2"/>
  <c r="AV9" i="2"/>
  <c r="AU9" i="2"/>
  <c r="AT9" i="2"/>
  <c r="AS9" i="2"/>
  <c r="AQ9" i="2"/>
  <c r="AP9" i="2"/>
  <c r="AL9" i="2"/>
  <c r="AK9" i="2"/>
  <c r="AI9" i="2"/>
  <c r="AH9" i="2"/>
  <c r="AF9" i="2"/>
  <c r="AD9" i="2"/>
  <c r="AC9" i="2"/>
  <c r="AB9" i="2"/>
  <c r="AA9" i="2"/>
  <c r="Z9" i="2"/>
  <c r="V9" i="2"/>
  <c r="S9" i="2"/>
  <c r="M9" i="2"/>
  <c r="BB8" i="2"/>
  <c r="BA8" i="2"/>
  <c r="AZ8" i="2"/>
  <c r="AY8" i="2"/>
  <c r="AX8" i="2"/>
  <c r="AW8" i="2"/>
  <c r="AV8" i="2"/>
  <c r="AU8" i="2"/>
  <c r="AT8" i="2"/>
  <c r="AS8" i="2"/>
  <c r="AQ8" i="2"/>
  <c r="AP8" i="2"/>
  <c r="AL8" i="2"/>
  <c r="AK8" i="2"/>
  <c r="AI8" i="2"/>
  <c r="AH8" i="2"/>
  <c r="AF8" i="2"/>
  <c r="AD8" i="2"/>
  <c r="AC8" i="2"/>
  <c r="AB8" i="2"/>
  <c r="AA8" i="2"/>
  <c r="Z8" i="2"/>
  <c r="V8" i="2"/>
  <c r="S8" i="2"/>
  <c r="M8" i="2"/>
  <c r="BA5" i="2"/>
  <c r="AY5" i="2"/>
  <c r="AW5" i="2"/>
  <c r="AU5" i="2"/>
  <c r="AS5" i="2"/>
  <c r="AK5" i="2"/>
  <c r="AL5" i="2"/>
  <c r="AH5" i="2" s="1"/>
  <c r="AD5" i="2"/>
  <c r="AC5" i="2"/>
  <c r="AB5" i="2"/>
  <c r="AA5" i="2"/>
  <c r="Z5" i="2"/>
  <c r="V5" i="2"/>
  <c r="S5" i="2"/>
  <c r="M5" i="2"/>
  <c r="BA4" i="2"/>
  <c r="AY4" i="2"/>
  <c r="AW4" i="2"/>
  <c r="AU4" i="2"/>
  <c r="AS4" i="2"/>
  <c r="AK4" i="2"/>
  <c r="AL4" i="2"/>
  <c r="AD4" i="2"/>
  <c r="AB4" i="2"/>
  <c r="AA4" i="2"/>
  <c r="Z4" i="2"/>
  <c r="V4" i="2"/>
  <c r="S4" i="2"/>
  <c r="M4" i="2"/>
  <c r="AP5" i="2" l="1"/>
  <c r="AF5" i="2"/>
  <c r="AH4" i="2"/>
  <c r="AF4" i="2"/>
  <c r="AP4" i="2"/>
  <c r="AT5" i="2" l="1"/>
  <c r="AV5" i="2" s="1"/>
  <c r="AX5" i="2" s="1"/>
  <c r="AQ5" i="2"/>
  <c r="AT4" i="2"/>
  <c r="AV4" i="2" s="1"/>
  <c r="AX4" i="2" s="1"/>
  <c r="AQ4" i="2"/>
  <c r="BB5" i="2" l="1"/>
  <c r="AZ5" i="2"/>
  <c r="BB4" i="2"/>
  <c r="AZ4" i="2"/>
</calcChain>
</file>

<file path=xl/sharedStrings.xml><?xml version="1.0" encoding="utf-8"?>
<sst xmlns="http://schemas.openxmlformats.org/spreadsheetml/2006/main" count="158" uniqueCount="71">
  <si>
    <t>GEA新项目报价</t>
  </si>
  <si>
    <t>报价注意点：</t>
  </si>
  <si>
    <t>1、运输费按照100公里距离计算
2、包装按照周转箱计算。
3、料头重量按照0%回收比例计算（实际可回收），非外观件可针阀直接点在产品上。
4、产品克重统一根据数据体积*密度1.2计算。
5、原材料价格参考锦湖日丽，普利特类似材料价格
6、报价不含年降</t>
  </si>
  <si>
    <t>年降%</t>
  </si>
  <si>
    <t>年降
SOP+1</t>
  </si>
  <si>
    <t>年降
SOP+2</t>
  </si>
  <si>
    <t>年降
SOP+3</t>
  </si>
  <si>
    <t>年降
SOP+4</t>
  </si>
  <si>
    <t>年降
SOP+5</t>
  </si>
  <si>
    <t>NO</t>
  </si>
  <si>
    <t>车型</t>
  </si>
  <si>
    <t>零件号</t>
  </si>
  <si>
    <t>产品名称</t>
  </si>
  <si>
    <t>部品图片</t>
  </si>
  <si>
    <t>产品尺寸</t>
  </si>
  <si>
    <t>模穴数</t>
  </si>
  <si>
    <t>取数</t>
  </si>
  <si>
    <t>员数</t>
  </si>
  <si>
    <t>图纸&amp;BOM要求材料</t>
  </si>
  <si>
    <t>总量纲/W</t>
  </si>
  <si>
    <t>生命周期</t>
  </si>
  <si>
    <t>月批量</t>
  </si>
  <si>
    <t>制品重量（G）</t>
  </si>
  <si>
    <t>料头（G）</t>
  </si>
  <si>
    <t>再生率 （%）</t>
  </si>
  <si>
    <t>步留 （%）</t>
  </si>
  <si>
    <t>段取
(g)</t>
  </si>
  <si>
    <t>使用
重量  (g)</t>
  </si>
  <si>
    <t>材料单价 (RMB)</t>
  </si>
  <si>
    <t>不良损耗</t>
  </si>
  <si>
    <t>部品材料费RMB</t>
  </si>
  <si>
    <t>成形机（T）</t>
  </si>
  <si>
    <t>深远加工时间 (S)</t>
  </si>
  <si>
    <t>机台费率/分</t>
  </si>
  <si>
    <t>分钟机台费率
/60/机台效率90%（RMB/S）</t>
  </si>
  <si>
    <t>加工费 (RMB)</t>
  </si>
  <si>
    <t>材料管理费用</t>
  </si>
  <si>
    <t>加工管理费（RMB）</t>
  </si>
  <si>
    <t>运输  (RMB)
8%</t>
  </si>
  <si>
    <t>包装（RMB）
12%</t>
  </si>
  <si>
    <t>利润                      （RMB）</t>
  </si>
  <si>
    <t>模具费</t>
  </si>
  <si>
    <t>模具实验分摊费(52.5万套)</t>
  </si>
  <si>
    <t xml:space="preserve">总计价格
/RMB未税
</t>
  </si>
  <si>
    <t>返利BL:</t>
  </si>
  <si>
    <t>LTA年降%</t>
  </si>
  <si>
    <t>年降期限</t>
  </si>
  <si>
    <t>总计价格
/RMB未税
含LTA/BL</t>
  </si>
  <si>
    <t>原材料占比</t>
  </si>
  <si>
    <t>年降金额</t>
  </si>
  <si>
    <t>模具总费用(RMB)不含税</t>
  </si>
  <si>
    <t>实验费用
(RMB)不含税</t>
  </si>
  <si>
    <t>检具</t>
  </si>
  <si>
    <t>工装</t>
  </si>
  <si>
    <t>检具+工装费用 (RMB)
不含税</t>
  </si>
  <si>
    <t>分摊数</t>
  </si>
  <si>
    <t>分摊年限</t>
  </si>
  <si>
    <t>分摊费/RMB</t>
  </si>
  <si>
    <t>月产值</t>
  </si>
  <si>
    <t>总产值</t>
  </si>
  <si>
    <t>2243988-00</t>
  </si>
  <si>
    <t>CHASSIS</t>
  </si>
  <si>
    <t>286X253X82mm</t>
  </si>
  <si>
    <t>380T</t>
  </si>
  <si>
    <t>2248923-00</t>
  </si>
  <si>
    <t>AP COVER</t>
  </si>
  <si>
    <t>287X253X17mm</t>
  </si>
  <si>
    <t>250T</t>
  </si>
  <si>
    <t>生命周期一共一个月</t>
  </si>
  <si>
    <t>段取应该根据机台大小定，此处未修改</t>
  </si>
  <si>
    <t>我提高到了10%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</si>
</sst>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(* #,##0.00_);_(* \(#,##0.00\);_(* &quot;-&quot;??_);_(@_)"/>
    <numFmt numFmtId="166" formatCode="_ * #,##0.00_ ;_ * \-#,##0.00_ ;_ * &quot;-&quot;??_ ;_ @_ "/>
    <numFmt numFmtId="168" formatCode="_-* #,##0.00\ [$€-1]_-;\-* #,##0.00\ [$€-1]_-;_-* &quot;-&quot;??\ [$€-1]_-"/>
    <numFmt numFmtId="169" formatCode="0.00_ "/>
    <numFmt numFmtId="170" formatCode="\¥#,##0.00_);[Red]\(\¥#,##0.00\)"/>
    <numFmt numFmtId="171" formatCode="\¥#,##0_);[Red]\(\¥#,##0\)"/>
    <numFmt numFmtId="172" formatCode="0.0000_ "/>
    <numFmt numFmtId="173" formatCode="0.00_);[Red]\(0.00\)"/>
    <numFmt numFmtId="174" formatCode="_ * #,##0.0000_ ;_ * \-#,##0.0000_ ;_ * &quot;-&quot;??.00_ ;_ @_ "/>
    <numFmt numFmtId="175" formatCode="#,##0_ "/>
    <numFmt numFmtId="176" formatCode="#,##0.00_ "/>
    <numFmt numFmtId="177" formatCode="#,##0.000_ "/>
    <numFmt numFmtId="178" formatCode="#,##0.0000_);[Red]\(#,##0.0000\)"/>
    <numFmt numFmtId="179" formatCode="0.0%"/>
    <numFmt numFmtId="180" formatCode="#,##0.000_);[Red]\(#,##0.000\)"/>
    <numFmt numFmtId="181" formatCode="_ * #,##0.0000_ ;_ * \-#,##0.0000_ ;_ * &quot;-&quot;??.0000_ ;_ @_ "/>
    <numFmt numFmtId="182" formatCode="_ * #,##0_ ;_ * \-#,##0_ ;_ * &quot;-&quot;??_ ;_ @_ "/>
    <numFmt numFmtId="185" formatCode="#,##0.00000000000000"/>
  </numFmts>
  <fonts count="21">
    <font>
      <sz val="11"/>
      <color indexed="8"/>
      <name val="宋体"/>
      <charset val="134"/>
    </font>
    <font>
      <sz val="18"/>
      <color indexed="8"/>
      <name val="微软雅黑"/>
      <charset val="134"/>
    </font>
    <font>
      <b/>
      <sz val="11"/>
      <color indexed="8"/>
      <name val="微软雅黑"/>
      <charset val="134"/>
    </font>
    <font>
      <sz val="18"/>
      <name val="微软雅黑"/>
      <charset val="134"/>
    </font>
    <font>
      <b/>
      <sz val="18"/>
      <name val="微软雅黑"/>
      <charset val="134"/>
    </font>
    <font>
      <b/>
      <sz val="18"/>
      <color rgb="FFC00000"/>
      <name val="微软雅黑"/>
      <charset val="134"/>
    </font>
    <font>
      <b/>
      <sz val="14"/>
      <color rgb="FFC00000"/>
      <name val="微软雅黑"/>
      <charset val="134"/>
    </font>
    <font>
      <sz val="18"/>
      <color rgb="FF0070C0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0"/>
      <color indexed="8"/>
      <name val="Calibri"/>
      <charset val="134"/>
    </font>
    <font>
      <sz val="11"/>
      <color indexed="8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14"/>
      <name val="System"/>
      <charset val="134"/>
    </font>
    <font>
      <sz val="11"/>
      <name val="ＭＳ Ｐゴシック"/>
      <charset val="128"/>
    </font>
    <font>
      <sz val="11"/>
      <color indexed="8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>
      <alignment vertical="center"/>
    </xf>
    <xf numFmtId="9" fontId="20" fillId="0" borderId="0">
      <alignment vertical="center"/>
    </xf>
    <xf numFmtId="43" fontId="16" fillId="0" borderId="0"/>
    <xf numFmtId="168" fontId="16" fillId="0" borderId="0"/>
    <xf numFmtId="0" fontId="17" fillId="0" borderId="0"/>
    <xf numFmtId="0" fontId="17" fillId="0" borderId="0"/>
    <xf numFmtId="168" fontId="16" fillId="0" borderId="0"/>
    <xf numFmtId="0" fontId="15" fillId="0" borderId="0">
      <alignment vertical="center"/>
    </xf>
    <xf numFmtId="0" fontId="18" fillId="0" borderId="0"/>
    <xf numFmtId="0" fontId="17" fillId="0" borderId="0">
      <alignment vertical="center"/>
    </xf>
    <xf numFmtId="0" fontId="16" fillId="0" borderId="0"/>
    <xf numFmtId="0" fontId="19" fillId="0" borderId="0"/>
    <xf numFmtId="0" fontId="16" fillId="0" borderId="0"/>
  </cellStyleXfs>
  <cellXfs count="90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3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top" wrapText="1"/>
      <protection locked="0"/>
    </xf>
    <xf numFmtId="169" fontId="4" fillId="0" borderId="0" xfId="0" applyNumberFormat="1" applyFont="1" applyAlignment="1" applyProtection="1">
      <alignment horizontal="center" vertical="center"/>
      <protection locked="0"/>
    </xf>
    <xf numFmtId="170" fontId="4" fillId="0" borderId="0" xfId="0" applyNumberFormat="1" applyFont="1" applyAlignment="1" applyProtection="1">
      <alignment horizontal="center" vertical="center"/>
      <protection locked="0"/>
    </xf>
    <xf numFmtId="170" fontId="3" fillId="0" borderId="0" xfId="0" applyNumberFormat="1" applyFont="1" applyProtection="1">
      <alignment vertical="center"/>
      <protection locked="0"/>
    </xf>
    <xf numFmtId="171" fontId="3" fillId="0" borderId="0" xfId="0" applyNumberFormat="1" applyFont="1" applyAlignment="1" applyProtection="1">
      <alignment horizontal="left" vertical="center"/>
      <protection locked="0"/>
    </xf>
    <xf numFmtId="171" fontId="3" fillId="0" borderId="0" xfId="0" applyNumberFormat="1" applyFont="1" applyProtection="1">
      <alignment vertical="center"/>
      <protection locked="0"/>
    </xf>
    <xf numFmtId="0" fontId="4" fillId="0" borderId="0" xfId="11" applyFont="1" applyAlignment="1">
      <alignment horizontal="left" vertical="center"/>
    </xf>
    <xf numFmtId="0" fontId="3" fillId="0" borderId="0" xfId="0" applyFont="1">
      <alignment vertical="center"/>
    </xf>
    <xf numFmtId="0" fontId="7" fillId="2" borderId="0" xfId="0" applyFont="1" applyFill="1" applyAlignment="1">
      <alignment vertical="center" wrapText="1"/>
    </xf>
    <xf numFmtId="16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2" fontId="4" fillId="0" borderId="0" xfId="0" applyNumberFormat="1" applyFont="1" applyProtection="1">
      <alignment vertical="center"/>
      <protection locked="0"/>
    </xf>
    <xf numFmtId="170" fontId="3" fillId="0" borderId="0" xfId="0" applyNumberFormat="1" applyFont="1" applyAlignment="1" applyProtection="1">
      <alignment horizontal="center" vertical="center"/>
      <protection locked="0"/>
    </xf>
    <xf numFmtId="170" fontId="3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left" vertical="center"/>
    </xf>
    <xf numFmtId="171" fontId="3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9" applyFont="1" applyFill="1" applyBorder="1" applyAlignment="1">
      <alignment horizontal="center" vertical="center" wrapText="1"/>
    </xf>
    <xf numFmtId="169" fontId="8" fillId="3" borderId="1" xfId="9" applyNumberFormat="1" applyFont="1" applyFill="1" applyBorder="1" applyAlignment="1">
      <alignment horizontal="center" vertical="center" wrapText="1"/>
    </xf>
    <xf numFmtId="170" fontId="8" fillId="3" borderId="1" xfId="9" applyNumberFormat="1" applyFont="1" applyFill="1" applyBorder="1" applyAlignment="1">
      <alignment horizontal="center" vertical="center" wrapText="1"/>
    </xf>
    <xf numFmtId="170" fontId="8" fillId="2" borderId="1" xfId="9" applyNumberFormat="1" applyFont="1" applyFill="1" applyBorder="1" applyAlignment="1">
      <alignment horizontal="center" vertical="center" wrapText="1"/>
    </xf>
    <xf numFmtId="170" fontId="8" fillId="4" borderId="1" xfId="9" applyNumberFormat="1" applyFont="1" applyFill="1" applyBorder="1" applyAlignment="1">
      <alignment horizontal="center" vertical="center" wrapText="1"/>
    </xf>
    <xf numFmtId="170" fontId="9" fillId="0" borderId="0" xfId="0" applyNumberFormat="1" applyFont="1" applyAlignment="1" applyProtection="1">
      <protection locked="0"/>
    </xf>
    <xf numFmtId="9" fontId="10" fillId="3" borderId="1" xfId="1" applyFont="1" applyFill="1" applyBorder="1" applyAlignment="1" applyProtection="1">
      <alignment horizontal="center" vertical="center"/>
      <protection locked="0"/>
    </xf>
    <xf numFmtId="171" fontId="8" fillId="3" borderId="1" xfId="0" applyNumberFormat="1" applyFont="1" applyFill="1" applyBorder="1" applyAlignment="1">
      <alignment horizontal="center" vertical="center" wrapText="1"/>
    </xf>
    <xf numFmtId="170" fontId="8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1" fillId="5" borderId="1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5" applyFont="1" applyBorder="1" applyAlignment="1">
      <alignment horizontal="left" vertical="center" wrapText="1"/>
    </xf>
    <xf numFmtId="0" fontId="9" fillId="0" borderId="1" xfId="5" applyFont="1" applyBorder="1" applyAlignment="1">
      <alignment horizontal="center" vertical="center" wrapText="1"/>
    </xf>
    <xf numFmtId="2" fontId="13" fillId="0" borderId="1" xfId="0" applyNumberFormat="1" applyFont="1" applyBorder="1" applyAlignment="1" applyProtection="1">
      <alignment horizontal="center" vertical="center" wrapText="1"/>
      <protection locked="0"/>
    </xf>
    <xf numFmtId="0" fontId="14" fillId="0" borderId="1" xfId="10" applyFont="1" applyBorder="1" applyAlignment="1">
      <alignment horizontal="center" vertical="center" wrapText="1"/>
    </xf>
    <xf numFmtId="10" fontId="9" fillId="0" borderId="1" xfId="10" applyNumberFormat="1" applyFont="1" applyBorder="1" applyAlignment="1" applyProtection="1">
      <alignment horizontal="center" vertical="center" wrapText="1"/>
      <protection locked="0"/>
    </xf>
    <xf numFmtId="10" fontId="9" fillId="0" borderId="1" xfId="10" applyNumberFormat="1" applyFont="1" applyBorder="1" applyAlignment="1">
      <alignment vertical="center" wrapText="1"/>
    </xf>
    <xf numFmtId="0" fontId="9" fillId="2" borderId="1" xfId="12" applyFont="1" applyFill="1" applyBorder="1" applyAlignment="1">
      <alignment horizontal="center" vertical="center"/>
    </xf>
    <xf numFmtId="173" fontId="10" fillId="0" borderId="1" xfId="9" applyNumberFormat="1" applyFont="1" applyBorder="1" applyAlignment="1">
      <alignment horizontal="center" vertical="center"/>
    </xf>
    <xf numFmtId="9" fontId="9" fillId="5" borderId="1" xfId="1" applyFont="1" applyFill="1" applyBorder="1" applyAlignment="1">
      <alignment horizontal="center" vertical="center"/>
    </xf>
    <xf numFmtId="174" fontId="9" fillId="0" borderId="1" xfId="9" applyNumberFormat="1" applyFont="1" applyBorder="1" applyAlignment="1">
      <alignment horizontal="right" vertical="center"/>
    </xf>
    <xf numFmtId="175" fontId="11" fillId="2" borderId="1" xfId="0" applyNumberFormat="1" applyFont="1" applyFill="1" applyBorder="1" applyAlignment="1">
      <alignment horizontal="right" vertical="center"/>
    </xf>
    <xf numFmtId="175" fontId="9" fillId="5" borderId="1" xfId="0" applyNumberFormat="1" applyFont="1" applyFill="1" applyBorder="1" applyAlignment="1">
      <alignment horizontal="right" vertical="center"/>
    </xf>
    <xf numFmtId="176" fontId="9" fillId="2" borderId="1" xfId="0" applyNumberFormat="1" applyFont="1" applyFill="1" applyBorder="1" applyAlignment="1">
      <alignment horizontal="right" vertical="center"/>
    </xf>
    <xf numFmtId="177" fontId="9" fillId="0" borderId="1" xfId="9" applyNumberFormat="1" applyFont="1" applyBorder="1" applyAlignment="1">
      <alignment horizontal="right" vertical="center"/>
    </xf>
    <xf numFmtId="9" fontId="9" fillId="5" borderId="1" xfId="1" applyFont="1" applyFill="1" applyBorder="1" applyAlignment="1">
      <alignment horizontal="right" vertical="center"/>
    </xf>
    <xf numFmtId="177" fontId="9" fillId="5" borderId="1" xfId="9" applyNumberFormat="1" applyFont="1" applyFill="1" applyBorder="1" applyAlignment="1">
      <alignment horizontal="right" vertical="center"/>
    </xf>
    <xf numFmtId="177" fontId="9" fillId="2" borderId="1" xfId="9" applyNumberFormat="1" applyFont="1" applyFill="1" applyBorder="1" applyAlignment="1">
      <alignment horizontal="right" vertical="center"/>
    </xf>
    <xf numFmtId="9" fontId="9" fillId="0" borderId="1" xfId="1" applyFont="1" applyBorder="1" applyAlignment="1">
      <alignment horizontal="right" vertical="center"/>
    </xf>
    <xf numFmtId="175" fontId="9" fillId="0" borderId="1" xfId="9" applyNumberFormat="1" applyFont="1" applyBorder="1" applyAlignment="1">
      <alignment horizontal="right" vertical="center"/>
    </xf>
    <xf numFmtId="178" fontId="9" fillId="0" borderId="1" xfId="9" applyNumberFormat="1" applyFont="1" applyBorder="1" applyAlignment="1">
      <alignment horizontal="right" vertical="center"/>
    </xf>
    <xf numFmtId="179" fontId="9" fillId="0" borderId="1" xfId="1" applyNumberFormat="1" applyFont="1" applyBorder="1" applyAlignment="1">
      <alignment horizontal="right" vertical="center"/>
    </xf>
    <xf numFmtId="0" fontId="9" fillId="0" borderId="1" xfId="9" applyFont="1" applyBorder="1" applyAlignment="1">
      <alignment horizontal="center" vertical="center"/>
    </xf>
    <xf numFmtId="180" fontId="9" fillId="0" borderId="1" xfId="9" applyNumberFormat="1" applyFont="1" applyBorder="1" applyAlignment="1">
      <alignment horizontal="right" vertical="center"/>
    </xf>
    <xf numFmtId="9" fontId="10" fillId="0" borderId="1" xfId="1" applyFont="1" applyBorder="1" applyAlignment="1">
      <alignment horizontal="right" vertical="center"/>
    </xf>
    <xf numFmtId="9" fontId="9" fillId="0" borderId="1" xfId="1" applyFont="1" applyBorder="1" applyAlignment="1"/>
    <xf numFmtId="181" fontId="9" fillId="0" borderId="1" xfId="12" applyNumberFormat="1" applyFont="1" applyBorder="1" applyAlignment="1">
      <alignment horizontal="center" vertical="center"/>
    </xf>
    <xf numFmtId="9" fontId="13" fillId="0" borderId="1" xfId="1" applyFont="1" applyBorder="1" applyAlignment="1">
      <alignment horizontal="right" vertical="center" wrapText="1"/>
    </xf>
    <xf numFmtId="182" fontId="9" fillId="0" borderId="1" xfId="0" applyNumberFormat="1" applyFont="1" applyBorder="1" applyAlignment="1">
      <alignment horizontal="center" vertical="center"/>
    </xf>
    <xf numFmtId="171" fontId="9" fillId="0" borderId="1" xfId="0" applyNumberFormat="1" applyFont="1" applyBorder="1" applyAlignment="1">
      <alignment horizontal="center" vertical="center"/>
    </xf>
    <xf numFmtId="182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82" fontId="9" fillId="0" borderId="1" xfId="12" applyNumberFormat="1" applyFont="1" applyBorder="1" applyAlignment="1">
      <alignment horizontal="center" vertical="center"/>
    </xf>
    <xf numFmtId="175" fontId="11" fillId="5" borderId="1" xfId="0" applyNumberFormat="1" applyFont="1" applyFill="1" applyBorder="1" applyAlignment="1">
      <alignment horizontal="right" vertical="center"/>
    </xf>
    <xf numFmtId="176" fontId="9" fillId="5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9" fillId="0" borderId="1" xfId="10" applyFont="1" applyBorder="1" applyAlignment="1">
      <alignment horizontal="center" vertical="center" wrapText="1"/>
    </xf>
    <xf numFmtId="9" fontId="9" fillId="2" borderId="1" xfId="1" applyFont="1" applyFill="1" applyBorder="1" applyAlignment="1">
      <alignment horizontal="center" vertical="center"/>
    </xf>
    <xf numFmtId="175" fontId="9" fillId="2" borderId="1" xfId="0" applyNumberFormat="1" applyFont="1" applyFill="1" applyBorder="1" applyAlignment="1">
      <alignment horizontal="right" vertical="center"/>
    </xf>
    <xf numFmtId="170" fontId="3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170" fontId="4" fillId="3" borderId="1" xfId="9" applyNumberFormat="1" applyFont="1" applyFill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protection locked="0"/>
    </xf>
    <xf numFmtId="176" fontId="9" fillId="2" borderId="1" xfId="9" applyNumberFormat="1" applyFont="1" applyFill="1" applyBorder="1" applyAlignment="1">
      <alignment horizontal="right" vertical="center"/>
    </xf>
    <xf numFmtId="176" fontId="9" fillId="0" borderId="1" xfId="9" applyNumberFormat="1" applyFont="1" applyBorder="1" applyAlignment="1">
      <alignment horizontal="right" vertical="center"/>
    </xf>
    <xf numFmtId="177" fontId="9" fillId="0" borderId="1" xfId="1" applyNumberFormat="1" applyFont="1" applyBorder="1" applyAlignment="1">
      <alignment horizontal="right" vertical="center"/>
    </xf>
    <xf numFmtId="10" fontId="9" fillId="0" borderId="1" xfId="1" applyNumberFormat="1" applyFont="1" applyBorder="1" applyAlignment="1">
      <alignment horizontal="right" vertical="center"/>
    </xf>
    <xf numFmtId="185" fontId="0" fillId="0" borderId="0" xfId="0" applyNumberFormat="1">
      <alignment vertical="center"/>
    </xf>
  </cellXfs>
  <cellStyles count="13">
    <cellStyle name="Comma 2 10" xfId="2" xr:uid="{00000000-0005-0000-0000-000031000000}"/>
    <cellStyle name="Normal" xfId="0" builtinId="0"/>
    <cellStyle name="Normal 2 2" xfId="3" xr:uid="{00000000-0005-0000-0000-000032000000}"/>
    <cellStyle name="Normal 2 2 2" xfId="4" xr:uid="{00000000-0005-0000-0000-000033000000}"/>
    <cellStyle name="Normal 2 2 2 2" xfId="5" xr:uid="{00000000-0005-0000-0000-000034000000}"/>
    <cellStyle name="Normal 3" xfId="6" xr:uid="{00000000-0005-0000-0000-000035000000}"/>
    <cellStyle name="Percent" xfId="1" builtinId="5"/>
    <cellStyle name="常规 4 2" xfId="7" xr:uid="{00000000-0005-0000-0000-000036000000}"/>
    <cellStyle name="常规_ (2)" xfId="8" xr:uid="{00000000-0005-0000-0000-000037000000}"/>
    <cellStyle name="常规_030821XEROX确认" xfId="9" xr:uid="{00000000-0005-0000-0000-000038000000}"/>
    <cellStyle name="常规_IEM外协" xfId="10" xr:uid="{00000000-0005-0000-0000-000039000000}"/>
    <cellStyle name="常规_Sheet1" xfId="11" xr:uid="{00000000-0005-0000-0000-00003A000000}"/>
    <cellStyle name="样式 1" xfId="12" xr:uid="{00000000-0005-0000-0000-00003B000000}"/>
  </cellStyles>
  <dxfs count="20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1"/>
  <sheetViews>
    <sheetView workbookViewId="0">
      <selection activeCell="A4" sqref="A4:XFD5"/>
    </sheetView>
  </sheetViews>
  <sheetFormatPr baseColWidth="10" defaultColWidth="9" defaultRowHeight="14"/>
  <cols>
    <col min="1" max="1" width="6.33203125" style="4" customWidth="1"/>
    <col min="2" max="2" width="7.5" style="4" customWidth="1"/>
    <col min="4" max="4" width="14" style="4" customWidth="1"/>
    <col min="5" max="5" width="10.6640625" style="4" customWidth="1"/>
    <col min="6" max="6" width="12.1640625" style="4" customWidth="1"/>
    <col min="18" max="18" width="13.83203125" customWidth="1"/>
    <col min="26" max="26" width="11.33203125" style="4" customWidth="1"/>
    <col min="27" max="27" width="8" style="4" customWidth="1"/>
    <col min="32" max="32" width="7.5" style="4" customWidth="1"/>
  </cols>
  <sheetData>
    <row r="1" spans="1:64" s="1" customFormat="1" ht="19" customHeight="1">
      <c r="A1" s="5"/>
      <c r="B1" s="5" t="s">
        <v>0</v>
      </c>
      <c r="C1" s="6"/>
      <c r="D1" s="7" t="s">
        <v>1</v>
      </c>
      <c r="E1" s="83" t="s">
        <v>2</v>
      </c>
      <c r="F1" s="84"/>
      <c r="G1" s="84"/>
      <c r="H1" s="84"/>
      <c r="I1" s="84"/>
      <c r="J1" s="84"/>
      <c r="K1" s="6"/>
      <c r="L1" s="6"/>
      <c r="M1" s="6"/>
      <c r="N1" s="8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9"/>
      <c r="AA1" s="6"/>
      <c r="AB1" s="9"/>
      <c r="AC1" s="6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10"/>
      <c r="AR1" s="10"/>
      <c r="AS1" s="10"/>
      <c r="AT1" s="10"/>
      <c r="AU1" s="10"/>
      <c r="AV1" s="10"/>
      <c r="AW1" s="10"/>
      <c r="AX1" s="10"/>
      <c r="AY1" s="10"/>
      <c r="AZ1" s="9"/>
      <c r="BA1" s="9"/>
      <c r="BB1" s="9"/>
      <c r="BC1" s="11"/>
      <c r="BD1" s="12"/>
      <c r="BE1" s="12"/>
      <c r="BF1" s="12"/>
      <c r="BG1" s="12"/>
      <c r="BH1" s="12"/>
      <c r="BI1" s="12"/>
      <c r="BJ1" s="12"/>
      <c r="BK1" s="10"/>
    </row>
    <row r="2" spans="1:64" s="2" customFormat="1" ht="44" customHeight="1">
      <c r="B2" s="13"/>
      <c r="C2" s="14"/>
      <c r="D2" s="15"/>
      <c r="E2" s="84"/>
      <c r="F2" s="84"/>
      <c r="G2" s="84"/>
      <c r="H2" s="84"/>
      <c r="I2" s="84"/>
      <c r="J2" s="84"/>
      <c r="K2" s="6"/>
      <c r="L2" s="6"/>
      <c r="M2" s="6"/>
      <c r="N2" s="16"/>
      <c r="O2" s="14"/>
      <c r="P2" s="14"/>
      <c r="Q2" s="14"/>
      <c r="R2" s="14"/>
      <c r="S2" s="17"/>
      <c r="T2" s="17"/>
      <c r="U2" s="14"/>
      <c r="V2" s="14"/>
      <c r="W2" s="14"/>
      <c r="X2" s="18"/>
      <c r="Y2" s="18"/>
      <c r="Z2" s="19"/>
      <c r="AA2" s="17"/>
      <c r="AB2" s="20"/>
      <c r="AC2" s="17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80" t="s">
        <v>3</v>
      </c>
      <c r="AO2" s="81"/>
      <c r="AP2" s="20"/>
      <c r="AQ2" s="20"/>
      <c r="AR2" s="10"/>
      <c r="AS2" s="82" t="s">
        <v>4</v>
      </c>
      <c r="AT2" s="81"/>
      <c r="AU2" s="82" t="s">
        <v>5</v>
      </c>
      <c r="AV2" s="81"/>
      <c r="AW2" s="82" t="s">
        <v>6</v>
      </c>
      <c r="AX2" s="81"/>
      <c r="AY2" s="82" t="s">
        <v>7</v>
      </c>
      <c r="AZ2" s="81"/>
      <c r="BA2" s="82" t="s">
        <v>8</v>
      </c>
      <c r="BB2" s="81"/>
      <c r="BC2" s="21"/>
      <c r="BD2" s="22"/>
      <c r="BE2" s="22"/>
      <c r="BF2" s="22"/>
      <c r="BG2" s="22"/>
      <c r="BH2" s="22"/>
      <c r="BI2" s="22"/>
      <c r="BJ2" s="22"/>
      <c r="BK2" s="20"/>
    </row>
    <row r="3" spans="1:64" s="3" customFormat="1" ht="73.25" customHeight="1">
      <c r="A3" s="23" t="s">
        <v>9</v>
      </c>
      <c r="B3" s="23" t="s">
        <v>10</v>
      </c>
      <c r="C3" s="23" t="s">
        <v>11</v>
      </c>
      <c r="D3" s="23" t="s">
        <v>12</v>
      </c>
      <c r="E3" s="23" t="s">
        <v>13</v>
      </c>
      <c r="F3" s="23" t="s">
        <v>14</v>
      </c>
      <c r="G3" s="23" t="s">
        <v>15</v>
      </c>
      <c r="H3" s="24" t="s">
        <v>16</v>
      </c>
      <c r="I3" s="24" t="s">
        <v>17</v>
      </c>
      <c r="J3" s="24" t="s">
        <v>18</v>
      </c>
      <c r="K3" s="24" t="s">
        <v>19</v>
      </c>
      <c r="L3" s="24" t="s">
        <v>20</v>
      </c>
      <c r="M3" s="24" t="s">
        <v>21</v>
      </c>
      <c r="N3" s="25" t="s">
        <v>22</v>
      </c>
      <c r="O3" s="24" t="s">
        <v>23</v>
      </c>
      <c r="P3" s="24" t="s">
        <v>24</v>
      </c>
      <c r="Q3" s="24" t="s">
        <v>25</v>
      </c>
      <c r="R3" s="24" t="s">
        <v>26</v>
      </c>
      <c r="S3" s="24" t="s">
        <v>27</v>
      </c>
      <c r="T3" s="24" t="s">
        <v>28</v>
      </c>
      <c r="U3" s="24" t="s">
        <v>29</v>
      </c>
      <c r="V3" s="24" t="s">
        <v>30</v>
      </c>
      <c r="W3" s="24" t="s">
        <v>31</v>
      </c>
      <c r="X3" s="24" t="s">
        <v>32</v>
      </c>
      <c r="Y3" s="24" t="s">
        <v>33</v>
      </c>
      <c r="Z3" s="26" t="s">
        <v>34</v>
      </c>
      <c r="AA3" s="24" t="s">
        <v>29</v>
      </c>
      <c r="AB3" s="26" t="s">
        <v>35</v>
      </c>
      <c r="AC3" s="24" t="s">
        <v>36</v>
      </c>
      <c r="AD3" s="26" t="s">
        <v>37</v>
      </c>
      <c r="AE3" s="26" t="s">
        <v>38</v>
      </c>
      <c r="AF3" s="26"/>
      <c r="AG3" s="26" t="s">
        <v>39</v>
      </c>
      <c r="AH3" s="26"/>
      <c r="AI3" s="26" t="s">
        <v>40</v>
      </c>
      <c r="AJ3" s="26" t="s">
        <v>41</v>
      </c>
      <c r="AK3" s="26" t="s">
        <v>42</v>
      </c>
      <c r="AL3" s="26" t="s">
        <v>43</v>
      </c>
      <c r="AM3" s="27" t="s">
        <v>44</v>
      </c>
      <c r="AN3" s="27" t="s">
        <v>45</v>
      </c>
      <c r="AO3" s="27" t="s">
        <v>46</v>
      </c>
      <c r="AP3" s="28" t="s">
        <v>47</v>
      </c>
      <c r="AQ3" s="26" t="s">
        <v>48</v>
      </c>
      <c r="AR3" s="29"/>
      <c r="AS3" s="30"/>
      <c r="AT3" s="26" t="s">
        <v>49</v>
      </c>
      <c r="AU3" s="30"/>
      <c r="AV3" s="26" t="s">
        <v>49</v>
      </c>
      <c r="AW3" s="30"/>
      <c r="AX3" s="26" t="s">
        <v>49</v>
      </c>
      <c r="AY3" s="30"/>
      <c r="AZ3" s="26" t="s">
        <v>49</v>
      </c>
      <c r="BA3" s="30"/>
      <c r="BB3" s="26" t="s">
        <v>49</v>
      </c>
      <c r="BC3" s="31" t="s">
        <v>50</v>
      </c>
      <c r="BD3" s="31" t="s">
        <v>51</v>
      </c>
      <c r="BE3" s="31" t="s">
        <v>52</v>
      </c>
      <c r="BF3" s="31" t="s">
        <v>53</v>
      </c>
      <c r="BG3" s="31" t="s">
        <v>54</v>
      </c>
      <c r="BH3" s="31" t="s">
        <v>55</v>
      </c>
      <c r="BI3" s="31" t="s">
        <v>56</v>
      </c>
      <c r="BJ3" s="31" t="s">
        <v>57</v>
      </c>
      <c r="BK3" s="32" t="s">
        <v>58</v>
      </c>
      <c r="BL3" s="33" t="s">
        <v>59</v>
      </c>
    </row>
    <row r="4" spans="1:64" s="3" customFormat="1" ht="66" customHeight="1">
      <c r="A4" s="76">
        <v>1</v>
      </c>
      <c r="B4" s="35"/>
      <c r="C4" s="35" t="s">
        <v>60</v>
      </c>
      <c r="D4" s="36" t="s">
        <v>61</v>
      </c>
      <c r="E4" s="37"/>
      <c r="F4" s="38" t="s">
        <v>62</v>
      </c>
      <c r="G4" s="39"/>
      <c r="H4" s="40">
        <v>1</v>
      </c>
      <c r="I4" s="41"/>
      <c r="J4" s="42"/>
      <c r="K4" s="43">
        <v>0.2</v>
      </c>
      <c r="L4" s="44">
        <v>8.3333333333333301E-2</v>
      </c>
      <c r="M4" s="77">
        <f>ROUND(K4/L4/12*10000,-2)</f>
        <v>2000</v>
      </c>
      <c r="N4" s="43">
        <v>320</v>
      </c>
      <c r="O4" s="41">
        <v>10</v>
      </c>
      <c r="P4" s="46">
        <v>0</v>
      </c>
      <c r="Q4" s="47"/>
      <c r="R4" s="48">
        <v>6000</v>
      </c>
      <c r="S4" s="49">
        <f>(N4+O4*(1-P4)/H4)*(1+Q4)+R4/M4</f>
        <v>333</v>
      </c>
      <c r="T4" s="41">
        <v>25</v>
      </c>
      <c r="U4" s="78">
        <v>0.1</v>
      </c>
      <c r="V4" s="51">
        <f>(S4*T4/1000)*(1+U4)</f>
        <v>9.1575000000000006</v>
      </c>
      <c r="W4" s="52" t="s">
        <v>63</v>
      </c>
      <c r="X4" s="79">
        <v>40</v>
      </c>
      <c r="Y4" s="54">
        <v>2.9</v>
      </c>
      <c r="Z4" s="55">
        <f>Y4/60/0.9</f>
        <v>5.3703703703703698E-2</v>
      </c>
      <c r="AA4" s="59">
        <f>U4</f>
        <v>0.1</v>
      </c>
      <c r="AB4" s="55">
        <f>(Z4*X4/H4)*(1+AA4)</f>
        <v>2.36296296296296</v>
      </c>
      <c r="AC4" s="55">
        <f>V4*0.03</f>
        <v>0.274725</v>
      </c>
      <c r="AD4" s="55">
        <f>(AB4)*0.08</f>
        <v>0.189037037037037</v>
      </c>
      <c r="AE4" s="58">
        <v>1.32</v>
      </c>
      <c r="AF4" s="59">
        <f>AE4/$AL4</f>
        <v>7.9966254240710397E-2</v>
      </c>
      <c r="AG4" s="58">
        <v>1.98</v>
      </c>
      <c r="AH4" s="59">
        <f>AG4/$AL4</f>
        <v>0.119949381361066</v>
      </c>
      <c r="AI4" s="55">
        <f>(AB4+AC4+AD4+AE4+AG4+V4)*8%</f>
        <v>1.2227380000000001</v>
      </c>
      <c r="AJ4" s="60"/>
      <c r="AK4" s="55">
        <f>AJ4/525000</f>
        <v>0</v>
      </c>
      <c r="AL4" s="61">
        <f>SUM($V4+$AB4+$AC4+$AD4+$AE4+$AG4+$AI4+$AK4)</f>
        <v>16.506962999999999</v>
      </c>
      <c r="AM4" s="62"/>
      <c r="AN4" s="59"/>
      <c r="AO4" s="63"/>
      <c r="AP4" s="64">
        <f>PRODUCT($AL4,1/(1-AM4),1/(1-$AS4),1/(1-$AU4),1/(1-$AW4),1/(1-$AY4),1/(1-$BA4))</f>
        <v>16.506962999999999</v>
      </c>
      <c r="AQ4" s="65">
        <f>V4/AP4</f>
        <v>0.55476588879492805</v>
      </c>
      <c r="AR4" s="29"/>
      <c r="AS4" s="66">
        <f>$AS$3</f>
        <v>0</v>
      </c>
      <c r="AT4" s="67">
        <f>AP4*(1-$AM4)</f>
        <v>16.506962999999999</v>
      </c>
      <c r="AU4" s="66">
        <f>$AU$3</f>
        <v>0</v>
      </c>
      <c r="AV4" s="67">
        <f>$AT4*(1-$AU4)</f>
        <v>16.506962999999999</v>
      </c>
      <c r="AW4" s="66">
        <f>$AW$3</f>
        <v>0</v>
      </c>
      <c r="AX4" s="67">
        <f>$AV4*(1-$AW4)</f>
        <v>16.506962999999999</v>
      </c>
      <c r="AY4" s="66">
        <f>$AY$3</f>
        <v>0</v>
      </c>
      <c r="AZ4" s="67">
        <f>$AX4*(1-$AY4)</f>
        <v>16.506962999999999</v>
      </c>
      <c r="BA4" s="66">
        <f>$BA$3</f>
        <v>0</v>
      </c>
      <c r="BB4" s="67">
        <f>$AX4*(1-$AY4)</f>
        <v>16.506962999999999</v>
      </c>
      <c r="BC4" s="68"/>
      <c r="BD4" s="69"/>
      <c r="BE4" s="69"/>
      <c r="BF4" s="70"/>
      <c r="BG4" s="71"/>
      <c r="BH4" s="71"/>
      <c r="BI4" s="71"/>
      <c r="BJ4" s="72"/>
      <c r="BK4" s="73"/>
      <c r="BL4" s="73"/>
    </row>
    <row r="5" spans="1:64" ht="66" customHeight="1">
      <c r="A5" s="76">
        <v>2</v>
      </c>
      <c r="B5" s="35"/>
      <c r="C5" s="35" t="s">
        <v>64</v>
      </c>
      <c r="D5" s="36" t="s">
        <v>65</v>
      </c>
      <c r="E5" s="37"/>
      <c r="F5" s="38" t="s">
        <v>66</v>
      </c>
      <c r="G5" s="39"/>
      <c r="H5" s="40">
        <v>1</v>
      </c>
      <c r="I5" s="41"/>
      <c r="J5" s="42"/>
      <c r="K5" s="43">
        <v>0.2</v>
      </c>
      <c r="L5" s="44">
        <v>8.3333333333333301E-2</v>
      </c>
      <c r="M5" s="77">
        <f>ROUND(K5/L5/12*10000,-2)</f>
        <v>2000</v>
      </c>
      <c r="N5" s="43">
        <v>170</v>
      </c>
      <c r="O5" s="41">
        <v>10</v>
      </c>
      <c r="P5" s="46">
        <v>0</v>
      </c>
      <c r="Q5" s="47"/>
      <c r="R5" s="48">
        <v>6000</v>
      </c>
      <c r="S5" s="49">
        <f>(N5+O5*(1-P5)/H5)*(1+Q5)+R5/M5</f>
        <v>183</v>
      </c>
      <c r="T5" s="41">
        <v>25</v>
      </c>
      <c r="U5" s="78">
        <v>0.1</v>
      </c>
      <c r="V5" s="51">
        <f>(S5*T5/1000)*(1+U5)</f>
        <v>5.0324999999999998</v>
      </c>
      <c r="W5" s="52" t="s">
        <v>67</v>
      </c>
      <c r="X5" s="79">
        <v>30</v>
      </c>
      <c r="Y5" s="54">
        <v>2.2999999999999998</v>
      </c>
      <c r="Z5" s="55">
        <f>Y5/60/0.9</f>
        <v>4.2592592592592599E-2</v>
      </c>
      <c r="AA5" s="59">
        <f>U5</f>
        <v>0.1</v>
      </c>
      <c r="AB5" s="55">
        <f>(Z5*X5/H5)*(1+AA5)</f>
        <v>1.4055555555555601</v>
      </c>
      <c r="AC5" s="55">
        <f>V5*0.03</f>
        <v>0.150975</v>
      </c>
      <c r="AD5" s="55">
        <f>(AB5)*0.08</f>
        <v>0.112444444444444</v>
      </c>
      <c r="AE5" s="58">
        <v>0.74</v>
      </c>
      <c r="AF5" s="59">
        <f>AE5/$AL5</f>
        <v>8.0218602195192903E-2</v>
      </c>
      <c r="AG5" s="58">
        <v>1.1000000000000001</v>
      </c>
      <c r="AH5" s="59">
        <f>AG5/$AL5</f>
        <v>0.119243868127989</v>
      </c>
      <c r="AI5" s="55">
        <f>(AB5+AC5+AD5+AE5+AG5+V5)*8%</f>
        <v>0.68331799999999998</v>
      </c>
      <c r="AJ5" s="60"/>
      <c r="AK5" s="55">
        <f>AJ5/525000</f>
        <v>0</v>
      </c>
      <c r="AL5" s="61">
        <f>SUM($V5+$AB5+$AC5+$AD5+$AE5+$AG5+$AI5+$AK5)</f>
        <v>9.224793</v>
      </c>
      <c r="AM5" s="62"/>
      <c r="AN5" s="59"/>
      <c r="AO5" s="63"/>
      <c r="AP5" s="64">
        <f>PRODUCT($AL5,1/(1-AM5),1/(1-$AS5),1/(1-$AU5),1/(1-$AW5),1/(1-$AY5),1/(1-$BA5))</f>
        <v>9.224793</v>
      </c>
      <c r="AQ5" s="65">
        <f>V5/AP5</f>
        <v>0.54554069668555205</v>
      </c>
      <c r="AR5" s="29"/>
      <c r="AS5" s="66">
        <f>$AS$3</f>
        <v>0</v>
      </c>
      <c r="AT5" s="67">
        <f>AP5*(1-$AM5)</f>
        <v>9.224793</v>
      </c>
      <c r="AU5" s="66">
        <f>$AU$3</f>
        <v>0</v>
      </c>
      <c r="AV5" s="67">
        <f>$AT5*(1-$AU5)</f>
        <v>9.224793</v>
      </c>
      <c r="AW5" s="66">
        <f>$AW$3</f>
        <v>0</v>
      </c>
      <c r="AX5" s="67">
        <f>$AV5*(1-$AW5)</f>
        <v>9.224793</v>
      </c>
      <c r="AY5" s="66">
        <f>$AY$3</f>
        <v>0</v>
      </c>
      <c r="AZ5" s="67">
        <f>$AX5*(1-$AY5)</f>
        <v>9.224793</v>
      </c>
      <c r="BA5" s="66">
        <f>$BA$3</f>
        <v>0</v>
      </c>
      <c r="BB5" s="67">
        <f>$AX5*(1-$AY5)</f>
        <v>9.224793</v>
      </c>
      <c r="BC5" s="68"/>
      <c r="BD5" s="69"/>
      <c r="BE5" s="69"/>
      <c r="BF5" s="70"/>
      <c r="BG5" s="71"/>
      <c r="BH5" s="71"/>
      <c r="BI5" s="71"/>
      <c r="BJ5" s="72"/>
      <c r="BK5" s="73"/>
      <c r="BL5" s="73"/>
    </row>
    <row r="6" spans="1:64">
      <c r="L6" t="s">
        <v>68</v>
      </c>
      <c r="R6" t="s">
        <v>69</v>
      </c>
      <c r="U6" t="s">
        <v>70</v>
      </c>
    </row>
    <row r="11" spans="1:64">
      <c r="J11">
        <v>1</v>
      </c>
    </row>
  </sheetData>
  <mergeCells count="7">
    <mergeCell ref="BA2:BB2"/>
    <mergeCell ref="E1:J2"/>
    <mergeCell ref="AN2:AO2"/>
    <mergeCell ref="AS2:AT2"/>
    <mergeCell ref="AU2:AV2"/>
    <mergeCell ref="AW2:AX2"/>
    <mergeCell ref="AY2:AZ2"/>
  </mergeCells>
  <conditionalFormatting sqref="AS4:BB4">
    <cfRule type="cellIs" dxfId="2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"/>
  <sheetViews>
    <sheetView tabSelected="1" topLeftCell="AA1" zoomScale="85" zoomScaleNormal="70" workbookViewId="0">
      <selection activeCell="AI6" sqref="AI6"/>
    </sheetView>
  </sheetViews>
  <sheetFormatPr baseColWidth="10" defaultColWidth="9" defaultRowHeight="14"/>
  <cols>
    <col min="1" max="1" width="6.33203125" style="4" customWidth="1"/>
    <col min="2" max="2" width="7.5" style="4" customWidth="1"/>
    <col min="4" max="4" width="14" style="4" customWidth="1"/>
    <col min="5" max="5" width="10.6640625" style="4" customWidth="1"/>
    <col min="6" max="6" width="12.1640625" style="4" customWidth="1"/>
    <col min="18" max="18" width="13.83203125" customWidth="1"/>
    <col min="22" max="22" width="10.1640625"/>
    <col min="26" max="26" width="11.33203125" style="4" customWidth="1"/>
    <col min="27" max="27" width="8" style="4" customWidth="1"/>
    <col min="29" max="29" width="17.33203125" bestFit="1" customWidth="1"/>
    <col min="32" max="32" width="7.5" style="4" customWidth="1"/>
    <col min="38" max="38" width="9.5"/>
    <col min="46" max="46" width="10.1640625"/>
    <col min="48" max="48" width="10.1640625"/>
    <col min="50" max="50" width="10.1640625"/>
    <col min="52" max="52" width="10.1640625"/>
    <col min="54" max="54" width="10.1640625"/>
  </cols>
  <sheetData>
    <row r="1" spans="1:64" s="1" customFormat="1" ht="19" customHeight="1">
      <c r="A1" s="5"/>
      <c r="B1" s="5" t="s">
        <v>0</v>
      </c>
      <c r="C1" s="6"/>
      <c r="D1" s="7" t="s">
        <v>1</v>
      </c>
      <c r="E1" s="83" t="s">
        <v>2</v>
      </c>
      <c r="F1" s="84"/>
      <c r="G1" s="84"/>
      <c r="H1" s="84"/>
      <c r="I1" s="84"/>
      <c r="J1" s="84"/>
      <c r="K1" s="6"/>
      <c r="L1" s="6"/>
      <c r="M1" s="6"/>
      <c r="N1" s="8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9"/>
      <c r="AA1" s="6"/>
      <c r="AB1" s="9"/>
      <c r="AC1" s="6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10"/>
      <c r="AR1" s="10"/>
      <c r="AS1" s="10"/>
      <c r="AT1" s="10"/>
      <c r="AU1" s="10"/>
      <c r="AV1" s="10"/>
      <c r="AW1" s="10"/>
      <c r="AX1" s="10"/>
      <c r="AY1" s="10"/>
      <c r="AZ1" s="9"/>
      <c r="BA1" s="9"/>
      <c r="BB1" s="9"/>
      <c r="BC1" s="11"/>
      <c r="BD1" s="12"/>
      <c r="BE1" s="12"/>
      <c r="BF1" s="12"/>
      <c r="BG1" s="12"/>
      <c r="BH1" s="12"/>
      <c r="BI1" s="12"/>
      <c r="BJ1" s="12"/>
      <c r="BK1" s="10"/>
    </row>
    <row r="2" spans="1:64" s="2" customFormat="1" ht="44" customHeight="1">
      <c r="B2" s="13"/>
      <c r="C2" s="14"/>
      <c r="D2" s="15"/>
      <c r="E2" s="84"/>
      <c r="F2" s="84"/>
      <c r="G2" s="84"/>
      <c r="H2" s="84"/>
      <c r="I2" s="84"/>
      <c r="J2" s="84"/>
      <c r="K2" s="6"/>
      <c r="L2" s="6"/>
      <c r="M2" s="6"/>
      <c r="N2" s="16"/>
      <c r="O2" s="14"/>
      <c r="P2" s="14"/>
      <c r="Q2" s="14"/>
      <c r="R2" s="14"/>
      <c r="S2" s="17"/>
      <c r="T2" s="17"/>
      <c r="U2" s="14"/>
      <c r="V2" s="14"/>
      <c r="W2" s="14"/>
      <c r="X2" s="18"/>
      <c r="Y2" s="18"/>
      <c r="Z2" s="19"/>
      <c r="AA2" s="17"/>
      <c r="AB2" s="20"/>
      <c r="AC2" s="17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80" t="s">
        <v>3</v>
      </c>
      <c r="AO2" s="81"/>
      <c r="AP2" s="20"/>
      <c r="AQ2" s="20"/>
      <c r="AR2" s="10"/>
      <c r="AS2" s="82" t="s">
        <v>4</v>
      </c>
      <c r="AT2" s="81"/>
      <c r="AU2" s="82" t="s">
        <v>5</v>
      </c>
      <c r="AV2" s="81"/>
      <c r="AW2" s="82" t="s">
        <v>6</v>
      </c>
      <c r="AX2" s="81"/>
      <c r="AY2" s="82" t="s">
        <v>7</v>
      </c>
      <c r="AZ2" s="81"/>
      <c r="BA2" s="82" t="s">
        <v>8</v>
      </c>
      <c r="BB2" s="81"/>
      <c r="BC2" s="21"/>
      <c r="BD2" s="22"/>
      <c r="BE2" s="22"/>
      <c r="BF2" s="22"/>
      <c r="BG2" s="22"/>
      <c r="BH2" s="22"/>
      <c r="BI2" s="22"/>
      <c r="BJ2" s="22"/>
      <c r="BK2" s="20"/>
    </row>
    <row r="3" spans="1:64" s="3" customFormat="1" ht="73.25" customHeight="1">
      <c r="A3" s="23" t="s">
        <v>9</v>
      </c>
      <c r="B3" s="23" t="s">
        <v>10</v>
      </c>
      <c r="C3" s="23" t="s">
        <v>11</v>
      </c>
      <c r="D3" s="23" t="s">
        <v>12</v>
      </c>
      <c r="E3" s="23" t="s">
        <v>13</v>
      </c>
      <c r="F3" s="23" t="s">
        <v>14</v>
      </c>
      <c r="G3" s="23" t="s">
        <v>15</v>
      </c>
      <c r="H3" s="24" t="s">
        <v>16</v>
      </c>
      <c r="I3" s="24" t="s">
        <v>17</v>
      </c>
      <c r="J3" s="24" t="s">
        <v>18</v>
      </c>
      <c r="K3" s="24" t="s">
        <v>19</v>
      </c>
      <c r="L3" s="24" t="s">
        <v>20</v>
      </c>
      <c r="M3" s="24" t="s">
        <v>21</v>
      </c>
      <c r="N3" s="25" t="s">
        <v>22</v>
      </c>
      <c r="O3" s="24" t="s">
        <v>23</v>
      </c>
      <c r="P3" s="24" t="s">
        <v>24</v>
      </c>
      <c r="Q3" s="24" t="s">
        <v>25</v>
      </c>
      <c r="R3" s="24" t="s">
        <v>26</v>
      </c>
      <c r="S3" s="24" t="s">
        <v>27</v>
      </c>
      <c r="T3" s="24" t="s">
        <v>28</v>
      </c>
      <c r="U3" s="24" t="s">
        <v>29</v>
      </c>
      <c r="V3" s="24" t="s">
        <v>30</v>
      </c>
      <c r="W3" s="24" t="s">
        <v>31</v>
      </c>
      <c r="X3" s="24" t="s">
        <v>32</v>
      </c>
      <c r="Y3" s="24" t="s">
        <v>33</v>
      </c>
      <c r="Z3" s="26" t="s">
        <v>34</v>
      </c>
      <c r="AA3" s="24" t="s">
        <v>29</v>
      </c>
      <c r="AB3" s="26" t="s">
        <v>35</v>
      </c>
      <c r="AC3" s="24" t="s">
        <v>36</v>
      </c>
      <c r="AD3" s="26" t="s">
        <v>37</v>
      </c>
      <c r="AE3" s="26" t="s">
        <v>38</v>
      </c>
      <c r="AF3" s="26"/>
      <c r="AG3" s="26" t="s">
        <v>39</v>
      </c>
      <c r="AH3" s="26"/>
      <c r="AI3" s="26" t="s">
        <v>40</v>
      </c>
      <c r="AJ3" s="26" t="s">
        <v>41</v>
      </c>
      <c r="AK3" s="26" t="s">
        <v>42</v>
      </c>
      <c r="AL3" s="26" t="s">
        <v>43</v>
      </c>
      <c r="AM3" s="27" t="s">
        <v>44</v>
      </c>
      <c r="AN3" s="27" t="s">
        <v>45</v>
      </c>
      <c r="AO3" s="27" t="s">
        <v>46</v>
      </c>
      <c r="AP3" s="28" t="s">
        <v>47</v>
      </c>
      <c r="AQ3" s="26" t="s">
        <v>48</v>
      </c>
      <c r="AR3" s="29"/>
      <c r="AS3" s="30"/>
      <c r="AT3" s="26" t="s">
        <v>49</v>
      </c>
      <c r="AU3" s="30"/>
      <c r="AV3" s="26" t="s">
        <v>49</v>
      </c>
      <c r="AW3" s="30"/>
      <c r="AX3" s="26" t="s">
        <v>49</v>
      </c>
      <c r="AY3" s="30"/>
      <c r="AZ3" s="26" t="s">
        <v>49</v>
      </c>
      <c r="BA3" s="30"/>
      <c r="BB3" s="26" t="s">
        <v>49</v>
      </c>
      <c r="BC3" s="31" t="s">
        <v>50</v>
      </c>
      <c r="BD3" s="31" t="s">
        <v>51</v>
      </c>
      <c r="BE3" s="31" t="s">
        <v>52</v>
      </c>
      <c r="BF3" s="31" t="s">
        <v>53</v>
      </c>
      <c r="BG3" s="31" t="s">
        <v>54</v>
      </c>
      <c r="BH3" s="31" t="s">
        <v>55</v>
      </c>
      <c r="BI3" s="31" t="s">
        <v>56</v>
      </c>
      <c r="BJ3" s="31" t="s">
        <v>57</v>
      </c>
      <c r="BK3" s="32" t="s">
        <v>58</v>
      </c>
      <c r="BL3" s="33" t="s">
        <v>59</v>
      </c>
    </row>
    <row r="4" spans="1:64" s="3" customFormat="1" ht="66" customHeight="1">
      <c r="A4" s="34">
        <v>1</v>
      </c>
      <c r="B4" s="35"/>
      <c r="C4" s="35" t="s">
        <v>60</v>
      </c>
      <c r="D4" s="36" t="s">
        <v>61</v>
      </c>
      <c r="E4" s="37"/>
      <c r="F4" s="38" t="s">
        <v>62</v>
      </c>
      <c r="G4" s="39"/>
      <c r="H4" s="40">
        <v>1</v>
      </c>
      <c r="I4" s="41"/>
      <c r="J4" s="42"/>
      <c r="K4" s="43">
        <v>0.2</v>
      </c>
      <c r="L4" s="44">
        <v>8.3333333333333301E-2</v>
      </c>
      <c r="M4" s="45">
        <f t="shared" ref="M4:M9" si="0">ROUND(K4/L4/12*10000,-2)</f>
        <v>2000</v>
      </c>
      <c r="N4" s="43">
        <v>320</v>
      </c>
      <c r="O4" s="41">
        <v>10</v>
      </c>
      <c r="P4" s="46">
        <v>0</v>
      </c>
      <c r="Q4" s="47"/>
      <c r="R4" s="48">
        <v>25000</v>
      </c>
      <c r="S4" s="49">
        <f t="shared" ref="S4:S9" si="1">(N4+O4*(1-P4)/H4)*(1+Q4)+R4/M4</f>
        <v>342.5</v>
      </c>
      <c r="T4" s="41">
        <v>25</v>
      </c>
      <c r="U4" s="50">
        <v>0.15</v>
      </c>
      <c r="V4" s="51">
        <f t="shared" ref="V4:V9" si="2">(S4*T4/1000)*(1+U4)</f>
        <v>9.8468750000000007</v>
      </c>
      <c r="W4" s="52" t="s">
        <v>63</v>
      </c>
      <c r="X4" s="53">
        <v>60</v>
      </c>
      <c r="Y4" s="54">
        <v>2.9</v>
      </c>
      <c r="Z4" s="55">
        <f t="shared" ref="Z4:Z9" si="3">Y4/60/0.9</f>
        <v>5.3703703703703698E-2</v>
      </c>
      <c r="AA4" s="56">
        <f t="shared" ref="AA4:AA9" si="4">U4</f>
        <v>0.15</v>
      </c>
      <c r="AB4" s="55">
        <f t="shared" ref="AB4:AB9" si="5">(Z4*X4/H4)*(1+AA4)</f>
        <v>3.7055555555555499</v>
      </c>
      <c r="AC4" s="57">
        <f>V4*0.15</f>
        <v>1.47703125</v>
      </c>
      <c r="AD4" s="57">
        <f>(AB4)*0.15</f>
        <v>0.55583333333333296</v>
      </c>
      <c r="AE4" s="85">
        <v>1.65</v>
      </c>
      <c r="AF4" s="87">
        <f>AE4/$AL4</f>
        <v>7.2517624762418756E-2</v>
      </c>
      <c r="AG4" s="85">
        <v>2.5499999999999998</v>
      </c>
      <c r="AH4" s="87">
        <f t="shared" ref="AH4:AH9" si="6">AG4/$AL4</f>
        <v>0.11207269281464717</v>
      </c>
      <c r="AI4" s="86">
        <f>(AB4+AC4+AD4+AE4+AG4+V4)*15%</f>
        <v>2.9677942708333327</v>
      </c>
      <c r="AJ4" s="86"/>
      <c r="AK4" s="86">
        <f t="shared" ref="AK4:AK9" si="7">AJ4/525000</f>
        <v>0</v>
      </c>
      <c r="AL4" s="86">
        <f t="shared" ref="AL4:AL9" si="8">SUM($V4+$AB4+$AC4+$AD4+$AE4+$AG4+$AI4+$AK4)</f>
        <v>22.753089409722218</v>
      </c>
      <c r="AM4" s="62"/>
      <c r="AN4" s="59"/>
      <c r="AO4" s="63"/>
      <c r="AP4" s="64">
        <f t="shared" ref="AP4:AP9" si="9">PRODUCT($AL4,1/(1-AM4),1/(1-$AS4),1/(1-$AU4),1/(1-$AW4),1/(1-$AY4),1/(1-$BA4))</f>
        <v>22.753089409722218</v>
      </c>
      <c r="AQ4" s="65">
        <f t="shared" ref="AQ4:AQ9" si="10">V4/AP4</f>
        <v>0.43277090080754077</v>
      </c>
      <c r="AR4" s="29"/>
      <c r="AS4" s="66">
        <f t="shared" ref="AS4:AS9" si="11">$AS$3</f>
        <v>0</v>
      </c>
      <c r="AT4" s="67">
        <f t="shared" ref="AT4:AT9" si="12">AP4*(1-$AM4)</f>
        <v>22.753089409722218</v>
      </c>
      <c r="AU4" s="66">
        <f t="shared" ref="AU4:AU9" si="13">$AU$3</f>
        <v>0</v>
      </c>
      <c r="AV4" s="67">
        <f t="shared" ref="AV4:AV9" si="14">$AT4*(1-$AU4)</f>
        <v>22.753089409722218</v>
      </c>
      <c r="AW4" s="66">
        <f t="shared" ref="AW4:AW9" si="15">$AW$3</f>
        <v>0</v>
      </c>
      <c r="AX4" s="67">
        <f t="shared" ref="AX4:AX9" si="16">$AV4*(1-$AW4)</f>
        <v>22.753089409722218</v>
      </c>
      <c r="AY4" s="66">
        <f t="shared" ref="AY4:AY9" si="17">$AY$3</f>
        <v>0</v>
      </c>
      <c r="AZ4" s="67">
        <f t="shared" ref="AZ4:AZ9" si="18">$AX4*(1-$AY4)</f>
        <v>22.753089409722218</v>
      </c>
      <c r="BA4" s="66">
        <f t="shared" ref="BA4:BA9" si="19">$BA$3</f>
        <v>0</v>
      </c>
      <c r="BB4" s="67">
        <f t="shared" ref="BB4:BB9" si="20">$AX4*(1-$AY4)</f>
        <v>22.753089409722218</v>
      </c>
      <c r="BC4" s="68"/>
      <c r="BD4" s="69"/>
      <c r="BE4" s="69"/>
      <c r="BF4" s="70"/>
      <c r="BG4" s="71"/>
      <c r="BH4" s="71"/>
      <c r="BI4" s="71"/>
      <c r="BJ4" s="72"/>
      <c r="BK4" s="73"/>
      <c r="BL4" s="73"/>
    </row>
    <row r="5" spans="1:64" ht="66" customHeight="1">
      <c r="A5" s="34">
        <v>2</v>
      </c>
      <c r="B5" s="35"/>
      <c r="C5" s="35" t="s">
        <v>64</v>
      </c>
      <c r="D5" s="36" t="s">
        <v>65</v>
      </c>
      <c r="E5" s="37"/>
      <c r="F5" s="38" t="s">
        <v>66</v>
      </c>
      <c r="G5" s="39"/>
      <c r="H5" s="40">
        <v>1</v>
      </c>
      <c r="I5" s="41"/>
      <c r="J5" s="42"/>
      <c r="K5" s="43">
        <v>0.2</v>
      </c>
      <c r="L5" s="44">
        <v>8.3333333333333301E-2</v>
      </c>
      <c r="M5" s="45">
        <f t="shared" si="0"/>
        <v>2000</v>
      </c>
      <c r="N5" s="43">
        <v>170</v>
      </c>
      <c r="O5" s="41">
        <v>10</v>
      </c>
      <c r="P5" s="46">
        <v>0</v>
      </c>
      <c r="Q5" s="47"/>
      <c r="R5" s="48">
        <v>25000</v>
      </c>
      <c r="S5" s="49">
        <f t="shared" si="1"/>
        <v>192.5</v>
      </c>
      <c r="T5" s="41">
        <v>25</v>
      </c>
      <c r="U5" s="50">
        <v>0.15</v>
      </c>
      <c r="V5" s="51">
        <f t="shared" si="2"/>
        <v>5.5343749999999998</v>
      </c>
      <c r="W5" s="74" t="s">
        <v>63</v>
      </c>
      <c r="X5" s="53">
        <v>60</v>
      </c>
      <c r="Y5" s="75">
        <v>2.9</v>
      </c>
      <c r="Z5" s="55">
        <f t="shared" si="3"/>
        <v>5.3703703703703698E-2</v>
      </c>
      <c r="AA5" s="56">
        <f t="shared" si="4"/>
        <v>0.15</v>
      </c>
      <c r="AB5" s="55">
        <f t="shared" si="5"/>
        <v>3.7055555555555499</v>
      </c>
      <c r="AC5" s="57">
        <f>V5*0.15</f>
        <v>0.83015625000000004</v>
      </c>
      <c r="AD5" s="57">
        <f>(AB5)*0.15</f>
        <v>0.55583333333333296</v>
      </c>
      <c r="AE5" s="58">
        <v>1.17</v>
      </c>
      <c r="AF5" s="88">
        <f>AE5/$AL5</f>
        <v>7.5106843530474157E-2</v>
      </c>
      <c r="AG5" s="58">
        <v>1.75</v>
      </c>
      <c r="AH5" s="87">
        <f t="shared" si="6"/>
        <v>0.11233929587891435</v>
      </c>
      <c r="AI5" s="55">
        <f>(AB5+AC5+AD5+AE5+AG5+V5)*15%</f>
        <v>2.0318880208333328</v>
      </c>
      <c r="AJ5" s="60"/>
      <c r="AK5" s="55">
        <f t="shared" si="7"/>
        <v>0</v>
      </c>
      <c r="AL5" s="61">
        <f t="shared" si="8"/>
        <v>15.577808159722213</v>
      </c>
      <c r="AM5" s="62"/>
      <c r="AN5" s="59"/>
      <c r="AO5" s="63"/>
      <c r="AP5" s="64">
        <f t="shared" si="9"/>
        <v>15.577808159722213</v>
      </c>
      <c r="AQ5" s="65">
        <f t="shared" si="10"/>
        <v>0.35527302321706661</v>
      </c>
      <c r="AR5" s="29"/>
      <c r="AS5" s="66">
        <f t="shared" si="11"/>
        <v>0</v>
      </c>
      <c r="AT5" s="67">
        <f t="shared" si="12"/>
        <v>15.577808159722213</v>
      </c>
      <c r="AU5" s="66">
        <f t="shared" si="13"/>
        <v>0</v>
      </c>
      <c r="AV5" s="67">
        <f t="shared" si="14"/>
        <v>15.577808159722213</v>
      </c>
      <c r="AW5" s="66">
        <f t="shared" si="15"/>
        <v>0</v>
      </c>
      <c r="AX5" s="67">
        <f t="shared" si="16"/>
        <v>15.577808159722213</v>
      </c>
      <c r="AY5" s="66">
        <f t="shared" si="17"/>
        <v>0</v>
      </c>
      <c r="AZ5" s="67">
        <f t="shared" si="18"/>
        <v>15.577808159722213</v>
      </c>
      <c r="BA5" s="66">
        <f t="shared" si="19"/>
        <v>0</v>
      </c>
      <c r="BB5" s="67">
        <f t="shared" si="20"/>
        <v>15.577808159722213</v>
      </c>
      <c r="BC5" s="68"/>
      <c r="BD5" s="69"/>
      <c r="BE5" s="69"/>
      <c r="BF5" s="70"/>
      <c r="BG5" s="71"/>
      <c r="BH5" s="71"/>
      <c r="BI5" s="71"/>
      <c r="BJ5" s="72"/>
      <c r="BK5" s="73"/>
      <c r="BL5" s="73"/>
    </row>
    <row r="6" spans="1:64">
      <c r="U6" t="s">
        <v>70</v>
      </c>
    </row>
    <row r="7" spans="1:64" ht="50" customHeight="1">
      <c r="AC7" s="89">
        <f>AD5+AC5</f>
        <v>1.3859895833333331</v>
      </c>
    </row>
    <row r="8" spans="1:64" s="3" customFormat="1" ht="66" customHeight="1">
      <c r="A8" s="76">
        <v>1</v>
      </c>
      <c r="B8" s="35"/>
      <c r="C8" s="35" t="s">
        <v>60</v>
      </c>
      <c r="D8" s="36" t="s">
        <v>61</v>
      </c>
      <c r="E8" s="37"/>
      <c r="F8" s="38" t="s">
        <v>62</v>
      </c>
      <c r="G8" s="39"/>
      <c r="H8" s="40">
        <v>1</v>
      </c>
      <c r="I8" s="41"/>
      <c r="J8" s="42"/>
      <c r="K8" s="43">
        <v>0.2</v>
      </c>
      <c r="L8" s="44">
        <v>8.3333333333333301E-2</v>
      </c>
      <c r="M8" s="77">
        <f t="shared" si="0"/>
        <v>2000</v>
      </c>
      <c r="N8" s="43">
        <v>320</v>
      </c>
      <c r="O8" s="41">
        <v>10</v>
      </c>
      <c r="P8" s="46">
        <v>0</v>
      </c>
      <c r="Q8" s="47"/>
      <c r="R8" s="48">
        <v>25000</v>
      </c>
      <c r="S8" s="49">
        <f t="shared" si="1"/>
        <v>342.5</v>
      </c>
      <c r="T8" s="41">
        <v>25</v>
      </c>
      <c r="U8" s="78">
        <v>0.1</v>
      </c>
      <c r="V8" s="51">
        <f t="shared" si="2"/>
        <v>9.4187499999999993</v>
      </c>
      <c r="W8" s="52" t="s">
        <v>63</v>
      </c>
      <c r="X8" s="79">
        <v>40</v>
      </c>
      <c r="Y8" s="54">
        <v>2.9</v>
      </c>
      <c r="Z8" s="55">
        <f t="shared" si="3"/>
        <v>5.3703703703703698E-2</v>
      </c>
      <c r="AA8" s="59">
        <f t="shared" si="4"/>
        <v>0.1</v>
      </c>
      <c r="AB8" s="55">
        <f t="shared" si="5"/>
        <v>2.36296296296296</v>
      </c>
      <c r="AC8" s="55">
        <f>V8*0.03</f>
        <v>0.28256249999999999</v>
      </c>
      <c r="AD8" s="55">
        <f>(AB8)*0.08</f>
        <v>0.189037037037037</v>
      </c>
      <c r="AE8" s="58">
        <v>1.32</v>
      </c>
      <c r="AF8" s="59">
        <f>AE8/$AL8</f>
        <v>7.8582759924756995E-2</v>
      </c>
      <c r="AG8" s="58">
        <v>1.98</v>
      </c>
      <c r="AH8" s="59">
        <f t="shared" si="6"/>
        <v>0.11787413988713601</v>
      </c>
      <c r="AI8" s="55">
        <f t="shared" ref="AI4:AI9" si="21">(AB8+AC8+AD8+AE8+AG8+V8)*8%</f>
        <v>1.244265</v>
      </c>
      <c r="AJ8" s="60"/>
      <c r="AK8" s="55">
        <f t="shared" si="7"/>
        <v>0</v>
      </c>
      <c r="AL8" s="61">
        <f t="shared" si="8"/>
        <v>16.797577499999999</v>
      </c>
      <c r="AM8" s="62"/>
      <c r="AN8" s="59"/>
      <c r="AO8" s="63"/>
      <c r="AP8" s="64">
        <f t="shared" si="9"/>
        <v>16.797577499999999</v>
      </c>
      <c r="AQ8" s="65">
        <f t="shared" si="10"/>
        <v>0.56072073487977703</v>
      </c>
      <c r="AR8" s="29"/>
      <c r="AS8" s="66">
        <f t="shared" si="11"/>
        <v>0</v>
      </c>
      <c r="AT8" s="67">
        <f t="shared" si="12"/>
        <v>16.797577499999999</v>
      </c>
      <c r="AU8" s="66">
        <f t="shared" si="13"/>
        <v>0</v>
      </c>
      <c r="AV8" s="67">
        <f t="shared" si="14"/>
        <v>16.797577499999999</v>
      </c>
      <c r="AW8" s="66">
        <f t="shared" si="15"/>
        <v>0</v>
      </c>
      <c r="AX8" s="67">
        <f t="shared" si="16"/>
        <v>16.797577499999999</v>
      </c>
      <c r="AY8" s="66">
        <f t="shared" si="17"/>
        <v>0</v>
      </c>
      <c r="AZ8" s="67">
        <f t="shared" si="18"/>
        <v>16.797577499999999</v>
      </c>
      <c r="BA8" s="66">
        <f t="shared" si="19"/>
        <v>0</v>
      </c>
      <c r="BB8" s="67">
        <f t="shared" si="20"/>
        <v>16.797577499999999</v>
      </c>
      <c r="BC8" s="68"/>
      <c r="BD8" s="69"/>
      <c r="BE8" s="69"/>
      <c r="BF8" s="70"/>
      <c r="BG8" s="71"/>
      <c r="BH8" s="71"/>
      <c r="BI8" s="71"/>
      <c r="BJ8" s="72"/>
      <c r="BK8" s="73"/>
      <c r="BL8" s="73"/>
    </row>
    <row r="9" spans="1:64" ht="66" customHeight="1">
      <c r="A9" s="76">
        <v>2</v>
      </c>
      <c r="B9" s="35"/>
      <c r="C9" s="35" t="s">
        <v>64</v>
      </c>
      <c r="D9" s="36" t="s">
        <v>65</v>
      </c>
      <c r="E9" s="37"/>
      <c r="F9" s="38" t="s">
        <v>66</v>
      </c>
      <c r="G9" s="39"/>
      <c r="H9" s="40">
        <v>1</v>
      </c>
      <c r="I9" s="41"/>
      <c r="J9" s="42"/>
      <c r="K9" s="43">
        <v>0.2</v>
      </c>
      <c r="L9" s="44">
        <v>8.3333333333333301E-2</v>
      </c>
      <c r="M9" s="77">
        <f t="shared" si="0"/>
        <v>2000</v>
      </c>
      <c r="N9" s="43">
        <v>170</v>
      </c>
      <c r="O9" s="41">
        <v>10</v>
      </c>
      <c r="P9" s="46">
        <v>0</v>
      </c>
      <c r="Q9" s="47"/>
      <c r="R9" s="48">
        <v>25000</v>
      </c>
      <c r="S9" s="49">
        <f t="shared" si="1"/>
        <v>192.5</v>
      </c>
      <c r="T9" s="41">
        <v>25</v>
      </c>
      <c r="U9" s="78">
        <v>0.1</v>
      </c>
      <c r="V9" s="51">
        <f t="shared" si="2"/>
        <v>5.2937500000000002</v>
      </c>
      <c r="W9" s="52" t="s">
        <v>67</v>
      </c>
      <c r="X9" s="79">
        <v>30</v>
      </c>
      <c r="Y9" s="54">
        <v>2.2999999999999998</v>
      </c>
      <c r="Z9" s="55">
        <f t="shared" si="3"/>
        <v>4.2592592592592599E-2</v>
      </c>
      <c r="AA9" s="59">
        <f t="shared" si="4"/>
        <v>0.1</v>
      </c>
      <c r="AB9" s="55">
        <f t="shared" si="5"/>
        <v>1.4055555555555601</v>
      </c>
      <c r="AC9" s="55">
        <f>V9*0.03</f>
        <v>0.1588125</v>
      </c>
      <c r="AD9" s="55">
        <f>(AB9)*0.08</f>
        <v>0.112444444444444</v>
      </c>
      <c r="AE9" s="58">
        <v>0.74</v>
      </c>
      <c r="AF9" s="59">
        <f>AE9/$AL9</f>
        <v>7.7768608438471998E-2</v>
      </c>
      <c r="AG9" s="58">
        <v>1.1000000000000001</v>
      </c>
      <c r="AH9" s="59">
        <f t="shared" si="6"/>
        <v>0.11560198551664801</v>
      </c>
      <c r="AI9" s="55">
        <f t="shared" si="21"/>
        <v>0.70484500000000005</v>
      </c>
      <c r="AJ9" s="60"/>
      <c r="AK9" s="55">
        <f t="shared" si="7"/>
        <v>0</v>
      </c>
      <c r="AL9" s="61">
        <f t="shared" si="8"/>
        <v>9.5154075000000091</v>
      </c>
      <c r="AM9" s="62"/>
      <c r="AN9" s="59"/>
      <c r="AO9" s="63"/>
      <c r="AP9" s="64">
        <f t="shared" si="9"/>
        <v>9.5154075000000091</v>
      </c>
      <c r="AQ9" s="65">
        <f t="shared" si="10"/>
        <v>0.556334555298866</v>
      </c>
      <c r="AR9" s="29"/>
      <c r="AS9" s="66">
        <f t="shared" si="11"/>
        <v>0</v>
      </c>
      <c r="AT9" s="67">
        <f t="shared" si="12"/>
        <v>9.5154075000000091</v>
      </c>
      <c r="AU9" s="66">
        <f t="shared" si="13"/>
        <v>0</v>
      </c>
      <c r="AV9" s="67">
        <f t="shared" si="14"/>
        <v>9.5154075000000091</v>
      </c>
      <c r="AW9" s="66">
        <f t="shared" si="15"/>
        <v>0</v>
      </c>
      <c r="AX9" s="67">
        <f t="shared" si="16"/>
        <v>9.5154075000000091</v>
      </c>
      <c r="AY9" s="66">
        <f t="shared" si="17"/>
        <v>0</v>
      </c>
      <c r="AZ9" s="67">
        <f t="shared" si="18"/>
        <v>9.5154075000000091</v>
      </c>
      <c r="BA9" s="66">
        <f t="shared" si="19"/>
        <v>0</v>
      </c>
      <c r="BB9" s="67">
        <f t="shared" si="20"/>
        <v>9.5154075000000091</v>
      </c>
      <c r="BC9" s="68"/>
      <c r="BD9" s="69"/>
      <c r="BE9" s="69"/>
      <c r="BF9" s="70"/>
      <c r="BG9" s="71"/>
      <c r="BH9" s="71"/>
      <c r="BI9" s="71"/>
      <c r="BJ9" s="72"/>
      <c r="BK9" s="73"/>
      <c r="BL9" s="73"/>
    </row>
    <row r="10" spans="1:64" ht="41" customHeight="1"/>
  </sheetData>
  <mergeCells count="7">
    <mergeCell ref="BA2:BB2"/>
    <mergeCell ref="E1:J2"/>
    <mergeCell ref="AN2:AO2"/>
    <mergeCell ref="AS2:AT2"/>
    <mergeCell ref="AU2:AV2"/>
    <mergeCell ref="AW2:AX2"/>
    <mergeCell ref="AY2:AZ2"/>
  </mergeCells>
  <conditionalFormatting sqref="AS4:BB4">
    <cfRule type="cellIs" dxfId="1" priority="3" operator="equal">
      <formula>0</formula>
    </cfRule>
  </conditionalFormatting>
  <conditionalFormatting sqref="AS8:BB8">
    <cfRule type="cellIs" dxfId="0" priority="2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2023-09-05T12:28:00Z</dcterms:created>
  <dcterms:modified xsi:type="dcterms:W3CDTF">2026-06-27T06:11:57Z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58514930563C4A2CBEB2C9E3812233F9_13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