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未报价 GEA顶棚后阅读灯支架/"/>
    </mc:Choice>
  </mc:AlternateContent>
  <xr:revisionPtr revIDLastSave="0" documentId="13_ncr:1_{3D94F94B-AED8-1F46-BEBF-DBE57F91F989}" xr6:coauthVersionLast="47" xr6:coauthVersionMax="47" xr10:uidLastSave="{00000000-0000-0000-0000-000000000000}"/>
  <bookViews>
    <workbookView xWindow="0" yWindow="660" windowWidth="29980" windowHeight="15340" tabRatio="566" xr2:uid="{00000000-000D-0000-FFFF-FFFF00000000}"/>
  </bookViews>
  <sheets>
    <sheet name="Sheet1" sheetId="1" r:id="rId1"/>
  </sheets>
  <externalReferences>
    <externalReference r:id="rId2"/>
  </externalReferences>
  <definedNames>
    <definedName name="AllProcessMaterial">'[1]Material List'!$A$4:$A$89</definedName>
    <definedName name="dd_GrainType">'[1]Drop-Down Lists'!$C$132:$C$141</definedName>
    <definedName name="UnitConvTable">'[1]Material List'!$H$97:$I$120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" i="1" l="1"/>
  <c r="AD13" i="1"/>
  <c r="AG15" i="1"/>
  <c r="AK15" i="1"/>
  <c r="AD15" i="1"/>
  <c r="AE15" i="1"/>
  <c r="AB15" i="1"/>
  <c r="AK14" i="1"/>
  <c r="AK13" i="1"/>
  <c r="M14" i="1"/>
  <c r="S14" i="1" s="1"/>
  <c r="V14" i="1" s="1"/>
  <c r="AC14" i="1" s="1"/>
  <c r="M13" i="1"/>
  <c r="S13" i="1" s="1"/>
  <c r="V13" i="1" s="1"/>
  <c r="AC13" i="1" s="1"/>
  <c r="AA14" i="1"/>
  <c r="Z14" i="1"/>
  <c r="AA13" i="1"/>
  <c r="Z13" i="1"/>
  <c r="AK9" i="1"/>
  <c r="AA9" i="1"/>
  <c r="Z9" i="1"/>
  <c r="AB9" i="1" s="1"/>
  <c r="AD9" i="1" s="1"/>
  <c r="M9" i="1"/>
  <c r="S9" i="1" s="1"/>
  <c r="V9" i="1" s="1"/>
  <c r="AK8" i="1"/>
  <c r="AA8" i="1"/>
  <c r="Z8" i="1"/>
  <c r="M8" i="1"/>
  <c r="S8" i="1" s="1"/>
  <c r="V8" i="1" s="1"/>
  <c r="AK5" i="1"/>
  <c r="AA5" i="1"/>
  <c r="Z5" i="1"/>
  <c r="M5" i="1"/>
  <c r="S5" i="1" s="1"/>
  <c r="V5" i="1" s="1"/>
  <c r="AK4" i="1"/>
  <c r="AA4" i="1"/>
  <c r="Z4" i="1"/>
  <c r="AB4" i="1" s="1"/>
  <c r="M4" i="1"/>
  <c r="S4" i="1" s="1"/>
  <c r="V4" i="1" s="1"/>
  <c r="AC15" i="1" l="1"/>
  <c r="AB5" i="1"/>
  <c r="AC4" i="1"/>
  <c r="AD4" i="1"/>
  <c r="AI4" i="1"/>
  <c r="AD5" i="1"/>
  <c r="AC5" i="1"/>
  <c r="AI5" i="1" s="1"/>
  <c r="AL5" i="1" s="1"/>
  <c r="AB8" i="1"/>
  <c r="AD8" i="1" s="1"/>
  <c r="AB13" i="1"/>
  <c r="AB14" i="1"/>
  <c r="AC9" i="1"/>
  <c r="AI9" i="1" s="1"/>
  <c r="AC8" i="1"/>
  <c r="AL4" i="1" l="1"/>
  <c r="AH5" i="1"/>
  <c r="AF5" i="1"/>
  <c r="AH4" i="1"/>
  <c r="AF4" i="1"/>
  <c r="AI8" i="1"/>
  <c r="AL8" i="1" s="1"/>
  <c r="AI13" i="1"/>
  <c r="AI14" i="1"/>
  <c r="AL14" i="1" s="1"/>
  <c r="AL9" i="1"/>
  <c r="AH9" i="1" s="1"/>
  <c r="AF9" i="1"/>
  <c r="AL13" i="1" l="1"/>
  <c r="AL15" i="1" s="1"/>
  <c r="AI15" i="1"/>
  <c r="AI16" i="1" s="1"/>
  <c r="AH8" i="1"/>
  <c r="AF8" i="1"/>
  <c r="AH14" i="1"/>
  <c r="AF14" i="1"/>
  <c r="AH13" i="1"/>
  <c r="AF13" i="1"/>
  <c r="AJ16" i="1" l="1"/>
  <c r="AL16" i="1"/>
  <c r="AD16" i="1"/>
  <c r="AG16" i="1"/>
  <c r="AB16" i="1"/>
  <c r="AH16" i="1"/>
  <c r="AE16" i="1"/>
  <c r="AK16" i="1"/>
  <c r="AF16" i="1"/>
  <c r="AC16" i="1"/>
</calcChain>
</file>

<file path=xl/sharedStrings.xml><?xml version="1.0" encoding="utf-8"?>
<sst xmlns="http://schemas.openxmlformats.org/spreadsheetml/2006/main" count="75" uniqueCount="49">
  <si>
    <t>GEA新项目报价</t>
  </si>
  <si>
    <t>报价注意点：</t>
  </si>
  <si>
    <t>1、运输费按照100公里距离计算
2、包装按照周转箱计算。
3、料头重量按照0%回收比例计算（实际可回收），非外观件可针阀直接点在产品上。
4、产品克重统一根据数据体积*密度1.2计算。
5、原材料价格参考锦湖日丽，普利特类似材料价格
6、报价不含年降</t>
  </si>
  <si>
    <t>NO</t>
  </si>
  <si>
    <t>车型</t>
  </si>
  <si>
    <t>零件号</t>
  </si>
  <si>
    <t>产品名称</t>
  </si>
  <si>
    <t>部品图片</t>
  </si>
  <si>
    <t>产品尺寸</t>
  </si>
  <si>
    <t>模穴数</t>
  </si>
  <si>
    <t>取数</t>
  </si>
  <si>
    <t>员数</t>
  </si>
  <si>
    <t>图纸&amp;BOM要求材料</t>
  </si>
  <si>
    <t>总量纲/W</t>
  </si>
  <si>
    <t>生命周期</t>
  </si>
  <si>
    <t>月批量</t>
  </si>
  <si>
    <t>制品重量（G）</t>
  </si>
  <si>
    <t>料头（G）</t>
  </si>
  <si>
    <t>再生率 （%）</t>
  </si>
  <si>
    <t>步留 （%）</t>
  </si>
  <si>
    <t>段取
(g)</t>
  </si>
  <si>
    <t>使用
重量  (g)</t>
  </si>
  <si>
    <t>材料单价 (RMB)</t>
  </si>
  <si>
    <t>不良损耗</t>
  </si>
  <si>
    <t>部品材料费RMB</t>
  </si>
  <si>
    <t>成形机（T）</t>
  </si>
  <si>
    <t>友成加工时间 (S)</t>
  </si>
  <si>
    <t>机台费率/分</t>
  </si>
  <si>
    <t>分钟机台费率
/60/机台效率90%（RMB/S）</t>
  </si>
  <si>
    <t>加工费 (RMB)</t>
  </si>
  <si>
    <t>材料管理费用</t>
  </si>
  <si>
    <t>加工管理费（RMB）</t>
  </si>
  <si>
    <t>运输  (RMB)</t>
  </si>
  <si>
    <t>包装（RMB）</t>
  </si>
  <si>
    <t>利润                      （RMB）</t>
  </si>
  <si>
    <t>模具费</t>
  </si>
  <si>
    <t>模具实验分摊费(52.5万套)</t>
  </si>
  <si>
    <t xml:space="preserve">总计价格
/RMB未税
</t>
  </si>
  <si>
    <t>雷诺GEA</t>
  </si>
  <si>
    <t>INT40003073</t>
  </si>
  <si>
    <t>READING LAMP BRACKET 后阅读灯支架-LH(左)</t>
  </si>
  <si>
    <t>130.6×65.6×43.5mm(STEP内核实测) 体积4.78cc</t>
  </si>
  <si>
    <t>PP-T20(估值/待确认)</t>
  </si>
  <si>
    <t>160</t>
  </si>
  <si>
    <t>READING LAMP BRACKET 后阅读灯支架-RH(右)</t>
  </si>
  <si>
    <t>材料年用量</t>
  </si>
  <si>
    <t>材料月用量</t>
  </si>
  <si>
    <t>月销售</t>
  </si>
  <si>
    <t>年销售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</si>
</sst>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6" formatCode="_ * #,##0.00_ ;_ * \-#,##0.00_ ;_ * &quot;-&quot;??_ ;_ @_ "/>
    <numFmt numFmtId="168" formatCode="_-* #,##0.00\ [$€-1]_-;\-* #,##0.00\ [$€-1]_-;_-* &quot;-&quot;??\ [$€-1]_-"/>
    <numFmt numFmtId="169" formatCode="0.00_ "/>
    <numFmt numFmtId="170" formatCode="\¥#,##0.00_);[Red]\(\¥#,##0.00\)"/>
    <numFmt numFmtId="171" formatCode="\¥#,##0_);[Red]\(\¥#,##0\)"/>
    <numFmt numFmtId="172" formatCode="0.0000_ "/>
    <numFmt numFmtId="173" formatCode="0.00_);[Red]\(0.00\)"/>
    <numFmt numFmtId="174" formatCode="_ * #,##0.0000_ ;_ * \-#,##0.0000_ ;_ * &quot;-&quot;??.00_ ;_ @_ "/>
    <numFmt numFmtId="175" formatCode="#,##0_ "/>
    <numFmt numFmtId="176" formatCode="#,##0.00_ "/>
    <numFmt numFmtId="177" formatCode="#,##0.000_ "/>
    <numFmt numFmtId="178" formatCode="#,##0.0000_);[Red]\(#,##0.0000\)"/>
    <numFmt numFmtId="182" formatCode="_ * #,##0_ ;_ * \-#,##0_ ;_ * &quot;-&quot;??_ ;_ @_ "/>
  </numFmts>
  <fonts count="28">
    <font>
      <sz val="11"/>
      <color indexed="8"/>
      <name val="宋体"/>
      <charset val="134"/>
    </font>
    <font>
      <sz val="18"/>
      <color indexed="8"/>
      <name val="微软雅黑"/>
      <charset val="134"/>
    </font>
    <font>
      <b/>
      <sz val="11"/>
      <color indexed="8"/>
      <name val="微软雅黑"/>
      <charset val="134"/>
    </font>
    <font>
      <b/>
      <sz val="11"/>
      <color indexed="8"/>
      <name val="宋体"/>
      <charset val="134"/>
    </font>
    <font>
      <sz val="18"/>
      <name val="微软雅黑"/>
      <charset val="134"/>
    </font>
    <font>
      <b/>
      <sz val="18"/>
      <name val="微软雅黑"/>
      <charset val="134"/>
    </font>
    <font>
      <b/>
      <sz val="18"/>
      <color rgb="FFC00000"/>
      <name val="微软雅黑"/>
      <charset val="134"/>
    </font>
    <font>
      <b/>
      <sz val="14"/>
      <color rgb="FFC00000"/>
      <name val="微软雅黑"/>
      <charset val="134"/>
    </font>
    <font>
      <sz val="18"/>
      <color rgb="FF0070C0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10"/>
      <color indexed="8"/>
      <name val="Calibri"/>
      <charset val="134"/>
    </font>
    <font>
      <sz val="11"/>
      <color indexed="8"/>
      <name val="微软雅黑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sz val="11"/>
      <name val="Arial"/>
      <charset val="134"/>
    </font>
    <font>
      <b/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sz val="11"/>
      <name val="ＭＳ Ｐゴシック"/>
      <charset val="134"/>
    </font>
    <font>
      <sz val="14"/>
      <name val="System"/>
      <charset val="134"/>
    </font>
    <font>
      <sz val="11"/>
      <color indexed="8"/>
      <name val="宋体"/>
      <charset val="134"/>
    </font>
    <font>
      <b/>
      <sz val="1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>
      <alignment vertical="center"/>
    </xf>
    <xf numFmtId="9" fontId="26" fillId="0" borderId="0">
      <alignment vertical="center"/>
    </xf>
    <xf numFmtId="166" fontId="22" fillId="0" borderId="0"/>
    <xf numFmtId="168" fontId="22" fillId="0" borderId="0"/>
    <xf numFmtId="168" fontId="22" fillId="0" borderId="0"/>
    <xf numFmtId="0" fontId="21" fillId="0" borderId="0">
      <alignment vertical="center"/>
    </xf>
    <xf numFmtId="0" fontId="23" fillId="0" borderId="0">
      <alignment vertical="center"/>
    </xf>
    <xf numFmtId="0" fontId="22" fillId="0" borderId="0"/>
    <xf numFmtId="0" fontId="24" fillId="0" borderId="0"/>
    <xf numFmtId="0" fontId="22" fillId="0" borderId="0"/>
    <xf numFmtId="0" fontId="23" fillId="0" borderId="0"/>
    <xf numFmtId="0" fontId="25" fillId="0" borderId="0"/>
    <xf numFmtId="0" fontId="23" fillId="0" borderId="0"/>
  </cellStyleXfs>
  <cellXfs count="127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4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top" wrapText="1"/>
      <protection locked="0"/>
    </xf>
    <xf numFmtId="169" fontId="5" fillId="0" borderId="0" xfId="0" applyNumberFormat="1" applyFont="1" applyAlignment="1" applyProtection="1">
      <alignment horizontal="center" vertical="center"/>
      <protection locked="0"/>
    </xf>
    <xf numFmtId="170" fontId="5" fillId="0" borderId="0" xfId="0" applyNumberFormat="1" applyFont="1" applyAlignment="1" applyProtection="1">
      <alignment horizontal="center" vertical="center"/>
      <protection locked="0"/>
    </xf>
    <xf numFmtId="170" fontId="4" fillId="0" borderId="0" xfId="0" applyNumberFormat="1" applyFont="1" applyProtection="1">
      <alignment vertical="center"/>
      <protection locked="0"/>
    </xf>
    <xf numFmtId="171" fontId="4" fillId="0" borderId="0" xfId="0" applyNumberFormat="1" applyFont="1" applyProtection="1">
      <alignment vertical="center"/>
      <protection locked="0"/>
    </xf>
    <xf numFmtId="0" fontId="5" fillId="0" borderId="0" xfId="8" applyFont="1" applyAlignment="1">
      <alignment horizontal="left" vertical="center"/>
    </xf>
    <xf numFmtId="0" fontId="4" fillId="0" borderId="0" xfId="0" applyFont="1">
      <alignment vertical="center"/>
    </xf>
    <xf numFmtId="0" fontId="8" fillId="2" borderId="0" xfId="0" applyFont="1" applyFill="1" applyAlignment="1">
      <alignment vertical="center" wrapText="1"/>
    </xf>
    <xf numFmtId="169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172" fontId="5" fillId="0" borderId="0" xfId="0" applyNumberFormat="1" applyFont="1" applyProtection="1">
      <alignment vertical="center"/>
      <protection locked="0"/>
    </xf>
    <xf numFmtId="170" fontId="4" fillId="0" borderId="0" xfId="0" applyNumberFormat="1" applyFont="1" applyAlignment="1" applyProtection="1">
      <alignment horizontal="center" vertical="center"/>
      <protection locked="0"/>
    </xf>
    <xf numFmtId="170" fontId="4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6" applyFont="1" applyFill="1" applyBorder="1" applyAlignment="1">
      <alignment horizontal="center" vertical="center" wrapText="1"/>
    </xf>
    <xf numFmtId="169" fontId="9" fillId="3" borderId="1" xfId="6" applyNumberFormat="1" applyFont="1" applyFill="1" applyBorder="1" applyAlignment="1">
      <alignment horizontal="center" vertical="center" wrapText="1"/>
    </xf>
    <xf numFmtId="170" fontId="9" fillId="3" borderId="1" xfId="6" applyNumberFormat="1" applyFont="1" applyFill="1" applyBorder="1" applyAlignment="1">
      <alignment horizontal="center" vertical="center" wrapText="1"/>
    </xf>
    <xf numFmtId="171" fontId="9" fillId="3" borderId="1" xfId="0" applyNumberFormat="1" applyFont="1" applyFill="1" applyBorder="1" applyAlignment="1">
      <alignment horizontal="center" vertical="center" wrapText="1"/>
    </xf>
    <xf numFmtId="170" fontId="9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12" fillId="0" borderId="1" xfId="0" applyFont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10" applyFont="1" applyBorder="1" applyAlignment="1">
      <alignment horizontal="left" vertical="center" wrapText="1"/>
    </xf>
    <xf numFmtId="0" fontId="10" fillId="0" borderId="1" xfId="1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0" fillId="0" borderId="1" xfId="7" applyFont="1" applyBorder="1" applyAlignment="1">
      <alignment horizontal="center" vertical="center" wrapText="1"/>
    </xf>
    <xf numFmtId="0" fontId="10" fillId="2" borderId="1" xfId="1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10" fontId="10" fillId="0" borderId="1" xfId="7" applyNumberFormat="1" applyFont="1" applyBorder="1" applyAlignment="1" applyProtection="1">
      <alignment horizontal="center" vertical="center" wrapText="1"/>
      <protection locked="0"/>
    </xf>
    <xf numFmtId="10" fontId="10" fillId="0" borderId="1" xfId="7" applyNumberFormat="1" applyFont="1" applyBorder="1" applyAlignment="1">
      <alignment vertical="center" wrapText="1"/>
    </xf>
    <xf numFmtId="0" fontId="10" fillId="0" borderId="1" xfId="9" applyFont="1" applyBorder="1" applyAlignment="1">
      <alignment horizontal="center" vertical="center"/>
    </xf>
    <xf numFmtId="173" fontId="11" fillId="0" borderId="1" xfId="6" applyNumberFormat="1" applyFont="1" applyBorder="1" applyAlignment="1">
      <alignment horizontal="center" vertical="center"/>
    </xf>
    <xf numFmtId="9" fontId="10" fillId="2" borderId="1" xfId="1" applyFont="1" applyFill="1" applyBorder="1" applyAlignment="1">
      <alignment horizontal="center" vertical="center"/>
    </xf>
    <xf numFmtId="174" fontId="10" fillId="0" borderId="1" xfId="6" applyNumberFormat="1" applyFont="1" applyBorder="1" applyAlignment="1">
      <alignment horizontal="right" vertical="center"/>
    </xf>
    <xf numFmtId="175" fontId="12" fillId="2" borderId="1" xfId="0" applyNumberFormat="1" applyFont="1" applyFill="1" applyBorder="1" applyAlignment="1">
      <alignment horizontal="right" vertical="center"/>
    </xf>
    <xf numFmtId="175" fontId="10" fillId="2" borderId="1" xfId="0" applyNumberFormat="1" applyFont="1" applyFill="1" applyBorder="1" applyAlignment="1">
      <alignment horizontal="right" vertical="center"/>
    </xf>
    <xf numFmtId="176" fontId="10" fillId="2" borderId="1" xfId="0" applyNumberFormat="1" applyFont="1" applyFill="1" applyBorder="1" applyAlignment="1">
      <alignment horizontal="right" vertical="center"/>
    </xf>
    <xf numFmtId="177" fontId="10" fillId="0" borderId="1" xfId="6" applyNumberFormat="1" applyFont="1" applyBorder="1" applyAlignment="1">
      <alignment horizontal="right" vertical="center"/>
    </xf>
    <xf numFmtId="9" fontId="10" fillId="0" borderId="1" xfId="1" applyFont="1" applyBorder="1" applyAlignment="1">
      <alignment horizontal="right" vertical="center"/>
    </xf>
    <xf numFmtId="177" fontId="10" fillId="2" borderId="1" xfId="6" applyNumberFormat="1" applyFont="1" applyFill="1" applyBorder="1" applyAlignment="1">
      <alignment horizontal="right" vertical="center"/>
    </xf>
    <xf numFmtId="175" fontId="10" fillId="0" borderId="1" xfId="6" applyNumberFormat="1" applyFont="1" applyBorder="1" applyAlignment="1">
      <alignment horizontal="right" vertical="center"/>
    </xf>
    <xf numFmtId="178" fontId="10" fillId="0" borderId="1" xfId="6" applyNumberFormat="1" applyFont="1" applyBorder="1" applyAlignment="1">
      <alignment horizontal="right" vertical="center"/>
    </xf>
    <xf numFmtId="182" fontId="10" fillId="0" borderId="1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/>
    </xf>
    <xf numFmtId="182" fontId="10" fillId="0" borderId="1" xfId="0" applyNumberFormat="1" applyFont="1" applyBorder="1" applyAlignment="1" applyProtection="1">
      <alignment horizontal="center" vertical="center"/>
      <protection locked="0"/>
    </xf>
    <xf numFmtId="166" fontId="10" fillId="0" borderId="1" xfId="0" applyNumberFormat="1" applyFont="1" applyBorder="1" applyAlignment="1" applyProtection="1">
      <alignment horizontal="center" vertical="center"/>
      <protection locked="0"/>
    </xf>
    <xf numFmtId="182" fontId="10" fillId="0" borderId="1" xfId="9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0" fontId="10" fillId="0" borderId="1" xfId="0" applyNumberFormat="1" applyFont="1" applyBorder="1" applyAlignment="1" applyProtection="1">
      <alignment horizontal="center" vertical="center" wrapText="1"/>
      <protection locked="0"/>
    </xf>
    <xf numFmtId="10" fontId="10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173" fontId="11" fillId="0" borderId="1" xfId="0" applyNumberFormat="1" applyFont="1" applyBorder="1" applyAlignment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174" fontId="10" fillId="0" borderId="1" xfId="0" applyNumberFormat="1" applyFont="1" applyBorder="1" applyAlignment="1">
      <alignment horizontal="right" vertical="center"/>
    </xf>
    <xf numFmtId="177" fontId="10" fillId="0" borderId="1" xfId="0" applyNumberFormat="1" applyFont="1" applyBorder="1" applyAlignment="1">
      <alignment horizontal="right" vertical="center"/>
    </xf>
    <xf numFmtId="9" fontId="10" fillId="0" borderId="1" xfId="0" applyNumberFormat="1" applyFont="1" applyBorder="1" applyAlignment="1">
      <alignment horizontal="right" vertical="center"/>
    </xf>
    <xf numFmtId="177" fontId="10" fillId="2" borderId="1" xfId="0" applyNumberFormat="1" applyFont="1" applyFill="1" applyBorder="1" applyAlignment="1">
      <alignment horizontal="right" vertical="center"/>
    </xf>
    <xf numFmtId="175" fontId="10" fillId="0" borderId="1" xfId="0" applyNumberFormat="1" applyFont="1" applyBorder="1" applyAlignment="1">
      <alignment horizontal="right" vertical="center"/>
    </xf>
    <xf numFmtId="178" fontId="10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 applyProtection="1">
      <alignment horizontal="center" vertical="center" wrapText="1"/>
      <protection locked="0"/>
    </xf>
    <xf numFmtId="49" fontId="16" fillId="0" borderId="1" xfId="0" applyNumberFormat="1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7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6" fillId="4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" xfId="10" applyFont="1" applyBorder="1" applyAlignment="1">
      <alignment horizontal="left" vertical="center" wrapText="1"/>
    </xf>
    <xf numFmtId="0" fontId="16" fillId="0" borderId="1" xfId="10" applyFont="1" applyBorder="1" applyAlignment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18" fillId="4" borderId="1" xfId="7" applyFont="1" applyFill="1" applyBorder="1" applyAlignment="1">
      <alignment horizontal="center" vertical="center" wrapText="1"/>
    </xf>
    <xf numFmtId="0" fontId="16" fillId="2" borderId="1" xfId="10" applyFont="1" applyFill="1" applyBorder="1" applyAlignment="1">
      <alignment horizontal="center" vertical="center" wrapText="1"/>
    </xf>
    <xf numFmtId="0" fontId="16" fillId="4" borderId="1" xfId="0" applyFont="1" applyFill="1" applyBorder="1" applyAlignment="1" applyProtection="1">
      <alignment horizontal="center" vertical="center"/>
      <protection locked="0"/>
    </xf>
    <xf numFmtId="10" fontId="18" fillId="0" borderId="1" xfId="7" applyNumberFormat="1" applyFont="1" applyBorder="1" applyAlignment="1" applyProtection="1">
      <alignment horizontal="center" vertical="center" wrapText="1"/>
      <protection locked="0"/>
    </xf>
    <xf numFmtId="10" fontId="18" fillId="0" borderId="1" xfId="7" applyNumberFormat="1" applyFont="1" applyBorder="1" applyAlignment="1">
      <alignment vertical="center" wrapText="1"/>
    </xf>
    <xf numFmtId="0" fontId="18" fillId="0" borderId="1" xfId="9" applyFont="1" applyBorder="1" applyAlignment="1">
      <alignment horizontal="center" vertical="center"/>
    </xf>
    <xf numFmtId="173" fontId="19" fillId="0" borderId="1" xfId="6" applyNumberFormat="1" applyFont="1" applyBorder="1" applyAlignment="1">
      <alignment horizontal="center" vertical="center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9" fontId="16" fillId="4" borderId="1" xfId="1" applyFont="1" applyFill="1" applyBorder="1" applyAlignment="1">
      <alignment horizontal="center" vertical="center"/>
    </xf>
    <xf numFmtId="174" fontId="16" fillId="0" borderId="1" xfId="6" applyNumberFormat="1" applyFont="1" applyBorder="1" applyAlignment="1">
      <alignment horizontal="right" vertical="center"/>
    </xf>
    <xf numFmtId="175" fontId="20" fillId="4" borderId="1" xfId="0" applyNumberFormat="1" applyFont="1" applyFill="1" applyBorder="1" applyAlignment="1">
      <alignment horizontal="right" vertical="center"/>
    </xf>
    <xf numFmtId="175" fontId="16" fillId="2" borderId="1" xfId="0" applyNumberFormat="1" applyFont="1" applyFill="1" applyBorder="1" applyAlignment="1">
      <alignment horizontal="right" vertical="center"/>
    </xf>
    <xf numFmtId="176" fontId="20" fillId="4" borderId="1" xfId="0" applyNumberFormat="1" applyFont="1" applyFill="1" applyBorder="1" applyAlignment="1">
      <alignment horizontal="right" vertical="center"/>
    </xf>
    <xf numFmtId="177" fontId="16" fillId="0" borderId="1" xfId="6" applyNumberFormat="1" applyFont="1" applyBorder="1" applyAlignment="1">
      <alignment horizontal="right" vertical="center"/>
    </xf>
    <xf numFmtId="9" fontId="16" fillId="4" borderId="1" xfId="1" applyFont="1" applyFill="1" applyBorder="1" applyAlignment="1">
      <alignment horizontal="right" vertical="center"/>
    </xf>
    <xf numFmtId="177" fontId="16" fillId="4" borderId="1" xfId="6" applyNumberFormat="1" applyFont="1" applyFill="1" applyBorder="1" applyAlignment="1">
      <alignment horizontal="right" vertical="center"/>
    </xf>
    <xf numFmtId="9" fontId="16" fillId="0" borderId="1" xfId="1" applyFont="1" applyBorder="1" applyAlignment="1">
      <alignment horizontal="right" vertical="center"/>
    </xf>
    <xf numFmtId="175" fontId="16" fillId="4" borderId="1" xfId="6" applyNumberFormat="1" applyFont="1" applyFill="1" applyBorder="1" applyAlignment="1">
      <alignment horizontal="right" vertical="center"/>
    </xf>
    <xf numFmtId="178" fontId="16" fillId="0" borderId="1" xfId="6" applyNumberFormat="1" applyFont="1" applyBorder="1" applyAlignment="1">
      <alignment horizontal="right" vertical="center"/>
    </xf>
    <xf numFmtId="182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82" fontId="16" fillId="0" borderId="1" xfId="0" applyNumberFormat="1" applyFont="1" applyBorder="1" applyAlignment="1" applyProtection="1">
      <alignment horizontal="center" vertical="center"/>
      <protection locked="0"/>
    </xf>
    <xf numFmtId="166" fontId="16" fillId="0" borderId="1" xfId="0" applyNumberFormat="1" applyFont="1" applyBorder="1" applyAlignment="1" applyProtection="1">
      <alignment horizontal="center" vertical="center"/>
      <protection locked="0"/>
    </xf>
    <xf numFmtId="182" fontId="18" fillId="0" borderId="1" xfId="9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0" fontId="16" fillId="0" borderId="1" xfId="0" applyNumberFormat="1" applyFont="1" applyBorder="1" applyAlignment="1" applyProtection="1">
      <alignment horizontal="center" vertical="center" wrapText="1"/>
      <protection locked="0"/>
    </xf>
    <xf numFmtId="10" fontId="16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173" fontId="19" fillId="0" borderId="1" xfId="0" applyNumberFormat="1" applyFont="1" applyBorder="1" applyAlignment="1">
      <alignment horizontal="center" vertical="center"/>
    </xf>
    <xf numFmtId="174" fontId="16" fillId="0" borderId="1" xfId="0" applyNumberFormat="1" applyFont="1" applyBorder="1" applyAlignment="1">
      <alignment horizontal="right" vertical="center"/>
    </xf>
    <xf numFmtId="177" fontId="16" fillId="0" borderId="1" xfId="0" applyNumberFormat="1" applyFont="1" applyBorder="1" applyAlignment="1">
      <alignment horizontal="right" vertical="center"/>
    </xf>
    <xf numFmtId="9" fontId="16" fillId="4" borderId="1" xfId="0" applyNumberFormat="1" applyFont="1" applyFill="1" applyBorder="1" applyAlignment="1">
      <alignment horizontal="right" vertical="center"/>
    </xf>
    <xf numFmtId="9" fontId="16" fillId="0" borderId="1" xfId="0" applyNumberFormat="1" applyFont="1" applyBorder="1" applyAlignment="1">
      <alignment horizontal="right" vertical="center"/>
    </xf>
    <xf numFmtId="178" fontId="16" fillId="0" borderId="1" xfId="0" applyNumberFormat="1" applyFont="1" applyBorder="1" applyAlignment="1">
      <alignment horizontal="right" vertical="center"/>
    </xf>
    <xf numFmtId="0" fontId="7" fillId="2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protection locked="0"/>
    </xf>
    <xf numFmtId="171" fontId="27" fillId="3" borderId="1" xfId="0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9" fontId="26" fillId="0" borderId="0" xfId="1">
      <alignment vertical="center"/>
    </xf>
  </cellXfs>
  <cellStyles count="13">
    <cellStyle name="Comma 2 10" xfId="2" xr:uid="{00000000-0005-0000-0000-000031000000}"/>
    <cellStyle name="Normal" xfId="0" builtinId="0"/>
    <cellStyle name="Normal 2 2" xfId="3" xr:uid="{00000000-0005-0000-0000-000032000000}"/>
    <cellStyle name="Normal 2 2 2" xfId="12" xr:uid="{00000000-0005-0000-0000-00003B000000}"/>
    <cellStyle name="Normal 2 2 2 2" xfId="10" xr:uid="{00000000-0005-0000-0000-000039000000}"/>
    <cellStyle name="Normal 3" xfId="4" xr:uid="{00000000-0005-0000-0000-000033000000}"/>
    <cellStyle name="Percent" xfId="1" builtinId="5"/>
    <cellStyle name="常规 4 2" xfId="5" xr:uid="{00000000-0005-0000-0000-000034000000}"/>
    <cellStyle name="常规_ (2)" xfId="11" xr:uid="{00000000-0005-0000-0000-00003A000000}"/>
    <cellStyle name="常规_030821XEROX确认" xfId="6" xr:uid="{00000000-0005-0000-0000-000035000000}"/>
    <cellStyle name="常规_IEM外协" xfId="7" xr:uid="{00000000-0005-0000-0000-000036000000}"/>
    <cellStyle name="常规_Sheet1" xfId="8" xr:uid="{00000000-0005-0000-0000-000037000000}"/>
    <cellStyle name="样式 1" xfId="9" xr:uid="{00000000-0005-0000-0000-000038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E&#30424;/&#9313;.&#24310;&#38155;/&#9313;.&#39033;&#30446;&#20449;&#24687;/20230816-W02&#39033;&#30446;(&#20986;&#24120;&#24030;)/&#9312;.&#20135;&#21697;&#25968;&#25454;/BOM%2030015278_LI%20AUTO_W02_&#20391;&#22260;_M_VER%20A_FROM_ZHANGJIANHUI_20230724%20TO&#21451;&#2510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 Status"/>
      <sheetName val="Work Instructions"/>
      <sheetName val="EBOMTemplate"/>
      <sheetName val="ALL_Ver"/>
      <sheetName val="HstyVer_Sheet4_A"/>
      <sheetName val="Rev. History"/>
      <sheetName val="Checklist"/>
      <sheetName val="BOM"/>
      <sheetName val="ImportCBOM"/>
      <sheetName val="PDsheet0"/>
      <sheetName val="Assumptions"/>
      <sheetName val="Visual"/>
      <sheetName val="Part Desc."/>
      <sheetName val="VE Ideas"/>
      <sheetName val="Questions"/>
      <sheetName val="Explaination"/>
      <sheetName val="Self-made Process Flow"/>
      <sheetName val="Tool list(just for new process)"/>
      <sheetName val="Drop-Down Lists"/>
      <sheetName val="Mfg Process List"/>
      <sheetName val="Material List"/>
      <sheetName val=" PPV 2015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"/>
  <sheetViews>
    <sheetView tabSelected="1" topLeftCell="A5" workbookViewId="0">
      <selection activeCell="K15" sqref="K15"/>
    </sheetView>
  </sheetViews>
  <sheetFormatPr baseColWidth="10" defaultColWidth="9" defaultRowHeight="14"/>
  <cols>
    <col min="1" max="1" width="6.33203125" style="5" customWidth="1"/>
    <col min="2" max="2" width="7.5" style="5" customWidth="1"/>
    <col min="4" max="4" width="19.33203125" style="5" customWidth="1"/>
    <col min="5" max="5" width="10.6640625" style="5" customWidth="1"/>
    <col min="6" max="6" width="16.6640625" style="5" customWidth="1"/>
    <col min="26" max="26" width="11.33203125" style="5" customWidth="1"/>
    <col min="27" max="27" width="8" style="5" customWidth="1"/>
    <col min="32" max="32" width="7.5" style="5" customWidth="1"/>
  </cols>
  <sheetData>
    <row r="1" spans="1:46" s="1" customFormat="1" ht="19" customHeight="1">
      <c r="A1" s="6"/>
      <c r="B1" s="6" t="s">
        <v>0</v>
      </c>
      <c r="C1" s="7"/>
      <c r="D1" s="8" t="s">
        <v>1</v>
      </c>
      <c r="E1" s="122" t="s">
        <v>2</v>
      </c>
      <c r="F1" s="123"/>
      <c r="G1" s="123"/>
      <c r="H1" s="123"/>
      <c r="I1" s="123"/>
      <c r="J1" s="123"/>
      <c r="K1" s="7"/>
      <c r="L1" s="7"/>
      <c r="M1" s="7"/>
      <c r="N1" s="9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10"/>
      <c r="AA1" s="7"/>
      <c r="AB1" s="10"/>
      <c r="AC1" s="7"/>
      <c r="AD1" s="10"/>
      <c r="AE1" s="10"/>
      <c r="AF1" s="10"/>
      <c r="AG1" s="10"/>
      <c r="AH1" s="10"/>
      <c r="AI1" s="10"/>
      <c r="AJ1" s="10"/>
      <c r="AK1" s="10"/>
      <c r="AL1" s="10"/>
      <c r="AM1" s="12"/>
      <c r="AN1" s="12"/>
      <c r="AO1" s="12"/>
      <c r="AP1" s="12"/>
      <c r="AQ1" s="12"/>
      <c r="AR1" s="12"/>
      <c r="AS1" s="11"/>
    </row>
    <row r="2" spans="1:46" s="2" customFormat="1" ht="44" customHeight="1">
      <c r="B2" s="13"/>
      <c r="C2" s="14"/>
      <c r="D2" s="15"/>
      <c r="E2" s="123"/>
      <c r="F2" s="123"/>
      <c r="G2" s="123"/>
      <c r="H2" s="123"/>
      <c r="I2" s="123"/>
      <c r="J2" s="123"/>
      <c r="K2" s="7"/>
      <c r="L2" s="7"/>
      <c r="M2" s="7"/>
      <c r="N2" s="16"/>
      <c r="O2" s="14"/>
      <c r="P2" s="14"/>
      <c r="Q2" s="14"/>
      <c r="R2" s="14"/>
      <c r="S2" s="17"/>
      <c r="T2" s="17"/>
      <c r="U2" s="14"/>
      <c r="V2" s="14"/>
      <c r="W2" s="14"/>
      <c r="X2" s="18"/>
      <c r="Y2" s="18"/>
      <c r="Z2" s="19"/>
      <c r="AA2" s="17"/>
      <c r="AB2" s="20"/>
      <c r="AC2" s="17"/>
      <c r="AD2" s="20"/>
      <c r="AE2" s="20"/>
      <c r="AF2" s="20"/>
      <c r="AG2" s="20"/>
      <c r="AH2" s="20"/>
      <c r="AI2" s="20"/>
      <c r="AJ2" s="20"/>
      <c r="AK2" s="20"/>
      <c r="AL2" s="20"/>
      <c r="AM2" s="21"/>
      <c r="AN2" s="21"/>
      <c r="AO2" s="21"/>
      <c r="AP2" s="21"/>
      <c r="AQ2" s="21"/>
      <c r="AR2" s="21"/>
      <c r="AS2" s="20"/>
    </row>
    <row r="3" spans="1:46" s="3" customFormat="1" ht="68" customHeight="1">
      <c r="A3" s="22" t="s">
        <v>3</v>
      </c>
      <c r="B3" s="22" t="s">
        <v>4</v>
      </c>
      <c r="C3" s="22" t="s">
        <v>5</v>
      </c>
      <c r="D3" s="22" t="s">
        <v>6</v>
      </c>
      <c r="E3" s="22" t="s">
        <v>7</v>
      </c>
      <c r="F3" s="22" t="s">
        <v>8</v>
      </c>
      <c r="G3" s="22" t="s">
        <v>9</v>
      </c>
      <c r="H3" s="23" t="s">
        <v>10</v>
      </c>
      <c r="I3" s="23" t="s">
        <v>11</v>
      </c>
      <c r="J3" s="23" t="s">
        <v>12</v>
      </c>
      <c r="K3" s="23" t="s">
        <v>13</v>
      </c>
      <c r="L3" s="23" t="s">
        <v>14</v>
      </c>
      <c r="M3" s="23" t="s">
        <v>15</v>
      </c>
      <c r="N3" s="24" t="s">
        <v>16</v>
      </c>
      <c r="O3" s="23" t="s">
        <v>17</v>
      </c>
      <c r="P3" s="23" t="s">
        <v>18</v>
      </c>
      <c r="Q3" s="23" t="s">
        <v>19</v>
      </c>
      <c r="R3" s="23" t="s">
        <v>20</v>
      </c>
      <c r="S3" s="23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3" t="s">
        <v>27</v>
      </c>
      <c r="Z3" s="25" t="s">
        <v>28</v>
      </c>
      <c r="AA3" s="23" t="s">
        <v>23</v>
      </c>
      <c r="AB3" s="25" t="s">
        <v>29</v>
      </c>
      <c r="AC3" s="23" t="s">
        <v>30</v>
      </c>
      <c r="AD3" s="25" t="s">
        <v>31</v>
      </c>
      <c r="AE3" s="25" t="s">
        <v>32</v>
      </c>
      <c r="AF3" s="25"/>
      <c r="AG3" s="25" t="s">
        <v>33</v>
      </c>
      <c r="AH3" s="25"/>
      <c r="AI3" s="25" t="s">
        <v>34</v>
      </c>
      <c r="AJ3" s="25" t="s">
        <v>35</v>
      </c>
      <c r="AK3" s="25" t="s">
        <v>36</v>
      </c>
      <c r="AL3" s="25" t="s">
        <v>37</v>
      </c>
      <c r="AM3" s="124" t="s">
        <v>46</v>
      </c>
      <c r="AN3" s="124" t="s">
        <v>45</v>
      </c>
      <c r="AO3" s="124" t="s">
        <v>47</v>
      </c>
      <c r="AP3" s="124" t="s">
        <v>48</v>
      </c>
      <c r="AQ3" s="26"/>
      <c r="AR3" s="26"/>
      <c r="AS3" s="27"/>
      <c r="AT3" s="28"/>
    </row>
    <row r="4" spans="1:46" s="3" customFormat="1" ht="66" customHeight="1">
      <c r="A4" s="29">
        <v>1</v>
      </c>
      <c r="B4" s="30" t="s">
        <v>38</v>
      </c>
      <c r="C4" s="30" t="s">
        <v>39</v>
      </c>
      <c r="D4" s="31" t="s">
        <v>40</v>
      </c>
      <c r="E4" s="32"/>
      <c r="F4" s="33" t="s">
        <v>41</v>
      </c>
      <c r="G4" s="34">
        <v>4</v>
      </c>
      <c r="H4" s="35">
        <v>4</v>
      </c>
      <c r="I4" s="36"/>
      <c r="J4" s="37" t="s">
        <v>42</v>
      </c>
      <c r="K4" s="38">
        <v>1.2</v>
      </c>
      <c r="L4" s="39">
        <v>3</v>
      </c>
      <c r="M4" s="40">
        <f>ROUND(K4/L4/12*10000,-2)</f>
        <v>300</v>
      </c>
      <c r="N4" s="41">
        <v>5</v>
      </c>
      <c r="O4" s="42">
        <v>0.75</v>
      </c>
      <c r="P4" s="43">
        <v>0</v>
      </c>
      <c r="Q4" s="44"/>
      <c r="R4" s="45">
        <v>15000</v>
      </c>
      <c r="S4" s="46">
        <f t="shared" ref="S4:S9" si="0">(N4+O4*(1-P4)/H4)*(1+Q4)+R4/M4</f>
        <v>55.1875</v>
      </c>
      <c r="T4" s="42">
        <v>10.7</v>
      </c>
      <c r="U4" s="47">
        <v>0.01</v>
      </c>
      <c r="V4" s="48">
        <f t="shared" ref="V4:V9" si="1">(S4*T4/1000)*(1+U4)</f>
        <v>0.5964113124999999</v>
      </c>
      <c r="W4" s="49" t="s">
        <v>43</v>
      </c>
      <c r="X4" s="50">
        <v>30</v>
      </c>
      <c r="Y4" s="51">
        <v>1.1399999999999999</v>
      </c>
      <c r="Z4" s="52">
        <f t="shared" ref="Z4:Z9" si="2">Y4/60/0.9</f>
        <v>2.1111111111111112E-2</v>
      </c>
      <c r="AA4" s="53">
        <f t="shared" ref="AA4:AA9" si="3">U4</f>
        <v>0.01</v>
      </c>
      <c r="AB4" s="52">
        <f t="shared" ref="AB4:AB9" si="4">(Z4*X4/H4)*(1+AA4)</f>
        <v>0.15991666666666665</v>
      </c>
      <c r="AC4" s="52">
        <f>V4*0.03</f>
        <v>1.7892339374999996E-2</v>
      </c>
      <c r="AD4" s="52">
        <f>(AB4)*0.08</f>
        <v>1.2793333333333332E-2</v>
      </c>
      <c r="AE4" s="54">
        <v>0.85470000000000002</v>
      </c>
      <c r="AF4" s="53">
        <f t="shared" ref="AF4:AF9" si="5">AE4/$AL4</f>
        <v>8.000321939351103E-2</v>
      </c>
      <c r="AG4" s="54">
        <v>0.53420000000000001</v>
      </c>
      <c r="AH4" s="53">
        <f t="shared" ref="AH4:AH9" si="6">AG4/$AL4</f>
        <v>5.0003182169198072E-2</v>
      </c>
      <c r="AI4" s="52">
        <f t="shared" ref="AI4:AI9" si="7">(AB4+AC4+AD4+AE4+AG4+V4)*8%</f>
        <v>0.17407309214999997</v>
      </c>
      <c r="AJ4" s="55">
        <v>100000</v>
      </c>
      <c r="AK4" s="52">
        <f t="shared" ref="AK4:AK9" si="8">AJ4/12000</f>
        <v>8.3333333333333339</v>
      </c>
      <c r="AL4" s="56">
        <f t="shared" ref="AL4:AL9" si="9">SUM($V4+$AB4+$AC4+$AD4+$AE4+$AG4+$AI4+$AK4)</f>
        <v>10.683320077358333</v>
      </c>
      <c r="AM4" s="57"/>
      <c r="AN4" s="58"/>
      <c r="AO4" s="59"/>
      <c r="AP4" s="59"/>
      <c r="AQ4" s="59"/>
      <c r="AR4" s="60"/>
      <c r="AS4" s="61"/>
      <c r="AT4" s="61"/>
    </row>
    <row r="5" spans="1:46" ht="66" customHeight="1">
      <c r="A5" s="29">
        <v>2</v>
      </c>
      <c r="B5" s="30" t="s">
        <v>38</v>
      </c>
      <c r="C5" s="30" t="s">
        <v>39</v>
      </c>
      <c r="D5" s="31" t="s">
        <v>44</v>
      </c>
      <c r="E5" s="32"/>
      <c r="F5" s="33" t="s">
        <v>41</v>
      </c>
      <c r="G5" s="34">
        <v>4</v>
      </c>
      <c r="H5" s="35">
        <v>4</v>
      </c>
      <c r="I5" s="36"/>
      <c r="J5" s="62" t="s">
        <v>42</v>
      </c>
      <c r="K5" s="63">
        <v>1.2</v>
      </c>
      <c r="L5" s="39">
        <v>3</v>
      </c>
      <c r="M5" s="63">
        <f>ROUND(K5/L5/12*10000,-2)</f>
        <v>300</v>
      </c>
      <c r="N5" s="64">
        <v>5</v>
      </c>
      <c r="O5" s="42">
        <v>0.75</v>
      </c>
      <c r="P5" s="65">
        <v>0</v>
      </c>
      <c r="Q5" s="66"/>
      <c r="R5" s="67">
        <v>15000</v>
      </c>
      <c r="S5" s="68">
        <f t="shared" si="0"/>
        <v>55.1875</v>
      </c>
      <c r="T5" s="42">
        <v>10.7</v>
      </c>
      <c r="U5" s="69">
        <v>0.01</v>
      </c>
      <c r="V5" s="70">
        <f t="shared" si="1"/>
        <v>0.5964113124999999</v>
      </c>
      <c r="W5" s="49" t="s">
        <v>43</v>
      </c>
      <c r="X5" s="50">
        <v>30</v>
      </c>
      <c r="Y5" s="51">
        <v>1.1399999999999999</v>
      </c>
      <c r="Z5" s="71">
        <f t="shared" si="2"/>
        <v>2.1111111111111112E-2</v>
      </c>
      <c r="AA5" s="72">
        <f t="shared" si="3"/>
        <v>0.01</v>
      </c>
      <c r="AB5" s="71">
        <f t="shared" si="4"/>
        <v>0.15991666666666665</v>
      </c>
      <c r="AC5" s="71">
        <f>V5*0.03</f>
        <v>1.7892339374999996E-2</v>
      </c>
      <c r="AD5" s="71">
        <f>(AB5)*0.08</f>
        <v>1.2793333333333332E-2</v>
      </c>
      <c r="AE5" s="73">
        <v>0.85470000000000002</v>
      </c>
      <c r="AF5" s="72">
        <f t="shared" si="5"/>
        <v>8.000321939351103E-2</v>
      </c>
      <c r="AG5" s="73">
        <v>0.53420000000000001</v>
      </c>
      <c r="AH5" s="72">
        <f t="shared" si="6"/>
        <v>5.0003182169198072E-2</v>
      </c>
      <c r="AI5" s="71">
        <f t="shared" si="7"/>
        <v>0.17407309214999997</v>
      </c>
      <c r="AJ5" s="74">
        <v>100000</v>
      </c>
      <c r="AK5" s="71">
        <f t="shared" si="8"/>
        <v>8.3333333333333339</v>
      </c>
      <c r="AL5" s="75">
        <f t="shared" si="9"/>
        <v>10.683320077358333</v>
      </c>
      <c r="AM5" s="57"/>
      <c r="AN5" s="58"/>
      <c r="AO5" s="59"/>
      <c r="AP5" s="59"/>
      <c r="AQ5" s="59"/>
      <c r="AR5" s="60"/>
      <c r="AS5" s="57"/>
      <c r="AT5" s="57"/>
    </row>
    <row r="8" spans="1:46" s="4" customFormat="1" ht="66" customHeight="1">
      <c r="A8" s="76">
        <v>1</v>
      </c>
      <c r="B8" s="77" t="s">
        <v>38</v>
      </c>
      <c r="C8" s="77" t="s">
        <v>39</v>
      </c>
      <c r="D8" s="78" t="s">
        <v>40</v>
      </c>
      <c r="E8" s="79"/>
      <c r="F8" s="80" t="s">
        <v>41</v>
      </c>
      <c r="G8" s="81">
        <v>2</v>
      </c>
      <c r="H8" s="81">
        <v>2</v>
      </c>
      <c r="I8" s="82"/>
      <c r="J8" s="83" t="s">
        <v>42</v>
      </c>
      <c r="K8" s="84">
        <v>1.2</v>
      </c>
      <c r="L8" s="85">
        <v>3</v>
      </c>
      <c r="M8" s="86">
        <f>ROUND(K8/L8/4*10000,-2)</f>
        <v>1000</v>
      </c>
      <c r="N8" s="87">
        <v>5</v>
      </c>
      <c r="O8" s="88">
        <v>6</v>
      </c>
      <c r="P8" s="89">
        <v>0</v>
      </c>
      <c r="Q8" s="90"/>
      <c r="R8" s="91">
        <v>15000</v>
      </c>
      <c r="S8" s="92">
        <f t="shared" si="0"/>
        <v>23</v>
      </c>
      <c r="T8" s="93">
        <v>10.7</v>
      </c>
      <c r="U8" s="94">
        <v>0.1</v>
      </c>
      <c r="V8" s="95">
        <f t="shared" si="1"/>
        <v>0.27071000000000001</v>
      </c>
      <c r="W8" s="96">
        <v>60</v>
      </c>
      <c r="X8" s="97">
        <v>30</v>
      </c>
      <c r="Y8" s="98">
        <v>1.1399999999999999</v>
      </c>
      <c r="Z8" s="99">
        <f t="shared" si="2"/>
        <v>2.1111111111111112E-2</v>
      </c>
      <c r="AA8" s="100">
        <f t="shared" si="3"/>
        <v>0.1</v>
      </c>
      <c r="AB8" s="99">
        <f t="shared" si="4"/>
        <v>0.34833333333333333</v>
      </c>
      <c r="AC8" s="101">
        <f>V8*0.2</f>
        <v>5.4142000000000003E-2</v>
      </c>
      <c r="AD8" s="101">
        <f>(AB8)*0.2</f>
        <v>6.9666666666666668E-2</v>
      </c>
      <c r="AE8" s="101">
        <v>0.3</v>
      </c>
      <c r="AF8" s="102">
        <f t="shared" si="5"/>
        <v>0.13137074241144786</v>
      </c>
      <c r="AG8" s="101">
        <v>0.3</v>
      </c>
      <c r="AH8" s="102">
        <f t="shared" si="6"/>
        <v>0.13137074241144786</v>
      </c>
      <c r="AI8" s="99">
        <f t="shared" si="7"/>
        <v>0.10742815999999999</v>
      </c>
      <c r="AJ8" s="103">
        <v>10000</v>
      </c>
      <c r="AK8" s="99">
        <f t="shared" si="8"/>
        <v>0.83333333333333337</v>
      </c>
      <c r="AL8" s="104">
        <f t="shared" si="9"/>
        <v>2.2836134933333336</v>
      </c>
      <c r="AM8" s="105"/>
      <c r="AN8" s="106"/>
      <c r="AO8" s="107"/>
      <c r="AP8" s="107"/>
      <c r="AQ8" s="107"/>
      <c r="AR8" s="108"/>
      <c r="AS8" s="109"/>
      <c r="AT8" s="109"/>
    </row>
    <row r="9" spans="1:46" ht="66" customHeight="1">
      <c r="A9" s="76">
        <v>2</v>
      </c>
      <c r="B9" s="77" t="s">
        <v>38</v>
      </c>
      <c r="C9" s="77" t="s">
        <v>39</v>
      </c>
      <c r="D9" s="78" t="s">
        <v>44</v>
      </c>
      <c r="E9" s="79"/>
      <c r="F9" s="80" t="s">
        <v>41</v>
      </c>
      <c r="G9" s="81">
        <v>2</v>
      </c>
      <c r="H9" s="81">
        <v>2</v>
      </c>
      <c r="I9" s="82"/>
      <c r="J9" s="110" t="s">
        <v>42</v>
      </c>
      <c r="K9" s="111">
        <v>1.2</v>
      </c>
      <c r="L9" s="85">
        <v>3</v>
      </c>
      <c r="M9" s="86">
        <f>ROUND(K9/L9/4*10000,-2)</f>
        <v>1000</v>
      </c>
      <c r="N9" s="112">
        <v>5</v>
      </c>
      <c r="O9" s="88">
        <v>6</v>
      </c>
      <c r="P9" s="113">
        <v>0</v>
      </c>
      <c r="Q9" s="114"/>
      <c r="R9" s="115">
        <v>15000</v>
      </c>
      <c r="S9" s="116">
        <f t="shared" si="0"/>
        <v>23</v>
      </c>
      <c r="T9" s="93">
        <v>10.7</v>
      </c>
      <c r="U9" s="94">
        <v>0.1</v>
      </c>
      <c r="V9" s="117">
        <f t="shared" si="1"/>
        <v>0.27071000000000001</v>
      </c>
      <c r="W9" s="96">
        <v>60</v>
      </c>
      <c r="X9" s="97">
        <v>30</v>
      </c>
      <c r="Y9" s="98">
        <v>1.1399999999999999</v>
      </c>
      <c r="Z9" s="118">
        <f t="shared" si="2"/>
        <v>2.1111111111111112E-2</v>
      </c>
      <c r="AA9" s="119">
        <f t="shared" si="3"/>
        <v>0.1</v>
      </c>
      <c r="AB9" s="118">
        <f t="shared" si="4"/>
        <v>0.34833333333333333</v>
      </c>
      <c r="AC9" s="101">
        <f>V9*0.2</f>
        <v>5.4142000000000003E-2</v>
      </c>
      <c r="AD9" s="101">
        <f>(AB9)*0.2</f>
        <v>6.9666666666666668E-2</v>
      </c>
      <c r="AE9" s="101">
        <v>0.3</v>
      </c>
      <c r="AF9" s="120">
        <f t="shared" si="5"/>
        <v>0.13137074241144786</v>
      </c>
      <c r="AG9" s="101">
        <v>0.3</v>
      </c>
      <c r="AH9" s="120">
        <f t="shared" si="6"/>
        <v>0.13137074241144786</v>
      </c>
      <c r="AI9" s="118">
        <f t="shared" si="7"/>
        <v>0.10742815999999999</v>
      </c>
      <c r="AJ9" s="103">
        <v>10000</v>
      </c>
      <c r="AK9" s="118">
        <f t="shared" si="8"/>
        <v>0.83333333333333337</v>
      </c>
      <c r="AL9" s="121">
        <f t="shared" si="9"/>
        <v>2.2836134933333336</v>
      </c>
      <c r="AM9" s="105"/>
      <c r="AN9" s="106"/>
      <c r="AO9" s="107"/>
      <c r="AP9" s="107"/>
      <c r="AQ9" s="107"/>
      <c r="AR9" s="108"/>
      <c r="AS9" s="105"/>
      <c r="AT9" s="105"/>
    </row>
    <row r="13" spans="1:46" s="4" customFormat="1" ht="66" customHeight="1">
      <c r="A13" s="76">
        <v>1</v>
      </c>
      <c r="B13" s="77" t="s">
        <v>38</v>
      </c>
      <c r="C13" s="77" t="s">
        <v>39</v>
      </c>
      <c r="D13" s="78" t="s">
        <v>40</v>
      </c>
      <c r="E13" s="79"/>
      <c r="F13" s="80" t="s">
        <v>41</v>
      </c>
      <c r="G13" s="81">
        <v>4</v>
      </c>
      <c r="H13" s="81">
        <v>4</v>
      </c>
      <c r="I13" s="82"/>
      <c r="J13" s="83" t="s">
        <v>42</v>
      </c>
      <c r="K13" s="84">
        <v>60</v>
      </c>
      <c r="L13" s="85">
        <v>3</v>
      </c>
      <c r="M13" s="86">
        <f>ROUND(K13/L13/12*10000,-2)</f>
        <v>16700</v>
      </c>
      <c r="N13" s="87">
        <v>5.5</v>
      </c>
      <c r="O13" s="88">
        <v>8</v>
      </c>
      <c r="P13" s="89">
        <v>0</v>
      </c>
      <c r="Q13" s="90"/>
      <c r="R13" s="91">
        <v>15000</v>
      </c>
      <c r="S13" s="92">
        <f t="shared" ref="S13:S14" si="10">(N13+O13*(1-P13)/H13)*(1+Q13)+R13/M13</f>
        <v>8.3982035928143706</v>
      </c>
      <c r="T13" s="93">
        <v>10.7</v>
      </c>
      <c r="U13" s="94">
        <v>0.03</v>
      </c>
      <c r="V13" s="95">
        <f t="shared" ref="V13:V14" si="11">(S13*T13/1000)*(1+U13)</f>
        <v>9.2556601796407165E-2</v>
      </c>
      <c r="W13" s="96">
        <v>160</v>
      </c>
      <c r="X13" s="97">
        <v>40</v>
      </c>
      <c r="Y13" s="98">
        <v>1.3</v>
      </c>
      <c r="Z13" s="99">
        <f t="shared" ref="Z13:Z14" si="12">Y13/60/0.9</f>
        <v>2.4074074074074074E-2</v>
      </c>
      <c r="AA13" s="100">
        <f t="shared" ref="AA13:AA14" si="13">U13</f>
        <v>0.03</v>
      </c>
      <c r="AB13" s="99">
        <f t="shared" ref="AB13:AB14" si="14">(Z13*X13/H13)*(1+AA13)</f>
        <v>0.247962962962963</v>
      </c>
      <c r="AC13" s="101">
        <f>V13*0.03</f>
        <v>2.7766980538922147E-3</v>
      </c>
      <c r="AD13" s="101">
        <f>(AB13)*0.03</f>
        <v>7.4388888888888898E-3</v>
      </c>
      <c r="AE13" s="101">
        <v>0.25</v>
      </c>
      <c r="AF13" s="102">
        <f t="shared" ref="AF13:AF14" si="15">AE13/$AL13</f>
        <v>0.30607473985873518</v>
      </c>
      <c r="AG13" s="101">
        <v>0.1</v>
      </c>
      <c r="AH13" s="102">
        <f t="shared" ref="AH13:AH14" si="16">AG13/$AL13</f>
        <v>0.12242989594349407</v>
      </c>
      <c r="AI13" s="99">
        <f t="shared" ref="AI13:AI14" si="17">(AB13+AC13+AD13+AE13+AG13+V13)*8%</f>
        <v>5.6058812136172094E-2</v>
      </c>
      <c r="AJ13" s="103">
        <v>36000</v>
      </c>
      <c r="AK13" s="99">
        <f>AJ13/(200000*3)</f>
        <v>0.06</v>
      </c>
      <c r="AL13" s="104">
        <f t="shared" ref="AL13:AL14" si="18">SUM($V13+$AB13+$AC13+$AD13+$AE13+$AG13+$AI13+$AK13)</f>
        <v>0.81679396383832348</v>
      </c>
      <c r="AM13" s="105"/>
      <c r="AN13" s="106"/>
      <c r="AO13" s="107"/>
      <c r="AP13" s="107"/>
      <c r="AQ13" s="107"/>
      <c r="AR13" s="108"/>
      <c r="AS13" s="109"/>
      <c r="AT13" s="109"/>
    </row>
    <row r="14" spans="1:46" ht="66" customHeight="1">
      <c r="A14" s="76">
        <v>2</v>
      </c>
      <c r="B14" s="77" t="s">
        <v>38</v>
      </c>
      <c r="C14" s="77" t="s">
        <v>39</v>
      </c>
      <c r="D14" s="78" t="s">
        <v>44</v>
      </c>
      <c r="E14" s="79"/>
      <c r="F14" s="80" t="s">
        <v>41</v>
      </c>
      <c r="G14" s="81">
        <v>4</v>
      </c>
      <c r="H14" s="81">
        <v>4</v>
      </c>
      <c r="I14" s="82"/>
      <c r="J14" s="110" t="s">
        <v>42</v>
      </c>
      <c r="K14" s="111">
        <v>60</v>
      </c>
      <c r="L14" s="85">
        <v>3</v>
      </c>
      <c r="M14" s="86">
        <f>ROUND(K14/L14/12*10000,-2)</f>
        <v>16700</v>
      </c>
      <c r="N14" s="112">
        <v>5.5</v>
      </c>
      <c r="O14" s="88">
        <v>8</v>
      </c>
      <c r="P14" s="113">
        <v>0</v>
      </c>
      <c r="Q14" s="114"/>
      <c r="R14" s="115">
        <v>15000</v>
      </c>
      <c r="S14" s="116">
        <f t="shared" si="10"/>
        <v>8.3982035928143706</v>
      </c>
      <c r="T14" s="93">
        <v>10.7</v>
      </c>
      <c r="U14" s="94">
        <v>0.03</v>
      </c>
      <c r="V14" s="117">
        <f t="shared" si="11"/>
        <v>9.2556601796407165E-2</v>
      </c>
      <c r="W14" s="96">
        <v>160</v>
      </c>
      <c r="X14" s="97">
        <v>40</v>
      </c>
      <c r="Y14" s="98">
        <v>1.3</v>
      </c>
      <c r="Z14" s="118">
        <f t="shared" si="12"/>
        <v>2.4074074074074074E-2</v>
      </c>
      <c r="AA14" s="119">
        <f t="shared" si="13"/>
        <v>0.03</v>
      </c>
      <c r="AB14" s="118">
        <f t="shared" si="14"/>
        <v>0.247962962962963</v>
      </c>
      <c r="AC14" s="101">
        <f>V14*0.03</f>
        <v>2.7766980538922147E-3</v>
      </c>
      <c r="AD14" s="101">
        <f>(AB14)*0.03</f>
        <v>7.4388888888888898E-3</v>
      </c>
      <c r="AE14" s="101">
        <v>0.25</v>
      </c>
      <c r="AF14" s="120">
        <f t="shared" si="15"/>
        <v>0.30607473985873518</v>
      </c>
      <c r="AG14" s="101">
        <v>0.1</v>
      </c>
      <c r="AH14" s="120">
        <f t="shared" si="16"/>
        <v>0.12242989594349407</v>
      </c>
      <c r="AI14" s="118">
        <f t="shared" si="17"/>
        <v>5.6058812136172094E-2</v>
      </c>
      <c r="AJ14" s="103">
        <v>36000</v>
      </c>
      <c r="AK14" s="99">
        <f>AJ14/(200000*3)</f>
        <v>0.06</v>
      </c>
      <c r="AL14" s="121">
        <f t="shared" si="18"/>
        <v>0.81679396383832348</v>
      </c>
      <c r="AM14" s="105"/>
      <c r="AN14" s="106"/>
      <c r="AO14" s="107"/>
      <c r="AP14" s="107"/>
      <c r="AQ14" s="107"/>
      <c r="AR14" s="108"/>
      <c r="AS14" s="105"/>
      <c r="AT14" s="105"/>
    </row>
    <row r="15" spans="1:46">
      <c r="AB15" s="125">
        <f>SUM(AB13:AB14)</f>
        <v>0.49592592592592599</v>
      </c>
      <c r="AC15" s="125">
        <f>SUM(AC13:AC14)</f>
        <v>5.5533961077844293E-3</v>
      </c>
      <c r="AD15" s="125">
        <f>SUM(AD13:AD14)</f>
        <v>1.487777777777778E-2</v>
      </c>
      <c r="AE15" s="125">
        <f>SUM(AE13:AE14)</f>
        <v>0.5</v>
      </c>
      <c r="AF15" s="125"/>
      <c r="AG15" s="125">
        <f t="shared" ref="AF15:AL15" si="19">SUM(AG13:AG14)</f>
        <v>0.2</v>
      </c>
      <c r="AH15" s="125"/>
      <c r="AI15" s="125">
        <f t="shared" si="19"/>
        <v>0.11211762427234419</v>
      </c>
      <c r="AJ15" s="125"/>
      <c r="AK15" s="125">
        <f t="shared" si="19"/>
        <v>0.12</v>
      </c>
      <c r="AL15" s="125">
        <f t="shared" si="19"/>
        <v>1.633587927676647</v>
      </c>
    </row>
    <row r="16" spans="1:46">
      <c r="AB16" s="126">
        <f>AB15/$AL$15</f>
        <v>0.30358079753396033</v>
      </c>
      <c r="AC16" s="126">
        <f t="shared" ref="AC16:AG16" si="20">AC15/$AL$15</f>
        <v>3.3995085380452632E-3</v>
      </c>
      <c r="AD16" s="126">
        <f t="shared" si="20"/>
        <v>9.1074239260188102E-3</v>
      </c>
      <c r="AE16" s="126">
        <f t="shared" si="20"/>
        <v>0.30607473985873518</v>
      </c>
      <c r="AF16" s="126">
        <f t="shared" si="20"/>
        <v>0</v>
      </c>
      <c r="AG16" s="126">
        <f t="shared" si="20"/>
        <v>0.12242989594349407</v>
      </c>
      <c r="AH16" s="126">
        <f>AH15/$AL$15</f>
        <v>0</v>
      </c>
      <c r="AI16" s="126">
        <f t="shared" ref="AI16" si="21">AI15/$AL$15</f>
        <v>6.8632745365474312E-2</v>
      </c>
      <c r="AJ16" s="126">
        <f t="shared" ref="AJ16" si="22">AJ15/$AL$15</f>
        <v>0</v>
      </c>
      <c r="AK16" s="126">
        <f t="shared" ref="AK16" si="23">AK15/$AL$15</f>
        <v>7.3457937566096435E-2</v>
      </c>
      <c r="AL16" s="126">
        <f t="shared" ref="AL16" si="24">AL15/$AL$15</f>
        <v>1</v>
      </c>
    </row>
  </sheetData>
  <mergeCells count="1">
    <mergeCell ref="E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2023-09-05T12:28:00Z</dcterms:created>
  <dcterms:modified xsi:type="dcterms:W3CDTF">2026-07-14T06:58:11Z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B3ACE354EE9B4FFCBE2508B6C178A21A_13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