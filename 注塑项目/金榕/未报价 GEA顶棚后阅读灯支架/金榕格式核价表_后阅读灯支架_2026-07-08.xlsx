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xmlns:r="http://schemas.openxmlformats.org/officeDocument/2006/relationships" name="后阅读灯支架INT40003073" sheetId="1" state="visible" r:id="rId1"/>
  </sheets>
  <definedNames>
    <definedName name="_xlnm.Print_Area" localSheetId="0">'后阅读灯支架INT40003073'!$A$1:$U$69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</numFmts>
  <fonts count="18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68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READING LAMP BRACKET-RR 后阅读灯支架</t>
        </is>
      </c>
      <c r="P4" s="197" t="n"/>
      <c r="Q4" s="3" t="inlineStr">
        <is>
          <t>报价日期</t>
        </is>
      </c>
      <c r="R4" s="199" t="inlineStr">
        <is>
          <t>2026-07-08</t>
        </is>
      </c>
      <c r="S4" s="197" t="n"/>
      <c r="T4" s="102" t="inlineStr">
        <is>
          <t>成品重量KG</t>
        </is>
      </c>
      <c r="U4" s="105" t="n">
        <v>0.005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INT40003073</t>
        </is>
      </c>
      <c r="P5" s="202" t="n"/>
      <c r="Q5" s="110" t="inlineStr">
        <is>
          <t>OTS时间</t>
        </is>
      </c>
      <c r="R5" s="204" t="inlineStr">
        <is>
          <t>必填项</t>
        </is>
      </c>
      <c r="S5" s="202" t="n"/>
      <c r="T5" s="110" t="inlineStr">
        <is>
          <t>毛坯重量KG</t>
        </is>
      </c>
      <c r="U5" s="113" t="n">
        <v>0.00575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0.6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>
        <v>3</v>
      </c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PP-T20 制品+料头</t>
        </is>
      </c>
      <c r="F10" s="21" t="inlineStr">
        <is>
          <t>PP-T20(估值/待确认)</t>
        </is>
      </c>
      <c r="G10" s="22" t="inlineStr">
        <is>
          <t>kg</t>
        </is>
      </c>
      <c r="H10" s="22" t="n">
        <v>0.00575</v>
      </c>
      <c r="I10" s="23" t="n">
        <v>0.01</v>
      </c>
      <c r="J10" s="22" t="n">
        <v>10.7</v>
      </c>
      <c r="K10" s="212">
        <f>IF(J10="","",J10*H10*(1+I10))</f>
        <v/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inlineStr">
        <is>
          <t>PP-T20 段取(洗螺杆料分摊)</t>
        </is>
      </c>
      <c r="F11" s="29" t="inlineStr">
        <is>
          <t>15kg/月 ÷ 月批量200件</t>
        </is>
      </c>
      <c r="G11" s="30" t="inlineStr">
        <is>
          <t>kg</t>
        </is>
      </c>
      <c r="H11" s="30" t="n">
        <v>0.075</v>
      </c>
      <c r="I11" s="36" t="n">
        <v>0.01</v>
      </c>
      <c r="J11" s="30" t="n">
        <v>10.7</v>
      </c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>
        <f>SUM(K10:K26)</f>
        <v/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后阅读灯支架模具</t>
        </is>
      </c>
      <c r="F30" s="53" t="n">
        <v>10</v>
      </c>
      <c r="G30" s="53" t="n">
        <v>1</v>
      </c>
      <c r="H30" s="53" t="n">
        <v>30</v>
      </c>
      <c r="I30" s="53" t="n">
        <v>0.6</v>
      </c>
      <c r="J30" s="224" t="n"/>
      <c r="K30" s="225">
        <f>IF(E30="","",IF(J30="",F30/I30,F30/J30))</f>
        <v/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>
        <f>SUM(K30:K39)</f>
        <v/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60T 注塑机</t>
        </is>
      </c>
      <c r="F42" s="53" t="n">
        <v>30</v>
      </c>
      <c r="G42" s="231">
        <f>IF(E42="","",12/H42*L42)</f>
        <v/>
      </c>
      <c r="H42" s="232">
        <f>IF(E42="","",F42/3600)</f>
        <v/>
      </c>
      <c r="I42" s="53" t="n">
        <v>1.90778</v>
      </c>
      <c r="J42" s="233" t="n">
        <v>24</v>
      </c>
      <c r="K42" s="234">
        <f>IF(E42="","",H42*I42/L42)</f>
        <v/>
      </c>
      <c r="L42" s="134" t="n">
        <v>0.85</v>
      </c>
      <c r="M42" s="235" t="n"/>
      <c r="N42" s="236">
        <f>IF(F42="","",IF(E42="","",J42*K42))</f>
        <v/>
      </c>
      <c r="O42" s="237" t="n"/>
      <c r="P42" s="53" t="n"/>
      <c r="Q42" s="58">
        <f>IF(E42="","","10年2班折90%")</f>
        <v/>
      </c>
      <c r="R42" s="234">
        <f>IF(E42="","",P42*0.9/10/$U$8/22*H42*10000/L42)</f>
        <v/>
      </c>
      <c r="S42" s="238" t="n"/>
      <c r="T42" s="23" t="n"/>
      <c r="U42" s="213">
        <f>IF(S42="","",S42*T42*$U$7*H42/((L42+(1-L42)/1.4)))</f>
        <v/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06" t="n"/>
      <c r="N58" s="241">
        <f>SUM(N42:O57)</f>
        <v/>
      </c>
      <c r="O58" s="206" t="n"/>
      <c r="P58" s="81" t="n"/>
      <c r="Q58" s="82" t="inlineStr">
        <is>
          <t>折旧合计</t>
        </is>
      </c>
      <c r="R58" s="242">
        <f>SUM(R42:R57)</f>
        <v/>
      </c>
      <c r="S58" s="84" t="n"/>
      <c r="T58" s="162" t="inlineStr">
        <is>
          <t>能耗合计</t>
        </is>
      </c>
      <c r="U58" s="243">
        <f>SUM(U42:U57)</f>
        <v/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>
        <f>IF(U6="",N58,U6*K58)</f>
        <v/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>
        <f>(K27+K40+U40+R58+U58+E59+U27)*O8</f>
        <v/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>
        <f>(K27+U27)*0.03+E59*0.08</f>
        <v/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1.6902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1.0564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产品报价备注说明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0.08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>
        <f>(E64-K40)*E65</f>
        <v/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>
        <f>E64+E66</f>
        <v/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>
        <f>E67*0.13</f>
        <v/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>
        <f>E67+E68</f>
        <v/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2025-11-10T15:53:00Z</dcterms:created>
  <dcterms:modified xmlns:dcterms="http://purl.org/dc/terms/" xmlns:xsi="http://www.w3.org/2001/XMLSchema-instance" xsi:type="dcterms:W3CDTF">2026-07-08T15:29:12Z</dcterms:modified>
  <cp:lastModifiedBy>Windows 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18702106EBE4428581D52A478BD53529_13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