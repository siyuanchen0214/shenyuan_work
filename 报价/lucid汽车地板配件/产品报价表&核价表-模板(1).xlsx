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<sst xmlns="http://schemas.openxmlformats.org/spreadsheetml/2006/main" count="127" uniqueCount="118">
  <si>
    <t>上海金榕汽车零部件股份有限公司</t>
  </si>
  <si>
    <t>产品报价表/核价表</t>
  </si>
  <si>
    <t>商务信息</t>
  </si>
  <si>
    <t>客户名称</t>
  </si>
  <si>
    <t>客户采购</t>
  </si>
  <si>
    <t>OTS时间</t>
  </si>
  <si>
    <t>报价日期</t>
  </si>
  <si>
    <t>工时单价
（元/H)</t>
  </si>
  <si>
    <t>零件名称</t>
  </si>
  <si>
    <t>XXXX</t>
  </si>
  <si>
    <t>零件号</t>
  </si>
  <si>
    <t>XXX</t>
  </si>
  <si>
    <t>PPAP时间</t>
  </si>
  <si>
    <t>总产量
（万件）</t>
  </si>
  <si>
    <t>能耗单价
￥/Kwh</t>
  </si>
  <si>
    <t>成品重量KG</t>
  </si>
  <si>
    <t>毛坯重量KG</t>
  </si>
  <si>
    <t>SOP时间</t>
  </si>
  <si>
    <t>综合废品率</t>
  </si>
  <si>
    <t>年生产天数</t>
  </si>
  <si>
    <t>一</t>
  </si>
  <si>
    <t>材料费用与外协费用</t>
  </si>
  <si>
    <t>序号</t>
  </si>
  <si>
    <t>材料名称</t>
  </si>
  <si>
    <r>
      <rPr>
        <b/>
        <sz val="10"/>
        <rFont val="黑体"/>
        <charset val="134"/>
      </rPr>
      <t>品</t>
    </r>
    <r>
      <rPr>
        <b/>
        <sz val="10"/>
        <rFont val="黑体"/>
        <charset val="0"/>
      </rPr>
      <t xml:space="preserve"> </t>
    </r>
    <r>
      <rPr>
        <b/>
        <sz val="10"/>
        <rFont val="黑体"/>
        <charset val="134"/>
      </rPr>
      <t>牌</t>
    </r>
    <r>
      <rPr>
        <b/>
        <sz val="10"/>
        <rFont val="黑体"/>
        <charset val="0"/>
      </rPr>
      <t xml:space="preserve"> </t>
    </r>
    <r>
      <rPr>
        <b/>
        <sz val="10"/>
        <rFont val="黑体"/>
        <charset val="134"/>
      </rPr>
      <t>号</t>
    </r>
  </si>
  <si>
    <t>单位</t>
  </si>
  <si>
    <t>单价</t>
  </si>
  <si>
    <t>耗用量</t>
  </si>
  <si>
    <t>材料费用</t>
  </si>
  <si>
    <t>外协品种</t>
  </si>
  <si>
    <t>数量</t>
  </si>
  <si>
    <t>外协费用</t>
  </si>
  <si>
    <t>塑料粒子</t>
  </si>
  <si>
    <t>MC1300-100</t>
  </si>
  <si>
    <t>kg</t>
  </si>
  <si>
    <t>钢丝圈</t>
  </si>
  <si>
    <t>塑料粒子ABS</t>
  </si>
  <si>
    <t>MG37EP3570</t>
  </si>
  <si>
    <t>沙丁镍电镀</t>
  </si>
  <si>
    <t>塑料粒子ASA</t>
  </si>
  <si>
    <t>BASF S778t</t>
  </si>
  <si>
    <t>林肯小标电镀</t>
  </si>
  <si>
    <t>材料费合计</t>
  </si>
  <si>
    <t>外协费合计</t>
  </si>
  <si>
    <t>二</t>
  </si>
  <si>
    <t xml:space="preserve"> 模具费用,刀夹具费用</t>
  </si>
  <si>
    <t>模具费用,刀夹具费用分摊</t>
  </si>
  <si>
    <t>批量生产主要检测工序检测单件分摊费</t>
  </si>
  <si>
    <t>模具名称</t>
  </si>
  <si>
    <t>模具价格 
万元</t>
  </si>
  <si>
    <t>单模件数</t>
  </si>
  <si>
    <t>模具寿命
万模</t>
  </si>
  <si>
    <t>分摊数量
万件</t>
  </si>
  <si>
    <t>单件分摊</t>
  </si>
  <si>
    <t>序列</t>
  </si>
  <si>
    <t>实验名称</t>
  </si>
  <si>
    <t>实验费用
万元</t>
  </si>
  <si>
    <t>产品寿命
万件</t>
  </si>
  <si>
    <t>分摊数
万件</t>
  </si>
  <si>
    <t>单件分摊费用</t>
  </si>
  <si>
    <t>注塑（薄片）</t>
  </si>
  <si>
    <t>实验费用</t>
  </si>
  <si>
    <t>模具费用</t>
  </si>
  <si>
    <t>分摊合计</t>
  </si>
  <si>
    <t>实验费用汇总</t>
  </si>
  <si>
    <t>三</t>
  </si>
  <si>
    <t>设备耗能与折旧</t>
  </si>
  <si>
    <t>设备名称</t>
  </si>
  <si>
    <t>加工时间 
S/Pcs</t>
  </si>
  <si>
    <t>班产量 
件/班</t>
  </si>
  <si>
    <t xml:space="preserve">单件台时
H/Pcs </t>
  </si>
  <si>
    <t>操作人数</t>
  </si>
  <si>
    <t>加工工时</t>
  </si>
  <si>
    <t>设备费用</t>
  </si>
  <si>
    <t>折旧方式</t>
  </si>
  <si>
    <t>折旧费用</t>
  </si>
  <si>
    <t>设备功率
Kwh</t>
  </si>
  <si>
    <t>能耗利用率
35%-70%</t>
  </si>
  <si>
    <t>耗能费用</t>
  </si>
  <si>
    <t>工时合计</t>
  </si>
  <si>
    <t>折旧合计</t>
  </si>
  <si>
    <t>能耗合计</t>
  </si>
  <si>
    <t>四</t>
  </si>
  <si>
    <t>直接工资</t>
  </si>
  <si>
    <t>其它费用</t>
  </si>
  <si>
    <t>五</t>
  </si>
  <si>
    <t>废品费用</t>
  </si>
  <si>
    <t>计算依据：=(I25+I38+L56+O56+D57+O25)*M6</t>
  </si>
  <si>
    <t>废料处理收益</t>
  </si>
  <si>
    <t>六</t>
  </si>
  <si>
    <t>管理费用</t>
  </si>
  <si>
    <t>计算依据：=(原材料+外购外协)*0.03+(模具分摊费用+检测分摊费用+折旧+能耗+工资+废品)*0.09</t>
  </si>
  <si>
    <t>模具总费万元</t>
  </si>
  <si>
    <t>七</t>
  </si>
  <si>
    <t>运输费用</t>
  </si>
  <si>
    <t>计算依据：=按国内公路运输距离、零担、拼货、整车，最终分摊到每个零件费用</t>
  </si>
  <si>
    <t>实验总费万元</t>
  </si>
  <si>
    <t>八</t>
  </si>
  <si>
    <t>包装费用</t>
  </si>
  <si>
    <t>计算依据：=按照甲方包装规范要求，分摊到每个零件的包装成本</t>
  </si>
  <si>
    <t>九</t>
  </si>
  <si>
    <t>成本价</t>
  </si>
  <si>
    <t>计算依据：=I25+O25+I38+O38+L56+O56+D57+D58+D59+D60+D61-N58各项的总和</t>
  </si>
  <si>
    <t>十</t>
  </si>
  <si>
    <t>利润率</t>
  </si>
  <si>
    <t>计算依据：=根据公司要求可选择任意%比</t>
  </si>
  <si>
    <t>十一</t>
  </si>
  <si>
    <t>利润</t>
  </si>
  <si>
    <t>计算依据：=D62*D63</t>
  </si>
  <si>
    <t>十二</t>
  </si>
  <si>
    <t>未税报价</t>
  </si>
  <si>
    <t>计算依据：=D62+D64</t>
  </si>
  <si>
    <t>十三</t>
  </si>
  <si>
    <r>
      <rPr>
        <b/>
        <sz val="9"/>
        <rFont val="黑体"/>
        <charset val="134"/>
      </rPr>
      <t>增值税13</t>
    </r>
    <r>
      <rPr>
        <b/>
        <strike/>
        <sz val="9"/>
        <rFont val="黑体"/>
        <charset val="134"/>
      </rPr>
      <t>%</t>
    </r>
  </si>
  <si>
    <t>计算依据：税率13%，费用=D65*0.13</t>
  </si>
  <si>
    <t>十四</t>
  </si>
  <si>
    <t>含税总价</t>
  </si>
  <si>
    <t>计算依据：=D62+D64+D66各项的总和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</si>
</sst>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_ "/>
    <numFmt numFmtId="178" formatCode="0.0000_ "/>
    <numFmt numFmtId="179" formatCode="0.00_ "/>
    <numFmt numFmtId="180" formatCode="&quot;￥&quot;#,##0.000;&quot;￥&quot;\-#,##0.000"/>
  </numFmts>
  <fonts count="32">
    <font>
      <sz val="11"/>
      <color theme="1"/>
      <name val="宋体"/>
      <charset val="134"/>
      <scheme val="minor"/>
    </font>
    <font>
      <sz val="9"/>
      <name val="宋体"/>
      <charset val="134"/>
    </font>
    <font>
      <sz val="16"/>
      <name val="黑体"/>
      <charset val="134"/>
    </font>
    <font>
      <b/>
      <sz val="18"/>
      <name val="黑体"/>
      <charset val="134"/>
    </font>
    <font>
      <b/>
      <sz val="10"/>
      <name val="黑体"/>
      <charset val="134"/>
    </font>
    <font>
      <b/>
      <sz val="9"/>
      <name val="黑体"/>
      <charset val="134"/>
    </font>
    <font>
      <sz val="9"/>
      <name val="黑体"/>
      <charset val="134"/>
    </font>
    <font>
      <sz val="9"/>
      <name val="黑体"/>
      <charset val="0"/>
    </font>
    <font>
      <b/>
      <sz val="9"/>
      <name val="黑体"/>
      <charset val="0"/>
    </font>
    <font>
      <sz val="9"/>
      <color theme="1"/>
      <name val="黑体"/>
      <charset val="134"/>
    </font>
    <font>
      <b/>
      <sz val="11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trike/>
      <sz val="9"/>
      <name val="黑体"/>
      <charset val="134"/>
    </font>
    <font>
      <b/>
      <sz val="10"/>
      <name val="黑体"/>
      <charset val="0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indexed="0"/>
      </top>
      <bottom/>
      <diagonal/>
    </border>
    <border>
      <left/>
      <right/>
      <top style="medium">
        <color indexed="0"/>
      </top>
      <bottom/>
      <diagonal/>
    </border>
    <border>
      <left/>
      <right style="medium">
        <color indexed="0"/>
      </right>
      <top style="medium">
        <color indexed="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4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1" applyNumberFormat="0" applyFill="0" applyAlignment="0" applyProtection="0">
      <alignment vertical="center"/>
    </xf>
    <xf numFmtId="0" fontId="17" fillId="0" borderId="41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43" applyNumberFormat="0" applyAlignment="0" applyProtection="0">
      <alignment vertical="center"/>
    </xf>
    <xf numFmtId="0" fontId="20" fillId="7" borderId="44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2" fillId="8" borderId="45" applyNumberFormat="0" applyAlignment="0" applyProtection="0">
      <alignment vertical="center"/>
    </xf>
    <xf numFmtId="0" fontId="23" fillId="0" borderId="46" applyNumberFormat="0" applyFill="0" applyAlignment="0" applyProtection="0">
      <alignment vertical="center"/>
    </xf>
    <xf numFmtId="0" fontId="24" fillId="0" borderId="47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128">
    <xf numFmtId="0" fontId="0" fillId="0" borderId="0" xfId="0">
      <alignment vertical="center"/>
    </xf>
    <xf numFmtId="0" fontId="1" fillId="2" borderId="0" xfId="0" applyFont="1" applyFill="1" applyBorder="1" applyAlignment="1" applyProtection="1">
      <alignment horizontal="center" vertical="center"/>
      <protection hidden="1"/>
    </xf>
    <xf numFmtId="0" fontId="2" fillId="2" borderId="0" xfId="0" applyFont="1" applyFill="1" applyBorder="1" applyAlignment="1" applyProtection="1">
      <alignment horizontal="center" vertical="center"/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3" fillId="2" borderId="2" xfId="0" applyFont="1" applyFill="1" applyBorder="1" applyAlignment="1" applyProtection="1">
      <alignment horizontal="center" vertical="center"/>
      <protection hidden="1"/>
    </xf>
    <xf numFmtId="0" fontId="3" fillId="2" borderId="3" xfId="0" applyFont="1" applyFill="1" applyBorder="1" applyAlignment="1" applyProtection="1">
      <alignment horizontal="center" vertical="center"/>
      <protection hidden="1"/>
    </xf>
    <xf numFmtId="0" fontId="4" fillId="2" borderId="4" xfId="0" applyFont="1" applyFill="1" applyBorder="1" applyAlignment="1" applyProtection="1">
      <alignment horizontal="center" vertical="center" textRotation="255" wrapText="1"/>
      <protection hidden="1"/>
    </xf>
    <xf numFmtId="0" fontId="5" fillId="2" borderId="5" xfId="0" applyFont="1" applyFill="1" applyBorder="1" applyAlignment="1" applyProtection="1">
      <alignment horizontal="center" vertical="center" wrapText="1"/>
      <protection hidden="1"/>
    </xf>
    <xf numFmtId="0" fontId="5" fillId="2" borderId="6" xfId="0" applyFont="1" applyFill="1" applyBorder="1" applyAlignment="1" applyProtection="1">
      <alignment horizontal="center" vertical="center" wrapText="1"/>
      <protection hidden="1"/>
    </xf>
    <xf numFmtId="0" fontId="6" fillId="3" borderId="7" xfId="0" applyFont="1" applyFill="1" applyBorder="1" applyAlignment="1" applyProtection="1">
      <alignment horizontal="center" vertical="center"/>
      <protection locked="0"/>
    </xf>
    <xf numFmtId="0" fontId="6" fillId="3" borderId="5" xfId="0" applyFont="1" applyFill="1" applyBorder="1" applyAlignment="1" applyProtection="1">
      <alignment horizontal="center" vertical="center"/>
      <protection locked="0"/>
    </xf>
    <xf numFmtId="0" fontId="5" fillId="2" borderId="5" xfId="0" applyFont="1" applyFill="1" applyBorder="1" applyAlignment="1" applyProtection="1">
      <alignment horizontal="center" vertical="center"/>
      <protection hidden="1"/>
    </xf>
    <xf numFmtId="14" fontId="6" fillId="3" borderId="5" xfId="0" applyNumberFormat="1" applyFont="1" applyFill="1" applyBorder="1" applyAlignment="1" applyProtection="1">
      <alignment horizontal="center" vertical="center"/>
      <protection locked="0"/>
    </xf>
    <xf numFmtId="0" fontId="6" fillId="3" borderId="6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 textRotation="255" wrapText="1"/>
      <protection hidden="1"/>
    </xf>
    <xf numFmtId="0" fontId="5" fillId="2" borderId="9" xfId="0" applyFont="1" applyFill="1" applyBorder="1" applyAlignment="1" applyProtection="1">
      <alignment horizontal="center" vertical="center"/>
      <protection hidden="1"/>
    </xf>
    <xf numFmtId="0" fontId="5" fillId="2" borderId="10" xfId="0" applyFont="1" applyFill="1" applyBorder="1" applyAlignment="1" applyProtection="1">
      <alignment horizontal="center" vertical="center"/>
      <protection hidden="1"/>
    </xf>
    <xf numFmtId="0" fontId="6" fillId="3" borderId="11" xfId="0" applyFont="1" applyFill="1" applyBorder="1" applyAlignment="1" applyProtection="1">
      <alignment horizontal="center" vertical="center"/>
      <protection locked="0"/>
    </xf>
    <xf numFmtId="0" fontId="6" fillId="3" borderId="9" xfId="0" applyFont="1" applyFill="1" applyBorder="1" applyAlignment="1" applyProtection="1">
      <alignment horizontal="center" vertical="center"/>
      <protection locked="0"/>
    </xf>
    <xf numFmtId="0" fontId="7" fillId="3" borderId="9" xfId="0" applyFont="1" applyFill="1" applyBorder="1" applyAlignment="1" applyProtection="1">
      <alignment horizontal="center" vertical="center"/>
      <protection locked="0"/>
    </xf>
    <xf numFmtId="0" fontId="5" fillId="2" borderId="9" xfId="0" applyFont="1" applyFill="1" applyBorder="1" applyAlignment="1" applyProtection="1">
      <alignment horizontal="center" vertical="center" wrapText="1"/>
      <protection hidden="1"/>
    </xf>
    <xf numFmtId="0" fontId="6" fillId="3" borderId="10" xfId="0" applyFont="1" applyFill="1" applyBorder="1" applyAlignment="1" applyProtection="1">
      <alignment horizontal="center" vertical="center"/>
      <protection locked="0"/>
    </xf>
    <xf numFmtId="0" fontId="4" fillId="2" borderId="12" xfId="0" applyFont="1" applyFill="1" applyBorder="1" applyAlignment="1" applyProtection="1">
      <alignment horizontal="center" vertical="center" textRotation="255" wrapText="1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7" fillId="3" borderId="15" xfId="0" applyFont="1" applyFill="1" applyBorder="1" applyAlignment="1" applyProtection="1">
      <alignment horizontal="center" vertical="center"/>
      <protection locked="0"/>
    </xf>
    <xf numFmtId="0" fontId="7" fillId="3" borderId="13" xfId="0" applyFont="1" applyFill="1" applyBorder="1" applyAlignment="1" applyProtection="1">
      <alignment horizontal="center" vertical="center"/>
      <protection locked="0"/>
    </xf>
    <xf numFmtId="0" fontId="6" fillId="3" borderId="13" xfId="0" applyFont="1" applyFill="1" applyBorder="1" applyAlignment="1" applyProtection="1">
      <alignment horizontal="center" vertical="center"/>
      <protection locked="0"/>
    </xf>
    <xf numFmtId="9" fontId="5" fillId="2" borderId="13" xfId="0" applyNumberFormat="1" applyFont="1" applyFill="1" applyBorder="1" applyAlignment="1" applyProtection="1">
      <alignment horizontal="center" vertical="center"/>
      <protection hidden="1"/>
    </xf>
    <xf numFmtId="10" fontId="6" fillId="3" borderId="13" xfId="0" applyNumberFormat="1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 wrapText="1"/>
      <protection hidden="1"/>
    </xf>
    <xf numFmtId="0" fontId="6" fillId="3" borderId="14" xfId="0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 textRotation="255" wrapText="1"/>
      <protection hidden="1"/>
    </xf>
    <xf numFmtId="0" fontId="4" fillId="2" borderId="6" xfId="0" applyFont="1" applyFill="1" applyBorder="1" applyAlignment="1" applyProtection="1">
      <alignment vertical="center"/>
      <protection hidden="1"/>
    </xf>
    <xf numFmtId="0" fontId="4" fillId="2" borderId="7" xfId="0" applyFont="1" applyFill="1" applyBorder="1" applyAlignment="1" applyProtection="1">
      <alignment horizontal="center" vertical="center"/>
      <protection hidden="1"/>
    </xf>
    <xf numFmtId="0" fontId="4" fillId="2" borderId="5" xfId="0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 applyProtection="1">
      <alignment horizontal="center" vertical="center"/>
      <protection hidden="1"/>
    </xf>
    <xf numFmtId="0" fontId="4" fillId="2" borderId="4" xfId="0" applyFont="1" applyFill="1" applyBorder="1" applyAlignment="1" applyProtection="1">
      <alignment horizontal="center" vertical="center"/>
      <protection hidden="1"/>
    </xf>
    <xf numFmtId="0" fontId="4" fillId="2" borderId="6" xfId="0" applyFont="1" applyFill="1" applyBorder="1" applyAlignment="1" applyProtection="1">
      <alignment horizontal="center" vertical="center"/>
      <protection hidden="1"/>
    </xf>
    <xf numFmtId="0" fontId="5" fillId="2" borderId="8" xfId="0" applyFont="1" applyFill="1" applyBorder="1" applyAlignment="1" applyProtection="1">
      <alignment horizontal="center" vertical="center"/>
      <protection hidden="1"/>
    </xf>
    <xf numFmtId="0" fontId="5" fillId="2" borderId="9" xfId="0" applyFont="1" applyFill="1" applyBorder="1" applyAlignment="1" applyProtection="1">
      <alignment horizontal="center" vertical="center" textRotation="255" wrapText="1"/>
      <protection hidden="1"/>
    </xf>
    <xf numFmtId="0" fontId="8" fillId="2" borderId="10" xfId="0" applyFont="1" applyFill="1" applyBorder="1" applyAlignment="1" applyProtection="1">
      <alignment horizontal="center" vertical="center"/>
      <protection hidden="1"/>
    </xf>
    <xf numFmtId="0" fontId="9" fillId="3" borderId="11" xfId="0" applyFont="1" applyFill="1" applyBorder="1" applyAlignment="1" applyProtection="1">
      <alignment horizontal="center" vertical="center"/>
      <protection locked="0"/>
    </xf>
    <xf numFmtId="0" fontId="9" fillId="3" borderId="9" xfId="0" applyFont="1" applyFill="1" applyBorder="1" applyAlignment="1" applyProtection="1">
      <alignment horizontal="center" vertical="center"/>
      <protection locked="0"/>
    </xf>
    <xf numFmtId="176" fontId="6" fillId="2" borderId="17" xfId="0" applyNumberFormat="1" applyFont="1" applyFill="1" applyBorder="1" applyAlignment="1" applyProtection="1">
      <alignment horizontal="right"/>
      <protection hidden="1"/>
    </xf>
    <xf numFmtId="0" fontId="9" fillId="3" borderId="8" xfId="0" applyFont="1" applyFill="1" applyBorder="1" applyAlignment="1" applyProtection="1">
      <alignment horizontal="left" vertical="center"/>
      <protection locked="0"/>
    </xf>
    <xf numFmtId="0" fontId="9" fillId="3" borderId="9" xfId="0" applyFont="1" applyFill="1" applyBorder="1" applyAlignment="1" applyProtection="1">
      <alignment horizontal="left" vertical="center"/>
      <protection locked="0"/>
    </xf>
    <xf numFmtId="176" fontId="6" fillId="2" borderId="10" xfId="0" applyNumberFormat="1" applyFont="1" applyFill="1" applyBorder="1" applyAlignment="1" applyProtection="1">
      <alignment horizontal="right"/>
      <protection hidden="1"/>
    </xf>
    <xf numFmtId="0" fontId="6" fillId="3" borderId="8" xfId="0" applyFont="1" applyFill="1" applyBorder="1" applyAlignment="1" applyProtection="1">
      <alignment horizontal="left" vertical="center"/>
      <protection locked="0"/>
    </xf>
    <xf numFmtId="49" fontId="6" fillId="3" borderId="9" xfId="0" applyNumberFormat="1" applyFont="1" applyFill="1" applyBorder="1" applyAlignment="1" applyProtection="1">
      <alignment horizontal="left" vertical="center"/>
      <protection locked="0"/>
    </xf>
    <xf numFmtId="49" fontId="6" fillId="3" borderId="9" xfId="0" applyNumberFormat="1" applyFont="1" applyFill="1" applyBorder="1" applyAlignment="1" applyProtection="1">
      <alignment horizontal="center" vertical="center"/>
      <protection locked="0"/>
    </xf>
    <xf numFmtId="0" fontId="6" fillId="3" borderId="9" xfId="0" applyFont="1" applyFill="1" applyBorder="1" applyAlignment="1" applyProtection="1">
      <alignment horizontal="left" vertical="center"/>
      <protection locked="0"/>
    </xf>
    <xf numFmtId="0" fontId="6" fillId="3" borderId="9" xfId="0" applyFont="1" applyFill="1" applyBorder="1" applyAlignment="1" applyProtection="1">
      <alignment horizontal="center" vertical="center" wrapText="1"/>
      <protection locked="0"/>
    </xf>
    <xf numFmtId="0" fontId="7" fillId="3" borderId="11" xfId="0" applyFont="1" applyFill="1" applyBorder="1" applyAlignment="1" applyProtection="1">
      <alignment horizontal="center" vertical="center"/>
      <protection locked="0"/>
    </xf>
    <xf numFmtId="0" fontId="5" fillId="2" borderId="18" xfId="0" applyFont="1" applyFill="1" applyBorder="1" applyAlignment="1" applyProtection="1">
      <alignment horizontal="center" vertical="center"/>
      <protection hidden="1"/>
    </xf>
    <xf numFmtId="0" fontId="5" fillId="2" borderId="19" xfId="0" applyFont="1" applyFill="1" applyBorder="1" applyAlignment="1" applyProtection="1">
      <alignment horizontal="center" vertical="center" textRotation="255" wrapText="1"/>
      <protection hidden="1"/>
    </xf>
    <xf numFmtId="0" fontId="8" fillId="2" borderId="20" xfId="0" applyFont="1" applyFill="1" applyBorder="1" applyAlignment="1" applyProtection="1">
      <alignment horizontal="center" vertical="center"/>
      <protection hidden="1"/>
    </xf>
    <xf numFmtId="0" fontId="6" fillId="2" borderId="15" xfId="0" applyFont="1" applyFill="1" applyBorder="1" applyAlignment="1" applyProtection="1">
      <alignment horizontal="center" vertical="center"/>
      <protection hidden="1"/>
    </xf>
    <xf numFmtId="0" fontId="6" fillId="2" borderId="13" xfId="0" applyFont="1" applyFill="1" applyBorder="1" applyAlignment="1" applyProtection="1">
      <alignment horizontal="center" vertical="center"/>
      <protection hidden="1"/>
    </xf>
    <xf numFmtId="176" fontId="6" fillId="2" borderId="21" xfId="0" applyNumberFormat="1" applyFont="1" applyFill="1" applyBorder="1" applyAlignment="1" applyProtection="1">
      <alignment horizontal="right"/>
      <protection hidden="1"/>
    </xf>
    <xf numFmtId="0" fontId="6" fillId="2" borderId="12" xfId="0" applyFont="1" applyFill="1" applyBorder="1" applyAlignment="1" applyProtection="1">
      <alignment horizontal="center" vertical="center"/>
      <protection hidden="1"/>
    </xf>
    <xf numFmtId="176" fontId="6" fillId="2" borderId="14" xfId="0" applyNumberFormat="1" applyFont="1" applyFill="1" applyBorder="1" applyAlignment="1" applyProtection="1">
      <alignment horizontal="right"/>
      <protection hidden="1"/>
    </xf>
    <xf numFmtId="0" fontId="8" fillId="2" borderId="5" xfId="0" applyFont="1" applyFill="1" applyBorder="1" applyAlignment="1" applyProtection="1">
      <alignment horizontal="center" vertical="top" textRotation="255" wrapText="1"/>
      <protection hidden="1"/>
    </xf>
    <xf numFmtId="0" fontId="8" fillId="2" borderId="16" xfId="0" applyFont="1" applyFill="1" applyBorder="1" applyAlignment="1" applyProtection="1">
      <alignment horizontal="center" vertical="center"/>
      <protection hidden="1"/>
    </xf>
    <xf numFmtId="0" fontId="5" fillId="2" borderId="9" xfId="0" applyFont="1" applyFill="1" applyBorder="1" applyAlignment="1" applyProtection="1">
      <alignment vertical="top" textRotation="255" wrapText="1"/>
      <protection hidden="1"/>
    </xf>
    <xf numFmtId="0" fontId="8" fillId="2" borderId="17" xfId="0" applyFont="1" applyFill="1" applyBorder="1" applyAlignment="1" applyProtection="1">
      <alignment horizontal="center" vertical="center"/>
      <protection hidden="1"/>
    </xf>
    <xf numFmtId="176" fontId="5" fillId="2" borderId="8" xfId="0" applyNumberFormat="1" applyFont="1" applyFill="1" applyBorder="1" applyAlignment="1" applyProtection="1">
      <alignment horizontal="center" vertical="center"/>
      <protection hidden="1"/>
    </xf>
    <xf numFmtId="0" fontId="6" fillId="3" borderId="8" xfId="0" applyFont="1" applyFill="1" applyBorder="1" applyAlignment="1" applyProtection="1">
      <alignment horizontal="center" vertical="center"/>
      <protection locked="0"/>
    </xf>
    <xf numFmtId="176" fontId="6" fillId="3" borderId="9" xfId="0" applyNumberFormat="1" applyFont="1" applyFill="1" applyBorder="1" applyAlignment="1" applyProtection="1">
      <alignment horizontal="center" vertical="center"/>
      <protection locked="0"/>
    </xf>
    <xf numFmtId="0" fontId="5" fillId="2" borderId="19" xfId="0" applyFont="1" applyFill="1" applyBorder="1" applyAlignment="1" applyProtection="1">
      <alignment vertical="top" textRotation="255" wrapText="1"/>
      <protection hidden="1"/>
    </xf>
    <xf numFmtId="0" fontId="5" fillId="2" borderId="22" xfId="0" applyFont="1" applyFill="1" applyBorder="1" applyAlignment="1" applyProtection="1">
      <alignment horizontal="center" vertical="center"/>
      <protection hidden="1"/>
    </xf>
    <xf numFmtId="0" fontId="6" fillId="2" borderId="19" xfId="0" applyFont="1" applyFill="1" applyBorder="1" applyAlignment="1" applyProtection="1">
      <alignment horizontal="center" vertical="center"/>
      <protection hidden="1"/>
    </xf>
    <xf numFmtId="0" fontId="5" fillId="2" borderId="19" xfId="0" applyFont="1" applyFill="1" applyBorder="1" applyAlignment="1" applyProtection="1">
      <alignment horizontal="center" vertical="center"/>
      <protection hidden="1"/>
    </xf>
    <xf numFmtId="0" fontId="6" fillId="2" borderId="20" xfId="0" applyFont="1" applyFill="1" applyBorder="1" applyAlignment="1" applyProtection="1">
      <alignment horizontal="right" vertical="center" indent="1"/>
      <protection hidden="1"/>
    </xf>
    <xf numFmtId="0" fontId="6" fillId="2" borderId="18" xfId="0" applyFont="1" applyFill="1" applyBorder="1" applyAlignment="1" applyProtection="1">
      <alignment horizontal="center" vertical="center"/>
      <protection hidden="1"/>
    </xf>
    <xf numFmtId="176" fontId="6" fillId="2" borderId="20" xfId="0" applyNumberFormat="1" applyFont="1" applyFill="1" applyBorder="1" applyAlignment="1" applyProtection="1">
      <alignment horizontal="right" vertical="center"/>
      <protection hidden="1"/>
    </xf>
    <xf numFmtId="0" fontId="5" fillId="2" borderId="4" xfId="0" applyFont="1" applyFill="1" applyBorder="1" applyAlignment="1" applyProtection="1">
      <alignment horizontal="center" vertical="center" wrapText="1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5" fillId="2" borderId="23" xfId="0" applyFont="1" applyFill="1" applyBorder="1" applyAlignment="1" applyProtection="1">
      <alignment horizontal="center" vertical="center"/>
      <protection hidden="1"/>
    </xf>
    <xf numFmtId="0" fontId="5" fillId="2" borderId="24" xfId="0" applyFont="1" applyFill="1" applyBorder="1" applyAlignment="1" applyProtection="1">
      <alignment horizontal="center" vertical="center" wrapText="1"/>
      <protection hidden="1"/>
    </xf>
    <xf numFmtId="0" fontId="5" fillId="2" borderId="24" xfId="0" applyFont="1" applyFill="1" applyBorder="1" applyAlignment="1" applyProtection="1">
      <alignment horizontal="center" vertical="center"/>
      <protection hidden="1"/>
    </xf>
    <xf numFmtId="177" fontId="5" fillId="2" borderId="24" xfId="0" applyNumberFormat="1" applyFont="1" applyFill="1" applyBorder="1" applyAlignment="1" applyProtection="1">
      <alignment horizontal="center" vertical="center"/>
      <protection hidden="1"/>
    </xf>
    <xf numFmtId="0" fontId="5" fillId="2" borderId="25" xfId="0" applyFont="1" applyFill="1" applyBorder="1" applyAlignment="1" applyProtection="1">
      <alignment horizontal="center" vertical="center" wrapText="1"/>
      <protection hidden="1"/>
    </xf>
    <xf numFmtId="0" fontId="5" fillId="2" borderId="8" xfId="0" applyFont="1" applyFill="1" applyBorder="1" applyAlignment="1" applyProtection="1">
      <alignment horizontal="center" vertical="center" wrapText="1"/>
      <protection hidden="1"/>
    </xf>
    <xf numFmtId="177" fontId="6" fillId="2" borderId="9" xfId="0" applyNumberFormat="1" applyFont="1" applyFill="1" applyBorder="1" applyAlignment="1" applyProtection="1">
      <alignment horizontal="center" vertical="center"/>
      <protection hidden="1"/>
    </xf>
    <xf numFmtId="178" fontId="6" fillId="2" borderId="9" xfId="0" applyNumberFormat="1" applyFont="1" applyFill="1" applyBorder="1" applyAlignment="1" applyProtection="1">
      <alignment horizontal="center" vertical="center"/>
      <protection hidden="1"/>
    </xf>
    <xf numFmtId="176" fontId="6" fillId="2" borderId="9" xfId="0" applyNumberFormat="1" applyFont="1" applyFill="1" applyBorder="1" applyAlignment="1" applyProtection="1">
      <alignment horizontal="center" vertical="center"/>
      <protection hidden="1"/>
    </xf>
    <xf numFmtId="0" fontId="6" fillId="2" borderId="9" xfId="0" applyFont="1" applyFill="1" applyBorder="1" applyAlignment="1" applyProtection="1">
      <alignment horizontal="center" vertical="center"/>
      <protection hidden="1"/>
    </xf>
    <xf numFmtId="177" fontId="6" fillId="3" borderId="9" xfId="0" applyNumberFormat="1" applyFont="1" applyFill="1" applyBorder="1" applyAlignment="1" applyProtection="1">
      <alignment horizontal="center" vertical="center"/>
      <protection locked="0"/>
    </xf>
    <xf numFmtId="9" fontId="6" fillId="3" borderId="9" xfId="3" applyNumberFormat="1" applyFont="1" applyFill="1" applyBorder="1" applyAlignment="1" applyProtection="1">
      <alignment horizontal="center" vertical="center"/>
      <protection locked="0"/>
    </xf>
    <xf numFmtId="176" fontId="6" fillId="2" borderId="10" xfId="0" applyNumberFormat="1" applyFont="1" applyFill="1" applyBorder="1" applyAlignment="1" applyProtection="1">
      <alignment horizontal="center" vertical="center"/>
      <protection hidden="1"/>
    </xf>
    <xf numFmtId="178" fontId="6" fillId="3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18" xfId="0" applyFont="1" applyFill="1" applyBorder="1" applyAlignment="1" applyProtection="1">
      <alignment horizontal="center" vertical="center" wrapText="1"/>
      <protection hidden="1"/>
    </xf>
    <xf numFmtId="0" fontId="5" fillId="2" borderId="20" xfId="0" applyFont="1" applyFill="1" applyBorder="1" applyAlignment="1" applyProtection="1">
      <alignment horizontal="center" vertical="center"/>
      <protection hidden="1"/>
    </xf>
    <xf numFmtId="0" fontId="6" fillId="2" borderId="26" xfId="0" applyFont="1" applyFill="1" applyBorder="1" applyAlignment="1" applyProtection="1">
      <alignment horizontal="center" vertical="center"/>
      <protection hidden="1"/>
    </xf>
    <xf numFmtId="0" fontId="5" fillId="2" borderId="19" xfId="0" applyFont="1" applyFill="1" applyBorder="1" applyAlignment="1" applyProtection="1">
      <alignment vertical="center"/>
      <protection hidden="1"/>
    </xf>
    <xf numFmtId="179" fontId="6" fillId="2" borderId="19" xfId="0" applyNumberFormat="1" applyFont="1" applyFill="1" applyBorder="1" applyAlignment="1" applyProtection="1">
      <alignment horizontal="center" vertical="center"/>
      <protection hidden="1"/>
    </xf>
    <xf numFmtId="7" fontId="8" fillId="2" borderId="19" xfId="0" applyNumberFormat="1" applyFont="1" applyFill="1" applyBorder="1" applyAlignment="1" applyProtection="1">
      <alignment horizontal="center" vertical="center"/>
      <protection hidden="1"/>
    </xf>
    <xf numFmtId="7" fontId="8" fillId="2" borderId="20" xfId="0" applyNumberFormat="1" applyFont="1" applyFill="1" applyBorder="1" applyAlignment="1" applyProtection="1">
      <alignment horizontal="center" vertical="center"/>
      <protection hidden="1"/>
    </xf>
    <xf numFmtId="0" fontId="5" fillId="2" borderId="27" xfId="0" applyFont="1" applyFill="1" applyBorder="1" applyAlignment="1" applyProtection="1">
      <alignment horizontal="center" vertical="center"/>
      <protection hidden="1"/>
    </xf>
    <xf numFmtId="0" fontId="5" fillId="2" borderId="25" xfId="0" applyFont="1" applyFill="1" applyBorder="1" applyAlignment="1" applyProtection="1">
      <alignment horizontal="center" vertical="center"/>
      <protection hidden="1"/>
    </xf>
    <xf numFmtId="7" fontId="6" fillId="2" borderId="28" xfId="0" applyNumberFormat="1" applyFont="1" applyFill="1" applyBorder="1" applyAlignment="1" applyProtection="1">
      <alignment horizontal="center" vertical="center"/>
      <protection hidden="1"/>
    </xf>
    <xf numFmtId="0" fontId="6" fillId="2" borderId="29" xfId="0" applyFont="1" applyFill="1" applyBorder="1" applyAlignment="1" applyProtection="1">
      <alignment vertical="center"/>
      <protection hidden="1"/>
    </xf>
    <xf numFmtId="0" fontId="6" fillId="2" borderId="0" xfId="0" applyFont="1" applyFill="1" applyAlignment="1" applyProtection="1">
      <alignment vertical="center"/>
      <protection hidden="1"/>
    </xf>
    <xf numFmtId="0" fontId="5" fillId="2" borderId="30" xfId="0" applyFont="1" applyFill="1" applyBorder="1" applyAlignment="1" applyProtection="1">
      <alignment horizontal="center" vertical="center"/>
      <protection hidden="1"/>
    </xf>
    <xf numFmtId="0" fontId="5" fillId="2" borderId="31" xfId="0" applyFont="1" applyFill="1" applyBorder="1" applyAlignment="1" applyProtection="1">
      <alignment horizontal="center" vertical="center"/>
      <protection hidden="1"/>
    </xf>
    <xf numFmtId="0" fontId="5" fillId="2" borderId="32" xfId="0" applyFont="1" applyFill="1" applyBorder="1" applyAlignment="1" applyProtection="1">
      <alignment horizontal="center" vertical="center"/>
      <protection hidden="1"/>
    </xf>
    <xf numFmtId="7" fontId="6" fillId="2" borderId="33" xfId="0" applyNumberFormat="1" applyFont="1" applyFill="1" applyBorder="1" applyAlignment="1" applyProtection="1">
      <alignment horizontal="center" vertical="center"/>
      <protection hidden="1"/>
    </xf>
    <xf numFmtId="0" fontId="6" fillId="2" borderId="8" xfId="0" applyFont="1" applyFill="1" applyBorder="1" applyAlignment="1" applyProtection="1">
      <alignment horizontal="left" vertical="center"/>
      <protection hidden="1"/>
    </xf>
    <xf numFmtId="0" fontId="6" fillId="2" borderId="9" xfId="0" applyFont="1" applyFill="1" applyBorder="1" applyAlignment="1" applyProtection="1">
      <alignment horizontal="left" vertical="center"/>
      <protection hidden="1"/>
    </xf>
    <xf numFmtId="0" fontId="6" fillId="2" borderId="10" xfId="0" applyFont="1" applyFill="1" applyBorder="1" applyAlignment="1" applyProtection="1">
      <alignment horizontal="left" vertical="center"/>
      <protection hidden="1"/>
    </xf>
    <xf numFmtId="0" fontId="5" fillId="2" borderId="34" xfId="0" applyFont="1" applyFill="1" applyBorder="1" applyAlignment="1" applyProtection="1">
      <alignment horizontal="center" vertical="center"/>
      <protection hidden="1"/>
    </xf>
    <xf numFmtId="0" fontId="6" fillId="3" borderId="23" xfId="0" applyFont="1" applyFill="1" applyBorder="1" applyAlignment="1" applyProtection="1">
      <alignment horizontal="center" vertical="center"/>
      <protection locked="0"/>
    </xf>
    <xf numFmtId="0" fontId="6" fillId="3" borderId="25" xfId="0" applyFont="1" applyFill="1" applyBorder="1" applyAlignment="1" applyProtection="1">
      <alignment horizontal="center" vertical="center"/>
      <protection locked="0"/>
    </xf>
    <xf numFmtId="0" fontId="6" fillId="2" borderId="35" xfId="0" applyFont="1" applyFill="1" applyBorder="1" applyAlignment="1" applyProtection="1">
      <alignment horizontal="left" vertical="center"/>
      <protection hidden="1"/>
    </xf>
    <xf numFmtId="0" fontId="6" fillId="2" borderId="36" xfId="0" applyFont="1" applyFill="1" applyBorder="1" applyAlignment="1" applyProtection="1">
      <alignment horizontal="left" vertical="center"/>
      <protection hidden="1"/>
    </xf>
    <xf numFmtId="0" fontId="6" fillId="2" borderId="33" xfId="0" applyFont="1" applyFill="1" applyBorder="1" applyAlignment="1" applyProtection="1">
      <alignment horizontal="left" vertical="center"/>
      <protection hidden="1"/>
    </xf>
    <xf numFmtId="0" fontId="5" fillId="2" borderId="37" xfId="0" applyFont="1" applyFill="1" applyBorder="1" applyAlignment="1" applyProtection="1">
      <alignment horizontal="center" vertical="center"/>
      <protection hidden="1"/>
    </xf>
    <xf numFmtId="7" fontId="9" fillId="4" borderId="33" xfId="0" applyNumberFormat="1" applyFont="1" applyFill="1" applyBorder="1" applyAlignment="1" applyProtection="1">
      <alignment horizontal="center" vertical="center"/>
      <protection locked="0"/>
    </xf>
    <xf numFmtId="7" fontId="6" fillId="4" borderId="33" xfId="0" applyNumberFormat="1" applyFont="1" applyFill="1" applyBorder="1" applyAlignment="1" applyProtection="1">
      <alignment horizontal="center" vertical="center"/>
      <protection locked="0"/>
    </xf>
    <xf numFmtId="0" fontId="5" fillId="2" borderId="37" xfId="0" applyFont="1" applyFill="1" applyBorder="1" applyAlignment="1" applyProtection="1">
      <alignment vertical="center"/>
      <protection locked="0"/>
    </xf>
    <xf numFmtId="180" fontId="5" fillId="2" borderId="33" xfId="0" applyNumberFormat="1" applyFont="1" applyFill="1" applyBorder="1" applyAlignment="1" applyProtection="1">
      <alignment horizontal="center" vertical="center"/>
      <protection hidden="1"/>
    </xf>
    <xf numFmtId="9" fontId="6" fillId="4" borderId="33" xfId="3" applyNumberFormat="1" applyFont="1" applyFill="1" applyBorder="1" applyAlignment="1" applyProtection="1">
      <alignment horizontal="center" vertical="center"/>
      <protection locked="0"/>
    </xf>
    <xf numFmtId="7" fontId="10" fillId="2" borderId="38" xfId="0" applyNumberFormat="1" applyFont="1" applyFill="1" applyBorder="1" applyAlignment="1" applyProtection="1">
      <alignment horizontal="center" vertical="center"/>
      <protection hidden="1"/>
    </xf>
    <xf numFmtId="0" fontId="5" fillId="2" borderId="39" xfId="0" applyFont="1" applyFill="1" applyBorder="1" applyAlignment="1" applyProtection="1">
      <alignment horizontal="center" vertical="center"/>
      <protection locked="0"/>
    </xf>
    <xf numFmtId="0" fontId="6" fillId="3" borderId="26" xfId="0" applyFont="1" applyFill="1" applyBorder="1" applyAlignment="1" applyProtection="1">
      <alignment horizontal="center" vertical="center"/>
      <protection locked="0"/>
    </xf>
    <xf numFmtId="0" fontId="6" fillId="3" borderId="20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O67"/>
  <sheetViews>
    <sheetView showGridLines="0" tabSelected="1" view="pageBreakPreview" zoomScale="70" zoomScaleNormal="85" topLeftCell="A40" workbookViewId="0">
      <selection activeCell="G13" sqref="G13"/>
    </sheetView>
  </sheetViews>
  <sheetFormatPr defaultColWidth="9" defaultRowHeight="12"/>
  <cols>
    <col min="1" max="1" width="5.43636363636364" style="1" customWidth="1"/>
    <col min="2" max="2" width="8.04545454545454" style="1" customWidth="1"/>
    <col min="3" max="3" width="6.22727272727273" style="1" customWidth="1"/>
    <col min="4" max="9" width="16.2363636363636" style="1" customWidth="1"/>
    <col min="10" max="10" width="13.1181818181818" style="1" customWidth="1"/>
    <col min="11" max="15" width="16.2363636363636" style="1" customWidth="1"/>
    <col min="16" max="16384" width="9" style="1"/>
  </cols>
  <sheetData>
    <row r="2" s="1" customFormat="1" ht="43" customHeight="1" spans="1:1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="1" customFormat="1" ht="47" customHeight="1" spans="1:1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</row>
    <row r="4" s="1" customFormat="1" ht="25" customHeight="1" spans="1:15">
      <c r="A4" s="6" t="s">
        <v>2</v>
      </c>
      <c r="B4" s="7" t="s">
        <v>3</v>
      </c>
      <c r="C4" s="8"/>
      <c r="D4" s="9"/>
      <c r="E4" s="10"/>
      <c r="F4" s="11" t="s">
        <v>4</v>
      </c>
      <c r="G4" s="10"/>
      <c r="H4" s="10"/>
      <c r="I4" s="11" t="s">
        <v>5</v>
      </c>
      <c r="J4" s="10"/>
      <c r="K4" s="10"/>
      <c r="L4" s="11" t="s">
        <v>6</v>
      </c>
      <c r="M4" s="12">
        <v>45972</v>
      </c>
      <c r="N4" s="7" t="s">
        <v>7</v>
      </c>
      <c r="O4" s="13">
        <v>26</v>
      </c>
    </row>
    <row r="5" s="1" customFormat="1" ht="25" customHeight="1" spans="1:15">
      <c r="A5" s="14"/>
      <c r="B5" s="15" t="s">
        <v>8</v>
      </c>
      <c r="C5" s="16"/>
      <c r="D5" s="17" t="s">
        <v>9</v>
      </c>
      <c r="E5" s="18"/>
      <c r="F5" s="15" t="s">
        <v>10</v>
      </c>
      <c r="G5" s="19" t="s">
        <v>11</v>
      </c>
      <c r="H5" s="18"/>
      <c r="I5" s="15" t="s">
        <v>12</v>
      </c>
      <c r="J5" s="18"/>
      <c r="K5" s="18"/>
      <c r="L5" s="20" t="s">
        <v>13</v>
      </c>
      <c r="M5" s="18">
        <v>30</v>
      </c>
      <c r="N5" s="20" t="s">
        <v>14</v>
      </c>
      <c r="O5" s="21">
        <v>1</v>
      </c>
    </row>
    <row r="6" s="1" customFormat="1" ht="25" customHeight="1" spans="1:15">
      <c r="A6" s="22"/>
      <c r="B6" s="23" t="s">
        <v>15</v>
      </c>
      <c r="C6" s="24"/>
      <c r="D6" s="25">
        <v>0.3</v>
      </c>
      <c r="E6" s="26"/>
      <c r="F6" s="23" t="s">
        <v>16</v>
      </c>
      <c r="G6" s="27">
        <v>0.35</v>
      </c>
      <c r="H6" s="27"/>
      <c r="I6" s="23" t="s">
        <v>17</v>
      </c>
      <c r="J6" s="27"/>
      <c r="K6" s="27"/>
      <c r="L6" s="28" t="s">
        <v>18</v>
      </c>
      <c r="M6" s="29">
        <v>0.03</v>
      </c>
      <c r="N6" s="30" t="s">
        <v>19</v>
      </c>
      <c r="O6" s="31">
        <v>300</v>
      </c>
    </row>
    <row r="7" s="1" customFormat="1" ht="25" customHeight="1" spans="1:15">
      <c r="A7" s="32" t="s">
        <v>20</v>
      </c>
      <c r="B7" s="33" t="s">
        <v>21</v>
      </c>
      <c r="C7" s="34" t="s">
        <v>22</v>
      </c>
      <c r="D7" s="35" t="s">
        <v>23</v>
      </c>
      <c r="E7" s="36" t="s">
        <v>24</v>
      </c>
      <c r="F7" s="36" t="s">
        <v>25</v>
      </c>
      <c r="G7" s="36" t="s">
        <v>26</v>
      </c>
      <c r="H7" s="36" t="s">
        <v>27</v>
      </c>
      <c r="I7" s="37" t="s">
        <v>28</v>
      </c>
      <c r="J7" s="38" t="s">
        <v>29</v>
      </c>
      <c r="K7" s="36" t="s">
        <v>8</v>
      </c>
      <c r="L7" s="36" t="s">
        <v>25</v>
      </c>
      <c r="M7" s="36" t="s">
        <v>30</v>
      </c>
      <c r="N7" s="36" t="s">
        <v>26</v>
      </c>
      <c r="O7" s="39" t="s">
        <v>31</v>
      </c>
    </row>
    <row r="8" s="1" customFormat="1" ht="25" customHeight="1" spans="1:15">
      <c r="A8" s="40"/>
      <c r="B8" s="41"/>
      <c r="C8" s="42">
        <v>1</v>
      </c>
      <c r="D8" s="43" t="s">
        <v>32</v>
      </c>
      <c r="E8" s="44" t="s">
        <v>33</v>
      </c>
      <c r="F8" s="44" t="s">
        <v>34</v>
      </c>
      <c r="G8" s="44">
        <v>1</v>
      </c>
      <c r="H8" s="44">
        <v>1</v>
      </c>
      <c r="I8" s="45">
        <f>IF(G8="","",G8*H8)</f>
        <v>1</v>
      </c>
      <c r="J8" s="46" t="s">
        <v>35</v>
      </c>
      <c r="K8" s="47" t="s">
        <v>35</v>
      </c>
      <c r="L8" s="44"/>
      <c r="M8" s="44"/>
      <c r="N8" s="44"/>
      <c r="O8" s="48" t="str">
        <f>IF(N8="","",N8*M8)</f>
        <v/>
      </c>
    </row>
    <row r="9" s="1" customFormat="1" ht="25" customHeight="1" spans="1:15">
      <c r="A9" s="40"/>
      <c r="B9" s="41"/>
      <c r="C9" s="42">
        <v>2</v>
      </c>
      <c r="D9" s="43" t="s">
        <v>36</v>
      </c>
      <c r="E9" s="44" t="s">
        <v>37</v>
      </c>
      <c r="F9" s="44" t="s">
        <v>34</v>
      </c>
      <c r="G9" s="44">
        <v>1</v>
      </c>
      <c r="H9" s="44">
        <v>1</v>
      </c>
      <c r="I9" s="45">
        <f t="shared" ref="I9:I30" si="0">IF(G9="","",G9*H9)</f>
        <v>1</v>
      </c>
      <c r="J9" s="46" t="s">
        <v>38</v>
      </c>
      <c r="K9" s="47"/>
      <c r="L9" s="44"/>
      <c r="M9" s="44"/>
      <c r="N9" s="44"/>
      <c r="O9" s="48" t="str">
        <f t="shared" ref="O9:O30" si="1">IF(N9="","",N9*M9)</f>
        <v/>
      </c>
    </row>
    <row r="10" s="1" customFormat="1" ht="25" customHeight="1" spans="1:15">
      <c r="A10" s="40"/>
      <c r="B10" s="41"/>
      <c r="C10" s="42">
        <v>3</v>
      </c>
      <c r="D10" s="43" t="s">
        <v>39</v>
      </c>
      <c r="E10" s="44" t="s">
        <v>40</v>
      </c>
      <c r="F10" s="44" t="s">
        <v>34</v>
      </c>
      <c r="G10" s="44">
        <v>1</v>
      </c>
      <c r="H10" s="44">
        <v>1</v>
      </c>
      <c r="I10" s="45">
        <f t="shared" si="0"/>
        <v>1</v>
      </c>
      <c r="J10" s="46" t="s">
        <v>41</v>
      </c>
      <c r="K10" s="47"/>
      <c r="L10" s="44"/>
      <c r="M10" s="44"/>
      <c r="N10" s="44"/>
      <c r="O10" s="48" t="str">
        <f t="shared" si="1"/>
        <v/>
      </c>
    </row>
    <row r="11" s="1" customFormat="1" ht="25" customHeight="1" spans="1:15">
      <c r="A11" s="40"/>
      <c r="B11" s="41"/>
      <c r="C11" s="42">
        <v>4</v>
      </c>
      <c r="D11" s="43"/>
      <c r="E11" s="44"/>
      <c r="F11" s="44"/>
      <c r="G11" s="44"/>
      <c r="H11" s="44"/>
      <c r="I11" s="45" t="str">
        <f t="shared" si="0"/>
        <v/>
      </c>
      <c r="J11" s="46"/>
      <c r="K11" s="47"/>
      <c r="L11" s="44"/>
      <c r="M11" s="44"/>
      <c r="N11" s="44"/>
      <c r="O11" s="48" t="str">
        <f t="shared" si="1"/>
        <v/>
      </c>
    </row>
    <row r="12" s="1" customFormat="1" ht="25" customHeight="1" spans="1:15">
      <c r="A12" s="40"/>
      <c r="B12" s="41"/>
      <c r="C12" s="42">
        <v>5</v>
      </c>
      <c r="D12" s="43"/>
      <c r="E12" s="44"/>
      <c r="F12" s="44"/>
      <c r="G12" s="44"/>
      <c r="H12" s="44"/>
      <c r="I12" s="45" t="str">
        <f t="shared" si="0"/>
        <v/>
      </c>
      <c r="J12" s="46"/>
      <c r="K12" s="47"/>
      <c r="L12" s="44"/>
      <c r="M12" s="44"/>
      <c r="N12" s="44"/>
      <c r="O12" s="48" t="str">
        <f t="shared" si="1"/>
        <v/>
      </c>
    </row>
    <row r="13" s="1" customFormat="1" ht="25" customHeight="1" spans="1:15">
      <c r="A13" s="40"/>
      <c r="B13" s="41"/>
      <c r="C13" s="42">
        <v>6</v>
      </c>
      <c r="D13" s="43"/>
      <c r="E13" s="44"/>
      <c r="F13" s="44"/>
      <c r="G13" s="44"/>
      <c r="H13" s="44"/>
      <c r="I13" s="45" t="str">
        <f t="shared" si="0"/>
        <v/>
      </c>
      <c r="J13" s="46"/>
      <c r="K13" s="47"/>
      <c r="L13" s="44"/>
      <c r="M13" s="44"/>
      <c r="N13" s="44"/>
      <c r="O13" s="48" t="str">
        <f t="shared" si="1"/>
        <v/>
      </c>
    </row>
    <row r="14" s="1" customFormat="1" ht="25" customHeight="1" spans="1:15">
      <c r="A14" s="40"/>
      <c r="B14" s="41"/>
      <c r="C14" s="42">
        <v>7</v>
      </c>
      <c r="D14" s="43"/>
      <c r="E14" s="44"/>
      <c r="F14" s="44"/>
      <c r="G14" s="44"/>
      <c r="H14" s="44"/>
      <c r="I14" s="45" t="str">
        <f t="shared" si="0"/>
        <v/>
      </c>
      <c r="J14" s="46"/>
      <c r="K14" s="47"/>
      <c r="L14" s="44"/>
      <c r="M14" s="44"/>
      <c r="N14" s="44"/>
      <c r="O14" s="48" t="str">
        <f t="shared" si="1"/>
        <v/>
      </c>
    </row>
    <row r="15" s="1" customFormat="1" ht="25" customHeight="1" spans="1:15">
      <c r="A15" s="40"/>
      <c r="B15" s="41"/>
      <c r="C15" s="42">
        <v>8</v>
      </c>
      <c r="D15" s="43"/>
      <c r="E15" s="44"/>
      <c r="F15" s="44"/>
      <c r="G15" s="44"/>
      <c r="H15" s="44"/>
      <c r="I15" s="45" t="str">
        <f t="shared" si="0"/>
        <v/>
      </c>
      <c r="J15" s="46"/>
      <c r="K15" s="47"/>
      <c r="L15" s="44"/>
      <c r="M15" s="44"/>
      <c r="N15" s="44"/>
      <c r="O15" s="48" t="str">
        <f t="shared" si="1"/>
        <v/>
      </c>
    </row>
    <row r="16" s="1" customFormat="1" ht="25" customHeight="1" spans="1:15">
      <c r="A16" s="40"/>
      <c r="B16" s="41"/>
      <c r="C16" s="42">
        <v>9</v>
      </c>
      <c r="D16" s="43"/>
      <c r="E16" s="44"/>
      <c r="F16" s="44"/>
      <c r="G16" s="44"/>
      <c r="H16" s="44"/>
      <c r="I16" s="45" t="str">
        <f t="shared" si="0"/>
        <v/>
      </c>
      <c r="J16" s="46"/>
      <c r="K16" s="47"/>
      <c r="L16" s="44"/>
      <c r="M16" s="44"/>
      <c r="N16" s="44"/>
      <c r="O16" s="48" t="str">
        <f t="shared" si="1"/>
        <v/>
      </c>
    </row>
    <row r="17" s="1" customFormat="1" ht="25" customHeight="1" spans="1:15">
      <c r="A17" s="40"/>
      <c r="B17" s="41"/>
      <c r="C17" s="42">
        <v>10</v>
      </c>
      <c r="D17" s="43"/>
      <c r="E17" s="44"/>
      <c r="F17" s="44"/>
      <c r="G17" s="44"/>
      <c r="H17" s="44"/>
      <c r="I17" s="45" t="str">
        <f t="shared" si="0"/>
        <v/>
      </c>
      <c r="J17" s="46"/>
      <c r="K17" s="47"/>
      <c r="L17" s="44"/>
      <c r="M17" s="44"/>
      <c r="N17" s="44"/>
      <c r="O17" s="48" t="str">
        <f t="shared" si="1"/>
        <v/>
      </c>
    </row>
    <row r="18" s="1" customFormat="1" ht="25" customHeight="1" spans="1:15">
      <c r="A18" s="40"/>
      <c r="B18" s="41"/>
      <c r="C18" s="42">
        <v>11</v>
      </c>
      <c r="D18" s="43"/>
      <c r="E18" s="44"/>
      <c r="F18" s="44"/>
      <c r="G18" s="44"/>
      <c r="H18" s="44"/>
      <c r="I18" s="45" t="str">
        <f t="shared" si="0"/>
        <v/>
      </c>
      <c r="J18" s="49"/>
      <c r="K18" s="50"/>
      <c r="L18" s="51"/>
      <c r="M18" s="44"/>
      <c r="N18" s="44"/>
      <c r="O18" s="48" t="str">
        <f t="shared" si="1"/>
        <v/>
      </c>
    </row>
    <row r="19" s="1" customFormat="1" ht="25" customHeight="1" spans="1:15">
      <c r="A19" s="40"/>
      <c r="B19" s="41"/>
      <c r="C19" s="42">
        <v>12</v>
      </c>
      <c r="D19" s="17"/>
      <c r="E19" s="18"/>
      <c r="F19" s="18"/>
      <c r="G19" s="44"/>
      <c r="H19" s="44"/>
      <c r="I19" s="45" t="str">
        <f t="shared" si="0"/>
        <v/>
      </c>
      <c r="J19" s="49"/>
      <c r="K19" s="50"/>
      <c r="L19" s="51"/>
      <c r="M19" s="44"/>
      <c r="N19" s="44"/>
      <c r="O19" s="48" t="str">
        <f t="shared" si="1"/>
        <v/>
      </c>
    </row>
    <row r="20" s="1" customFormat="1" ht="25" customHeight="1" spans="1:15">
      <c r="A20" s="40"/>
      <c r="B20" s="41"/>
      <c r="C20" s="42">
        <v>13</v>
      </c>
      <c r="D20" s="17"/>
      <c r="E20" s="18"/>
      <c r="F20" s="18"/>
      <c r="G20" s="44"/>
      <c r="H20" s="44"/>
      <c r="I20" s="45" t="str">
        <f t="shared" si="0"/>
        <v/>
      </c>
      <c r="J20" s="49"/>
      <c r="K20" s="50"/>
      <c r="L20" s="51"/>
      <c r="M20" s="44"/>
      <c r="N20" s="44"/>
      <c r="O20" s="48" t="str">
        <f t="shared" si="1"/>
        <v/>
      </c>
    </row>
    <row r="21" s="1" customFormat="1" ht="25" customHeight="1" spans="1:15">
      <c r="A21" s="40"/>
      <c r="B21" s="41"/>
      <c r="C21" s="42">
        <v>14</v>
      </c>
      <c r="D21" s="17"/>
      <c r="E21" s="18"/>
      <c r="F21" s="18"/>
      <c r="G21" s="44"/>
      <c r="H21" s="44"/>
      <c r="I21" s="45" t="str">
        <f t="shared" si="0"/>
        <v/>
      </c>
      <c r="J21" s="49"/>
      <c r="K21" s="52"/>
      <c r="L21" s="18"/>
      <c r="M21" s="44"/>
      <c r="N21" s="44"/>
      <c r="O21" s="48" t="str">
        <f t="shared" si="1"/>
        <v/>
      </c>
    </row>
    <row r="22" s="1" customFormat="1" ht="25" customHeight="1" spans="1:15">
      <c r="A22" s="40"/>
      <c r="B22" s="41"/>
      <c r="C22" s="42">
        <v>15</v>
      </c>
      <c r="D22" s="17"/>
      <c r="E22" s="53"/>
      <c r="F22" s="53"/>
      <c r="G22" s="44"/>
      <c r="H22" s="44"/>
      <c r="I22" s="45" t="str">
        <f t="shared" si="0"/>
        <v/>
      </c>
      <c r="J22" s="49"/>
      <c r="K22" s="52"/>
      <c r="L22" s="18"/>
      <c r="M22" s="44"/>
      <c r="N22" s="44"/>
      <c r="O22" s="48" t="str">
        <f t="shared" si="1"/>
        <v/>
      </c>
    </row>
    <row r="23" s="1" customFormat="1" ht="25" customHeight="1" spans="1:15">
      <c r="A23" s="40"/>
      <c r="B23" s="41"/>
      <c r="C23" s="42">
        <v>16</v>
      </c>
      <c r="D23" s="54"/>
      <c r="E23" s="18"/>
      <c r="F23" s="18"/>
      <c r="G23" s="44"/>
      <c r="H23" s="44"/>
      <c r="I23" s="45" t="str">
        <f t="shared" si="0"/>
        <v/>
      </c>
      <c r="J23" s="49"/>
      <c r="K23" s="52"/>
      <c r="L23" s="18"/>
      <c r="M23" s="44"/>
      <c r="N23" s="44"/>
      <c r="O23" s="48" t="str">
        <f t="shared" si="1"/>
        <v/>
      </c>
    </row>
    <row r="24" s="1" customFormat="1" ht="25" customHeight="1" spans="1:15">
      <c r="A24" s="40"/>
      <c r="B24" s="41"/>
      <c r="C24" s="42">
        <v>17</v>
      </c>
      <c r="D24" s="17"/>
      <c r="E24" s="19"/>
      <c r="F24" s="19"/>
      <c r="G24" s="44"/>
      <c r="H24" s="44"/>
      <c r="I24" s="45" t="str">
        <f t="shared" si="0"/>
        <v/>
      </c>
      <c r="J24" s="49"/>
      <c r="K24" s="52"/>
      <c r="L24" s="18"/>
      <c r="M24" s="44"/>
      <c r="N24" s="44"/>
      <c r="O24" s="48" t="str">
        <f t="shared" si="1"/>
        <v/>
      </c>
    </row>
    <row r="25" s="1" customFormat="1" ht="25" customHeight="1" spans="1:15">
      <c r="A25" s="55"/>
      <c r="B25" s="56"/>
      <c r="C25" s="57"/>
      <c r="D25" s="58"/>
      <c r="E25" s="59"/>
      <c r="F25" s="59"/>
      <c r="G25" s="23" t="s">
        <v>42</v>
      </c>
      <c r="H25" s="23"/>
      <c r="I25" s="60">
        <f>SUM(I8:I24)</f>
        <v>3</v>
      </c>
      <c r="J25" s="61"/>
      <c r="K25" s="23"/>
      <c r="L25" s="23"/>
      <c r="M25" s="23" t="s">
        <v>43</v>
      </c>
      <c r="N25" s="23"/>
      <c r="O25" s="62">
        <f>SUM(O8:O24)</f>
        <v>0</v>
      </c>
    </row>
    <row r="26" s="1" customFormat="1" ht="25" customHeight="1" spans="1:15">
      <c r="A26" s="32" t="s">
        <v>44</v>
      </c>
      <c r="B26" s="63" t="s">
        <v>45</v>
      </c>
      <c r="C26" s="64" t="s">
        <v>22</v>
      </c>
      <c r="D26" s="38" t="s">
        <v>46</v>
      </c>
      <c r="E26" s="36"/>
      <c r="F26" s="36"/>
      <c r="G26" s="36"/>
      <c r="H26" s="36"/>
      <c r="I26" s="39"/>
      <c r="J26" s="38" t="s">
        <v>47</v>
      </c>
      <c r="K26" s="36"/>
      <c r="L26" s="36"/>
      <c r="M26" s="36"/>
      <c r="N26" s="36"/>
      <c r="O26" s="39"/>
    </row>
    <row r="27" s="1" customFormat="1" ht="25" customHeight="1" spans="1:15">
      <c r="A27" s="40"/>
      <c r="B27" s="65"/>
      <c r="C27" s="66"/>
      <c r="D27" s="40" t="s">
        <v>48</v>
      </c>
      <c r="E27" s="20" t="s">
        <v>49</v>
      </c>
      <c r="F27" s="15" t="s">
        <v>50</v>
      </c>
      <c r="G27" s="20" t="s">
        <v>51</v>
      </c>
      <c r="H27" s="20" t="s">
        <v>52</v>
      </c>
      <c r="I27" s="16" t="s">
        <v>53</v>
      </c>
      <c r="J27" s="67" t="s">
        <v>54</v>
      </c>
      <c r="K27" s="15" t="s">
        <v>55</v>
      </c>
      <c r="L27" s="20" t="s">
        <v>56</v>
      </c>
      <c r="M27" s="20" t="s">
        <v>57</v>
      </c>
      <c r="N27" s="20" t="s">
        <v>58</v>
      </c>
      <c r="O27" s="16" t="s">
        <v>59</v>
      </c>
    </row>
    <row r="28" s="1" customFormat="1" ht="25" customHeight="1" spans="1:15">
      <c r="A28" s="40"/>
      <c r="B28" s="65"/>
      <c r="C28" s="66">
        <v>1</v>
      </c>
      <c r="D28" s="68" t="s">
        <v>60</v>
      </c>
      <c r="E28" s="18">
        <v>10</v>
      </c>
      <c r="F28" s="18">
        <v>2</v>
      </c>
      <c r="G28" s="18">
        <v>30</v>
      </c>
      <c r="H28" s="18">
        <v>20</v>
      </c>
      <c r="I28" s="48">
        <f>IF(H28="","",E28/H28)</f>
        <v>0.5</v>
      </c>
      <c r="J28" s="40">
        <v>1</v>
      </c>
      <c r="K28" s="18" t="s">
        <v>61</v>
      </c>
      <c r="L28" s="18">
        <v>3</v>
      </c>
      <c r="M28" s="18">
        <v>30</v>
      </c>
      <c r="N28" s="18">
        <v>20</v>
      </c>
      <c r="O28" s="48">
        <f>IF(M28="","",L28/M28)</f>
        <v>0.1</v>
      </c>
    </row>
    <row r="29" s="1" customFormat="1" ht="25" customHeight="1" spans="1:15">
      <c r="A29" s="40"/>
      <c r="B29" s="65"/>
      <c r="C29" s="66">
        <v>2</v>
      </c>
      <c r="D29" s="68"/>
      <c r="E29" s="18"/>
      <c r="F29" s="18"/>
      <c r="G29" s="18"/>
      <c r="H29" s="18"/>
      <c r="I29" s="48" t="str">
        <f>IF(H29="","",E29/H29)</f>
        <v/>
      </c>
      <c r="J29" s="40">
        <v>2</v>
      </c>
      <c r="K29" s="69"/>
      <c r="L29" s="69"/>
      <c r="M29" s="69"/>
      <c r="N29" s="18"/>
      <c r="O29" s="48" t="str">
        <f t="shared" ref="O29:O37" si="2">IF(M29="","",L29/M29)</f>
        <v/>
      </c>
    </row>
    <row r="30" s="1" customFormat="1" ht="25" customHeight="1" spans="1:15">
      <c r="A30" s="40"/>
      <c r="B30" s="65"/>
      <c r="C30" s="66">
        <v>3</v>
      </c>
      <c r="D30" s="68"/>
      <c r="E30" s="18"/>
      <c r="F30" s="18"/>
      <c r="G30" s="18"/>
      <c r="H30" s="18"/>
      <c r="I30" s="48" t="str">
        <f>IF(H30="","",E30/H30)</f>
        <v/>
      </c>
      <c r="J30" s="40">
        <v>3</v>
      </c>
      <c r="K30" s="69"/>
      <c r="L30" s="69"/>
      <c r="M30" s="69"/>
      <c r="N30" s="18"/>
      <c r="O30" s="48" t="str">
        <f t="shared" si="2"/>
        <v/>
      </c>
    </row>
    <row r="31" s="1" customFormat="1" ht="25" customHeight="1" spans="1:15">
      <c r="A31" s="40"/>
      <c r="B31" s="65"/>
      <c r="C31" s="66">
        <v>5</v>
      </c>
      <c r="D31" s="68"/>
      <c r="E31" s="18"/>
      <c r="F31" s="18"/>
      <c r="G31" s="18"/>
      <c r="H31" s="18"/>
      <c r="I31" s="48" t="str">
        <f t="shared" ref="I28:I37" si="3">IF(H31="","",E31/H31)</f>
        <v/>
      </c>
      <c r="J31" s="40">
        <v>4</v>
      </c>
      <c r="K31" s="18"/>
      <c r="L31" s="18"/>
      <c r="M31" s="18"/>
      <c r="N31" s="18"/>
      <c r="O31" s="48" t="str">
        <f t="shared" si="2"/>
        <v/>
      </c>
    </row>
    <row r="32" s="1" customFormat="1" ht="25" customHeight="1" spans="1:15">
      <c r="A32" s="40"/>
      <c r="B32" s="65"/>
      <c r="C32" s="66">
        <v>6</v>
      </c>
      <c r="D32" s="68"/>
      <c r="E32" s="18"/>
      <c r="F32" s="18"/>
      <c r="G32" s="18"/>
      <c r="H32" s="18"/>
      <c r="I32" s="48" t="str">
        <f t="shared" si="3"/>
        <v/>
      </c>
      <c r="J32" s="40">
        <v>5</v>
      </c>
      <c r="K32" s="18"/>
      <c r="L32" s="18"/>
      <c r="M32" s="18"/>
      <c r="N32" s="18"/>
      <c r="O32" s="48" t="str">
        <f t="shared" si="2"/>
        <v/>
      </c>
    </row>
    <row r="33" s="1" customFormat="1" ht="25" customHeight="1" spans="1:15">
      <c r="A33" s="40"/>
      <c r="B33" s="65"/>
      <c r="C33" s="66">
        <v>7</v>
      </c>
      <c r="D33" s="68"/>
      <c r="E33" s="18"/>
      <c r="F33" s="18"/>
      <c r="G33" s="18"/>
      <c r="H33" s="18"/>
      <c r="I33" s="48" t="str">
        <f t="shared" si="3"/>
        <v/>
      </c>
      <c r="J33" s="40">
        <v>6</v>
      </c>
      <c r="K33" s="18"/>
      <c r="L33" s="18"/>
      <c r="M33" s="18"/>
      <c r="N33" s="18"/>
      <c r="O33" s="48" t="str">
        <f t="shared" si="2"/>
        <v/>
      </c>
    </row>
    <row r="34" s="1" customFormat="1" ht="25" customHeight="1" spans="1:15">
      <c r="A34" s="40"/>
      <c r="B34" s="65"/>
      <c r="C34" s="66">
        <v>8</v>
      </c>
      <c r="D34" s="68"/>
      <c r="E34" s="18"/>
      <c r="F34" s="18"/>
      <c r="G34" s="18"/>
      <c r="H34" s="18"/>
      <c r="I34" s="48" t="str">
        <f t="shared" si="3"/>
        <v/>
      </c>
      <c r="J34" s="40">
        <v>7</v>
      </c>
      <c r="K34" s="18"/>
      <c r="L34" s="18"/>
      <c r="M34" s="18"/>
      <c r="N34" s="18"/>
      <c r="O34" s="48" t="str">
        <f t="shared" si="2"/>
        <v/>
      </c>
    </row>
    <row r="35" s="1" customFormat="1" ht="25" customHeight="1" spans="1:15">
      <c r="A35" s="40"/>
      <c r="B35" s="65"/>
      <c r="C35" s="66">
        <v>9</v>
      </c>
      <c r="D35" s="68"/>
      <c r="E35" s="18"/>
      <c r="F35" s="18"/>
      <c r="G35" s="18"/>
      <c r="H35" s="18"/>
      <c r="I35" s="48" t="str">
        <f t="shared" si="3"/>
        <v/>
      </c>
      <c r="J35" s="40">
        <v>8</v>
      </c>
      <c r="K35" s="18"/>
      <c r="L35" s="18"/>
      <c r="M35" s="18"/>
      <c r="N35" s="18"/>
      <c r="O35" s="48" t="str">
        <f t="shared" si="2"/>
        <v/>
      </c>
    </row>
    <row r="36" s="1" customFormat="1" ht="25" customHeight="1" spans="1:15">
      <c r="A36" s="40"/>
      <c r="B36" s="65"/>
      <c r="C36" s="66">
        <v>10</v>
      </c>
      <c r="D36" s="68"/>
      <c r="E36" s="18"/>
      <c r="F36" s="18"/>
      <c r="G36" s="18"/>
      <c r="H36" s="18"/>
      <c r="I36" s="48" t="str">
        <f t="shared" si="3"/>
        <v/>
      </c>
      <c r="J36" s="40">
        <v>9</v>
      </c>
      <c r="K36" s="18"/>
      <c r="L36" s="18"/>
      <c r="M36" s="18"/>
      <c r="N36" s="18"/>
      <c r="O36" s="48" t="str">
        <f t="shared" si="2"/>
        <v/>
      </c>
    </row>
    <row r="37" s="1" customFormat="1" ht="25" customHeight="1" spans="1:15">
      <c r="A37" s="40"/>
      <c r="B37" s="65"/>
      <c r="C37" s="66">
        <v>11</v>
      </c>
      <c r="D37" s="68"/>
      <c r="E37" s="18"/>
      <c r="F37" s="18"/>
      <c r="G37" s="18"/>
      <c r="H37" s="18"/>
      <c r="I37" s="48" t="str">
        <f t="shared" si="3"/>
        <v/>
      </c>
      <c r="J37" s="40">
        <v>10</v>
      </c>
      <c r="K37" s="18"/>
      <c r="L37" s="18"/>
      <c r="M37" s="18"/>
      <c r="N37" s="18"/>
      <c r="O37" s="48" t="str">
        <f t="shared" si="2"/>
        <v/>
      </c>
    </row>
    <row r="38" s="1" customFormat="1" ht="25" customHeight="1" spans="1:15">
      <c r="A38" s="55"/>
      <c r="B38" s="70"/>
      <c r="C38" s="71"/>
      <c r="D38" s="55" t="s">
        <v>62</v>
      </c>
      <c r="E38" s="72">
        <f>SUM(E28:E37)</f>
        <v>10</v>
      </c>
      <c r="F38" s="72"/>
      <c r="G38" s="73" t="s">
        <v>63</v>
      </c>
      <c r="H38" s="73"/>
      <c r="I38" s="74">
        <f>SUM(I28:I37)</f>
        <v>0.5</v>
      </c>
      <c r="J38" s="75"/>
      <c r="K38" s="73" t="s">
        <v>64</v>
      </c>
      <c r="L38" s="72">
        <f>SUM(L27:L37)</f>
        <v>3</v>
      </c>
      <c r="M38" s="72"/>
      <c r="N38" s="72"/>
      <c r="O38" s="76">
        <f>SUM(O28:O37)</f>
        <v>0.1</v>
      </c>
    </row>
    <row r="39" s="1" customFormat="1" ht="25" customHeight="1" spans="1:15">
      <c r="A39" s="77" t="s">
        <v>65</v>
      </c>
      <c r="B39" s="33" t="s">
        <v>66</v>
      </c>
      <c r="C39" s="78" t="s">
        <v>22</v>
      </c>
      <c r="D39" s="79" t="s">
        <v>67</v>
      </c>
      <c r="E39" s="80" t="s">
        <v>68</v>
      </c>
      <c r="F39" s="80" t="s">
        <v>69</v>
      </c>
      <c r="G39" s="80" t="s">
        <v>70</v>
      </c>
      <c r="H39" s="81" t="s">
        <v>71</v>
      </c>
      <c r="I39" s="81" t="s">
        <v>72</v>
      </c>
      <c r="J39" s="81" t="s">
        <v>73</v>
      </c>
      <c r="K39" s="82" t="s">
        <v>74</v>
      </c>
      <c r="L39" s="81" t="s">
        <v>75</v>
      </c>
      <c r="M39" s="80" t="s">
        <v>76</v>
      </c>
      <c r="N39" s="80" t="s">
        <v>77</v>
      </c>
      <c r="O39" s="83" t="s">
        <v>78</v>
      </c>
    </row>
    <row r="40" s="1" customFormat="1" ht="25" customHeight="1" spans="1:15">
      <c r="A40" s="84"/>
      <c r="B40" s="41"/>
      <c r="C40" s="16">
        <v>1</v>
      </c>
      <c r="D40" s="17" t="s">
        <v>60</v>
      </c>
      <c r="E40" s="18">
        <v>60</v>
      </c>
      <c r="F40" s="85">
        <f>IF(D40="","",12/G40)</f>
        <v>720</v>
      </c>
      <c r="G40" s="86">
        <f>IF(D40="","",E40/3600)</f>
        <v>0.0166666666666667</v>
      </c>
      <c r="H40" s="18">
        <v>1</v>
      </c>
      <c r="I40" s="87">
        <f>IF(D40="","",G40*H40)</f>
        <v>0.0166666666666667</v>
      </c>
      <c r="J40" s="18">
        <v>10</v>
      </c>
      <c r="K40" s="88" t="str">
        <f>IF(D40="","","10年2班折90%")</f>
        <v>10年2班折90%</v>
      </c>
      <c r="L40" s="87">
        <f>IF(D40="","",J40*0.9/10/$O$6/22*G40)</f>
        <v>2.27272727272727e-6</v>
      </c>
      <c r="M40" s="89">
        <v>100</v>
      </c>
      <c r="N40" s="90">
        <v>0.5</v>
      </c>
      <c r="O40" s="91">
        <f>IF(M40="","",M40*N40*$O$5*G40)</f>
        <v>0.833333333333333</v>
      </c>
    </row>
    <row r="41" s="1" customFormat="1" ht="25" customHeight="1" spans="1:15">
      <c r="A41" s="84"/>
      <c r="B41" s="41"/>
      <c r="C41" s="16">
        <v>2</v>
      </c>
      <c r="D41" s="17"/>
      <c r="E41" s="18"/>
      <c r="F41" s="85" t="str">
        <f t="shared" ref="F41:F55" si="4">IF(D41="","",12/G41)</f>
        <v/>
      </c>
      <c r="G41" s="86" t="str">
        <f t="shared" ref="G41:G55" si="5">IF(D41="","",E41/3600)</f>
        <v/>
      </c>
      <c r="H41" s="18"/>
      <c r="I41" s="87" t="str">
        <f t="shared" ref="I41:I55" si="6">IF(D41="","",G41*H41)</f>
        <v/>
      </c>
      <c r="J41" s="18"/>
      <c r="K41" s="88" t="str">
        <f t="shared" ref="K41:K55" si="7">IF(D41="","","10年2班折90%")</f>
        <v/>
      </c>
      <c r="L41" s="87" t="str">
        <f t="shared" ref="L41:L55" si="8">IF(D41="","",J41*0.9/10/$O$6/22*G41)</f>
        <v/>
      </c>
      <c r="M41" s="89"/>
      <c r="N41" s="90"/>
      <c r="O41" s="91" t="str">
        <f>IF(M41="","",M41*N41*$O$5*G41)</f>
        <v/>
      </c>
    </row>
    <row r="42" s="1" customFormat="1" ht="25" customHeight="1" spans="1:15">
      <c r="A42" s="84"/>
      <c r="B42" s="41"/>
      <c r="C42" s="16">
        <v>3</v>
      </c>
      <c r="D42" s="17"/>
      <c r="E42" s="18"/>
      <c r="F42" s="85" t="str">
        <f t="shared" si="4"/>
        <v/>
      </c>
      <c r="G42" s="86" t="str">
        <f t="shared" si="5"/>
        <v/>
      </c>
      <c r="H42" s="18"/>
      <c r="I42" s="87" t="str">
        <f t="shared" si="6"/>
        <v/>
      </c>
      <c r="J42" s="18"/>
      <c r="K42" s="88" t="str">
        <f t="shared" si="7"/>
        <v/>
      </c>
      <c r="L42" s="87" t="str">
        <f t="shared" si="8"/>
        <v/>
      </c>
      <c r="M42" s="89"/>
      <c r="N42" s="90"/>
      <c r="O42" s="91" t="str">
        <f t="shared" ref="O41:O55" si="9">IF(M42="","",M42*N42*$O$5*G42)</f>
        <v/>
      </c>
    </row>
    <row r="43" s="1" customFormat="1" ht="25" customHeight="1" spans="1:15">
      <c r="A43" s="84"/>
      <c r="B43" s="41"/>
      <c r="C43" s="16">
        <v>4</v>
      </c>
      <c r="D43" s="17"/>
      <c r="E43" s="18"/>
      <c r="F43" s="85" t="str">
        <f t="shared" si="4"/>
        <v/>
      </c>
      <c r="G43" s="86" t="str">
        <f t="shared" si="5"/>
        <v/>
      </c>
      <c r="H43" s="18"/>
      <c r="I43" s="87" t="str">
        <f t="shared" si="6"/>
        <v/>
      </c>
      <c r="J43" s="18"/>
      <c r="K43" s="88" t="str">
        <f t="shared" si="7"/>
        <v/>
      </c>
      <c r="L43" s="87" t="str">
        <f t="shared" si="8"/>
        <v/>
      </c>
      <c r="M43" s="89"/>
      <c r="N43" s="90"/>
      <c r="O43" s="91" t="str">
        <f t="shared" si="9"/>
        <v/>
      </c>
    </row>
    <row r="44" s="1" customFormat="1" ht="25" customHeight="1" spans="1:15">
      <c r="A44" s="84"/>
      <c r="B44" s="41"/>
      <c r="C44" s="16">
        <v>5</v>
      </c>
      <c r="D44" s="17"/>
      <c r="E44" s="18"/>
      <c r="F44" s="85" t="str">
        <f t="shared" si="4"/>
        <v/>
      </c>
      <c r="G44" s="86" t="str">
        <f t="shared" si="5"/>
        <v/>
      </c>
      <c r="H44" s="18"/>
      <c r="I44" s="87" t="str">
        <f t="shared" si="6"/>
        <v/>
      </c>
      <c r="J44" s="18"/>
      <c r="K44" s="88" t="str">
        <f t="shared" si="7"/>
        <v/>
      </c>
      <c r="L44" s="87" t="str">
        <f t="shared" si="8"/>
        <v/>
      </c>
      <c r="M44" s="89"/>
      <c r="N44" s="90"/>
      <c r="O44" s="91" t="str">
        <f t="shared" si="9"/>
        <v/>
      </c>
    </row>
    <row r="45" s="1" customFormat="1" ht="25" customHeight="1" spans="1:15">
      <c r="A45" s="84"/>
      <c r="B45" s="41"/>
      <c r="C45" s="16">
        <v>6</v>
      </c>
      <c r="D45" s="92"/>
      <c r="E45" s="18"/>
      <c r="F45" s="85" t="str">
        <f t="shared" si="4"/>
        <v/>
      </c>
      <c r="G45" s="86" t="str">
        <f t="shared" si="5"/>
        <v/>
      </c>
      <c r="H45" s="18"/>
      <c r="I45" s="87" t="str">
        <f t="shared" si="6"/>
        <v/>
      </c>
      <c r="J45" s="18"/>
      <c r="K45" s="88" t="str">
        <f t="shared" si="7"/>
        <v/>
      </c>
      <c r="L45" s="87" t="str">
        <f t="shared" si="8"/>
        <v/>
      </c>
      <c r="M45" s="89"/>
      <c r="N45" s="90"/>
      <c r="O45" s="91" t="str">
        <f t="shared" si="9"/>
        <v/>
      </c>
    </row>
    <row r="46" s="1" customFormat="1" ht="25" customHeight="1" spans="1:15">
      <c r="A46" s="84"/>
      <c r="B46" s="41"/>
      <c r="C46" s="16">
        <v>7</v>
      </c>
      <c r="D46" s="92"/>
      <c r="E46" s="18"/>
      <c r="F46" s="85" t="str">
        <f t="shared" si="4"/>
        <v/>
      </c>
      <c r="G46" s="86" t="str">
        <f t="shared" si="5"/>
        <v/>
      </c>
      <c r="H46" s="18"/>
      <c r="I46" s="87" t="str">
        <f t="shared" si="6"/>
        <v/>
      </c>
      <c r="J46" s="18"/>
      <c r="K46" s="88" t="str">
        <f t="shared" si="7"/>
        <v/>
      </c>
      <c r="L46" s="87" t="str">
        <f t="shared" si="8"/>
        <v/>
      </c>
      <c r="M46" s="89"/>
      <c r="N46" s="90"/>
      <c r="O46" s="91" t="str">
        <f t="shared" si="9"/>
        <v/>
      </c>
    </row>
    <row r="47" s="1" customFormat="1" ht="25" customHeight="1" spans="1:15">
      <c r="A47" s="84"/>
      <c r="B47" s="41"/>
      <c r="C47" s="16">
        <v>8</v>
      </c>
      <c r="D47" s="92"/>
      <c r="E47" s="18"/>
      <c r="F47" s="85" t="str">
        <f t="shared" si="4"/>
        <v/>
      </c>
      <c r="G47" s="86" t="str">
        <f t="shared" si="5"/>
        <v/>
      </c>
      <c r="H47" s="18"/>
      <c r="I47" s="87" t="str">
        <f t="shared" si="6"/>
        <v/>
      </c>
      <c r="J47" s="18"/>
      <c r="K47" s="88" t="str">
        <f t="shared" si="7"/>
        <v/>
      </c>
      <c r="L47" s="87" t="str">
        <f t="shared" si="8"/>
        <v/>
      </c>
      <c r="M47" s="89"/>
      <c r="N47" s="90"/>
      <c r="O47" s="91" t="str">
        <f t="shared" si="9"/>
        <v/>
      </c>
    </row>
    <row r="48" s="1" customFormat="1" ht="25" customHeight="1" spans="1:15">
      <c r="A48" s="84"/>
      <c r="B48" s="41"/>
      <c r="C48" s="16">
        <v>9</v>
      </c>
      <c r="D48" s="92"/>
      <c r="E48" s="18"/>
      <c r="F48" s="85" t="str">
        <f t="shared" si="4"/>
        <v/>
      </c>
      <c r="G48" s="86" t="str">
        <f t="shared" si="5"/>
        <v/>
      </c>
      <c r="H48" s="18"/>
      <c r="I48" s="87" t="str">
        <f t="shared" si="6"/>
        <v/>
      </c>
      <c r="J48" s="18"/>
      <c r="K48" s="88" t="str">
        <f t="shared" si="7"/>
        <v/>
      </c>
      <c r="L48" s="87" t="str">
        <f t="shared" si="8"/>
        <v/>
      </c>
      <c r="M48" s="89"/>
      <c r="N48" s="90"/>
      <c r="O48" s="91" t="str">
        <f t="shared" si="9"/>
        <v/>
      </c>
    </row>
    <row r="49" s="1" customFormat="1" ht="25" customHeight="1" spans="1:15">
      <c r="A49" s="84"/>
      <c r="B49" s="41"/>
      <c r="C49" s="16">
        <v>10</v>
      </c>
      <c r="D49" s="92"/>
      <c r="E49" s="18"/>
      <c r="F49" s="85" t="str">
        <f t="shared" si="4"/>
        <v/>
      </c>
      <c r="G49" s="86" t="str">
        <f t="shared" si="5"/>
        <v/>
      </c>
      <c r="H49" s="18"/>
      <c r="I49" s="87" t="str">
        <f t="shared" si="6"/>
        <v/>
      </c>
      <c r="J49" s="18"/>
      <c r="K49" s="88" t="str">
        <f t="shared" si="7"/>
        <v/>
      </c>
      <c r="L49" s="87" t="str">
        <f t="shared" si="8"/>
        <v/>
      </c>
      <c r="M49" s="89"/>
      <c r="N49" s="90"/>
      <c r="O49" s="91" t="str">
        <f t="shared" si="9"/>
        <v/>
      </c>
    </row>
    <row r="50" s="1" customFormat="1" ht="25" customHeight="1" spans="1:15">
      <c r="A50" s="84"/>
      <c r="B50" s="41"/>
      <c r="C50" s="16">
        <v>11</v>
      </c>
      <c r="D50" s="92"/>
      <c r="E50" s="18"/>
      <c r="F50" s="85" t="str">
        <f t="shared" si="4"/>
        <v/>
      </c>
      <c r="G50" s="86" t="str">
        <f t="shared" si="5"/>
        <v/>
      </c>
      <c r="H50" s="18"/>
      <c r="I50" s="87" t="str">
        <f t="shared" si="6"/>
        <v/>
      </c>
      <c r="J50" s="18"/>
      <c r="K50" s="88" t="str">
        <f t="shared" si="7"/>
        <v/>
      </c>
      <c r="L50" s="87" t="str">
        <f t="shared" si="8"/>
        <v/>
      </c>
      <c r="M50" s="89"/>
      <c r="N50" s="90"/>
      <c r="O50" s="91" t="str">
        <f t="shared" si="9"/>
        <v/>
      </c>
    </row>
    <row r="51" s="1" customFormat="1" ht="25" customHeight="1" spans="1:15">
      <c r="A51" s="84"/>
      <c r="B51" s="41"/>
      <c r="C51" s="16">
        <v>12</v>
      </c>
      <c r="D51" s="92"/>
      <c r="E51" s="18"/>
      <c r="F51" s="85" t="str">
        <f t="shared" si="4"/>
        <v/>
      </c>
      <c r="G51" s="86" t="str">
        <f t="shared" si="5"/>
        <v/>
      </c>
      <c r="H51" s="18"/>
      <c r="I51" s="87" t="str">
        <f t="shared" si="6"/>
        <v/>
      </c>
      <c r="J51" s="18"/>
      <c r="K51" s="88" t="str">
        <f t="shared" si="7"/>
        <v/>
      </c>
      <c r="L51" s="87" t="str">
        <f t="shared" si="8"/>
        <v/>
      </c>
      <c r="M51" s="89"/>
      <c r="N51" s="90"/>
      <c r="O51" s="91" t="str">
        <f t="shared" si="9"/>
        <v/>
      </c>
    </row>
    <row r="52" s="1" customFormat="1" ht="25" customHeight="1" spans="1:15">
      <c r="A52" s="84"/>
      <c r="B52" s="41"/>
      <c r="C52" s="16">
        <v>13</v>
      </c>
      <c r="D52" s="92"/>
      <c r="E52" s="18"/>
      <c r="F52" s="85" t="str">
        <f t="shared" si="4"/>
        <v/>
      </c>
      <c r="G52" s="86" t="str">
        <f t="shared" si="5"/>
        <v/>
      </c>
      <c r="H52" s="18"/>
      <c r="I52" s="87" t="str">
        <f t="shared" si="6"/>
        <v/>
      </c>
      <c r="J52" s="18"/>
      <c r="K52" s="88" t="str">
        <f t="shared" si="7"/>
        <v/>
      </c>
      <c r="L52" s="87" t="str">
        <f t="shared" si="8"/>
        <v/>
      </c>
      <c r="M52" s="89"/>
      <c r="N52" s="90"/>
      <c r="O52" s="91" t="str">
        <f t="shared" si="9"/>
        <v/>
      </c>
    </row>
    <row r="53" s="1" customFormat="1" ht="25" customHeight="1" spans="1:15">
      <c r="A53" s="84"/>
      <c r="B53" s="41"/>
      <c r="C53" s="16">
        <v>14</v>
      </c>
      <c r="D53" s="92"/>
      <c r="E53" s="18"/>
      <c r="F53" s="85" t="str">
        <f t="shared" si="4"/>
        <v/>
      </c>
      <c r="G53" s="86" t="str">
        <f t="shared" si="5"/>
        <v/>
      </c>
      <c r="H53" s="18"/>
      <c r="I53" s="87" t="str">
        <f t="shared" si="6"/>
        <v/>
      </c>
      <c r="J53" s="18"/>
      <c r="K53" s="88" t="str">
        <f t="shared" si="7"/>
        <v/>
      </c>
      <c r="L53" s="87" t="str">
        <f t="shared" si="8"/>
        <v/>
      </c>
      <c r="M53" s="89"/>
      <c r="N53" s="90"/>
      <c r="O53" s="91" t="str">
        <f t="shared" si="9"/>
        <v/>
      </c>
    </row>
    <row r="54" s="1" customFormat="1" ht="25" customHeight="1" spans="1:15">
      <c r="A54" s="84"/>
      <c r="B54" s="41"/>
      <c r="C54" s="16">
        <v>15</v>
      </c>
      <c r="D54" s="92"/>
      <c r="E54" s="18"/>
      <c r="F54" s="85" t="str">
        <f t="shared" si="4"/>
        <v/>
      </c>
      <c r="G54" s="86" t="str">
        <f t="shared" si="5"/>
        <v/>
      </c>
      <c r="H54" s="18"/>
      <c r="I54" s="87" t="str">
        <f t="shared" si="6"/>
        <v/>
      </c>
      <c r="J54" s="18"/>
      <c r="K54" s="88" t="str">
        <f t="shared" si="7"/>
        <v/>
      </c>
      <c r="L54" s="87" t="str">
        <f t="shared" si="8"/>
        <v/>
      </c>
      <c r="M54" s="89"/>
      <c r="N54" s="90"/>
      <c r="O54" s="91" t="str">
        <f t="shared" si="9"/>
        <v/>
      </c>
    </row>
    <row r="55" s="1" customFormat="1" ht="25" customHeight="1" spans="1:15">
      <c r="A55" s="84"/>
      <c r="B55" s="41"/>
      <c r="C55" s="16">
        <v>16</v>
      </c>
      <c r="D55" s="92"/>
      <c r="E55" s="18"/>
      <c r="F55" s="85" t="str">
        <f t="shared" si="4"/>
        <v/>
      </c>
      <c r="G55" s="86" t="str">
        <f t="shared" si="5"/>
        <v/>
      </c>
      <c r="H55" s="18"/>
      <c r="I55" s="87" t="str">
        <f t="shared" si="6"/>
        <v/>
      </c>
      <c r="J55" s="18"/>
      <c r="K55" s="88" t="str">
        <f t="shared" si="7"/>
        <v/>
      </c>
      <c r="L55" s="87" t="str">
        <f t="shared" si="8"/>
        <v/>
      </c>
      <c r="M55" s="89"/>
      <c r="N55" s="90"/>
      <c r="O55" s="91" t="str">
        <f t="shared" si="9"/>
        <v/>
      </c>
    </row>
    <row r="56" s="1" customFormat="1" ht="25" customHeight="1" spans="1:15">
      <c r="A56" s="93"/>
      <c r="B56" s="56"/>
      <c r="C56" s="94">
        <v>17</v>
      </c>
      <c r="D56" s="95"/>
      <c r="E56" s="73"/>
      <c r="F56" s="72"/>
      <c r="G56" s="73" t="s">
        <v>79</v>
      </c>
      <c r="H56" s="96"/>
      <c r="I56" s="97">
        <f>SUM(I40:I55)</f>
        <v>0.0166666666666667</v>
      </c>
      <c r="J56" s="73" t="s">
        <v>80</v>
      </c>
      <c r="K56" s="73"/>
      <c r="L56" s="98">
        <f>SUM(L40:L55)</f>
        <v>2.27272727272727e-6</v>
      </c>
      <c r="M56" s="72"/>
      <c r="N56" s="73" t="s">
        <v>81</v>
      </c>
      <c r="O56" s="99">
        <f>SUM(O40:O55)</f>
        <v>0.833333333333333</v>
      </c>
    </row>
    <row r="57" s="1" customFormat="1" ht="25" customHeight="1" spans="1:15">
      <c r="A57" s="100" t="s">
        <v>82</v>
      </c>
      <c r="B57" s="81" t="s">
        <v>83</v>
      </c>
      <c r="C57" s="101"/>
      <c r="D57" s="102">
        <f>I56*O4</f>
        <v>0.433333333333334</v>
      </c>
      <c r="E57" s="103" t="str">
        <f>"计算依据：=单件合计工时（I56）*"&amp;O4&amp;"元/小时"</f>
        <v>计算依据：=单件合计工时（I56）*26元/小时</v>
      </c>
      <c r="F57" s="104"/>
      <c r="G57" s="104"/>
      <c r="H57" s="104"/>
      <c r="I57" s="104"/>
      <c r="J57" s="104"/>
      <c r="K57" s="104"/>
      <c r="L57" s="104"/>
      <c r="M57" s="105" t="s">
        <v>84</v>
      </c>
      <c r="N57" s="106"/>
      <c r="O57" s="107"/>
    </row>
    <row r="58" s="1" customFormat="1" ht="25" customHeight="1" spans="1:15">
      <c r="A58" s="40" t="s">
        <v>85</v>
      </c>
      <c r="B58" s="15" t="s">
        <v>86</v>
      </c>
      <c r="C58" s="16"/>
      <c r="D58" s="108">
        <f>(I25+I38+L56+O56+D57+O25)*M6</f>
        <v>0.143000068181818</v>
      </c>
      <c r="E58" s="109" t="s">
        <v>87</v>
      </c>
      <c r="F58" s="110"/>
      <c r="G58" s="110"/>
      <c r="H58" s="110"/>
      <c r="I58" s="110"/>
      <c r="J58" s="110"/>
      <c r="K58" s="110"/>
      <c r="L58" s="111"/>
      <c r="M58" s="112" t="s">
        <v>88</v>
      </c>
      <c r="N58" s="113">
        <v>0</v>
      </c>
      <c r="O58" s="114"/>
    </row>
    <row r="59" s="1" customFormat="1" ht="25" customHeight="1" spans="1:15">
      <c r="A59" s="40" t="s">
        <v>89</v>
      </c>
      <c r="B59" s="15" t="s">
        <v>90</v>
      </c>
      <c r="C59" s="16"/>
      <c r="D59" s="108">
        <f>(I25+O25)*0.03+(I38+O38+L56+O56+D57+D58)*0.09</f>
        <v>0.270870210681818</v>
      </c>
      <c r="E59" s="115" t="s">
        <v>91</v>
      </c>
      <c r="F59" s="116"/>
      <c r="G59" s="116"/>
      <c r="H59" s="116"/>
      <c r="I59" s="116"/>
      <c r="J59" s="116"/>
      <c r="K59" s="116"/>
      <c r="L59" s="117"/>
      <c r="M59" s="118" t="s">
        <v>92</v>
      </c>
      <c r="N59" s="17">
        <v>10</v>
      </c>
      <c r="O59" s="21"/>
    </row>
    <row r="60" s="1" customFormat="1" ht="25" customHeight="1" spans="1:15">
      <c r="A60" s="40" t="s">
        <v>93</v>
      </c>
      <c r="B60" s="15" t="s">
        <v>94</v>
      </c>
      <c r="C60" s="16"/>
      <c r="D60" s="119">
        <v>0.2</v>
      </c>
      <c r="E60" s="115" t="s">
        <v>95</v>
      </c>
      <c r="F60" s="116"/>
      <c r="G60" s="116"/>
      <c r="H60" s="116"/>
      <c r="I60" s="116"/>
      <c r="J60" s="116"/>
      <c r="K60" s="116"/>
      <c r="L60" s="117"/>
      <c r="M60" s="118" t="s">
        <v>96</v>
      </c>
      <c r="N60" s="17">
        <v>10</v>
      </c>
      <c r="O60" s="21"/>
    </row>
    <row r="61" s="1" customFormat="1" ht="25" customHeight="1" spans="1:15">
      <c r="A61" s="40" t="s">
        <v>97</v>
      </c>
      <c r="B61" s="15" t="s">
        <v>98</v>
      </c>
      <c r="C61" s="16"/>
      <c r="D61" s="120">
        <v>0.3</v>
      </c>
      <c r="E61" s="115" t="s">
        <v>99</v>
      </c>
      <c r="F61" s="116"/>
      <c r="G61" s="116"/>
      <c r="H61" s="116"/>
      <c r="I61" s="116"/>
      <c r="J61" s="116"/>
      <c r="K61" s="116"/>
      <c r="L61" s="117"/>
      <c r="M61" s="121"/>
      <c r="N61" s="17">
        <f>16*0.833</f>
        <v>13.328</v>
      </c>
      <c r="O61" s="21"/>
    </row>
    <row r="62" s="1" customFormat="1" ht="25" customHeight="1" spans="1:15">
      <c r="A62" s="40" t="s">
        <v>100</v>
      </c>
      <c r="B62" s="15" t="s">
        <v>101</v>
      </c>
      <c r="C62" s="16"/>
      <c r="D62" s="122">
        <f>I25+O25+I38+L56+O56+D57+D58+D59+D60+D61+O38-N58</f>
        <v>5.78053921825758</v>
      </c>
      <c r="E62" s="115" t="s">
        <v>102</v>
      </c>
      <c r="F62" s="116"/>
      <c r="G62" s="116"/>
      <c r="H62" s="116"/>
      <c r="I62" s="116"/>
      <c r="J62" s="116"/>
      <c r="K62" s="116"/>
      <c r="L62" s="117"/>
      <c r="M62" s="121"/>
      <c r="N62" s="17"/>
      <c r="O62" s="21"/>
    </row>
    <row r="63" s="1" customFormat="1" ht="25" customHeight="1" spans="1:15">
      <c r="A63" s="40" t="s">
        <v>103</v>
      </c>
      <c r="B63" s="15" t="s">
        <v>104</v>
      </c>
      <c r="C63" s="16"/>
      <c r="D63" s="123">
        <v>0.08</v>
      </c>
      <c r="E63" s="115" t="s">
        <v>105</v>
      </c>
      <c r="F63" s="116"/>
      <c r="G63" s="116"/>
      <c r="H63" s="116"/>
      <c r="I63" s="116"/>
      <c r="J63" s="116"/>
      <c r="K63" s="116"/>
      <c r="L63" s="117"/>
      <c r="M63" s="121"/>
      <c r="N63" s="17"/>
      <c r="O63" s="21"/>
    </row>
    <row r="64" s="1" customFormat="1" ht="25" customHeight="1" spans="1:15">
      <c r="A64" s="40" t="s">
        <v>106</v>
      </c>
      <c r="B64" s="15" t="s">
        <v>107</v>
      </c>
      <c r="C64" s="16"/>
      <c r="D64" s="108">
        <f>D62*D63</f>
        <v>0.462443137460606</v>
      </c>
      <c r="E64" s="115" t="s">
        <v>108</v>
      </c>
      <c r="F64" s="116"/>
      <c r="G64" s="116"/>
      <c r="H64" s="116"/>
      <c r="I64" s="116"/>
      <c r="J64" s="116"/>
      <c r="K64" s="116"/>
      <c r="L64" s="117"/>
      <c r="M64" s="121"/>
      <c r="N64" s="17"/>
      <c r="O64" s="21"/>
    </row>
    <row r="65" s="1" customFormat="1" ht="25" customHeight="1" spans="1:15">
      <c r="A65" s="40" t="s">
        <v>109</v>
      </c>
      <c r="B65" s="15" t="s">
        <v>110</v>
      </c>
      <c r="C65" s="16"/>
      <c r="D65" s="108">
        <f>D62+D64</f>
        <v>6.24298235571818</v>
      </c>
      <c r="E65" s="115" t="s">
        <v>111</v>
      </c>
      <c r="F65" s="116"/>
      <c r="G65" s="116"/>
      <c r="H65" s="116"/>
      <c r="I65" s="116"/>
      <c r="J65" s="116"/>
      <c r="K65" s="116"/>
      <c r="L65" s="117"/>
      <c r="M65" s="121"/>
      <c r="N65" s="17"/>
      <c r="O65" s="21"/>
    </row>
    <row r="66" s="1" customFormat="1" ht="25" customHeight="1" spans="1:15">
      <c r="A66" s="40" t="s">
        <v>112</v>
      </c>
      <c r="B66" s="15" t="s">
        <v>113</v>
      </c>
      <c r="C66" s="16"/>
      <c r="D66" s="108">
        <f>D65*0.13</f>
        <v>0.811587706243364</v>
      </c>
      <c r="E66" s="115" t="s">
        <v>114</v>
      </c>
      <c r="F66" s="116"/>
      <c r="G66" s="116"/>
      <c r="H66" s="116"/>
      <c r="I66" s="116"/>
      <c r="J66" s="116"/>
      <c r="K66" s="116"/>
      <c r="L66" s="117"/>
      <c r="M66" s="121"/>
      <c r="N66" s="17"/>
      <c r="O66" s="21"/>
    </row>
    <row r="67" s="1" customFormat="1" ht="25" customHeight="1" spans="1:15">
      <c r="A67" s="55" t="s">
        <v>115</v>
      </c>
      <c r="B67" s="73" t="s">
        <v>116</v>
      </c>
      <c r="C67" s="94"/>
      <c r="D67" s="124">
        <f>D65+D66</f>
        <v>7.05457006196155</v>
      </c>
      <c r="E67" s="115" t="s">
        <v>117</v>
      </c>
      <c r="F67" s="116"/>
      <c r="G67" s="116"/>
      <c r="H67" s="116"/>
      <c r="I67" s="116"/>
      <c r="J67" s="116"/>
      <c r="K67" s="116"/>
      <c r="L67" s="117"/>
      <c r="M67" s="125"/>
      <c r="N67" s="126"/>
      <c r="O67" s="127"/>
    </row>
  </sheetData>
  <sheetProtection algorithmName="SHA-512" hashValue="baIJrJl8oAstf4k8s3rKGpIxiGMJ/fPlq110WYkEqSnZs/gHX2eG2nUMD1k4E1nw/raYXy1CixJFlE8Ss4aGmw==" saltValue="pGXrGmKpbFJL81/XyykzIA==" spinCount="100000" sheet="1" selectLockedCells="1" objects="1"/>
  <mergeCells count="60">
    <mergeCell ref="A2:O2"/>
    <mergeCell ref="A3:O3"/>
    <mergeCell ref="B4:C4"/>
    <mergeCell ref="D4:E4"/>
    <mergeCell ref="G4:H4"/>
    <mergeCell ref="J4:K4"/>
    <mergeCell ref="B5:C5"/>
    <mergeCell ref="D5:E5"/>
    <mergeCell ref="G5:H5"/>
    <mergeCell ref="J5:K5"/>
    <mergeCell ref="B6:C6"/>
    <mergeCell ref="D6:E6"/>
    <mergeCell ref="G6:H6"/>
    <mergeCell ref="J6:K6"/>
    <mergeCell ref="G25:H25"/>
    <mergeCell ref="M25:N25"/>
    <mergeCell ref="D26:I26"/>
    <mergeCell ref="J26:O26"/>
    <mergeCell ref="G38:H38"/>
    <mergeCell ref="J56:K56"/>
    <mergeCell ref="B57:C57"/>
    <mergeCell ref="M57:O57"/>
    <mergeCell ref="B58:C58"/>
    <mergeCell ref="E58:L58"/>
    <mergeCell ref="N58:O58"/>
    <mergeCell ref="B59:C59"/>
    <mergeCell ref="E59:L59"/>
    <mergeCell ref="N59:O59"/>
    <mergeCell ref="B60:C60"/>
    <mergeCell ref="E60:L60"/>
    <mergeCell ref="N60:O60"/>
    <mergeCell ref="B61:C61"/>
    <mergeCell ref="E61:L61"/>
    <mergeCell ref="N61:O61"/>
    <mergeCell ref="B62:C62"/>
    <mergeCell ref="E62:L62"/>
    <mergeCell ref="N62:O62"/>
    <mergeCell ref="B63:C63"/>
    <mergeCell ref="E63:L63"/>
    <mergeCell ref="N63:O63"/>
    <mergeCell ref="B64:C64"/>
    <mergeCell ref="E64:L64"/>
    <mergeCell ref="N64:O64"/>
    <mergeCell ref="B65:C65"/>
    <mergeCell ref="E65:L65"/>
    <mergeCell ref="N65:O65"/>
    <mergeCell ref="B66:C66"/>
    <mergeCell ref="E66:L66"/>
    <mergeCell ref="N66:O66"/>
    <mergeCell ref="B67:C67"/>
    <mergeCell ref="E67:L67"/>
    <mergeCell ref="N67:O67"/>
    <mergeCell ref="A4:A6"/>
    <mergeCell ref="A7:A25"/>
    <mergeCell ref="A26:A38"/>
    <mergeCell ref="A39:A56"/>
    <mergeCell ref="B7:B25"/>
    <mergeCell ref="B26:B38"/>
    <mergeCell ref="B39:B56"/>
    <mergeCell ref="C26:C27"/>
  </mergeCells>
  <pageMargins left="0.75" right="0.75" top="1" bottom="1" header="0.5" footer="0.5"/>
  <pageSetup paperSize="9" scale="4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盛训杰</cp:lastModifiedBy>
  <dcterms:created xsi:type="dcterms:W3CDTF">2025-11-10T15:53:00Z</dcterms:created>
  <dcterms:modified xsi:type="dcterms:W3CDTF">2026-06-12T07:54:49Z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E9A4C9B370DC410DAD42AC515C55259D_13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